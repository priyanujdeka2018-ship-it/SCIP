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.selvam\Downloads\"/>
    </mc:Choice>
  </mc:AlternateContent>
  <xr:revisionPtr revIDLastSave="0" documentId="8_{4C2BCE8E-D150-4CFA-B0E6-7FB8E5E62260}" xr6:coauthVersionLast="47" xr6:coauthVersionMax="47" xr10:uidLastSave="{00000000-0000-0000-0000-000000000000}"/>
  <bookViews>
    <workbookView xWindow="-120" yWindow="-120" windowWidth="29040" windowHeight="15720" xr2:uid="{42212883-6034-4FE0-A853-1AB896A7AC90}"/>
  </bookViews>
  <sheets>
    <sheet name="Summary" sheetId="1" r:id="rId1"/>
    <sheet name="Dues Qrtwise" sheetId="2" r:id="rId2"/>
    <sheet name="Dues summary" sheetId="3" r:id="rId3"/>
    <sheet name="Dues summary SOBHA" sheetId="4" r:id="rId4"/>
    <sheet name="Dues summary Siniya-UAQ" sheetId="5" r:id="rId5"/>
    <sheet name="Nationality " sheetId="6" r:id="rId6"/>
    <sheet name="Corporate-Escrow" sheetId="7" r:id="rId7"/>
  </sheets>
  <definedNames>
    <definedName name="_xlnm._FilterDatabase" localSheetId="1" hidden="1">'Dues Qrtwise'!$A$6:$AF$205</definedName>
    <definedName name="_xlnm._FilterDatabase" localSheetId="5" hidden="1">'Nationality '!$A$7:$Q$180</definedName>
    <definedName name="_xlcn.WorksheetConnection_Sheet19A1E16961" hidden="1">#REF!</definedName>
    <definedName name="Ak">!#REF!</definedName>
    <definedName name="NOB">!#REF!</definedName>
    <definedName name="_xlnm.Print_Area" localSheetId="1">'Dues Qrtwise'!$A$5:$U$229</definedName>
    <definedName name="_xlnm.Print_Area" localSheetId="2">'Dues summary'!$C$7:$K$156</definedName>
    <definedName name="_xlnm.Print_Area" localSheetId="4">'Dues summary Siniya-UAQ'!$C$7:$K$156</definedName>
    <definedName name="_xlnm.Print_Area" localSheetId="3">'Dues summary SOBHA'!$C$7:$K$156</definedName>
    <definedName name="_xlnm.Print_Area" localSheetId="5">'Nationality '!$A$6:$Q$180</definedName>
    <definedName name="_xlnm.Print_Area" localSheetId="0">Summary!$B$5:$L$208</definedName>
    <definedName name="qwerty">#REF!</definedName>
    <definedName name="Source">!#REF!</definedName>
    <definedName name="SRCE">!#REF!</definedName>
    <definedName name="Style">!#REF!</definedName>
    <definedName name="TOS">!#REF!</definedName>
    <definedName name="Type">!#REF!</definedName>
    <definedName name="VLOOKUP">!#REF!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93" i="7" l="1"/>
  <c r="AA92" i="7"/>
  <c r="Z92" i="7"/>
  <c r="Y92" i="7"/>
  <c r="X92" i="7"/>
  <c r="W92" i="7"/>
  <c r="V92" i="7"/>
  <c r="U92" i="7"/>
  <c r="T92" i="7"/>
  <c r="S92" i="7"/>
  <c r="R92" i="7"/>
  <c r="Q92" i="7"/>
  <c r="P92" i="7"/>
  <c r="P74" i="7"/>
  <c r="B74" i="7"/>
  <c r="AA73" i="7"/>
  <c r="Z73" i="7"/>
  <c r="Y73" i="7"/>
  <c r="X73" i="7"/>
  <c r="W73" i="7"/>
  <c r="V73" i="7"/>
  <c r="U73" i="7"/>
  <c r="T73" i="7"/>
  <c r="S73" i="7"/>
  <c r="R73" i="7"/>
  <c r="Q73" i="7"/>
  <c r="P73" i="7"/>
  <c r="M73" i="7"/>
  <c r="L73" i="7"/>
  <c r="K73" i="7"/>
  <c r="J73" i="7"/>
  <c r="I73" i="7"/>
  <c r="H73" i="7"/>
  <c r="G73" i="7"/>
  <c r="F73" i="7"/>
  <c r="E73" i="7"/>
  <c r="D73" i="7"/>
  <c r="C73" i="7"/>
  <c r="B73" i="7"/>
  <c r="P55" i="7"/>
  <c r="B55" i="7"/>
  <c r="AA54" i="7"/>
  <c r="Z54" i="7"/>
  <c r="Y54" i="7"/>
  <c r="X54" i="7"/>
  <c r="W54" i="7"/>
  <c r="V54" i="7"/>
  <c r="U54" i="7"/>
  <c r="T54" i="7"/>
  <c r="S54" i="7"/>
  <c r="R54" i="7"/>
  <c r="Q54" i="7"/>
  <c r="P54" i="7"/>
  <c r="M54" i="7"/>
  <c r="L54" i="7"/>
  <c r="K54" i="7"/>
  <c r="J54" i="7"/>
  <c r="I54" i="7"/>
  <c r="H54" i="7"/>
  <c r="G54" i="7"/>
  <c r="F54" i="7"/>
  <c r="E54" i="7"/>
  <c r="D54" i="7"/>
  <c r="C54" i="7"/>
  <c r="B54" i="7"/>
  <c r="P36" i="7"/>
  <c r="B36" i="7"/>
  <c r="AA35" i="7"/>
  <c r="Z35" i="7"/>
  <c r="Y35" i="7"/>
  <c r="X35" i="7"/>
  <c r="W35" i="7"/>
  <c r="V35" i="7"/>
  <c r="U35" i="7"/>
  <c r="T35" i="7"/>
  <c r="S35" i="7"/>
  <c r="R35" i="7"/>
  <c r="Q35" i="7"/>
  <c r="P35" i="7"/>
  <c r="M35" i="7"/>
  <c r="L35" i="7"/>
  <c r="K35" i="7"/>
  <c r="J35" i="7"/>
  <c r="I35" i="7"/>
  <c r="H35" i="7"/>
  <c r="G35" i="7"/>
  <c r="F35" i="7"/>
  <c r="E35" i="7"/>
  <c r="D35" i="7"/>
  <c r="C35" i="7"/>
  <c r="B35" i="7"/>
  <c r="P17" i="7"/>
  <c r="B17" i="7"/>
  <c r="AA16" i="7"/>
  <c r="Z16" i="7"/>
  <c r="Y16" i="7"/>
  <c r="X16" i="7"/>
  <c r="W16" i="7"/>
  <c r="V16" i="7"/>
  <c r="U16" i="7"/>
  <c r="T16" i="7"/>
  <c r="S16" i="7"/>
  <c r="R16" i="7"/>
  <c r="Q16" i="7"/>
  <c r="P16" i="7"/>
  <c r="M16" i="7"/>
  <c r="L16" i="7"/>
  <c r="K16" i="7"/>
  <c r="J16" i="7"/>
  <c r="I16" i="7"/>
  <c r="H16" i="7"/>
  <c r="G16" i="7"/>
  <c r="F16" i="7"/>
  <c r="E16" i="7"/>
  <c r="D16" i="7"/>
  <c r="C16" i="7"/>
  <c r="B16" i="7"/>
  <c r="AC1" i="7"/>
  <c r="Q183" i="6"/>
  <c r="K183" i="6"/>
  <c r="E183" i="6"/>
  <c r="Q182" i="6"/>
  <c r="K182" i="6"/>
  <c r="E182" i="6"/>
  <c r="Q180" i="6"/>
  <c r="P180" i="6"/>
  <c r="O180" i="6"/>
  <c r="N180" i="6"/>
  <c r="K180" i="6"/>
  <c r="J180" i="6"/>
  <c r="I180" i="6"/>
  <c r="H180" i="6"/>
  <c r="E180" i="6"/>
  <c r="D180" i="6"/>
  <c r="C180" i="6"/>
  <c r="B180" i="6"/>
  <c r="Q179" i="6"/>
  <c r="K179" i="6"/>
  <c r="E179" i="6"/>
  <c r="Q178" i="6"/>
  <c r="K178" i="6"/>
  <c r="E178" i="6"/>
  <c r="Q177" i="6"/>
  <c r="K177" i="6"/>
  <c r="E177" i="6"/>
  <c r="Q176" i="6"/>
  <c r="K176" i="6"/>
  <c r="E176" i="6"/>
  <c r="Q175" i="6"/>
  <c r="K175" i="6"/>
  <c r="E175" i="6"/>
  <c r="Q174" i="6"/>
  <c r="K174" i="6"/>
  <c r="E174" i="6"/>
  <c r="Q173" i="6"/>
  <c r="K173" i="6"/>
  <c r="E173" i="6"/>
  <c r="Q172" i="6"/>
  <c r="K172" i="6"/>
  <c r="E172" i="6"/>
  <c r="Q171" i="6"/>
  <c r="K171" i="6"/>
  <c r="E171" i="6"/>
  <c r="Q170" i="6"/>
  <c r="K170" i="6"/>
  <c r="E170" i="6"/>
  <c r="Q169" i="6"/>
  <c r="K169" i="6"/>
  <c r="E169" i="6"/>
  <c r="Q168" i="6"/>
  <c r="K168" i="6"/>
  <c r="E168" i="6"/>
  <c r="Q167" i="6"/>
  <c r="K167" i="6"/>
  <c r="E167" i="6"/>
  <c r="Q166" i="6"/>
  <c r="K166" i="6"/>
  <c r="E166" i="6"/>
  <c r="Q165" i="6"/>
  <c r="K165" i="6"/>
  <c r="E165" i="6"/>
  <c r="Q164" i="6"/>
  <c r="K164" i="6"/>
  <c r="E164" i="6"/>
  <c r="Q163" i="6"/>
  <c r="K163" i="6"/>
  <c r="E163" i="6"/>
  <c r="Q162" i="6"/>
  <c r="K162" i="6"/>
  <c r="E162" i="6"/>
  <c r="Q161" i="6"/>
  <c r="K161" i="6"/>
  <c r="E161" i="6"/>
  <c r="Q160" i="6"/>
  <c r="K160" i="6"/>
  <c r="E160" i="6"/>
  <c r="Q159" i="6"/>
  <c r="K159" i="6"/>
  <c r="E159" i="6"/>
  <c r="Q158" i="6"/>
  <c r="K158" i="6"/>
  <c r="E158" i="6"/>
  <c r="Q157" i="6"/>
  <c r="K157" i="6"/>
  <c r="E157" i="6"/>
  <c r="Q156" i="6"/>
  <c r="K156" i="6"/>
  <c r="E156" i="6"/>
  <c r="Q155" i="6"/>
  <c r="K155" i="6"/>
  <c r="E155" i="6"/>
  <c r="Q154" i="6"/>
  <c r="K154" i="6"/>
  <c r="E154" i="6"/>
  <c r="Q153" i="6"/>
  <c r="K153" i="6"/>
  <c r="E153" i="6"/>
  <c r="Q152" i="6"/>
  <c r="K152" i="6"/>
  <c r="E152" i="6"/>
  <c r="Q151" i="6"/>
  <c r="K151" i="6"/>
  <c r="E151" i="6"/>
  <c r="Q150" i="6"/>
  <c r="K150" i="6"/>
  <c r="E150" i="6"/>
  <c r="Q149" i="6"/>
  <c r="K149" i="6"/>
  <c r="E149" i="6"/>
  <c r="Q148" i="6"/>
  <c r="K148" i="6"/>
  <c r="E148" i="6"/>
  <c r="Q147" i="6"/>
  <c r="K147" i="6"/>
  <c r="E147" i="6"/>
  <c r="Q146" i="6"/>
  <c r="K146" i="6"/>
  <c r="E146" i="6"/>
  <c r="Q145" i="6"/>
  <c r="K145" i="6"/>
  <c r="E145" i="6"/>
  <c r="Q144" i="6"/>
  <c r="K144" i="6"/>
  <c r="E144" i="6"/>
  <c r="Q143" i="6"/>
  <c r="K143" i="6"/>
  <c r="E143" i="6"/>
  <c r="Q142" i="6"/>
  <c r="K142" i="6"/>
  <c r="E142" i="6"/>
  <c r="Q141" i="6"/>
  <c r="K141" i="6"/>
  <c r="E141" i="6"/>
  <c r="Q140" i="6"/>
  <c r="K140" i="6"/>
  <c r="E140" i="6"/>
  <c r="Q139" i="6"/>
  <c r="K139" i="6"/>
  <c r="E139" i="6"/>
  <c r="Q138" i="6"/>
  <c r="K138" i="6"/>
  <c r="E138" i="6"/>
  <c r="Q137" i="6"/>
  <c r="K137" i="6"/>
  <c r="E137" i="6"/>
  <c r="Q136" i="6"/>
  <c r="K136" i="6"/>
  <c r="E136" i="6"/>
  <c r="Q135" i="6"/>
  <c r="K135" i="6"/>
  <c r="E135" i="6"/>
  <c r="Q134" i="6"/>
  <c r="K134" i="6"/>
  <c r="E134" i="6"/>
  <c r="Q133" i="6"/>
  <c r="K133" i="6"/>
  <c r="E133" i="6"/>
  <c r="Q132" i="6"/>
  <c r="K132" i="6"/>
  <c r="E132" i="6"/>
  <c r="Q131" i="6"/>
  <c r="K131" i="6"/>
  <c r="E131" i="6"/>
  <c r="Q130" i="6"/>
  <c r="K130" i="6"/>
  <c r="E130" i="6"/>
  <c r="Q129" i="6"/>
  <c r="K129" i="6"/>
  <c r="E129" i="6"/>
  <c r="Q128" i="6"/>
  <c r="K128" i="6"/>
  <c r="E128" i="6"/>
  <c r="Q127" i="6"/>
  <c r="K127" i="6"/>
  <c r="E127" i="6"/>
  <c r="Q126" i="6"/>
  <c r="K126" i="6"/>
  <c r="E126" i="6"/>
  <c r="Q125" i="6"/>
  <c r="K125" i="6"/>
  <c r="E125" i="6"/>
  <c r="Q124" i="6"/>
  <c r="K124" i="6"/>
  <c r="E124" i="6"/>
  <c r="Q123" i="6"/>
  <c r="K123" i="6"/>
  <c r="E123" i="6"/>
  <c r="Q122" i="6"/>
  <c r="K122" i="6"/>
  <c r="E122" i="6"/>
  <c r="Q121" i="6"/>
  <c r="K121" i="6"/>
  <c r="E121" i="6"/>
  <c r="Q120" i="6"/>
  <c r="K120" i="6"/>
  <c r="E120" i="6"/>
  <c r="Q119" i="6"/>
  <c r="K119" i="6"/>
  <c r="E119" i="6"/>
  <c r="Q118" i="6"/>
  <c r="K118" i="6"/>
  <c r="E118" i="6"/>
  <c r="Q117" i="6"/>
  <c r="K117" i="6"/>
  <c r="E117" i="6"/>
  <c r="Q116" i="6"/>
  <c r="K116" i="6"/>
  <c r="E116" i="6"/>
  <c r="Q115" i="6"/>
  <c r="K115" i="6"/>
  <c r="E115" i="6"/>
  <c r="Q114" i="6"/>
  <c r="K114" i="6"/>
  <c r="E114" i="6"/>
  <c r="Q113" i="6"/>
  <c r="K113" i="6"/>
  <c r="E113" i="6"/>
  <c r="Q112" i="6"/>
  <c r="K112" i="6"/>
  <c r="E112" i="6"/>
  <c r="Q111" i="6"/>
  <c r="K111" i="6"/>
  <c r="E111" i="6"/>
  <c r="Q110" i="6"/>
  <c r="K110" i="6"/>
  <c r="E110" i="6"/>
  <c r="Q109" i="6"/>
  <c r="K109" i="6"/>
  <c r="E109" i="6"/>
  <c r="Q108" i="6"/>
  <c r="K108" i="6"/>
  <c r="E108" i="6"/>
  <c r="Q107" i="6"/>
  <c r="K107" i="6"/>
  <c r="E107" i="6"/>
  <c r="Q106" i="6"/>
  <c r="K106" i="6"/>
  <c r="E106" i="6"/>
  <c r="Q105" i="6"/>
  <c r="K105" i="6"/>
  <c r="E105" i="6"/>
  <c r="Q104" i="6"/>
  <c r="K104" i="6"/>
  <c r="E104" i="6"/>
  <c r="Q103" i="6"/>
  <c r="K103" i="6"/>
  <c r="E103" i="6"/>
  <c r="Q102" i="6"/>
  <c r="K102" i="6"/>
  <c r="E102" i="6"/>
  <c r="Q101" i="6"/>
  <c r="K101" i="6"/>
  <c r="E101" i="6"/>
  <c r="Q100" i="6"/>
  <c r="K100" i="6"/>
  <c r="E100" i="6"/>
  <c r="Q99" i="6"/>
  <c r="K99" i="6"/>
  <c r="E99" i="6"/>
  <c r="Q98" i="6"/>
  <c r="K98" i="6"/>
  <c r="E98" i="6"/>
  <c r="Q97" i="6"/>
  <c r="K97" i="6"/>
  <c r="E97" i="6"/>
  <c r="Q96" i="6"/>
  <c r="K96" i="6"/>
  <c r="E96" i="6"/>
  <c r="Q95" i="6"/>
  <c r="K95" i="6"/>
  <c r="E95" i="6"/>
  <c r="Q94" i="6"/>
  <c r="K94" i="6"/>
  <c r="E94" i="6"/>
  <c r="Q93" i="6"/>
  <c r="K93" i="6"/>
  <c r="E93" i="6"/>
  <c r="Q92" i="6"/>
  <c r="K92" i="6"/>
  <c r="E92" i="6"/>
  <c r="Q91" i="6"/>
  <c r="K91" i="6"/>
  <c r="E91" i="6"/>
  <c r="Q90" i="6"/>
  <c r="K90" i="6"/>
  <c r="E90" i="6"/>
  <c r="Q89" i="6"/>
  <c r="K89" i="6"/>
  <c r="E89" i="6"/>
  <c r="Q88" i="6"/>
  <c r="K88" i="6"/>
  <c r="E88" i="6"/>
  <c r="Q87" i="6"/>
  <c r="K87" i="6"/>
  <c r="E87" i="6"/>
  <c r="Q86" i="6"/>
  <c r="K86" i="6"/>
  <c r="E86" i="6"/>
  <c r="Q85" i="6"/>
  <c r="K85" i="6"/>
  <c r="E85" i="6"/>
  <c r="Q84" i="6"/>
  <c r="K84" i="6"/>
  <c r="E84" i="6"/>
  <c r="Q83" i="6"/>
  <c r="K83" i="6"/>
  <c r="E83" i="6"/>
  <c r="Q82" i="6"/>
  <c r="K82" i="6"/>
  <c r="E82" i="6"/>
  <c r="Q81" i="6"/>
  <c r="K81" i="6"/>
  <c r="E81" i="6"/>
  <c r="Q80" i="6"/>
  <c r="K80" i="6"/>
  <c r="E80" i="6"/>
  <c r="Q79" i="6"/>
  <c r="K79" i="6"/>
  <c r="E79" i="6"/>
  <c r="Q78" i="6"/>
  <c r="K78" i="6"/>
  <c r="E78" i="6"/>
  <c r="Q77" i="6"/>
  <c r="K77" i="6"/>
  <c r="E77" i="6"/>
  <c r="Q76" i="6"/>
  <c r="K76" i="6"/>
  <c r="E76" i="6"/>
  <c r="Q75" i="6"/>
  <c r="K75" i="6"/>
  <c r="E75" i="6"/>
  <c r="Q74" i="6"/>
  <c r="K74" i="6"/>
  <c r="E74" i="6"/>
  <c r="Q73" i="6"/>
  <c r="K73" i="6"/>
  <c r="E73" i="6"/>
  <c r="Q72" i="6"/>
  <c r="K72" i="6"/>
  <c r="E72" i="6"/>
  <c r="Q71" i="6"/>
  <c r="K71" i="6"/>
  <c r="E71" i="6"/>
  <c r="Q70" i="6"/>
  <c r="K70" i="6"/>
  <c r="E70" i="6"/>
  <c r="Q69" i="6"/>
  <c r="K69" i="6"/>
  <c r="E69" i="6"/>
  <c r="Q68" i="6"/>
  <c r="K68" i="6"/>
  <c r="E68" i="6"/>
  <c r="Q67" i="6"/>
  <c r="K67" i="6"/>
  <c r="E67" i="6"/>
  <c r="Q66" i="6"/>
  <c r="K66" i="6"/>
  <c r="E66" i="6"/>
  <c r="Q65" i="6"/>
  <c r="K65" i="6"/>
  <c r="E65" i="6"/>
  <c r="Q64" i="6"/>
  <c r="K64" i="6"/>
  <c r="E64" i="6"/>
  <c r="Q63" i="6"/>
  <c r="K63" i="6"/>
  <c r="E63" i="6"/>
  <c r="Q62" i="6"/>
  <c r="K62" i="6"/>
  <c r="E62" i="6"/>
  <c r="Q61" i="6"/>
  <c r="K61" i="6"/>
  <c r="E61" i="6"/>
  <c r="Q60" i="6"/>
  <c r="K60" i="6"/>
  <c r="E60" i="6"/>
  <c r="Q59" i="6"/>
  <c r="K59" i="6"/>
  <c r="E59" i="6"/>
  <c r="Q58" i="6"/>
  <c r="K58" i="6"/>
  <c r="E58" i="6"/>
  <c r="Q57" i="6"/>
  <c r="K57" i="6"/>
  <c r="E57" i="6"/>
  <c r="Q56" i="6"/>
  <c r="K56" i="6"/>
  <c r="E56" i="6"/>
  <c r="Q55" i="6"/>
  <c r="K55" i="6"/>
  <c r="E55" i="6"/>
  <c r="Q54" i="6"/>
  <c r="K54" i="6"/>
  <c r="E54" i="6"/>
  <c r="Q53" i="6"/>
  <c r="K53" i="6"/>
  <c r="E53" i="6"/>
  <c r="Q52" i="6"/>
  <c r="K52" i="6"/>
  <c r="E52" i="6"/>
  <c r="Q51" i="6"/>
  <c r="K51" i="6"/>
  <c r="E51" i="6"/>
  <c r="Q50" i="6"/>
  <c r="K50" i="6"/>
  <c r="E50" i="6"/>
  <c r="Q49" i="6"/>
  <c r="K49" i="6"/>
  <c r="E49" i="6"/>
  <c r="Q48" i="6"/>
  <c r="K48" i="6"/>
  <c r="E48" i="6"/>
  <c r="Q47" i="6"/>
  <c r="K47" i="6"/>
  <c r="E47" i="6"/>
  <c r="Q46" i="6"/>
  <c r="K46" i="6"/>
  <c r="E46" i="6"/>
  <c r="Q45" i="6"/>
  <c r="K45" i="6"/>
  <c r="E45" i="6"/>
  <c r="Q44" i="6"/>
  <c r="K44" i="6"/>
  <c r="E44" i="6"/>
  <c r="Q43" i="6"/>
  <c r="K43" i="6"/>
  <c r="E43" i="6"/>
  <c r="Q42" i="6"/>
  <c r="K42" i="6"/>
  <c r="E42" i="6"/>
  <c r="Q41" i="6"/>
  <c r="K41" i="6"/>
  <c r="E41" i="6"/>
  <c r="Q40" i="6"/>
  <c r="K40" i="6"/>
  <c r="E40" i="6"/>
  <c r="Q39" i="6"/>
  <c r="K39" i="6"/>
  <c r="E39" i="6"/>
  <c r="Q38" i="6"/>
  <c r="K38" i="6"/>
  <c r="E38" i="6"/>
  <c r="Q37" i="6"/>
  <c r="K37" i="6"/>
  <c r="E37" i="6"/>
  <c r="Q36" i="6"/>
  <c r="K36" i="6"/>
  <c r="E36" i="6"/>
  <c r="Q35" i="6"/>
  <c r="K35" i="6"/>
  <c r="E35" i="6"/>
  <c r="Q34" i="6"/>
  <c r="K34" i="6"/>
  <c r="E34" i="6"/>
  <c r="Q33" i="6"/>
  <c r="K33" i="6"/>
  <c r="E33" i="6"/>
  <c r="Q32" i="6"/>
  <c r="K32" i="6"/>
  <c r="E32" i="6"/>
  <c r="Q31" i="6"/>
  <c r="K31" i="6"/>
  <c r="E31" i="6"/>
  <c r="Q30" i="6"/>
  <c r="K30" i="6"/>
  <c r="E30" i="6"/>
  <c r="Q29" i="6"/>
  <c r="K29" i="6"/>
  <c r="E29" i="6"/>
  <c r="Q28" i="6"/>
  <c r="K28" i="6"/>
  <c r="E28" i="6"/>
  <c r="Q27" i="6"/>
  <c r="K27" i="6"/>
  <c r="E27" i="6"/>
  <c r="Q26" i="6"/>
  <c r="K26" i="6"/>
  <c r="E26" i="6"/>
  <c r="Q25" i="6"/>
  <c r="K25" i="6"/>
  <c r="E25" i="6"/>
  <c r="Q24" i="6"/>
  <c r="K24" i="6"/>
  <c r="E24" i="6"/>
  <c r="Q23" i="6"/>
  <c r="K23" i="6"/>
  <c r="E23" i="6"/>
  <c r="Q22" i="6"/>
  <c r="K22" i="6"/>
  <c r="E22" i="6"/>
  <c r="Q21" i="6"/>
  <c r="K21" i="6"/>
  <c r="E21" i="6"/>
  <c r="Q20" i="6"/>
  <c r="K20" i="6"/>
  <c r="E20" i="6"/>
  <c r="Q19" i="6"/>
  <c r="K19" i="6"/>
  <c r="E19" i="6"/>
  <c r="Q18" i="6"/>
  <c r="K18" i="6"/>
  <c r="E18" i="6"/>
  <c r="Q17" i="6"/>
  <c r="K17" i="6"/>
  <c r="E17" i="6"/>
  <c r="Q16" i="6"/>
  <c r="K16" i="6"/>
  <c r="E16" i="6"/>
  <c r="Q15" i="6"/>
  <c r="K15" i="6"/>
  <c r="E15" i="6"/>
  <c r="Q14" i="6"/>
  <c r="K14" i="6"/>
  <c r="E14" i="6"/>
  <c r="Q13" i="6"/>
  <c r="K13" i="6"/>
  <c r="E13" i="6"/>
  <c r="Q12" i="6"/>
  <c r="K12" i="6"/>
  <c r="E12" i="6"/>
  <c r="Q11" i="6"/>
  <c r="K11" i="6"/>
  <c r="E11" i="6"/>
  <c r="Q10" i="6"/>
  <c r="K10" i="6"/>
  <c r="E10" i="6"/>
  <c r="Q9" i="6"/>
  <c r="K9" i="6"/>
  <c r="E9" i="6"/>
  <c r="Q8" i="6"/>
  <c r="K8" i="6"/>
  <c r="E8" i="6"/>
  <c r="M6" i="6"/>
  <c r="G6" i="6"/>
  <c r="A6" i="6"/>
  <c r="A1" i="6"/>
  <c r="J146" i="5"/>
  <c r="I146" i="5"/>
  <c r="H146" i="5"/>
  <c r="G146" i="5"/>
  <c r="F146" i="5"/>
  <c r="E146" i="5"/>
  <c r="D146" i="5"/>
  <c r="J145" i="5"/>
  <c r="I145" i="5"/>
  <c r="H145" i="5"/>
  <c r="G145" i="5"/>
  <c r="J144" i="5"/>
  <c r="I144" i="5"/>
  <c r="H144" i="5"/>
  <c r="G144" i="5"/>
  <c r="J143" i="5"/>
  <c r="I143" i="5"/>
  <c r="H143" i="5"/>
  <c r="G143" i="5"/>
  <c r="J142" i="5"/>
  <c r="I142" i="5"/>
  <c r="H142" i="5"/>
  <c r="G142" i="5"/>
  <c r="J141" i="5"/>
  <c r="I141" i="5"/>
  <c r="H141" i="5"/>
  <c r="G141" i="5"/>
  <c r="J140" i="5"/>
  <c r="I140" i="5"/>
  <c r="H140" i="5"/>
  <c r="G140" i="5"/>
  <c r="F140" i="5"/>
  <c r="E140" i="5"/>
  <c r="D140" i="5"/>
  <c r="J139" i="5"/>
  <c r="I139" i="5"/>
  <c r="H139" i="5"/>
  <c r="G139" i="5"/>
  <c r="J138" i="5"/>
  <c r="I138" i="5"/>
  <c r="H138" i="5"/>
  <c r="G138" i="5"/>
  <c r="J137" i="5"/>
  <c r="I137" i="5"/>
  <c r="H137" i="5"/>
  <c r="G137" i="5"/>
  <c r="J136" i="5"/>
  <c r="I136" i="5"/>
  <c r="H136" i="5"/>
  <c r="G136" i="5"/>
  <c r="J135" i="5"/>
  <c r="I135" i="5"/>
  <c r="H135" i="5"/>
  <c r="G135" i="5"/>
  <c r="J134" i="5"/>
  <c r="I134" i="5"/>
  <c r="H134" i="5"/>
  <c r="G134" i="5"/>
  <c r="J133" i="5"/>
  <c r="I133" i="5"/>
  <c r="H133" i="5"/>
  <c r="G133" i="5"/>
  <c r="J132" i="5"/>
  <c r="I132" i="5"/>
  <c r="H132" i="5"/>
  <c r="G132" i="5"/>
  <c r="J131" i="5"/>
  <c r="I131" i="5"/>
  <c r="H131" i="5"/>
  <c r="G131" i="5"/>
  <c r="J130" i="5"/>
  <c r="I130" i="5"/>
  <c r="H130" i="5"/>
  <c r="G130" i="5"/>
  <c r="J129" i="5"/>
  <c r="I129" i="5"/>
  <c r="H129" i="5"/>
  <c r="G129" i="5"/>
  <c r="J128" i="5"/>
  <c r="I128" i="5"/>
  <c r="H128" i="5"/>
  <c r="G128" i="5"/>
  <c r="J127" i="5"/>
  <c r="I127" i="5"/>
  <c r="H127" i="5"/>
  <c r="G127" i="5"/>
  <c r="F127" i="5"/>
  <c r="E127" i="5"/>
  <c r="D127" i="5"/>
  <c r="J126" i="5"/>
  <c r="I126" i="5"/>
  <c r="H126" i="5"/>
  <c r="G126" i="5"/>
  <c r="J125" i="5"/>
  <c r="I125" i="5"/>
  <c r="H125" i="5"/>
  <c r="G125" i="5"/>
  <c r="J124" i="5"/>
  <c r="I124" i="5"/>
  <c r="H124" i="5"/>
  <c r="G124" i="5"/>
  <c r="J123" i="5"/>
  <c r="I123" i="5"/>
  <c r="H123" i="5"/>
  <c r="G123" i="5"/>
  <c r="J122" i="5"/>
  <c r="I122" i="5"/>
  <c r="H122" i="5"/>
  <c r="G122" i="5"/>
  <c r="J121" i="5"/>
  <c r="I121" i="5"/>
  <c r="H121" i="5"/>
  <c r="G121" i="5"/>
  <c r="J120" i="5"/>
  <c r="I120" i="5"/>
  <c r="H120" i="5"/>
  <c r="G120" i="5"/>
  <c r="J119" i="5"/>
  <c r="I119" i="5"/>
  <c r="H119" i="5"/>
  <c r="G119" i="5"/>
  <c r="J118" i="5"/>
  <c r="I118" i="5"/>
  <c r="H118" i="5"/>
  <c r="G118" i="5"/>
  <c r="J117" i="5"/>
  <c r="I117" i="5"/>
  <c r="H117" i="5"/>
  <c r="G117" i="5"/>
  <c r="J116" i="5"/>
  <c r="I116" i="5"/>
  <c r="H116" i="5"/>
  <c r="G116" i="5"/>
  <c r="J115" i="5"/>
  <c r="I115" i="5"/>
  <c r="H115" i="5"/>
  <c r="G115" i="5"/>
  <c r="C113" i="5"/>
  <c r="D111" i="5"/>
  <c r="J110" i="5"/>
  <c r="I110" i="5"/>
  <c r="H110" i="5"/>
  <c r="G110" i="5"/>
  <c r="F110" i="5"/>
  <c r="E110" i="5"/>
  <c r="D110" i="5"/>
  <c r="J109" i="5"/>
  <c r="I109" i="5"/>
  <c r="H109" i="5"/>
  <c r="G109" i="5"/>
  <c r="J108" i="5"/>
  <c r="I108" i="5"/>
  <c r="H108" i="5"/>
  <c r="G108" i="5"/>
  <c r="J107" i="5"/>
  <c r="I107" i="5"/>
  <c r="H107" i="5"/>
  <c r="G107" i="5"/>
  <c r="J106" i="5"/>
  <c r="I106" i="5"/>
  <c r="H106" i="5"/>
  <c r="G106" i="5"/>
  <c r="J105" i="5"/>
  <c r="I105" i="5"/>
  <c r="H105" i="5"/>
  <c r="G105" i="5"/>
  <c r="J104" i="5"/>
  <c r="I104" i="5"/>
  <c r="H104" i="5"/>
  <c r="G104" i="5"/>
  <c r="F104" i="5"/>
  <c r="E104" i="5"/>
  <c r="D104" i="5"/>
  <c r="J103" i="5"/>
  <c r="I103" i="5"/>
  <c r="H103" i="5"/>
  <c r="G103" i="5"/>
  <c r="J102" i="5"/>
  <c r="I102" i="5"/>
  <c r="H102" i="5"/>
  <c r="G102" i="5"/>
  <c r="J101" i="5"/>
  <c r="I101" i="5"/>
  <c r="H101" i="5"/>
  <c r="G101" i="5"/>
  <c r="J100" i="5"/>
  <c r="I100" i="5"/>
  <c r="H100" i="5"/>
  <c r="G100" i="5"/>
  <c r="J99" i="5"/>
  <c r="I99" i="5"/>
  <c r="H99" i="5"/>
  <c r="G99" i="5"/>
  <c r="J98" i="5"/>
  <c r="I98" i="5"/>
  <c r="H98" i="5"/>
  <c r="G98" i="5"/>
  <c r="J97" i="5"/>
  <c r="I97" i="5"/>
  <c r="H97" i="5"/>
  <c r="G97" i="5"/>
  <c r="J96" i="5"/>
  <c r="I96" i="5"/>
  <c r="H96" i="5"/>
  <c r="G96" i="5"/>
  <c r="J95" i="5"/>
  <c r="I95" i="5"/>
  <c r="H95" i="5"/>
  <c r="G95" i="5"/>
  <c r="J94" i="5"/>
  <c r="I94" i="5"/>
  <c r="H94" i="5"/>
  <c r="G94" i="5"/>
  <c r="J93" i="5"/>
  <c r="I93" i="5"/>
  <c r="H93" i="5"/>
  <c r="G93" i="5"/>
  <c r="J92" i="5"/>
  <c r="I92" i="5"/>
  <c r="H92" i="5"/>
  <c r="G92" i="5"/>
  <c r="J91" i="5"/>
  <c r="I91" i="5"/>
  <c r="H91" i="5"/>
  <c r="G91" i="5"/>
  <c r="F91" i="5"/>
  <c r="E91" i="5"/>
  <c r="D91" i="5"/>
  <c r="J90" i="5"/>
  <c r="I90" i="5"/>
  <c r="H90" i="5"/>
  <c r="G90" i="5"/>
  <c r="J89" i="5"/>
  <c r="I89" i="5"/>
  <c r="H89" i="5"/>
  <c r="G89" i="5"/>
  <c r="J88" i="5"/>
  <c r="I88" i="5"/>
  <c r="H88" i="5"/>
  <c r="G88" i="5"/>
  <c r="J87" i="5"/>
  <c r="I87" i="5"/>
  <c r="H87" i="5"/>
  <c r="G87" i="5"/>
  <c r="J86" i="5"/>
  <c r="I86" i="5"/>
  <c r="H86" i="5"/>
  <c r="G86" i="5"/>
  <c r="J85" i="5"/>
  <c r="I85" i="5"/>
  <c r="H85" i="5"/>
  <c r="G85" i="5"/>
  <c r="J84" i="5"/>
  <c r="I84" i="5"/>
  <c r="H84" i="5"/>
  <c r="G84" i="5"/>
  <c r="J83" i="5"/>
  <c r="I83" i="5"/>
  <c r="H83" i="5"/>
  <c r="G83" i="5"/>
  <c r="J82" i="5"/>
  <c r="I82" i="5"/>
  <c r="H82" i="5"/>
  <c r="G82" i="5"/>
  <c r="J81" i="5"/>
  <c r="I81" i="5"/>
  <c r="H81" i="5"/>
  <c r="G81" i="5"/>
  <c r="J80" i="5"/>
  <c r="I80" i="5"/>
  <c r="H80" i="5"/>
  <c r="G80" i="5"/>
  <c r="J79" i="5"/>
  <c r="I79" i="5"/>
  <c r="H79" i="5"/>
  <c r="G79" i="5"/>
  <c r="C77" i="5"/>
  <c r="N75" i="5"/>
  <c r="M75" i="5"/>
  <c r="L75" i="5"/>
  <c r="K75" i="5"/>
  <c r="J75" i="5"/>
  <c r="I75" i="5"/>
  <c r="H75" i="5"/>
  <c r="G75" i="5"/>
  <c r="F75" i="5"/>
  <c r="E75" i="5"/>
  <c r="D75" i="5"/>
  <c r="N74" i="5"/>
  <c r="M74" i="5"/>
  <c r="L74" i="5"/>
  <c r="K74" i="5"/>
  <c r="J74" i="5"/>
  <c r="N73" i="5"/>
  <c r="M73" i="5"/>
  <c r="L73" i="5"/>
  <c r="K73" i="5"/>
  <c r="J73" i="5"/>
  <c r="N72" i="5"/>
  <c r="M72" i="5"/>
  <c r="L72" i="5"/>
  <c r="K72" i="5"/>
  <c r="J72" i="5"/>
  <c r="N71" i="5"/>
  <c r="M71" i="5"/>
  <c r="L71" i="5"/>
  <c r="K71" i="5"/>
  <c r="J71" i="5"/>
  <c r="N70" i="5"/>
  <c r="M70" i="5"/>
  <c r="L70" i="5"/>
  <c r="K70" i="5"/>
  <c r="J70" i="5"/>
  <c r="N69" i="5"/>
  <c r="M69" i="5"/>
  <c r="L69" i="5"/>
  <c r="K69" i="5"/>
  <c r="J69" i="5"/>
  <c r="I69" i="5"/>
  <c r="H69" i="5"/>
  <c r="G69" i="5"/>
  <c r="F69" i="5"/>
  <c r="E69" i="5"/>
  <c r="D69" i="5"/>
  <c r="N68" i="5"/>
  <c r="M68" i="5"/>
  <c r="L68" i="5"/>
  <c r="K68" i="5"/>
  <c r="J68" i="5"/>
  <c r="N67" i="5"/>
  <c r="M67" i="5"/>
  <c r="L67" i="5"/>
  <c r="K67" i="5"/>
  <c r="J67" i="5"/>
  <c r="N66" i="5"/>
  <c r="M66" i="5"/>
  <c r="L66" i="5"/>
  <c r="K66" i="5"/>
  <c r="J66" i="5"/>
  <c r="N65" i="5"/>
  <c r="M65" i="5"/>
  <c r="L65" i="5"/>
  <c r="K65" i="5"/>
  <c r="J65" i="5"/>
  <c r="N64" i="5"/>
  <c r="M64" i="5"/>
  <c r="L64" i="5"/>
  <c r="K64" i="5"/>
  <c r="J64" i="5"/>
  <c r="N63" i="5"/>
  <c r="M63" i="5"/>
  <c r="L63" i="5"/>
  <c r="K63" i="5"/>
  <c r="J63" i="5"/>
  <c r="N62" i="5"/>
  <c r="M62" i="5"/>
  <c r="L62" i="5"/>
  <c r="K62" i="5"/>
  <c r="J62" i="5"/>
  <c r="N61" i="5"/>
  <c r="M61" i="5"/>
  <c r="L61" i="5"/>
  <c r="K61" i="5"/>
  <c r="J61" i="5"/>
  <c r="N60" i="5"/>
  <c r="M60" i="5"/>
  <c r="L60" i="5"/>
  <c r="K60" i="5"/>
  <c r="J60" i="5"/>
  <c r="N59" i="5"/>
  <c r="M59" i="5"/>
  <c r="L59" i="5"/>
  <c r="K59" i="5"/>
  <c r="J59" i="5"/>
  <c r="N58" i="5"/>
  <c r="M58" i="5"/>
  <c r="L58" i="5"/>
  <c r="K58" i="5"/>
  <c r="J58" i="5"/>
  <c r="N57" i="5"/>
  <c r="M57" i="5"/>
  <c r="L57" i="5"/>
  <c r="K57" i="5"/>
  <c r="J57" i="5"/>
  <c r="N56" i="5"/>
  <c r="M56" i="5"/>
  <c r="L56" i="5"/>
  <c r="K56" i="5"/>
  <c r="J56" i="5"/>
  <c r="I56" i="5"/>
  <c r="H56" i="5"/>
  <c r="G56" i="5"/>
  <c r="F56" i="5"/>
  <c r="E56" i="5"/>
  <c r="D56" i="5"/>
  <c r="N55" i="5"/>
  <c r="M55" i="5"/>
  <c r="L55" i="5"/>
  <c r="K55" i="5"/>
  <c r="J55" i="5"/>
  <c r="N54" i="5"/>
  <c r="M54" i="5"/>
  <c r="L54" i="5"/>
  <c r="K54" i="5"/>
  <c r="J54" i="5"/>
  <c r="N53" i="5"/>
  <c r="M53" i="5"/>
  <c r="L53" i="5"/>
  <c r="K53" i="5"/>
  <c r="J53" i="5"/>
  <c r="N52" i="5"/>
  <c r="M52" i="5"/>
  <c r="L52" i="5"/>
  <c r="K52" i="5"/>
  <c r="J52" i="5"/>
  <c r="N51" i="5"/>
  <c r="M51" i="5"/>
  <c r="L51" i="5"/>
  <c r="K51" i="5"/>
  <c r="J51" i="5"/>
  <c r="N50" i="5"/>
  <c r="M50" i="5"/>
  <c r="L50" i="5"/>
  <c r="K50" i="5"/>
  <c r="J50" i="5"/>
  <c r="N49" i="5"/>
  <c r="M49" i="5"/>
  <c r="L49" i="5"/>
  <c r="K49" i="5"/>
  <c r="J49" i="5"/>
  <c r="N48" i="5"/>
  <c r="M48" i="5"/>
  <c r="L48" i="5"/>
  <c r="K48" i="5"/>
  <c r="J48" i="5"/>
  <c r="N47" i="5"/>
  <c r="M47" i="5"/>
  <c r="L47" i="5"/>
  <c r="K47" i="5"/>
  <c r="J47" i="5"/>
  <c r="N46" i="5"/>
  <c r="M46" i="5"/>
  <c r="L46" i="5"/>
  <c r="K46" i="5"/>
  <c r="J46" i="5"/>
  <c r="N45" i="5"/>
  <c r="M45" i="5"/>
  <c r="L45" i="5"/>
  <c r="K45" i="5"/>
  <c r="J45" i="5"/>
  <c r="N44" i="5"/>
  <c r="M44" i="5"/>
  <c r="L44" i="5"/>
  <c r="K44" i="5"/>
  <c r="J44" i="5"/>
  <c r="C42" i="5"/>
  <c r="D41" i="5"/>
  <c r="H40" i="5"/>
  <c r="G40" i="5"/>
  <c r="F40" i="5"/>
  <c r="E40" i="5"/>
  <c r="D40" i="5"/>
  <c r="H39" i="5"/>
  <c r="G39" i="5"/>
  <c r="E39" i="5"/>
  <c r="H38" i="5"/>
  <c r="G38" i="5"/>
  <c r="E38" i="5"/>
  <c r="H37" i="5"/>
  <c r="G37" i="5"/>
  <c r="E37" i="5"/>
  <c r="H36" i="5"/>
  <c r="G36" i="5"/>
  <c r="E36" i="5"/>
  <c r="H35" i="5"/>
  <c r="G35" i="5"/>
  <c r="E35" i="5"/>
  <c r="H34" i="5"/>
  <c r="G34" i="5"/>
  <c r="F34" i="5"/>
  <c r="E34" i="5"/>
  <c r="D34" i="5"/>
  <c r="H33" i="5"/>
  <c r="G33" i="5"/>
  <c r="E33" i="5"/>
  <c r="H32" i="5"/>
  <c r="G32" i="5"/>
  <c r="E32" i="5"/>
  <c r="H31" i="5"/>
  <c r="G31" i="5"/>
  <c r="E31" i="5"/>
  <c r="H30" i="5"/>
  <c r="G30" i="5"/>
  <c r="E30" i="5"/>
  <c r="H29" i="5"/>
  <c r="G29" i="5"/>
  <c r="E29" i="5"/>
  <c r="H28" i="5"/>
  <c r="G28" i="5"/>
  <c r="E28" i="5"/>
  <c r="H27" i="5"/>
  <c r="G27" i="5"/>
  <c r="E27" i="5"/>
  <c r="H26" i="5"/>
  <c r="G26" i="5"/>
  <c r="E26" i="5"/>
  <c r="H25" i="5"/>
  <c r="G25" i="5"/>
  <c r="E25" i="5"/>
  <c r="H24" i="5"/>
  <c r="G24" i="5"/>
  <c r="E24" i="5"/>
  <c r="H23" i="5"/>
  <c r="G23" i="5"/>
  <c r="E23" i="5"/>
  <c r="H22" i="5"/>
  <c r="G22" i="5"/>
  <c r="E22" i="5"/>
  <c r="H21" i="5"/>
  <c r="G21" i="5"/>
  <c r="F21" i="5"/>
  <c r="E21" i="5"/>
  <c r="D21" i="5"/>
  <c r="H20" i="5"/>
  <c r="G20" i="5"/>
  <c r="E20" i="5"/>
  <c r="H19" i="5"/>
  <c r="G19" i="5"/>
  <c r="E19" i="5"/>
  <c r="H18" i="5"/>
  <c r="G18" i="5"/>
  <c r="E18" i="5"/>
  <c r="H17" i="5"/>
  <c r="G17" i="5"/>
  <c r="E17" i="5"/>
  <c r="H16" i="5"/>
  <c r="G16" i="5"/>
  <c r="E16" i="5"/>
  <c r="H15" i="5"/>
  <c r="G15" i="5"/>
  <c r="E15" i="5"/>
  <c r="H14" i="5"/>
  <c r="G14" i="5"/>
  <c r="E14" i="5"/>
  <c r="H13" i="5"/>
  <c r="G13" i="5"/>
  <c r="E13" i="5"/>
  <c r="H12" i="5"/>
  <c r="G12" i="5"/>
  <c r="E12" i="5"/>
  <c r="H11" i="5"/>
  <c r="G11" i="5"/>
  <c r="E11" i="5"/>
  <c r="H10" i="5"/>
  <c r="G10" i="5"/>
  <c r="E10" i="5"/>
  <c r="H9" i="5"/>
  <c r="G9" i="5"/>
  <c r="E9" i="5"/>
  <c r="C7" i="5"/>
  <c r="K1" i="5"/>
  <c r="J146" i="4"/>
  <c r="I146" i="4"/>
  <c r="H146" i="4"/>
  <c r="G146" i="4"/>
  <c r="F146" i="4"/>
  <c r="E146" i="4"/>
  <c r="D146" i="4"/>
  <c r="J145" i="4"/>
  <c r="I145" i="4"/>
  <c r="H145" i="4"/>
  <c r="G145" i="4"/>
  <c r="J144" i="4"/>
  <c r="I144" i="4"/>
  <c r="H144" i="4"/>
  <c r="G144" i="4"/>
  <c r="J143" i="4"/>
  <c r="I143" i="4"/>
  <c r="H143" i="4"/>
  <c r="G143" i="4"/>
  <c r="J142" i="4"/>
  <c r="I142" i="4"/>
  <c r="H142" i="4"/>
  <c r="G142" i="4"/>
  <c r="J141" i="4"/>
  <c r="I141" i="4"/>
  <c r="H141" i="4"/>
  <c r="G141" i="4"/>
  <c r="J140" i="4"/>
  <c r="I140" i="4"/>
  <c r="H140" i="4"/>
  <c r="G140" i="4"/>
  <c r="F140" i="4"/>
  <c r="E140" i="4"/>
  <c r="D140" i="4"/>
  <c r="J139" i="4"/>
  <c r="I139" i="4"/>
  <c r="H139" i="4"/>
  <c r="G139" i="4"/>
  <c r="J138" i="4"/>
  <c r="I138" i="4"/>
  <c r="H138" i="4"/>
  <c r="G138" i="4"/>
  <c r="J137" i="4"/>
  <c r="I137" i="4"/>
  <c r="H137" i="4"/>
  <c r="G137" i="4"/>
  <c r="J136" i="4"/>
  <c r="I136" i="4"/>
  <c r="H136" i="4"/>
  <c r="G136" i="4"/>
  <c r="J135" i="4"/>
  <c r="I135" i="4"/>
  <c r="H135" i="4"/>
  <c r="G135" i="4"/>
  <c r="J134" i="4"/>
  <c r="I134" i="4"/>
  <c r="H134" i="4"/>
  <c r="G134" i="4"/>
  <c r="J133" i="4"/>
  <c r="I133" i="4"/>
  <c r="H133" i="4"/>
  <c r="G133" i="4"/>
  <c r="J132" i="4"/>
  <c r="I132" i="4"/>
  <c r="H132" i="4"/>
  <c r="G132" i="4"/>
  <c r="J131" i="4"/>
  <c r="I131" i="4"/>
  <c r="H131" i="4"/>
  <c r="G131" i="4"/>
  <c r="J130" i="4"/>
  <c r="I130" i="4"/>
  <c r="H130" i="4"/>
  <c r="G130" i="4"/>
  <c r="J129" i="4"/>
  <c r="I129" i="4"/>
  <c r="H129" i="4"/>
  <c r="G129" i="4"/>
  <c r="J128" i="4"/>
  <c r="I128" i="4"/>
  <c r="H128" i="4"/>
  <c r="G128" i="4"/>
  <c r="J127" i="4"/>
  <c r="I127" i="4"/>
  <c r="H127" i="4"/>
  <c r="G127" i="4"/>
  <c r="F127" i="4"/>
  <c r="E127" i="4"/>
  <c r="D127" i="4"/>
  <c r="J126" i="4"/>
  <c r="I126" i="4"/>
  <c r="H126" i="4"/>
  <c r="G126" i="4"/>
  <c r="J125" i="4"/>
  <c r="I125" i="4"/>
  <c r="H125" i="4"/>
  <c r="G125" i="4"/>
  <c r="J124" i="4"/>
  <c r="I124" i="4"/>
  <c r="H124" i="4"/>
  <c r="G124" i="4"/>
  <c r="J123" i="4"/>
  <c r="I123" i="4"/>
  <c r="H123" i="4"/>
  <c r="G123" i="4"/>
  <c r="J122" i="4"/>
  <c r="I122" i="4"/>
  <c r="H122" i="4"/>
  <c r="G122" i="4"/>
  <c r="J121" i="4"/>
  <c r="I121" i="4"/>
  <c r="H121" i="4"/>
  <c r="G121" i="4"/>
  <c r="J120" i="4"/>
  <c r="I120" i="4"/>
  <c r="H120" i="4"/>
  <c r="G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C113" i="4"/>
  <c r="D111" i="4"/>
  <c r="J110" i="4"/>
  <c r="I110" i="4"/>
  <c r="H110" i="4"/>
  <c r="G110" i="4"/>
  <c r="F110" i="4"/>
  <c r="E110" i="4"/>
  <c r="D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J105" i="4"/>
  <c r="I105" i="4"/>
  <c r="H105" i="4"/>
  <c r="G105" i="4"/>
  <c r="J104" i="4"/>
  <c r="I104" i="4"/>
  <c r="H104" i="4"/>
  <c r="G104" i="4"/>
  <c r="F104" i="4"/>
  <c r="E104" i="4"/>
  <c r="D104" i="4"/>
  <c r="J103" i="4"/>
  <c r="I103" i="4"/>
  <c r="H103" i="4"/>
  <c r="G103" i="4"/>
  <c r="J102" i="4"/>
  <c r="I102" i="4"/>
  <c r="H102" i="4"/>
  <c r="G102" i="4"/>
  <c r="J101" i="4"/>
  <c r="I101" i="4"/>
  <c r="H101" i="4"/>
  <c r="G101" i="4"/>
  <c r="J100" i="4"/>
  <c r="I100" i="4"/>
  <c r="H100" i="4"/>
  <c r="G100" i="4"/>
  <c r="J99" i="4"/>
  <c r="I99" i="4"/>
  <c r="H99" i="4"/>
  <c r="G99" i="4"/>
  <c r="J98" i="4"/>
  <c r="I98" i="4"/>
  <c r="H98" i="4"/>
  <c r="G98" i="4"/>
  <c r="J97" i="4"/>
  <c r="I97" i="4"/>
  <c r="H97" i="4"/>
  <c r="G97" i="4"/>
  <c r="J96" i="4"/>
  <c r="I96" i="4"/>
  <c r="H96" i="4"/>
  <c r="G96" i="4"/>
  <c r="J95" i="4"/>
  <c r="I95" i="4"/>
  <c r="H95" i="4"/>
  <c r="G95" i="4"/>
  <c r="J94" i="4"/>
  <c r="I94" i="4"/>
  <c r="H94" i="4"/>
  <c r="G94" i="4"/>
  <c r="J93" i="4"/>
  <c r="I93" i="4"/>
  <c r="H93" i="4"/>
  <c r="G93" i="4"/>
  <c r="J92" i="4"/>
  <c r="I92" i="4"/>
  <c r="H92" i="4"/>
  <c r="G92" i="4"/>
  <c r="J91" i="4"/>
  <c r="I91" i="4"/>
  <c r="H91" i="4"/>
  <c r="G91" i="4"/>
  <c r="F91" i="4"/>
  <c r="E91" i="4"/>
  <c r="D91" i="4"/>
  <c r="J90" i="4"/>
  <c r="I90" i="4"/>
  <c r="H90" i="4"/>
  <c r="G90" i="4"/>
  <c r="J89" i="4"/>
  <c r="I89" i="4"/>
  <c r="H89" i="4"/>
  <c r="G89" i="4"/>
  <c r="J88" i="4"/>
  <c r="I88" i="4"/>
  <c r="H88" i="4"/>
  <c r="G88" i="4"/>
  <c r="J87" i="4"/>
  <c r="I87" i="4"/>
  <c r="H87" i="4"/>
  <c r="G87" i="4"/>
  <c r="J86" i="4"/>
  <c r="I86" i="4"/>
  <c r="H86" i="4"/>
  <c r="G86" i="4"/>
  <c r="J85" i="4"/>
  <c r="I85" i="4"/>
  <c r="H85" i="4"/>
  <c r="G85" i="4"/>
  <c r="J84" i="4"/>
  <c r="I84" i="4"/>
  <c r="H84" i="4"/>
  <c r="G84" i="4"/>
  <c r="J83" i="4"/>
  <c r="I83" i="4"/>
  <c r="H83" i="4"/>
  <c r="G83" i="4"/>
  <c r="J82" i="4"/>
  <c r="I82" i="4"/>
  <c r="H82" i="4"/>
  <c r="G82" i="4"/>
  <c r="J81" i="4"/>
  <c r="I81" i="4"/>
  <c r="H81" i="4"/>
  <c r="G81" i="4"/>
  <c r="J80" i="4"/>
  <c r="I80" i="4"/>
  <c r="H80" i="4"/>
  <c r="G80" i="4"/>
  <c r="J79" i="4"/>
  <c r="I79" i="4"/>
  <c r="H79" i="4"/>
  <c r="G79" i="4"/>
  <c r="C77" i="4"/>
  <c r="N75" i="4"/>
  <c r="M75" i="4"/>
  <c r="L75" i="4"/>
  <c r="K75" i="4"/>
  <c r="J75" i="4"/>
  <c r="I75" i="4"/>
  <c r="H75" i="4"/>
  <c r="G75" i="4"/>
  <c r="F75" i="4"/>
  <c r="E75" i="4"/>
  <c r="D75" i="4"/>
  <c r="N74" i="4"/>
  <c r="M74" i="4"/>
  <c r="L74" i="4"/>
  <c r="K74" i="4"/>
  <c r="J74" i="4"/>
  <c r="N73" i="4"/>
  <c r="M73" i="4"/>
  <c r="L73" i="4"/>
  <c r="K73" i="4"/>
  <c r="J73" i="4"/>
  <c r="N72" i="4"/>
  <c r="M72" i="4"/>
  <c r="L72" i="4"/>
  <c r="K72" i="4"/>
  <c r="J72" i="4"/>
  <c r="N71" i="4"/>
  <c r="M71" i="4"/>
  <c r="L71" i="4"/>
  <c r="K71" i="4"/>
  <c r="J71" i="4"/>
  <c r="N70" i="4"/>
  <c r="M70" i="4"/>
  <c r="L70" i="4"/>
  <c r="K70" i="4"/>
  <c r="J70" i="4"/>
  <c r="N69" i="4"/>
  <c r="M69" i="4"/>
  <c r="L69" i="4"/>
  <c r="K69" i="4"/>
  <c r="J69" i="4"/>
  <c r="I69" i="4"/>
  <c r="H69" i="4"/>
  <c r="G69" i="4"/>
  <c r="F69" i="4"/>
  <c r="E69" i="4"/>
  <c r="D69" i="4"/>
  <c r="N68" i="4"/>
  <c r="M68" i="4"/>
  <c r="L68" i="4"/>
  <c r="K68" i="4"/>
  <c r="J68" i="4"/>
  <c r="N67" i="4"/>
  <c r="M67" i="4"/>
  <c r="L67" i="4"/>
  <c r="K67" i="4"/>
  <c r="J67" i="4"/>
  <c r="N66" i="4"/>
  <c r="M66" i="4"/>
  <c r="L66" i="4"/>
  <c r="K66" i="4"/>
  <c r="J66" i="4"/>
  <c r="N65" i="4"/>
  <c r="M65" i="4"/>
  <c r="L65" i="4"/>
  <c r="K65" i="4"/>
  <c r="J65" i="4"/>
  <c r="N64" i="4"/>
  <c r="M64" i="4"/>
  <c r="L64" i="4"/>
  <c r="K64" i="4"/>
  <c r="J64" i="4"/>
  <c r="N63" i="4"/>
  <c r="M63" i="4"/>
  <c r="L63" i="4"/>
  <c r="K63" i="4"/>
  <c r="J63" i="4"/>
  <c r="N62" i="4"/>
  <c r="M62" i="4"/>
  <c r="L62" i="4"/>
  <c r="K62" i="4"/>
  <c r="J62" i="4"/>
  <c r="N61" i="4"/>
  <c r="M61" i="4"/>
  <c r="L61" i="4"/>
  <c r="K61" i="4"/>
  <c r="J61" i="4"/>
  <c r="N60" i="4"/>
  <c r="M60" i="4"/>
  <c r="L60" i="4"/>
  <c r="K60" i="4"/>
  <c r="J60" i="4"/>
  <c r="N59" i="4"/>
  <c r="M59" i="4"/>
  <c r="L59" i="4"/>
  <c r="K59" i="4"/>
  <c r="J59" i="4"/>
  <c r="N58" i="4"/>
  <c r="M58" i="4"/>
  <c r="L58" i="4"/>
  <c r="K58" i="4"/>
  <c r="J58" i="4"/>
  <c r="N57" i="4"/>
  <c r="M57" i="4"/>
  <c r="L57" i="4"/>
  <c r="K57" i="4"/>
  <c r="J57" i="4"/>
  <c r="N56" i="4"/>
  <c r="M56" i="4"/>
  <c r="L56" i="4"/>
  <c r="K56" i="4"/>
  <c r="J56" i="4"/>
  <c r="I56" i="4"/>
  <c r="H56" i="4"/>
  <c r="G56" i="4"/>
  <c r="F56" i="4"/>
  <c r="E56" i="4"/>
  <c r="D56" i="4"/>
  <c r="N55" i="4"/>
  <c r="M55" i="4"/>
  <c r="L55" i="4"/>
  <c r="K55" i="4"/>
  <c r="J55" i="4"/>
  <c r="N54" i="4"/>
  <c r="M54" i="4"/>
  <c r="L54" i="4"/>
  <c r="K54" i="4"/>
  <c r="J54" i="4"/>
  <c r="N53" i="4"/>
  <c r="M53" i="4"/>
  <c r="L53" i="4"/>
  <c r="K53" i="4"/>
  <c r="J53" i="4"/>
  <c r="N52" i="4"/>
  <c r="M52" i="4"/>
  <c r="L52" i="4"/>
  <c r="K52" i="4"/>
  <c r="J52" i="4"/>
  <c r="N51" i="4"/>
  <c r="M51" i="4"/>
  <c r="L51" i="4"/>
  <c r="K51" i="4"/>
  <c r="J51" i="4"/>
  <c r="N50" i="4"/>
  <c r="M50" i="4"/>
  <c r="L50" i="4"/>
  <c r="K50" i="4"/>
  <c r="J50" i="4"/>
  <c r="N49" i="4"/>
  <c r="M49" i="4"/>
  <c r="L49" i="4"/>
  <c r="K49" i="4"/>
  <c r="J49" i="4"/>
  <c r="N48" i="4"/>
  <c r="M48" i="4"/>
  <c r="L48" i="4"/>
  <c r="K48" i="4"/>
  <c r="J48" i="4"/>
  <c r="N47" i="4"/>
  <c r="M47" i="4"/>
  <c r="L47" i="4"/>
  <c r="K47" i="4"/>
  <c r="J47" i="4"/>
  <c r="N46" i="4"/>
  <c r="M46" i="4"/>
  <c r="L46" i="4"/>
  <c r="K46" i="4"/>
  <c r="J46" i="4"/>
  <c r="N45" i="4"/>
  <c r="M45" i="4"/>
  <c r="L45" i="4"/>
  <c r="K45" i="4"/>
  <c r="J45" i="4"/>
  <c r="N44" i="4"/>
  <c r="M44" i="4"/>
  <c r="L44" i="4"/>
  <c r="K44" i="4"/>
  <c r="J44" i="4"/>
  <c r="C42" i="4"/>
  <c r="D41" i="4"/>
  <c r="H40" i="4"/>
  <c r="G40" i="4"/>
  <c r="F40" i="4"/>
  <c r="E40" i="4"/>
  <c r="D40" i="4"/>
  <c r="H39" i="4"/>
  <c r="G39" i="4"/>
  <c r="E39" i="4"/>
  <c r="H38" i="4"/>
  <c r="G38" i="4"/>
  <c r="E38" i="4"/>
  <c r="H37" i="4"/>
  <c r="G37" i="4"/>
  <c r="E37" i="4"/>
  <c r="H36" i="4"/>
  <c r="G36" i="4"/>
  <c r="E36" i="4"/>
  <c r="H35" i="4"/>
  <c r="G35" i="4"/>
  <c r="E35" i="4"/>
  <c r="H34" i="4"/>
  <c r="G34" i="4"/>
  <c r="F34" i="4"/>
  <c r="E34" i="4"/>
  <c r="D34" i="4"/>
  <c r="H33" i="4"/>
  <c r="G33" i="4"/>
  <c r="E33" i="4"/>
  <c r="H32" i="4"/>
  <c r="G32" i="4"/>
  <c r="E32" i="4"/>
  <c r="H31" i="4"/>
  <c r="G31" i="4"/>
  <c r="E31" i="4"/>
  <c r="H30" i="4"/>
  <c r="G30" i="4"/>
  <c r="E30" i="4"/>
  <c r="H29" i="4"/>
  <c r="G29" i="4"/>
  <c r="E29" i="4"/>
  <c r="H28" i="4"/>
  <c r="G28" i="4"/>
  <c r="E28" i="4"/>
  <c r="H27" i="4"/>
  <c r="G27" i="4"/>
  <c r="E27" i="4"/>
  <c r="H26" i="4"/>
  <c r="G26" i="4"/>
  <c r="E26" i="4"/>
  <c r="H25" i="4"/>
  <c r="G25" i="4"/>
  <c r="E25" i="4"/>
  <c r="H24" i="4"/>
  <c r="G24" i="4"/>
  <c r="E24" i="4"/>
  <c r="H23" i="4"/>
  <c r="G23" i="4"/>
  <c r="E23" i="4"/>
  <c r="H22" i="4"/>
  <c r="G22" i="4"/>
  <c r="E22" i="4"/>
  <c r="H21" i="4"/>
  <c r="G21" i="4"/>
  <c r="F21" i="4"/>
  <c r="E21" i="4"/>
  <c r="D21" i="4"/>
  <c r="H20" i="4"/>
  <c r="G20" i="4"/>
  <c r="E20" i="4"/>
  <c r="H19" i="4"/>
  <c r="G19" i="4"/>
  <c r="E19" i="4"/>
  <c r="H18" i="4"/>
  <c r="G18" i="4"/>
  <c r="E18" i="4"/>
  <c r="H17" i="4"/>
  <c r="G17" i="4"/>
  <c r="E17" i="4"/>
  <c r="H16" i="4"/>
  <c r="G16" i="4"/>
  <c r="E16" i="4"/>
  <c r="H15" i="4"/>
  <c r="G15" i="4"/>
  <c r="E15" i="4"/>
  <c r="H14" i="4"/>
  <c r="G14" i="4"/>
  <c r="E14" i="4"/>
  <c r="H13" i="4"/>
  <c r="G13" i="4"/>
  <c r="E13" i="4"/>
  <c r="H12" i="4"/>
  <c r="G12" i="4"/>
  <c r="E12" i="4"/>
  <c r="H11" i="4"/>
  <c r="G11" i="4"/>
  <c r="E11" i="4"/>
  <c r="H10" i="4"/>
  <c r="G10" i="4"/>
  <c r="E10" i="4"/>
  <c r="H9" i="4"/>
  <c r="G9" i="4"/>
  <c r="E9" i="4"/>
  <c r="C7" i="4"/>
  <c r="K1" i="4"/>
  <c r="J146" i="3"/>
  <c r="I146" i="3"/>
  <c r="H146" i="3"/>
  <c r="G146" i="3"/>
  <c r="F146" i="3"/>
  <c r="E146" i="3"/>
  <c r="D146" i="3"/>
  <c r="J145" i="3"/>
  <c r="I145" i="3"/>
  <c r="H145" i="3"/>
  <c r="G145" i="3"/>
  <c r="J144" i="3"/>
  <c r="I144" i="3"/>
  <c r="H144" i="3"/>
  <c r="G144" i="3"/>
  <c r="J143" i="3"/>
  <c r="I143" i="3"/>
  <c r="H143" i="3"/>
  <c r="G143" i="3"/>
  <c r="J142" i="3"/>
  <c r="I142" i="3"/>
  <c r="H142" i="3"/>
  <c r="G142" i="3"/>
  <c r="J141" i="3"/>
  <c r="I141" i="3"/>
  <c r="H141" i="3"/>
  <c r="G141" i="3"/>
  <c r="J140" i="3"/>
  <c r="I140" i="3"/>
  <c r="H140" i="3"/>
  <c r="G140" i="3"/>
  <c r="F140" i="3"/>
  <c r="E140" i="3"/>
  <c r="D140" i="3"/>
  <c r="J139" i="3"/>
  <c r="I139" i="3"/>
  <c r="H139" i="3"/>
  <c r="G139" i="3"/>
  <c r="J138" i="3"/>
  <c r="I138" i="3"/>
  <c r="H138" i="3"/>
  <c r="G138" i="3"/>
  <c r="J137" i="3"/>
  <c r="I137" i="3"/>
  <c r="H137" i="3"/>
  <c r="G137" i="3"/>
  <c r="J136" i="3"/>
  <c r="I136" i="3"/>
  <c r="H136" i="3"/>
  <c r="G136" i="3"/>
  <c r="J135" i="3"/>
  <c r="I135" i="3"/>
  <c r="H135" i="3"/>
  <c r="G135" i="3"/>
  <c r="J134" i="3"/>
  <c r="I134" i="3"/>
  <c r="H134" i="3"/>
  <c r="G134" i="3"/>
  <c r="J133" i="3"/>
  <c r="I133" i="3"/>
  <c r="H133" i="3"/>
  <c r="G133" i="3"/>
  <c r="J132" i="3"/>
  <c r="I132" i="3"/>
  <c r="H132" i="3"/>
  <c r="G132" i="3"/>
  <c r="J131" i="3"/>
  <c r="I131" i="3"/>
  <c r="H131" i="3"/>
  <c r="G131" i="3"/>
  <c r="J130" i="3"/>
  <c r="I130" i="3"/>
  <c r="H130" i="3"/>
  <c r="G130" i="3"/>
  <c r="J129" i="3"/>
  <c r="I129" i="3"/>
  <c r="H129" i="3"/>
  <c r="G129" i="3"/>
  <c r="J128" i="3"/>
  <c r="I128" i="3"/>
  <c r="H128" i="3"/>
  <c r="G128" i="3"/>
  <c r="J127" i="3"/>
  <c r="I127" i="3"/>
  <c r="H127" i="3"/>
  <c r="G127" i="3"/>
  <c r="F127" i="3"/>
  <c r="E127" i="3"/>
  <c r="D127" i="3"/>
  <c r="J126" i="3"/>
  <c r="I126" i="3"/>
  <c r="H126" i="3"/>
  <c r="G126" i="3"/>
  <c r="J125" i="3"/>
  <c r="I125" i="3"/>
  <c r="H125" i="3"/>
  <c r="G125" i="3"/>
  <c r="J124" i="3"/>
  <c r="I124" i="3"/>
  <c r="H124" i="3"/>
  <c r="G124" i="3"/>
  <c r="J123" i="3"/>
  <c r="I123" i="3"/>
  <c r="H123" i="3"/>
  <c r="G123" i="3"/>
  <c r="J122" i="3"/>
  <c r="I122" i="3"/>
  <c r="H122" i="3"/>
  <c r="G122" i="3"/>
  <c r="J121" i="3"/>
  <c r="I121" i="3"/>
  <c r="H121" i="3"/>
  <c r="G121" i="3"/>
  <c r="J120" i="3"/>
  <c r="I120" i="3"/>
  <c r="H120" i="3"/>
  <c r="G120" i="3"/>
  <c r="J119" i="3"/>
  <c r="I119" i="3"/>
  <c r="H119" i="3"/>
  <c r="G119" i="3"/>
  <c r="J118" i="3"/>
  <c r="I118" i="3"/>
  <c r="H118" i="3"/>
  <c r="G118" i="3"/>
  <c r="J117" i="3"/>
  <c r="I117" i="3"/>
  <c r="H117" i="3"/>
  <c r="G117" i="3"/>
  <c r="J116" i="3"/>
  <c r="I116" i="3"/>
  <c r="H116" i="3"/>
  <c r="G116" i="3"/>
  <c r="J115" i="3"/>
  <c r="I115" i="3"/>
  <c r="H115" i="3"/>
  <c r="G115" i="3"/>
  <c r="C113" i="3"/>
  <c r="D111" i="3"/>
  <c r="J110" i="3"/>
  <c r="I110" i="3"/>
  <c r="H110" i="3"/>
  <c r="G110" i="3"/>
  <c r="F110" i="3"/>
  <c r="E110" i="3"/>
  <c r="D110" i="3"/>
  <c r="J109" i="3"/>
  <c r="I109" i="3"/>
  <c r="H109" i="3"/>
  <c r="G109" i="3"/>
  <c r="J108" i="3"/>
  <c r="I108" i="3"/>
  <c r="H108" i="3"/>
  <c r="G108" i="3"/>
  <c r="J107" i="3"/>
  <c r="I107" i="3"/>
  <c r="H107" i="3"/>
  <c r="G107" i="3"/>
  <c r="J106" i="3"/>
  <c r="I106" i="3"/>
  <c r="H106" i="3"/>
  <c r="G106" i="3"/>
  <c r="J105" i="3"/>
  <c r="I105" i="3"/>
  <c r="H105" i="3"/>
  <c r="G105" i="3"/>
  <c r="J104" i="3"/>
  <c r="I104" i="3"/>
  <c r="H104" i="3"/>
  <c r="G104" i="3"/>
  <c r="F104" i="3"/>
  <c r="E104" i="3"/>
  <c r="D104" i="3"/>
  <c r="J103" i="3"/>
  <c r="I103" i="3"/>
  <c r="H103" i="3"/>
  <c r="G103" i="3"/>
  <c r="J102" i="3"/>
  <c r="I102" i="3"/>
  <c r="H102" i="3"/>
  <c r="G102" i="3"/>
  <c r="J101" i="3"/>
  <c r="I101" i="3"/>
  <c r="H101" i="3"/>
  <c r="G101" i="3"/>
  <c r="J100" i="3"/>
  <c r="I100" i="3"/>
  <c r="H100" i="3"/>
  <c r="G100" i="3"/>
  <c r="J99" i="3"/>
  <c r="I99" i="3"/>
  <c r="H99" i="3"/>
  <c r="G99" i="3"/>
  <c r="J98" i="3"/>
  <c r="I98" i="3"/>
  <c r="H98" i="3"/>
  <c r="G98" i="3"/>
  <c r="J97" i="3"/>
  <c r="I97" i="3"/>
  <c r="H97" i="3"/>
  <c r="G97" i="3"/>
  <c r="J96" i="3"/>
  <c r="I96" i="3"/>
  <c r="H96" i="3"/>
  <c r="G96" i="3"/>
  <c r="J95" i="3"/>
  <c r="I95" i="3"/>
  <c r="H95" i="3"/>
  <c r="G95" i="3"/>
  <c r="J94" i="3"/>
  <c r="I94" i="3"/>
  <c r="H94" i="3"/>
  <c r="G94" i="3"/>
  <c r="J93" i="3"/>
  <c r="I93" i="3"/>
  <c r="H93" i="3"/>
  <c r="G93" i="3"/>
  <c r="J92" i="3"/>
  <c r="I92" i="3"/>
  <c r="H92" i="3"/>
  <c r="G92" i="3"/>
  <c r="J91" i="3"/>
  <c r="I91" i="3"/>
  <c r="H91" i="3"/>
  <c r="G91" i="3"/>
  <c r="F91" i="3"/>
  <c r="E91" i="3"/>
  <c r="D91" i="3"/>
  <c r="J90" i="3"/>
  <c r="I90" i="3"/>
  <c r="H90" i="3"/>
  <c r="G90" i="3"/>
  <c r="J89" i="3"/>
  <c r="I89" i="3"/>
  <c r="H89" i="3"/>
  <c r="G89" i="3"/>
  <c r="J88" i="3"/>
  <c r="I88" i="3"/>
  <c r="H88" i="3"/>
  <c r="G88" i="3"/>
  <c r="J87" i="3"/>
  <c r="I87" i="3"/>
  <c r="H87" i="3"/>
  <c r="G87" i="3"/>
  <c r="J86" i="3"/>
  <c r="I86" i="3"/>
  <c r="H86" i="3"/>
  <c r="G86" i="3"/>
  <c r="J85" i="3"/>
  <c r="I85" i="3"/>
  <c r="H85" i="3"/>
  <c r="G85" i="3"/>
  <c r="J84" i="3"/>
  <c r="I84" i="3"/>
  <c r="H84" i="3"/>
  <c r="G84" i="3"/>
  <c r="J83" i="3"/>
  <c r="I83" i="3"/>
  <c r="H83" i="3"/>
  <c r="G83" i="3"/>
  <c r="J82" i="3"/>
  <c r="I82" i="3"/>
  <c r="H82" i="3"/>
  <c r="G82" i="3"/>
  <c r="J81" i="3"/>
  <c r="I81" i="3"/>
  <c r="H81" i="3"/>
  <c r="G81" i="3"/>
  <c r="J80" i="3"/>
  <c r="I80" i="3"/>
  <c r="H80" i="3"/>
  <c r="G80" i="3"/>
  <c r="J79" i="3"/>
  <c r="I79" i="3"/>
  <c r="H79" i="3"/>
  <c r="G79" i="3"/>
  <c r="C77" i="3"/>
  <c r="N75" i="3"/>
  <c r="M75" i="3"/>
  <c r="L75" i="3"/>
  <c r="K75" i="3"/>
  <c r="J75" i="3"/>
  <c r="I75" i="3"/>
  <c r="H75" i="3"/>
  <c r="G75" i="3"/>
  <c r="F75" i="3"/>
  <c r="E75" i="3"/>
  <c r="D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N71" i="3"/>
  <c r="M71" i="3"/>
  <c r="L71" i="3"/>
  <c r="K71" i="3"/>
  <c r="J71" i="3"/>
  <c r="N70" i="3"/>
  <c r="M70" i="3"/>
  <c r="L70" i="3"/>
  <c r="K70" i="3"/>
  <c r="J70" i="3"/>
  <c r="N69" i="3"/>
  <c r="M69" i="3"/>
  <c r="L69" i="3"/>
  <c r="K69" i="3"/>
  <c r="J69" i="3"/>
  <c r="I69" i="3"/>
  <c r="H69" i="3"/>
  <c r="G69" i="3"/>
  <c r="F69" i="3"/>
  <c r="E69" i="3"/>
  <c r="D69" i="3"/>
  <c r="N68" i="3"/>
  <c r="M68" i="3"/>
  <c r="L68" i="3"/>
  <c r="K68" i="3"/>
  <c r="J68" i="3"/>
  <c r="N67" i="3"/>
  <c r="M67" i="3"/>
  <c r="L67" i="3"/>
  <c r="K67" i="3"/>
  <c r="J67" i="3"/>
  <c r="N66" i="3"/>
  <c r="M66" i="3"/>
  <c r="L66" i="3"/>
  <c r="K66" i="3"/>
  <c r="J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L62" i="3"/>
  <c r="K62" i="3"/>
  <c r="J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I56" i="3"/>
  <c r="H56" i="3"/>
  <c r="G56" i="3"/>
  <c r="F56" i="3"/>
  <c r="E56" i="3"/>
  <c r="D56" i="3"/>
  <c r="N55" i="3"/>
  <c r="M55" i="3"/>
  <c r="L55" i="3"/>
  <c r="K55" i="3"/>
  <c r="J55" i="3"/>
  <c r="N54" i="3"/>
  <c r="M54" i="3"/>
  <c r="L54" i="3"/>
  <c r="K54" i="3"/>
  <c r="J54" i="3"/>
  <c r="N53" i="3"/>
  <c r="M53" i="3"/>
  <c r="L53" i="3"/>
  <c r="K53" i="3"/>
  <c r="J53" i="3"/>
  <c r="N52" i="3"/>
  <c r="M52" i="3"/>
  <c r="L52" i="3"/>
  <c r="K52" i="3"/>
  <c r="J52" i="3"/>
  <c r="N51" i="3"/>
  <c r="M51" i="3"/>
  <c r="L51" i="3"/>
  <c r="K51" i="3"/>
  <c r="J51" i="3"/>
  <c r="N50" i="3"/>
  <c r="M50" i="3"/>
  <c r="L50" i="3"/>
  <c r="K50" i="3"/>
  <c r="J50" i="3"/>
  <c r="N49" i="3"/>
  <c r="M49" i="3"/>
  <c r="L49" i="3"/>
  <c r="K49" i="3"/>
  <c r="J49" i="3"/>
  <c r="N48" i="3"/>
  <c r="M48" i="3"/>
  <c r="L48" i="3"/>
  <c r="K48" i="3"/>
  <c r="J48" i="3"/>
  <c r="N47" i="3"/>
  <c r="M47" i="3"/>
  <c r="L47" i="3"/>
  <c r="K47" i="3"/>
  <c r="J47" i="3"/>
  <c r="N46" i="3"/>
  <c r="M46" i="3"/>
  <c r="L46" i="3"/>
  <c r="K46" i="3"/>
  <c r="J46" i="3"/>
  <c r="N45" i="3"/>
  <c r="M45" i="3"/>
  <c r="L45" i="3"/>
  <c r="K45" i="3"/>
  <c r="J45" i="3"/>
  <c r="N44" i="3"/>
  <c r="M44" i="3"/>
  <c r="L44" i="3"/>
  <c r="K44" i="3"/>
  <c r="J44" i="3"/>
  <c r="C42" i="3"/>
  <c r="D41" i="3"/>
  <c r="H40" i="3"/>
  <c r="G40" i="3"/>
  <c r="F40" i="3"/>
  <c r="E40" i="3"/>
  <c r="D40" i="3"/>
  <c r="H39" i="3"/>
  <c r="G39" i="3"/>
  <c r="E39" i="3"/>
  <c r="H38" i="3"/>
  <c r="G38" i="3"/>
  <c r="E38" i="3"/>
  <c r="H37" i="3"/>
  <c r="G37" i="3"/>
  <c r="E37" i="3"/>
  <c r="H36" i="3"/>
  <c r="G36" i="3"/>
  <c r="E36" i="3"/>
  <c r="H35" i="3"/>
  <c r="G35" i="3"/>
  <c r="E35" i="3"/>
  <c r="H34" i="3"/>
  <c r="G34" i="3"/>
  <c r="F34" i="3"/>
  <c r="E34" i="3"/>
  <c r="D34" i="3"/>
  <c r="H33" i="3"/>
  <c r="G33" i="3"/>
  <c r="E33" i="3"/>
  <c r="H32" i="3"/>
  <c r="G32" i="3"/>
  <c r="E32" i="3"/>
  <c r="H31" i="3"/>
  <c r="G31" i="3"/>
  <c r="E31" i="3"/>
  <c r="H30" i="3"/>
  <c r="G30" i="3"/>
  <c r="E30" i="3"/>
  <c r="H29" i="3"/>
  <c r="G29" i="3"/>
  <c r="E29" i="3"/>
  <c r="H28" i="3"/>
  <c r="G28" i="3"/>
  <c r="E28" i="3"/>
  <c r="H27" i="3"/>
  <c r="G27" i="3"/>
  <c r="E27" i="3"/>
  <c r="H26" i="3"/>
  <c r="G26" i="3"/>
  <c r="E26" i="3"/>
  <c r="H25" i="3"/>
  <c r="G25" i="3"/>
  <c r="E25" i="3"/>
  <c r="H24" i="3"/>
  <c r="G24" i="3"/>
  <c r="E24" i="3"/>
  <c r="H23" i="3"/>
  <c r="G23" i="3"/>
  <c r="E23" i="3"/>
  <c r="H22" i="3"/>
  <c r="G22" i="3"/>
  <c r="E22" i="3"/>
  <c r="H21" i="3"/>
  <c r="G21" i="3"/>
  <c r="F21" i="3"/>
  <c r="E21" i="3"/>
  <c r="D21" i="3"/>
  <c r="H20" i="3"/>
  <c r="G20" i="3"/>
  <c r="E20" i="3"/>
  <c r="H19" i="3"/>
  <c r="G19" i="3"/>
  <c r="E19" i="3"/>
  <c r="H18" i="3"/>
  <c r="G18" i="3"/>
  <c r="E18" i="3"/>
  <c r="H17" i="3"/>
  <c r="G17" i="3"/>
  <c r="E17" i="3"/>
  <c r="H16" i="3"/>
  <c r="G16" i="3"/>
  <c r="E16" i="3"/>
  <c r="H15" i="3"/>
  <c r="G15" i="3"/>
  <c r="E15" i="3"/>
  <c r="H14" i="3"/>
  <c r="G14" i="3"/>
  <c r="E14" i="3"/>
  <c r="H13" i="3"/>
  <c r="G13" i="3"/>
  <c r="E13" i="3"/>
  <c r="H12" i="3"/>
  <c r="G12" i="3"/>
  <c r="E12" i="3"/>
  <c r="H11" i="3"/>
  <c r="G11" i="3"/>
  <c r="E11" i="3"/>
  <c r="H10" i="3"/>
  <c r="G10" i="3"/>
  <c r="E10" i="3"/>
  <c r="H9" i="3"/>
  <c r="G9" i="3"/>
  <c r="E9" i="3"/>
  <c r="C7" i="3"/>
  <c r="K1" i="3"/>
  <c r="AE234" i="2"/>
  <c r="Z234" i="2"/>
  <c r="U234" i="2"/>
  <c r="P234" i="2"/>
  <c r="K234" i="2"/>
  <c r="F234" i="2"/>
  <c r="AE231" i="2"/>
  <c r="Z231" i="2"/>
  <c r="U231" i="2"/>
  <c r="P231" i="2"/>
  <c r="K231" i="2"/>
  <c r="F231" i="2"/>
  <c r="AE205" i="2"/>
  <c r="AD205" i="2"/>
  <c r="AC205" i="2"/>
  <c r="AB205" i="2"/>
  <c r="Z205" i="2"/>
  <c r="Y205" i="2"/>
  <c r="X205" i="2"/>
  <c r="W205" i="2"/>
  <c r="U205" i="2"/>
  <c r="T205" i="2"/>
  <c r="S205" i="2"/>
  <c r="R205" i="2"/>
  <c r="P205" i="2"/>
  <c r="O205" i="2"/>
  <c r="N205" i="2"/>
  <c r="M205" i="2"/>
  <c r="K205" i="2"/>
  <c r="J205" i="2"/>
  <c r="I205" i="2"/>
  <c r="H205" i="2"/>
  <c r="F205" i="2"/>
  <c r="E205" i="2"/>
  <c r="D205" i="2"/>
  <c r="C205" i="2"/>
  <c r="AE204" i="2"/>
  <c r="AD204" i="2"/>
  <c r="AC204" i="2"/>
  <c r="AB204" i="2"/>
  <c r="Z204" i="2"/>
  <c r="Y204" i="2"/>
  <c r="X204" i="2"/>
  <c r="W204" i="2"/>
  <c r="U204" i="2"/>
  <c r="T204" i="2"/>
  <c r="S204" i="2"/>
  <c r="R204" i="2"/>
  <c r="P204" i="2"/>
  <c r="O204" i="2"/>
  <c r="N204" i="2"/>
  <c r="M204" i="2"/>
  <c r="K204" i="2"/>
  <c r="J204" i="2"/>
  <c r="I204" i="2"/>
  <c r="H204" i="2"/>
  <c r="F204" i="2"/>
  <c r="E204" i="2"/>
  <c r="D204" i="2"/>
  <c r="C204" i="2"/>
  <c r="AE203" i="2"/>
  <c r="Z203" i="2"/>
  <c r="U203" i="2"/>
  <c r="P203" i="2"/>
  <c r="K203" i="2"/>
  <c r="F203" i="2"/>
  <c r="AE202" i="2"/>
  <c r="Z202" i="2"/>
  <c r="U202" i="2"/>
  <c r="P202" i="2"/>
  <c r="K202" i="2"/>
  <c r="F202" i="2"/>
  <c r="AE201" i="2"/>
  <c r="Z201" i="2"/>
  <c r="U201" i="2"/>
  <c r="P201" i="2"/>
  <c r="K201" i="2"/>
  <c r="F201" i="2"/>
  <c r="AE200" i="2"/>
  <c r="Z200" i="2"/>
  <c r="U200" i="2"/>
  <c r="P200" i="2"/>
  <c r="K200" i="2"/>
  <c r="F200" i="2"/>
  <c r="AE199" i="2"/>
  <c r="Z199" i="2"/>
  <c r="U199" i="2"/>
  <c r="P199" i="2"/>
  <c r="K199" i="2"/>
  <c r="F199" i="2"/>
  <c r="AE198" i="2"/>
  <c r="AD198" i="2"/>
  <c r="AC198" i="2"/>
  <c r="AB198" i="2"/>
  <c r="Z198" i="2"/>
  <c r="Y198" i="2"/>
  <c r="X198" i="2"/>
  <c r="W198" i="2"/>
  <c r="U198" i="2"/>
  <c r="T198" i="2"/>
  <c r="S198" i="2"/>
  <c r="R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E197" i="2"/>
  <c r="AD197" i="2"/>
  <c r="AC197" i="2"/>
  <c r="AB197" i="2"/>
  <c r="Z197" i="2"/>
  <c r="Y197" i="2"/>
  <c r="X197" i="2"/>
  <c r="W197" i="2"/>
  <c r="U197" i="2"/>
  <c r="T197" i="2"/>
  <c r="S197" i="2"/>
  <c r="R197" i="2"/>
  <c r="P197" i="2"/>
  <c r="O197" i="2"/>
  <c r="N197" i="2"/>
  <c r="M197" i="2"/>
  <c r="K197" i="2"/>
  <c r="J197" i="2"/>
  <c r="I197" i="2"/>
  <c r="H197" i="2"/>
  <c r="F197" i="2"/>
  <c r="E197" i="2"/>
  <c r="D197" i="2"/>
  <c r="C197" i="2"/>
  <c r="AE196" i="2"/>
  <c r="Z196" i="2"/>
  <c r="U196" i="2"/>
  <c r="P196" i="2"/>
  <c r="K196" i="2"/>
  <c r="F196" i="2"/>
  <c r="AE195" i="2"/>
  <c r="Z195" i="2"/>
  <c r="U195" i="2"/>
  <c r="P195" i="2"/>
  <c r="K195" i="2"/>
  <c r="F195" i="2"/>
  <c r="AE194" i="2"/>
  <c r="Z194" i="2"/>
  <c r="U194" i="2"/>
  <c r="P194" i="2"/>
  <c r="K194" i="2"/>
  <c r="F194" i="2"/>
  <c r="AE193" i="2"/>
  <c r="Z193" i="2"/>
  <c r="U193" i="2"/>
  <c r="P193" i="2"/>
  <c r="K193" i="2"/>
  <c r="F193" i="2"/>
  <c r="AE192" i="2"/>
  <c r="Z192" i="2"/>
  <c r="U192" i="2"/>
  <c r="P192" i="2"/>
  <c r="K192" i="2"/>
  <c r="F192" i="2"/>
  <c r="AE191" i="2"/>
  <c r="Z191" i="2"/>
  <c r="U191" i="2"/>
  <c r="P191" i="2"/>
  <c r="K191" i="2"/>
  <c r="F191" i="2"/>
  <c r="AE190" i="2"/>
  <c r="Z190" i="2"/>
  <c r="U190" i="2"/>
  <c r="P190" i="2"/>
  <c r="K190" i="2"/>
  <c r="F190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AE188" i="2"/>
  <c r="AD188" i="2"/>
  <c r="AC188" i="2"/>
  <c r="AB188" i="2"/>
  <c r="Z188" i="2"/>
  <c r="Y188" i="2"/>
  <c r="X188" i="2"/>
  <c r="W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AE187" i="2"/>
  <c r="Z187" i="2"/>
  <c r="U187" i="2"/>
  <c r="P187" i="2"/>
  <c r="K187" i="2"/>
  <c r="F187" i="2"/>
  <c r="AE186" i="2"/>
  <c r="Z186" i="2"/>
  <c r="U186" i="2"/>
  <c r="P186" i="2"/>
  <c r="K186" i="2"/>
  <c r="F186" i="2"/>
  <c r="AE185" i="2"/>
  <c r="Z185" i="2"/>
  <c r="U185" i="2"/>
  <c r="P185" i="2"/>
  <c r="K185" i="2"/>
  <c r="F185" i="2"/>
  <c r="AE184" i="2"/>
  <c r="Z184" i="2"/>
  <c r="U184" i="2"/>
  <c r="P184" i="2"/>
  <c r="K184" i="2"/>
  <c r="F184" i="2"/>
  <c r="AE183" i="2"/>
  <c r="AD183" i="2"/>
  <c r="AC183" i="2"/>
  <c r="AB183" i="2"/>
  <c r="Z183" i="2"/>
  <c r="Y183" i="2"/>
  <c r="X183" i="2"/>
  <c r="W183" i="2"/>
  <c r="U183" i="2"/>
  <c r="T183" i="2"/>
  <c r="S183" i="2"/>
  <c r="R183" i="2"/>
  <c r="P183" i="2"/>
  <c r="O183" i="2"/>
  <c r="N183" i="2"/>
  <c r="M183" i="2"/>
  <c r="K183" i="2"/>
  <c r="J183" i="2"/>
  <c r="I183" i="2"/>
  <c r="H183" i="2"/>
  <c r="F183" i="2"/>
  <c r="E183" i="2"/>
  <c r="D183" i="2"/>
  <c r="C183" i="2"/>
  <c r="AE182" i="2"/>
  <c r="Z182" i="2"/>
  <c r="U182" i="2"/>
  <c r="P182" i="2"/>
  <c r="K182" i="2"/>
  <c r="F182" i="2"/>
  <c r="AE181" i="2"/>
  <c r="Z181" i="2"/>
  <c r="U181" i="2"/>
  <c r="P181" i="2"/>
  <c r="K181" i="2"/>
  <c r="F181" i="2"/>
  <c r="AE180" i="2"/>
  <c r="Z180" i="2"/>
  <c r="U180" i="2"/>
  <c r="P180" i="2"/>
  <c r="K180" i="2"/>
  <c r="F180" i="2"/>
  <c r="AE179" i="2"/>
  <c r="AD179" i="2"/>
  <c r="AC179" i="2"/>
  <c r="AB179" i="2"/>
  <c r="Z179" i="2"/>
  <c r="Y179" i="2"/>
  <c r="X179" i="2"/>
  <c r="W179" i="2"/>
  <c r="U179" i="2"/>
  <c r="T179" i="2"/>
  <c r="S179" i="2"/>
  <c r="R179" i="2"/>
  <c r="P179" i="2"/>
  <c r="O179" i="2"/>
  <c r="N179" i="2"/>
  <c r="M179" i="2"/>
  <c r="K179" i="2"/>
  <c r="J179" i="2"/>
  <c r="I179" i="2"/>
  <c r="H179" i="2"/>
  <c r="F179" i="2"/>
  <c r="E179" i="2"/>
  <c r="D179" i="2"/>
  <c r="C179" i="2"/>
  <c r="AE178" i="2"/>
  <c r="AD178" i="2"/>
  <c r="AC178" i="2"/>
  <c r="AB178" i="2"/>
  <c r="Z178" i="2"/>
  <c r="Y178" i="2"/>
  <c r="X178" i="2"/>
  <c r="W178" i="2"/>
  <c r="U178" i="2"/>
  <c r="T178" i="2"/>
  <c r="S178" i="2"/>
  <c r="R178" i="2"/>
  <c r="P178" i="2"/>
  <c r="O178" i="2"/>
  <c r="N178" i="2"/>
  <c r="M178" i="2"/>
  <c r="K178" i="2"/>
  <c r="J178" i="2"/>
  <c r="I178" i="2"/>
  <c r="H178" i="2"/>
  <c r="F178" i="2"/>
  <c r="E178" i="2"/>
  <c r="D178" i="2"/>
  <c r="C178" i="2"/>
  <c r="AE177" i="2"/>
  <c r="Z177" i="2"/>
  <c r="U177" i="2"/>
  <c r="P177" i="2"/>
  <c r="K177" i="2"/>
  <c r="F177" i="2"/>
  <c r="AE176" i="2"/>
  <c r="Z176" i="2"/>
  <c r="U176" i="2"/>
  <c r="P176" i="2"/>
  <c r="K176" i="2"/>
  <c r="F176" i="2"/>
  <c r="AE175" i="2"/>
  <c r="Z175" i="2"/>
  <c r="U175" i="2"/>
  <c r="P175" i="2"/>
  <c r="K175" i="2"/>
  <c r="F175" i="2"/>
  <c r="AE174" i="2"/>
  <c r="Z174" i="2"/>
  <c r="U174" i="2"/>
  <c r="P174" i="2"/>
  <c r="K174" i="2"/>
  <c r="F174" i="2"/>
  <c r="AE173" i="2"/>
  <c r="Z173" i="2"/>
  <c r="U173" i="2"/>
  <c r="P173" i="2"/>
  <c r="K173" i="2"/>
  <c r="F173" i="2"/>
  <c r="AE172" i="2"/>
  <c r="Z172" i="2"/>
  <c r="U172" i="2"/>
  <c r="P172" i="2"/>
  <c r="K172" i="2"/>
  <c r="F172" i="2"/>
  <c r="AE171" i="2"/>
  <c r="Z171" i="2"/>
  <c r="U171" i="2"/>
  <c r="P171" i="2"/>
  <c r="K171" i="2"/>
  <c r="F171" i="2"/>
  <c r="AE170" i="2"/>
  <c r="Z170" i="2"/>
  <c r="U170" i="2"/>
  <c r="P170" i="2"/>
  <c r="K170" i="2"/>
  <c r="F170" i="2"/>
  <c r="AE169" i="2"/>
  <c r="Z169" i="2"/>
  <c r="U169" i="2"/>
  <c r="P169" i="2"/>
  <c r="K169" i="2"/>
  <c r="F169" i="2"/>
  <c r="AE168" i="2"/>
  <c r="Z168" i="2"/>
  <c r="U168" i="2"/>
  <c r="P168" i="2"/>
  <c r="K168" i="2"/>
  <c r="F168" i="2"/>
  <c r="AE167" i="2"/>
  <c r="Z167" i="2"/>
  <c r="U167" i="2"/>
  <c r="P167" i="2"/>
  <c r="K167" i="2"/>
  <c r="F167" i="2"/>
  <c r="AE166" i="2"/>
  <c r="Z166" i="2"/>
  <c r="U166" i="2"/>
  <c r="P166" i="2"/>
  <c r="K166" i="2"/>
  <c r="F166" i="2"/>
  <c r="AE165" i="2"/>
  <c r="Z165" i="2"/>
  <c r="U165" i="2"/>
  <c r="P165" i="2"/>
  <c r="K165" i="2"/>
  <c r="F165" i="2"/>
  <c r="AE164" i="2"/>
  <c r="Z164" i="2"/>
  <c r="U164" i="2"/>
  <c r="P164" i="2"/>
  <c r="K164" i="2"/>
  <c r="F164" i="2"/>
  <c r="AE163" i="2"/>
  <c r="Z163" i="2"/>
  <c r="U163" i="2"/>
  <c r="P163" i="2"/>
  <c r="K163" i="2"/>
  <c r="F163" i="2"/>
  <c r="AE162" i="2"/>
  <c r="Z162" i="2"/>
  <c r="U162" i="2"/>
  <c r="P162" i="2"/>
  <c r="K162" i="2"/>
  <c r="F162" i="2"/>
  <c r="AE161" i="2"/>
  <c r="Z161" i="2"/>
  <c r="U161" i="2"/>
  <c r="P161" i="2"/>
  <c r="K161" i="2"/>
  <c r="F161" i="2"/>
  <c r="AE160" i="2"/>
  <c r="Z160" i="2"/>
  <c r="U160" i="2"/>
  <c r="P160" i="2"/>
  <c r="K160" i="2"/>
  <c r="F160" i="2"/>
  <c r="AE159" i="2"/>
  <c r="Z159" i="2"/>
  <c r="U159" i="2"/>
  <c r="P159" i="2"/>
  <c r="K159" i="2"/>
  <c r="F159" i="2"/>
  <c r="AE158" i="2"/>
  <c r="Z158" i="2"/>
  <c r="U158" i="2"/>
  <c r="P158" i="2"/>
  <c r="K158" i="2"/>
  <c r="F158" i="2"/>
  <c r="AE157" i="2"/>
  <c r="Z157" i="2"/>
  <c r="U157" i="2"/>
  <c r="P157" i="2"/>
  <c r="K157" i="2"/>
  <c r="F157" i="2"/>
  <c r="AE156" i="2"/>
  <c r="Z156" i="2"/>
  <c r="U156" i="2"/>
  <c r="P156" i="2"/>
  <c r="K156" i="2"/>
  <c r="F156" i="2"/>
  <c r="AE155" i="2"/>
  <c r="Z155" i="2"/>
  <c r="U155" i="2"/>
  <c r="P155" i="2"/>
  <c r="K155" i="2"/>
  <c r="F155" i="2"/>
  <c r="AE154" i="2"/>
  <c r="AD154" i="2"/>
  <c r="AC154" i="2"/>
  <c r="AB154" i="2"/>
  <c r="Z154" i="2"/>
  <c r="Y154" i="2"/>
  <c r="X154" i="2"/>
  <c r="W154" i="2"/>
  <c r="U154" i="2"/>
  <c r="T154" i="2"/>
  <c r="S154" i="2"/>
  <c r="R154" i="2"/>
  <c r="P154" i="2"/>
  <c r="O154" i="2"/>
  <c r="N154" i="2"/>
  <c r="M154" i="2"/>
  <c r="K154" i="2"/>
  <c r="J154" i="2"/>
  <c r="I154" i="2"/>
  <c r="H154" i="2"/>
  <c r="F154" i="2"/>
  <c r="E154" i="2"/>
  <c r="D154" i="2"/>
  <c r="C154" i="2"/>
  <c r="AE153" i="2"/>
  <c r="Z153" i="2"/>
  <c r="U153" i="2"/>
  <c r="P153" i="2"/>
  <c r="K153" i="2"/>
  <c r="F153" i="2"/>
  <c r="AE152" i="2"/>
  <c r="Z152" i="2"/>
  <c r="U152" i="2"/>
  <c r="P152" i="2"/>
  <c r="K152" i="2"/>
  <c r="F152" i="2"/>
  <c r="AE151" i="2"/>
  <c r="Z151" i="2"/>
  <c r="U151" i="2"/>
  <c r="P151" i="2"/>
  <c r="K151" i="2"/>
  <c r="F151" i="2"/>
  <c r="AE150" i="2"/>
  <c r="Z150" i="2"/>
  <c r="U150" i="2"/>
  <c r="P150" i="2"/>
  <c r="K150" i="2"/>
  <c r="F150" i="2"/>
  <c r="AE149" i="2"/>
  <c r="Z149" i="2"/>
  <c r="U149" i="2"/>
  <c r="P149" i="2"/>
  <c r="K149" i="2"/>
  <c r="F149" i="2"/>
  <c r="AE148" i="2"/>
  <c r="Z148" i="2"/>
  <c r="U148" i="2"/>
  <c r="P148" i="2"/>
  <c r="K148" i="2"/>
  <c r="F148" i="2"/>
  <c r="AE147" i="2"/>
  <c r="Z147" i="2"/>
  <c r="U147" i="2"/>
  <c r="P147" i="2"/>
  <c r="K147" i="2"/>
  <c r="F147" i="2"/>
  <c r="AE146" i="2"/>
  <c r="Z146" i="2"/>
  <c r="U146" i="2"/>
  <c r="P146" i="2"/>
  <c r="K146" i="2"/>
  <c r="F146" i="2"/>
  <c r="AE145" i="2"/>
  <c r="Z145" i="2"/>
  <c r="U145" i="2"/>
  <c r="P145" i="2"/>
  <c r="K145" i="2"/>
  <c r="F145" i="2"/>
  <c r="AE144" i="2"/>
  <c r="Z144" i="2"/>
  <c r="U144" i="2"/>
  <c r="P144" i="2"/>
  <c r="K144" i="2"/>
  <c r="F144" i="2"/>
  <c r="AE143" i="2"/>
  <c r="Z143" i="2"/>
  <c r="U143" i="2"/>
  <c r="P143" i="2"/>
  <c r="K143" i="2"/>
  <c r="F143" i="2"/>
  <c r="AE142" i="2"/>
  <c r="Z142" i="2"/>
  <c r="U142" i="2"/>
  <c r="P142" i="2"/>
  <c r="K142" i="2"/>
  <c r="F142" i="2"/>
  <c r="AE141" i="2"/>
  <c r="Z141" i="2"/>
  <c r="U141" i="2"/>
  <c r="P141" i="2"/>
  <c r="K141" i="2"/>
  <c r="F141" i="2"/>
  <c r="AE140" i="2"/>
  <c r="Z140" i="2"/>
  <c r="U140" i="2"/>
  <c r="P140" i="2"/>
  <c r="K140" i="2"/>
  <c r="F140" i="2"/>
  <c r="AE139" i="2"/>
  <c r="Z139" i="2"/>
  <c r="U139" i="2"/>
  <c r="P139" i="2"/>
  <c r="K139" i="2"/>
  <c r="F139" i="2"/>
  <c r="AE138" i="2"/>
  <c r="Z138" i="2"/>
  <c r="U138" i="2"/>
  <c r="P138" i="2"/>
  <c r="K138" i="2"/>
  <c r="F138" i="2"/>
  <c r="AE137" i="2"/>
  <c r="Z137" i="2"/>
  <c r="U137" i="2"/>
  <c r="P137" i="2"/>
  <c r="K137" i="2"/>
  <c r="F137" i="2"/>
  <c r="AE136" i="2"/>
  <c r="Z136" i="2"/>
  <c r="U136" i="2"/>
  <c r="P136" i="2"/>
  <c r="K136" i="2"/>
  <c r="F136" i="2"/>
  <c r="AE135" i="2"/>
  <c r="Z135" i="2"/>
  <c r="U135" i="2"/>
  <c r="P135" i="2"/>
  <c r="K135" i="2"/>
  <c r="F135" i="2"/>
  <c r="AE134" i="2"/>
  <c r="Z134" i="2"/>
  <c r="U134" i="2"/>
  <c r="P134" i="2"/>
  <c r="K134" i="2"/>
  <c r="F134" i="2"/>
  <c r="AE133" i="2"/>
  <c r="Z133" i="2"/>
  <c r="U133" i="2"/>
  <c r="P133" i="2"/>
  <c r="K133" i="2"/>
  <c r="F133" i="2"/>
  <c r="AE132" i="2"/>
  <c r="Z132" i="2"/>
  <c r="U132" i="2"/>
  <c r="P132" i="2"/>
  <c r="K132" i="2"/>
  <c r="F132" i="2"/>
  <c r="AE131" i="2"/>
  <c r="Z131" i="2"/>
  <c r="U131" i="2"/>
  <c r="P131" i="2"/>
  <c r="K131" i="2"/>
  <c r="F131" i="2"/>
  <c r="AE130" i="2"/>
  <c r="Z130" i="2"/>
  <c r="U130" i="2"/>
  <c r="P130" i="2"/>
  <c r="K130" i="2"/>
  <c r="F130" i="2"/>
  <c r="AE129" i="2"/>
  <c r="Z129" i="2"/>
  <c r="U129" i="2"/>
  <c r="P129" i="2"/>
  <c r="K129" i="2"/>
  <c r="F129" i="2"/>
  <c r="AE128" i="2"/>
  <c r="Z128" i="2"/>
  <c r="U128" i="2"/>
  <c r="P128" i="2"/>
  <c r="K128" i="2"/>
  <c r="F128" i="2"/>
  <c r="AE127" i="2"/>
  <c r="Z127" i="2"/>
  <c r="U127" i="2"/>
  <c r="P127" i="2"/>
  <c r="K127" i="2"/>
  <c r="F127" i="2"/>
  <c r="AE126" i="2"/>
  <c r="Z126" i="2"/>
  <c r="U126" i="2"/>
  <c r="P126" i="2"/>
  <c r="K126" i="2"/>
  <c r="F126" i="2"/>
  <c r="AE125" i="2"/>
  <c r="Z125" i="2"/>
  <c r="U125" i="2"/>
  <c r="P125" i="2"/>
  <c r="K125" i="2"/>
  <c r="F125" i="2"/>
  <c r="AE124" i="2"/>
  <c r="Z124" i="2"/>
  <c r="U124" i="2"/>
  <c r="P124" i="2"/>
  <c r="K124" i="2"/>
  <c r="F124" i="2"/>
  <c r="AE123" i="2"/>
  <c r="Z123" i="2"/>
  <c r="U123" i="2"/>
  <c r="P123" i="2"/>
  <c r="K123" i="2"/>
  <c r="F123" i="2"/>
  <c r="AE122" i="2"/>
  <c r="Z122" i="2"/>
  <c r="U122" i="2"/>
  <c r="P122" i="2"/>
  <c r="K122" i="2"/>
  <c r="F122" i="2"/>
  <c r="AE121" i="2"/>
  <c r="Z121" i="2"/>
  <c r="U121" i="2"/>
  <c r="P121" i="2"/>
  <c r="K121" i="2"/>
  <c r="F121" i="2"/>
  <c r="AE120" i="2"/>
  <c r="Z120" i="2"/>
  <c r="U120" i="2"/>
  <c r="P120" i="2"/>
  <c r="K120" i="2"/>
  <c r="F120" i="2"/>
  <c r="AE119" i="2"/>
  <c r="AD119" i="2"/>
  <c r="AC119" i="2"/>
  <c r="AB119" i="2"/>
  <c r="Z119" i="2"/>
  <c r="Y119" i="2"/>
  <c r="X119" i="2"/>
  <c r="W119" i="2"/>
  <c r="U119" i="2"/>
  <c r="T119" i="2"/>
  <c r="S119" i="2"/>
  <c r="R119" i="2"/>
  <c r="P119" i="2"/>
  <c r="O119" i="2"/>
  <c r="N119" i="2"/>
  <c r="M119" i="2"/>
  <c r="K119" i="2"/>
  <c r="J119" i="2"/>
  <c r="I119" i="2"/>
  <c r="H119" i="2"/>
  <c r="F119" i="2"/>
  <c r="E119" i="2"/>
  <c r="D119" i="2"/>
  <c r="C119" i="2"/>
  <c r="AE118" i="2"/>
  <c r="Z118" i="2"/>
  <c r="U118" i="2"/>
  <c r="P118" i="2"/>
  <c r="K118" i="2"/>
  <c r="F118" i="2"/>
  <c r="AE117" i="2"/>
  <c r="Z117" i="2"/>
  <c r="U117" i="2"/>
  <c r="P117" i="2"/>
  <c r="K117" i="2"/>
  <c r="F117" i="2"/>
  <c r="AE116" i="2"/>
  <c r="Z116" i="2"/>
  <c r="U116" i="2"/>
  <c r="P116" i="2"/>
  <c r="K116" i="2"/>
  <c r="F116" i="2"/>
  <c r="AE115" i="2"/>
  <c r="Z115" i="2"/>
  <c r="U115" i="2"/>
  <c r="P115" i="2"/>
  <c r="K115" i="2"/>
  <c r="F115" i="2"/>
  <c r="AE114" i="2"/>
  <c r="AD114" i="2"/>
  <c r="AC114" i="2"/>
  <c r="AB114" i="2"/>
  <c r="Z114" i="2"/>
  <c r="Y114" i="2"/>
  <c r="X114" i="2"/>
  <c r="W114" i="2"/>
  <c r="U114" i="2"/>
  <c r="T114" i="2"/>
  <c r="S114" i="2"/>
  <c r="R114" i="2"/>
  <c r="P114" i="2"/>
  <c r="O114" i="2"/>
  <c r="N114" i="2"/>
  <c r="M114" i="2"/>
  <c r="K114" i="2"/>
  <c r="J114" i="2"/>
  <c r="I114" i="2"/>
  <c r="H114" i="2"/>
  <c r="F114" i="2"/>
  <c r="E114" i="2"/>
  <c r="D114" i="2"/>
  <c r="C114" i="2"/>
  <c r="AE113" i="2"/>
  <c r="AD113" i="2"/>
  <c r="AC113" i="2"/>
  <c r="AB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E112" i="2"/>
  <c r="Z112" i="2"/>
  <c r="U112" i="2"/>
  <c r="P112" i="2"/>
  <c r="K112" i="2"/>
  <c r="F112" i="2"/>
  <c r="AE111" i="2"/>
  <c r="Z111" i="2"/>
  <c r="U111" i="2"/>
  <c r="P111" i="2"/>
  <c r="K111" i="2"/>
  <c r="F111" i="2"/>
  <c r="AE110" i="2"/>
  <c r="Z110" i="2"/>
  <c r="U110" i="2"/>
  <c r="P110" i="2"/>
  <c r="K110" i="2"/>
  <c r="F110" i="2"/>
  <c r="AE109" i="2"/>
  <c r="Z109" i="2"/>
  <c r="U109" i="2"/>
  <c r="P109" i="2"/>
  <c r="K109" i="2"/>
  <c r="F109" i="2"/>
  <c r="AE108" i="2"/>
  <c r="Z108" i="2"/>
  <c r="U108" i="2"/>
  <c r="P108" i="2"/>
  <c r="K108" i="2"/>
  <c r="F108" i="2"/>
  <c r="AE107" i="2"/>
  <c r="Z107" i="2"/>
  <c r="U107" i="2"/>
  <c r="P107" i="2"/>
  <c r="K107" i="2"/>
  <c r="F107" i="2"/>
  <c r="AE106" i="2"/>
  <c r="Z106" i="2"/>
  <c r="U106" i="2"/>
  <c r="P106" i="2"/>
  <c r="K106" i="2"/>
  <c r="F106" i="2"/>
  <c r="AE105" i="2"/>
  <c r="AD105" i="2"/>
  <c r="AC105" i="2"/>
  <c r="AB105" i="2"/>
  <c r="Z105" i="2"/>
  <c r="Y105" i="2"/>
  <c r="X105" i="2"/>
  <c r="W105" i="2"/>
  <c r="U105" i="2"/>
  <c r="T105" i="2"/>
  <c r="S105" i="2"/>
  <c r="R105" i="2"/>
  <c r="P105" i="2"/>
  <c r="O105" i="2"/>
  <c r="N105" i="2"/>
  <c r="M105" i="2"/>
  <c r="K105" i="2"/>
  <c r="J105" i="2"/>
  <c r="I105" i="2"/>
  <c r="H105" i="2"/>
  <c r="F105" i="2"/>
  <c r="E105" i="2"/>
  <c r="D105" i="2"/>
  <c r="C105" i="2"/>
  <c r="AE104" i="2"/>
  <c r="Z104" i="2"/>
  <c r="U104" i="2"/>
  <c r="P104" i="2"/>
  <c r="K104" i="2"/>
  <c r="F104" i="2"/>
  <c r="AE103" i="2"/>
  <c r="Z103" i="2"/>
  <c r="U103" i="2"/>
  <c r="P103" i="2"/>
  <c r="K103" i="2"/>
  <c r="F103" i="2"/>
  <c r="AE102" i="2"/>
  <c r="Z102" i="2"/>
  <c r="U102" i="2"/>
  <c r="P102" i="2"/>
  <c r="K102" i="2"/>
  <c r="F102" i="2"/>
  <c r="AE101" i="2"/>
  <c r="Z101" i="2"/>
  <c r="U101" i="2"/>
  <c r="P101" i="2"/>
  <c r="K101" i="2"/>
  <c r="F101" i="2"/>
  <c r="AE100" i="2"/>
  <c r="AD100" i="2"/>
  <c r="AC100" i="2"/>
  <c r="AB100" i="2"/>
  <c r="Z100" i="2"/>
  <c r="Y100" i="2"/>
  <c r="X100" i="2"/>
  <c r="W100" i="2"/>
  <c r="U100" i="2"/>
  <c r="T100" i="2"/>
  <c r="S100" i="2"/>
  <c r="R100" i="2"/>
  <c r="P100" i="2"/>
  <c r="O100" i="2"/>
  <c r="N100" i="2"/>
  <c r="M100" i="2"/>
  <c r="K100" i="2"/>
  <c r="J100" i="2"/>
  <c r="I100" i="2"/>
  <c r="H100" i="2"/>
  <c r="F100" i="2"/>
  <c r="E100" i="2"/>
  <c r="D100" i="2"/>
  <c r="C100" i="2"/>
  <c r="AE99" i="2"/>
  <c r="Z99" i="2"/>
  <c r="U99" i="2"/>
  <c r="P99" i="2"/>
  <c r="K99" i="2"/>
  <c r="F99" i="2"/>
  <c r="AE98" i="2"/>
  <c r="Z98" i="2"/>
  <c r="U98" i="2"/>
  <c r="P98" i="2"/>
  <c r="K98" i="2"/>
  <c r="F98" i="2"/>
  <c r="AE97" i="2"/>
  <c r="Z97" i="2"/>
  <c r="U97" i="2"/>
  <c r="P97" i="2"/>
  <c r="K97" i="2"/>
  <c r="F97" i="2"/>
  <c r="AE96" i="2"/>
  <c r="Z96" i="2"/>
  <c r="U96" i="2"/>
  <c r="P96" i="2"/>
  <c r="K96" i="2"/>
  <c r="F96" i="2"/>
  <c r="AE95" i="2"/>
  <c r="AD95" i="2"/>
  <c r="AC95" i="2"/>
  <c r="AB95" i="2"/>
  <c r="Z95" i="2"/>
  <c r="Y95" i="2"/>
  <c r="X95" i="2"/>
  <c r="W95" i="2"/>
  <c r="U95" i="2"/>
  <c r="T95" i="2"/>
  <c r="S95" i="2"/>
  <c r="R95" i="2"/>
  <c r="P95" i="2"/>
  <c r="O95" i="2"/>
  <c r="N95" i="2"/>
  <c r="M95" i="2"/>
  <c r="K95" i="2"/>
  <c r="J95" i="2"/>
  <c r="I95" i="2"/>
  <c r="H95" i="2"/>
  <c r="F95" i="2"/>
  <c r="E95" i="2"/>
  <c r="D95" i="2"/>
  <c r="C95" i="2"/>
  <c r="AE94" i="2"/>
  <c r="Z94" i="2"/>
  <c r="U94" i="2"/>
  <c r="P94" i="2"/>
  <c r="K94" i="2"/>
  <c r="F94" i="2"/>
  <c r="AE93" i="2"/>
  <c r="Z93" i="2"/>
  <c r="U93" i="2"/>
  <c r="P93" i="2"/>
  <c r="K93" i="2"/>
  <c r="F93" i="2"/>
  <c r="AE92" i="2"/>
  <c r="AD92" i="2"/>
  <c r="AC92" i="2"/>
  <c r="AB92" i="2"/>
  <c r="Z92" i="2"/>
  <c r="Y92" i="2"/>
  <c r="X92" i="2"/>
  <c r="W92" i="2"/>
  <c r="U92" i="2"/>
  <c r="T92" i="2"/>
  <c r="S92" i="2"/>
  <c r="R92" i="2"/>
  <c r="P92" i="2"/>
  <c r="O92" i="2"/>
  <c r="N92" i="2"/>
  <c r="M92" i="2"/>
  <c r="K92" i="2"/>
  <c r="J92" i="2"/>
  <c r="I92" i="2"/>
  <c r="H92" i="2"/>
  <c r="F92" i="2"/>
  <c r="E92" i="2"/>
  <c r="D92" i="2"/>
  <c r="C92" i="2"/>
  <c r="AE91" i="2"/>
  <c r="AD91" i="2"/>
  <c r="AC91" i="2"/>
  <c r="AB91" i="2"/>
  <c r="Z91" i="2"/>
  <c r="Y91" i="2"/>
  <c r="X91" i="2"/>
  <c r="W91" i="2"/>
  <c r="U91" i="2"/>
  <c r="T91" i="2"/>
  <c r="S91" i="2"/>
  <c r="R91" i="2"/>
  <c r="P91" i="2"/>
  <c r="O91" i="2"/>
  <c r="N91" i="2"/>
  <c r="M91" i="2"/>
  <c r="K91" i="2"/>
  <c r="J91" i="2"/>
  <c r="I91" i="2"/>
  <c r="H91" i="2"/>
  <c r="F91" i="2"/>
  <c r="E91" i="2"/>
  <c r="D91" i="2"/>
  <c r="C91" i="2"/>
  <c r="AE90" i="2"/>
  <c r="Z90" i="2"/>
  <c r="U90" i="2"/>
  <c r="P90" i="2"/>
  <c r="K90" i="2"/>
  <c r="F90" i="2"/>
  <c r="AE89" i="2"/>
  <c r="Z89" i="2"/>
  <c r="U89" i="2"/>
  <c r="P89" i="2"/>
  <c r="K89" i="2"/>
  <c r="F89" i="2"/>
  <c r="AE88" i="2"/>
  <c r="Z88" i="2"/>
  <c r="U88" i="2"/>
  <c r="P88" i="2"/>
  <c r="K88" i="2"/>
  <c r="F88" i="2"/>
  <c r="AE87" i="2"/>
  <c r="AD87" i="2"/>
  <c r="AC87" i="2"/>
  <c r="AB87" i="2"/>
  <c r="Z87" i="2"/>
  <c r="Y87" i="2"/>
  <c r="X87" i="2"/>
  <c r="W87" i="2"/>
  <c r="U87" i="2"/>
  <c r="T87" i="2"/>
  <c r="S87" i="2"/>
  <c r="R87" i="2"/>
  <c r="P87" i="2"/>
  <c r="O87" i="2"/>
  <c r="N87" i="2"/>
  <c r="M87" i="2"/>
  <c r="K87" i="2"/>
  <c r="J87" i="2"/>
  <c r="I87" i="2"/>
  <c r="H87" i="2"/>
  <c r="F87" i="2"/>
  <c r="E87" i="2"/>
  <c r="D87" i="2"/>
  <c r="C87" i="2"/>
  <c r="AE86" i="2"/>
  <c r="Z86" i="2"/>
  <c r="U86" i="2"/>
  <c r="P86" i="2"/>
  <c r="K86" i="2"/>
  <c r="F86" i="2"/>
  <c r="AI85" i="2"/>
  <c r="AE85" i="2"/>
  <c r="Z85" i="2"/>
  <c r="U85" i="2"/>
  <c r="P85" i="2"/>
  <c r="K85" i="2"/>
  <c r="F85" i="2"/>
  <c r="AI84" i="2"/>
  <c r="AE84" i="2"/>
  <c r="Z84" i="2"/>
  <c r="U84" i="2"/>
  <c r="P84" i="2"/>
  <c r="K84" i="2"/>
  <c r="F84" i="2"/>
  <c r="AI83" i="2"/>
  <c r="AE83" i="2"/>
  <c r="Z83" i="2"/>
  <c r="U83" i="2"/>
  <c r="P83" i="2"/>
  <c r="K83" i="2"/>
  <c r="F83" i="2"/>
  <c r="AI82" i="2"/>
  <c r="AE82" i="2"/>
  <c r="Z82" i="2"/>
  <c r="U82" i="2"/>
  <c r="P82" i="2"/>
  <c r="K82" i="2"/>
  <c r="F82" i="2"/>
  <c r="AI81" i="2"/>
  <c r="AE81" i="2"/>
  <c r="Z81" i="2"/>
  <c r="U81" i="2"/>
  <c r="K81" i="2"/>
  <c r="F81" i="2"/>
  <c r="AI80" i="2"/>
  <c r="AE80" i="2"/>
  <c r="Z80" i="2"/>
  <c r="U80" i="2"/>
  <c r="P80" i="2"/>
  <c r="K80" i="2"/>
  <c r="F80" i="2"/>
  <c r="AI79" i="2"/>
  <c r="AE79" i="2"/>
  <c r="Z79" i="2"/>
  <c r="U79" i="2"/>
  <c r="P79" i="2"/>
  <c r="K79" i="2"/>
  <c r="F79" i="2"/>
  <c r="AE78" i="2"/>
  <c r="AD78" i="2"/>
  <c r="AC78" i="2"/>
  <c r="AB78" i="2"/>
  <c r="Z78" i="2"/>
  <c r="Y78" i="2"/>
  <c r="X78" i="2"/>
  <c r="W78" i="2"/>
  <c r="U78" i="2"/>
  <c r="T78" i="2"/>
  <c r="S78" i="2"/>
  <c r="R78" i="2"/>
  <c r="P78" i="2"/>
  <c r="O78" i="2"/>
  <c r="N78" i="2"/>
  <c r="M78" i="2"/>
  <c r="K78" i="2"/>
  <c r="J78" i="2"/>
  <c r="I78" i="2"/>
  <c r="H78" i="2"/>
  <c r="F78" i="2"/>
  <c r="E78" i="2"/>
  <c r="D78" i="2"/>
  <c r="C78" i="2"/>
  <c r="AE77" i="2"/>
  <c r="Z77" i="2"/>
  <c r="U77" i="2"/>
  <c r="P77" i="2"/>
  <c r="K77" i="2"/>
  <c r="F77" i="2"/>
  <c r="AE76" i="2"/>
  <c r="Z76" i="2"/>
  <c r="U76" i="2"/>
  <c r="P76" i="2"/>
  <c r="K76" i="2"/>
  <c r="F76" i="2"/>
  <c r="AE75" i="2"/>
  <c r="Z75" i="2"/>
  <c r="U75" i="2"/>
  <c r="P75" i="2"/>
  <c r="K75" i="2"/>
  <c r="F75" i="2"/>
  <c r="AE74" i="2"/>
  <c r="AD74" i="2"/>
  <c r="AC74" i="2"/>
  <c r="AB74" i="2"/>
  <c r="Z74" i="2"/>
  <c r="Y74" i="2"/>
  <c r="X74" i="2"/>
  <c r="W74" i="2"/>
  <c r="U74" i="2"/>
  <c r="T74" i="2"/>
  <c r="S74" i="2"/>
  <c r="R74" i="2"/>
  <c r="P74" i="2"/>
  <c r="O74" i="2"/>
  <c r="N74" i="2"/>
  <c r="M74" i="2"/>
  <c r="K74" i="2"/>
  <c r="J74" i="2"/>
  <c r="I74" i="2"/>
  <c r="H74" i="2"/>
  <c r="F74" i="2"/>
  <c r="E74" i="2"/>
  <c r="D74" i="2"/>
  <c r="C74" i="2"/>
  <c r="AE73" i="2"/>
  <c r="AD73" i="2"/>
  <c r="AC73" i="2"/>
  <c r="AB73" i="2"/>
  <c r="Z73" i="2"/>
  <c r="Y73" i="2"/>
  <c r="X73" i="2"/>
  <c r="W73" i="2"/>
  <c r="U73" i="2"/>
  <c r="T73" i="2"/>
  <c r="S73" i="2"/>
  <c r="R73" i="2"/>
  <c r="P73" i="2"/>
  <c r="O73" i="2"/>
  <c r="N73" i="2"/>
  <c r="M73" i="2"/>
  <c r="K73" i="2"/>
  <c r="J73" i="2"/>
  <c r="I73" i="2"/>
  <c r="H73" i="2"/>
  <c r="F73" i="2"/>
  <c r="E73" i="2"/>
  <c r="D73" i="2"/>
  <c r="C73" i="2"/>
  <c r="AE72" i="2"/>
  <c r="Z72" i="2"/>
  <c r="U72" i="2"/>
  <c r="P72" i="2"/>
  <c r="K72" i="2"/>
  <c r="F72" i="2"/>
  <c r="AE71" i="2"/>
  <c r="Z71" i="2"/>
  <c r="U71" i="2"/>
  <c r="P71" i="2"/>
  <c r="K71" i="2"/>
  <c r="F71" i="2"/>
  <c r="AE70" i="2"/>
  <c r="Z70" i="2"/>
  <c r="U70" i="2"/>
  <c r="P70" i="2"/>
  <c r="K70" i="2"/>
  <c r="F70" i="2"/>
  <c r="AE69" i="2"/>
  <c r="Z69" i="2"/>
  <c r="U69" i="2"/>
  <c r="P69" i="2"/>
  <c r="K69" i="2"/>
  <c r="F69" i="2"/>
  <c r="AE68" i="2"/>
  <c r="Z68" i="2"/>
  <c r="U68" i="2"/>
  <c r="P68" i="2"/>
  <c r="K68" i="2"/>
  <c r="F68" i="2"/>
  <c r="AE67" i="2"/>
  <c r="Z67" i="2"/>
  <c r="U67" i="2"/>
  <c r="P67" i="2"/>
  <c r="K67" i="2"/>
  <c r="F67" i="2"/>
  <c r="AE66" i="2"/>
  <c r="Z66" i="2"/>
  <c r="U66" i="2"/>
  <c r="P66" i="2"/>
  <c r="K66" i="2"/>
  <c r="F66" i="2"/>
  <c r="AE65" i="2"/>
  <c r="AD65" i="2"/>
  <c r="AC65" i="2"/>
  <c r="AB65" i="2"/>
  <c r="Z65" i="2"/>
  <c r="Y65" i="2"/>
  <c r="X65" i="2"/>
  <c r="W65" i="2"/>
  <c r="U65" i="2"/>
  <c r="T65" i="2"/>
  <c r="S65" i="2"/>
  <c r="R65" i="2"/>
  <c r="P65" i="2"/>
  <c r="O65" i="2"/>
  <c r="N65" i="2"/>
  <c r="M65" i="2"/>
  <c r="K65" i="2"/>
  <c r="J65" i="2"/>
  <c r="I65" i="2"/>
  <c r="H65" i="2"/>
  <c r="F65" i="2"/>
  <c r="E65" i="2"/>
  <c r="D65" i="2"/>
  <c r="C65" i="2"/>
  <c r="AE64" i="2"/>
  <c r="Z64" i="2"/>
  <c r="U64" i="2"/>
  <c r="P64" i="2"/>
  <c r="K64" i="2"/>
  <c r="F64" i="2"/>
  <c r="AE63" i="2"/>
  <c r="Z63" i="2"/>
  <c r="U63" i="2"/>
  <c r="P63" i="2"/>
  <c r="K63" i="2"/>
  <c r="F63" i="2"/>
  <c r="AE62" i="2"/>
  <c r="Z62" i="2"/>
  <c r="U62" i="2"/>
  <c r="P62" i="2"/>
  <c r="K62" i="2"/>
  <c r="F62" i="2"/>
  <c r="AE61" i="2"/>
  <c r="AD61" i="2"/>
  <c r="AC61" i="2"/>
  <c r="AB61" i="2"/>
  <c r="Z61" i="2"/>
  <c r="Y61" i="2"/>
  <c r="X61" i="2"/>
  <c r="W61" i="2"/>
  <c r="U61" i="2"/>
  <c r="T61" i="2"/>
  <c r="S61" i="2"/>
  <c r="R61" i="2"/>
  <c r="P61" i="2"/>
  <c r="O61" i="2"/>
  <c r="N61" i="2"/>
  <c r="M61" i="2"/>
  <c r="K61" i="2"/>
  <c r="J61" i="2"/>
  <c r="I61" i="2"/>
  <c r="H61" i="2"/>
  <c r="F61" i="2"/>
  <c r="E61" i="2"/>
  <c r="D61" i="2"/>
  <c r="C61" i="2"/>
  <c r="AE60" i="2"/>
  <c r="Z60" i="2"/>
  <c r="U60" i="2"/>
  <c r="P60" i="2"/>
  <c r="K60" i="2"/>
  <c r="F60" i="2"/>
  <c r="AE59" i="2"/>
  <c r="Z59" i="2"/>
  <c r="U59" i="2"/>
  <c r="P59" i="2"/>
  <c r="K59" i="2"/>
  <c r="F59" i="2"/>
  <c r="AE58" i="2"/>
  <c r="Z58" i="2"/>
  <c r="U58" i="2"/>
  <c r="P58" i="2"/>
  <c r="K58" i="2"/>
  <c r="F58" i="2"/>
  <c r="AE57" i="2"/>
  <c r="Z57" i="2"/>
  <c r="U57" i="2"/>
  <c r="P57" i="2"/>
  <c r="K57" i="2"/>
  <c r="F57" i="2"/>
  <c r="AE56" i="2"/>
  <c r="Z56" i="2"/>
  <c r="U56" i="2"/>
  <c r="P56" i="2"/>
  <c r="K56" i="2"/>
  <c r="F56" i="2"/>
  <c r="AE55" i="2"/>
  <c r="Z55" i="2"/>
  <c r="U55" i="2"/>
  <c r="P55" i="2"/>
  <c r="K55" i="2"/>
  <c r="F55" i="2"/>
  <c r="AE54" i="2"/>
  <c r="AD54" i="2"/>
  <c r="AC54" i="2"/>
  <c r="AB54" i="2"/>
  <c r="Z54" i="2"/>
  <c r="Y54" i="2"/>
  <c r="X54" i="2"/>
  <c r="W54" i="2"/>
  <c r="U54" i="2"/>
  <c r="T54" i="2"/>
  <c r="S54" i="2"/>
  <c r="R54" i="2"/>
  <c r="P54" i="2"/>
  <c r="O54" i="2"/>
  <c r="N54" i="2"/>
  <c r="M54" i="2"/>
  <c r="K54" i="2"/>
  <c r="J54" i="2"/>
  <c r="I54" i="2"/>
  <c r="H54" i="2"/>
  <c r="F54" i="2"/>
  <c r="E54" i="2"/>
  <c r="D54" i="2"/>
  <c r="C54" i="2"/>
  <c r="AE53" i="2"/>
  <c r="Z53" i="2"/>
  <c r="U53" i="2"/>
  <c r="P53" i="2"/>
  <c r="K53" i="2"/>
  <c r="F53" i="2"/>
  <c r="AE52" i="2"/>
  <c r="Z52" i="2"/>
  <c r="U52" i="2"/>
  <c r="P52" i="2"/>
  <c r="K52" i="2"/>
  <c r="F52" i="2"/>
  <c r="AE51" i="2"/>
  <c r="Z51" i="2"/>
  <c r="U51" i="2"/>
  <c r="P51" i="2"/>
  <c r="K51" i="2"/>
  <c r="F51" i="2"/>
  <c r="AE50" i="2"/>
  <c r="Z50" i="2"/>
  <c r="U50" i="2"/>
  <c r="P50" i="2"/>
  <c r="K50" i="2"/>
  <c r="F50" i="2"/>
  <c r="AE49" i="2"/>
  <c r="AD49" i="2"/>
  <c r="AC49" i="2"/>
  <c r="AB49" i="2"/>
  <c r="Z49" i="2"/>
  <c r="Y49" i="2"/>
  <c r="X49" i="2"/>
  <c r="W49" i="2"/>
  <c r="U49" i="2"/>
  <c r="T49" i="2"/>
  <c r="S49" i="2"/>
  <c r="R49" i="2"/>
  <c r="P49" i="2"/>
  <c r="O49" i="2"/>
  <c r="N49" i="2"/>
  <c r="M49" i="2"/>
  <c r="K49" i="2"/>
  <c r="J49" i="2"/>
  <c r="I49" i="2"/>
  <c r="H49" i="2"/>
  <c r="F49" i="2"/>
  <c r="E49" i="2"/>
  <c r="D49" i="2"/>
  <c r="C49" i="2"/>
  <c r="AE48" i="2"/>
  <c r="Z48" i="2"/>
  <c r="U48" i="2"/>
  <c r="P48" i="2"/>
  <c r="K48" i="2"/>
  <c r="F48" i="2"/>
  <c r="AE47" i="2"/>
  <c r="Z47" i="2"/>
  <c r="U47" i="2"/>
  <c r="P47" i="2"/>
  <c r="K47" i="2"/>
  <c r="F47" i="2"/>
  <c r="AE46" i="2"/>
  <c r="Z46" i="2"/>
  <c r="U46" i="2"/>
  <c r="P46" i="2"/>
  <c r="K46" i="2"/>
  <c r="F46" i="2"/>
  <c r="AE45" i="2"/>
  <c r="Z45" i="2"/>
  <c r="U45" i="2"/>
  <c r="P45" i="2"/>
  <c r="K45" i="2"/>
  <c r="F45" i="2"/>
  <c r="AE44" i="2"/>
  <c r="Z44" i="2"/>
  <c r="U44" i="2"/>
  <c r="P44" i="2"/>
  <c r="K44" i="2"/>
  <c r="F44" i="2"/>
  <c r="AE43" i="2"/>
  <c r="Z43" i="2"/>
  <c r="U43" i="2"/>
  <c r="P43" i="2"/>
  <c r="K43" i="2"/>
  <c r="F43" i="2"/>
  <c r="AE42" i="2"/>
  <c r="Z42" i="2"/>
  <c r="U42" i="2"/>
  <c r="P42" i="2"/>
  <c r="K42" i="2"/>
  <c r="F42" i="2"/>
  <c r="AE41" i="2"/>
  <c r="AD41" i="2"/>
  <c r="AC41" i="2"/>
  <c r="AB41" i="2"/>
  <c r="Z41" i="2"/>
  <c r="Y41" i="2"/>
  <c r="X41" i="2"/>
  <c r="W41" i="2"/>
  <c r="U41" i="2"/>
  <c r="T41" i="2"/>
  <c r="S41" i="2"/>
  <c r="R41" i="2"/>
  <c r="P41" i="2"/>
  <c r="O41" i="2"/>
  <c r="N41" i="2"/>
  <c r="M41" i="2"/>
  <c r="K41" i="2"/>
  <c r="J41" i="2"/>
  <c r="I41" i="2"/>
  <c r="H41" i="2"/>
  <c r="F41" i="2"/>
  <c r="E41" i="2"/>
  <c r="D41" i="2"/>
  <c r="C41" i="2"/>
  <c r="AE40" i="2"/>
  <c r="AD40" i="2"/>
  <c r="AC40" i="2"/>
  <c r="AB40" i="2"/>
  <c r="Z40" i="2"/>
  <c r="Y40" i="2"/>
  <c r="X40" i="2"/>
  <c r="W40" i="2"/>
  <c r="U40" i="2"/>
  <c r="T40" i="2"/>
  <c r="S40" i="2"/>
  <c r="R40" i="2"/>
  <c r="P40" i="2"/>
  <c r="O40" i="2"/>
  <c r="N40" i="2"/>
  <c r="M40" i="2"/>
  <c r="K40" i="2"/>
  <c r="J40" i="2"/>
  <c r="I40" i="2"/>
  <c r="H40" i="2"/>
  <c r="F40" i="2"/>
  <c r="E40" i="2"/>
  <c r="D40" i="2"/>
  <c r="C40" i="2"/>
  <c r="AE39" i="2"/>
  <c r="Z39" i="2"/>
  <c r="U39" i="2"/>
  <c r="P39" i="2"/>
  <c r="K39" i="2"/>
  <c r="F39" i="2"/>
  <c r="AE38" i="2"/>
  <c r="Z38" i="2"/>
  <c r="U38" i="2"/>
  <c r="P38" i="2"/>
  <c r="K38" i="2"/>
  <c r="F38" i="2"/>
  <c r="AE37" i="2"/>
  <c r="Z37" i="2"/>
  <c r="U37" i="2"/>
  <c r="P37" i="2"/>
  <c r="K37" i="2"/>
  <c r="F37" i="2"/>
  <c r="AE36" i="2"/>
  <c r="Z36" i="2"/>
  <c r="U36" i="2"/>
  <c r="P36" i="2"/>
  <c r="K36" i="2"/>
  <c r="F36" i="2"/>
  <c r="AE35" i="2"/>
  <c r="Z35" i="2"/>
  <c r="U35" i="2"/>
  <c r="P35" i="2"/>
  <c r="K35" i="2"/>
  <c r="F35" i="2"/>
  <c r="AE34" i="2"/>
  <c r="Z34" i="2"/>
  <c r="U34" i="2"/>
  <c r="P34" i="2"/>
  <c r="K34" i="2"/>
  <c r="F34" i="2"/>
  <c r="AE33" i="2"/>
  <c r="AD33" i="2"/>
  <c r="AC33" i="2"/>
  <c r="AB33" i="2"/>
  <c r="Z33" i="2"/>
  <c r="Y33" i="2"/>
  <c r="X33" i="2"/>
  <c r="W33" i="2"/>
  <c r="U33" i="2"/>
  <c r="T33" i="2"/>
  <c r="S33" i="2"/>
  <c r="R33" i="2"/>
  <c r="P33" i="2"/>
  <c r="O33" i="2"/>
  <c r="N33" i="2"/>
  <c r="M33" i="2"/>
  <c r="K33" i="2"/>
  <c r="J33" i="2"/>
  <c r="I33" i="2"/>
  <c r="H33" i="2"/>
  <c r="F33" i="2"/>
  <c r="E33" i="2"/>
  <c r="D33" i="2"/>
  <c r="C33" i="2"/>
  <c r="AE32" i="2"/>
  <c r="Z32" i="2"/>
  <c r="U32" i="2"/>
  <c r="P32" i="2"/>
  <c r="K32" i="2"/>
  <c r="F32" i="2"/>
  <c r="AE31" i="2"/>
  <c r="Z31" i="2"/>
  <c r="U31" i="2"/>
  <c r="P31" i="2"/>
  <c r="K31" i="2"/>
  <c r="F31" i="2"/>
  <c r="AE30" i="2"/>
  <c r="Z30" i="2"/>
  <c r="U30" i="2"/>
  <c r="P30" i="2"/>
  <c r="K30" i="2"/>
  <c r="F30" i="2"/>
  <c r="AE29" i="2"/>
  <c r="Z29" i="2"/>
  <c r="U29" i="2"/>
  <c r="P29" i="2"/>
  <c r="K29" i="2"/>
  <c r="F29" i="2"/>
  <c r="AE28" i="2"/>
  <c r="AD28" i="2"/>
  <c r="AC28" i="2"/>
  <c r="AB28" i="2"/>
  <c r="Z28" i="2"/>
  <c r="Y28" i="2"/>
  <c r="X28" i="2"/>
  <c r="W28" i="2"/>
  <c r="U28" i="2"/>
  <c r="T28" i="2"/>
  <c r="S28" i="2"/>
  <c r="R28" i="2"/>
  <c r="P28" i="2"/>
  <c r="O28" i="2"/>
  <c r="N28" i="2"/>
  <c r="M28" i="2"/>
  <c r="K28" i="2"/>
  <c r="J28" i="2"/>
  <c r="I28" i="2"/>
  <c r="H28" i="2"/>
  <c r="F28" i="2"/>
  <c r="E28" i="2"/>
  <c r="D28" i="2"/>
  <c r="C28" i="2"/>
  <c r="AE27" i="2"/>
  <c r="Z27" i="2"/>
  <c r="U27" i="2"/>
  <c r="P27" i="2"/>
  <c r="K27" i="2"/>
  <c r="F27" i="2"/>
  <c r="AE26" i="2"/>
  <c r="Z26" i="2"/>
  <c r="U26" i="2"/>
  <c r="P26" i="2"/>
  <c r="K26" i="2"/>
  <c r="F26" i="2"/>
  <c r="AE25" i="2"/>
  <c r="Z25" i="2"/>
  <c r="U25" i="2"/>
  <c r="P25" i="2"/>
  <c r="K25" i="2"/>
  <c r="F25" i="2"/>
  <c r="AE24" i="2"/>
  <c r="Z24" i="2"/>
  <c r="U24" i="2"/>
  <c r="P24" i="2"/>
  <c r="K24" i="2"/>
  <c r="F24" i="2"/>
  <c r="AE23" i="2"/>
  <c r="Z23" i="2"/>
  <c r="U23" i="2"/>
  <c r="P23" i="2"/>
  <c r="K23" i="2"/>
  <c r="F23" i="2"/>
  <c r="AE22" i="2"/>
  <c r="Z22" i="2"/>
  <c r="U22" i="2"/>
  <c r="P22" i="2"/>
  <c r="K22" i="2"/>
  <c r="F22" i="2"/>
  <c r="AE21" i="2"/>
  <c r="AD21" i="2"/>
  <c r="AC21" i="2"/>
  <c r="AB21" i="2"/>
  <c r="Z21" i="2"/>
  <c r="Y21" i="2"/>
  <c r="X21" i="2"/>
  <c r="W21" i="2"/>
  <c r="U21" i="2"/>
  <c r="T21" i="2"/>
  <c r="S21" i="2"/>
  <c r="R21" i="2"/>
  <c r="P21" i="2"/>
  <c r="O21" i="2"/>
  <c r="N21" i="2"/>
  <c r="M21" i="2"/>
  <c r="K21" i="2"/>
  <c r="J21" i="2"/>
  <c r="I21" i="2"/>
  <c r="H21" i="2"/>
  <c r="F21" i="2"/>
  <c r="E21" i="2"/>
  <c r="D21" i="2"/>
  <c r="C21" i="2"/>
  <c r="AE20" i="2"/>
  <c r="Z20" i="2"/>
  <c r="U20" i="2"/>
  <c r="P20" i="2"/>
  <c r="K20" i="2"/>
  <c r="F20" i="2"/>
  <c r="AE19" i="2"/>
  <c r="Z19" i="2"/>
  <c r="U19" i="2"/>
  <c r="P19" i="2"/>
  <c r="K19" i="2"/>
  <c r="F19" i="2"/>
  <c r="AE18" i="2"/>
  <c r="Z18" i="2"/>
  <c r="U18" i="2"/>
  <c r="P18" i="2"/>
  <c r="K18" i="2"/>
  <c r="F18" i="2"/>
  <c r="AE17" i="2"/>
  <c r="Z17" i="2"/>
  <c r="U17" i="2"/>
  <c r="P17" i="2"/>
  <c r="K17" i="2"/>
  <c r="F17" i="2"/>
  <c r="AE16" i="2"/>
  <c r="Z16" i="2"/>
  <c r="U16" i="2"/>
  <c r="P16" i="2"/>
  <c r="K16" i="2"/>
  <c r="F16" i="2"/>
  <c r="AE15" i="2"/>
  <c r="AD15" i="2"/>
  <c r="AC15" i="2"/>
  <c r="AB15" i="2"/>
  <c r="Z15" i="2"/>
  <c r="Y15" i="2"/>
  <c r="X15" i="2"/>
  <c r="W15" i="2"/>
  <c r="U15" i="2"/>
  <c r="T15" i="2"/>
  <c r="S15" i="2"/>
  <c r="R15" i="2"/>
  <c r="P15" i="2"/>
  <c r="O15" i="2"/>
  <c r="N15" i="2"/>
  <c r="M15" i="2"/>
  <c r="K15" i="2"/>
  <c r="J15" i="2"/>
  <c r="I15" i="2"/>
  <c r="H15" i="2"/>
  <c r="F15" i="2"/>
  <c r="E15" i="2"/>
  <c r="D15" i="2"/>
  <c r="C15" i="2"/>
  <c r="AE14" i="2"/>
  <c r="Z14" i="2"/>
  <c r="U14" i="2"/>
  <c r="P14" i="2"/>
  <c r="K14" i="2"/>
  <c r="F14" i="2"/>
  <c r="AE13" i="2"/>
  <c r="Z13" i="2"/>
  <c r="U13" i="2"/>
  <c r="P13" i="2"/>
  <c r="K13" i="2"/>
  <c r="F13" i="2"/>
  <c r="AE12" i="2"/>
  <c r="Z12" i="2"/>
  <c r="U12" i="2"/>
  <c r="P12" i="2"/>
  <c r="K12" i="2"/>
  <c r="F12" i="2"/>
  <c r="AE11" i="2"/>
  <c r="Z11" i="2"/>
  <c r="U11" i="2"/>
  <c r="P11" i="2"/>
  <c r="K11" i="2"/>
  <c r="F11" i="2"/>
  <c r="AE10" i="2"/>
  <c r="Z10" i="2"/>
  <c r="U10" i="2"/>
  <c r="P10" i="2"/>
  <c r="K10" i="2"/>
  <c r="F10" i="2"/>
  <c r="AE9" i="2"/>
  <c r="Z9" i="2"/>
  <c r="U9" i="2"/>
  <c r="P9" i="2"/>
  <c r="K9" i="2"/>
  <c r="F9" i="2"/>
  <c r="AE8" i="2"/>
  <c r="Z8" i="2"/>
  <c r="U8" i="2"/>
  <c r="P8" i="2"/>
  <c r="K8" i="2"/>
  <c r="F8" i="2"/>
  <c r="AE7" i="2"/>
  <c r="AD7" i="2"/>
  <c r="AC7" i="2"/>
  <c r="AB7" i="2"/>
  <c r="Z7" i="2"/>
  <c r="Y7" i="2"/>
  <c r="X7" i="2"/>
  <c r="W7" i="2"/>
  <c r="U7" i="2"/>
  <c r="T7" i="2"/>
  <c r="S7" i="2"/>
  <c r="R7" i="2"/>
  <c r="P7" i="2"/>
  <c r="O7" i="2"/>
  <c r="N7" i="2"/>
  <c r="M7" i="2"/>
  <c r="K7" i="2"/>
  <c r="J7" i="2"/>
  <c r="I7" i="2"/>
  <c r="H7" i="2"/>
  <c r="F7" i="2"/>
  <c r="E7" i="2"/>
  <c r="D7" i="2"/>
  <c r="C7" i="2"/>
  <c r="AB5" i="2"/>
  <c r="W5" i="2"/>
  <c r="R5" i="2"/>
  <c r="M5" i="2"/>
  <c r="H5" i="2"/>
  <c r="C5" i="2"/>
  <c r="U2" i="2"/>
  <c r="AC208" i="1"/>
  <c r="AB208" i="1"/>
  <c r="AA208" i="1"/>
  <c r="Z208" i="1"/>
  <c r="Y208" i="1"/>
  <c r="X208" i="1"/>
  <c r="W208" i="1"/>
  <c r="V208" i="1"/>
  <c r="U208" i="1"/>
  <c r="T208" i="1"/>
  <c r="L208" i="1"/>
  <c r="K208" i="1"/>
  <c r="J208" i="1"/>
  <c r="I208" i="1"/>
  <c r="H208" i="1"/>
  <c r="G208" i="1"/>
  <c r="F208" i="1"/>
  <c r="E208" i="1"/>
  <c r="D208" i="1"/>
  <c r="C208" i="1"/>
  <c r="AC207" i="1"/>
  <c r="AB207" i="1"/>
  <c r="AA207" i="1"/>
  <c r="Z207" i="1"/>
  <c r="Y207" i="1"/>
  <c r="X207" i="1"/>
  <c r="W207" i="1"/>
  <c r="V207" i="1"/>
  <c r="U207" i="1"/>
  <c r="T207" i="1"/>
  <c r="L207" i="1"/>
  <c r="I207" i="1"/>
  <c r="C207" i="1"/>
  <c r="A207" i="1"/>
  <c r="AC206" i="1"/>
  <c r="AB206" i="1"/>
  <c r="AA206" i="1"/>
  <c r="Z206" i="1"/>
  <c r="Y206" i="1"/>
  <c r="X206" i="1"/>
  <c r="W206" i="1"/>
  <c r="V206" i="1"/>
  <c r="U206" i="1"/>
  <c r="T206" i="1"/>
  <c r="L206" i="1"/>
  <c r="I206" i="1"/>
  <c r="A206" i="1"/>
  <c r="AC205" i="1"/>
  <c r="AB205" i="1"/>
  <c r="AA205" i="1"/>
  <c r="Z205" i="1"/>
  <c r="Y205" i="1"/>
  <c r="X205" i="1"/>
  <c r="W205" i="1"/>
  <c r="V205" i="1"/>
  <c r="U205" i="1"/>
  <c r="T205" i="1"/>
  <c r="L205" i="1"/>
  <c r="I205" i="1"/>
  <c r="A205" i="1"/>
  <c r="AC204" i="1"/>
  <c r="AB204" i="1"/>
  <c r="AA204" i="1"/>
  <c r="Z204" i="1"/>
  <c r="Y204" i="1"/>
  <c r="X204" i="1"/>
  <c r="W204" i="1"/>
  <c r="V204" i="1"/>
  <c r="U204" i="1"/>
  <c r="T204" i="1"/>
  <c r="L204" i="1"/>
  <c r="I204" i="1"/>
  <c r="A204" i="1"/>
  <c r="AC203" i="1"/>
  <c r="AB203" i="1"/>
  <c r="AA203" i="1"/>
  <c r="Z203" i="1"/>
  <c r="Y203" i="1"/>
  <c r="X203" i="1"/>
  <c r="W203" i="1"/>
  <c r="V203" i="1"/>
  <c r="U203" i="1"/>
  <c r="T203" i="1"/>
  <c r="L203" i="1"/>
  <c r="I203" i="1"/>
  <c r="A203" i="1"/>
  <c r="AC202" i="1"/>
  <c r="AB202" i="1"/>
  <c r="AA202" i="1"/>
  <c r="Z202" i="1"/>
  <c r="Y202" i="1"/>
  <c r="X202" i="1"/>
  <c r="W202" i="1"/>
  <c r="V202" i="1"/>
  <c r="U202" i="1"/>
  <c r="T202" i="1"/>
  <c r="L202" i="1"/>
  <c r="K202" i="1"/>
  <c r="J202" i="1"/>
  <c r="I202" i="1"/>
  <c r="H202" i="1"/>
  <c r="G202" i="1"/>
  <c r="F202" i="1"/>
  <c r="E202" i="1"/>
  <c r="D202" i="1"/>
  <c r="C202" i="1"/>
  <c r="A202" i="1"/>
  <c r="AC201" i="1"/>
  <c r="AB201" i="1"/>
  <c r="AA201" i="1"/>
  <c r="Z201" i="1"/>
  <c r="Y201" i="1"/>
  <c r="X201" i="1"/>
  <c r="W201" i="1"/>
  <c r="V201" i="1"/>
  <c r="U201" i="1"/>
  <c r="T201" i="1"/>
  <c r="L201" i="1"/>
  <c r="I201" i="1"/>
  <c r="A201" i="1"/>
  <c r="AC200" i="1"/>
  <c r="AB200" i="1"/>
  <c r="AA200" i="1"/>
  <c r="Z200" i="1"/>
  <c r="Y200" i="1"/>
  <c r="X200" i="1"/>
  <c r="W200" i="1"/>
  <c r="V200" i="1"/>
  <c r="U200" i="1"/>
  <c r="T200" i="1"/>
  <c r="L200" i="1"/>
  <c r="I200" i="1"/>
  <c r="A200" i="1"/>
  <c r="AC199" i="1"/>
  <c r="AB199" i="1"/>
  <c r="AA199" i="1"/>
  <c r="Z199" i="1"/>
  <c r="Y199" i="1"/>
  <c r="X199" i="1"/>
  <c r="W199" i="1"/>
  <c r="V199" i="1"/>
  <c r="U199" i="1"/>
  <c r="T199" i="1"/>
  <c r="L199" i="1"/>
  <c r="I199" i="1"/>
  <c r="A199" i="1"/>
  <c r="AC198" i="1"/>
  <c r="AB198" i="1"/>
  <c r="AA198" i="1"/>
  <c r="Z198" i="1"/>
  <c r="Y198" i="1"/>
  <c r="X198" i="1"/>
  <c r="W198" i="1"/>
  <c r="V198" i="1"/>
  <c r="U198" i="1"/>
  <c r="T198" i="1"/>
  <c r="L198" i="1"/>
  <c r="I198" i="1"/>
  <c r="A198" i="1"/>
  <c r="AC197" i="1"/>
  <c r="AB197" i="1"/>
  <c r="AA197" i="1"/>
  <c r="Z197" i="1"/>
  <c r="Y197" i="1"/>
  <c r="X197" i="1"/>
  <c r="W197" i="1"/>
  <c r="V197" i="1"/>
  <c r="U197" i="1"/>
  <c r="T197" i="1"/>
  <c r="L197" i="1"/>
  <c r="I197" i="1"/>
  <c r="A197" i="1"/>
  <c r="AC196" i="1"/>
  <c r="AB196" i="1"/>
  <c r="AA196" i="1"/>
  <c r="Z196" i="1"/>
  <c r="Y196" i="1"/>
  <c r="X196" i="1"/>
  <c r="W196" i="1"/>
  <c r="V196" i="1"/>
  <c r="U196" i="1"/>
  <c r="T196" i="1"/>
  <c r="L196" i="1"/>
  <c r="I196" i="1"/>
  <c r="A196" i="1"/>
  <c r="AC195" i="1"/>
  <c r="AB195" i="1"/>
  <c r="AA195" i="1"/>
  <c r="Z195" i="1"/>
  <c r="Y195" i="1"/>
  <c r="X195" i="1"/>
  <c r="W195" i="1"/>
  <c r="V195" i="1"/>
  <c r="U195" i="1"/>
  <c r="T195" i="1"/>
  <c r="L195" i="1"/>
  <c r="I195" i="1"/>
  <c r="A195" i="1"/>
  <c r="AC194" i="1"/>
  <c r="AB194" i="1"/>
  <c r="AA194" i="1"/>
  <c r="Z194" i="1"/>
  <c r="Y194" i="1"/>
  <c r="X194" i="1"/>
  <c r="W194" i="1"/>
  <c r="V194" i="1"/>
  <c r="U194" i="1"/>
  <c r="T194" i="1"/>
  <c r="L194" i="1"/>
  <c r="I194" i="1"/>
  <c r="A194" i="1"/>
  <c r="AC193" i="1"/>
  <c r="AB193" i="1"/>
  <c r="AA193" i="1"/>
  <c r="Z193" i="1"/>
  <c r="Y193" i="1"/>
  <c r="X193" i="1"/>
  <c r="W193" i="1"/>
  <c r="V193" i="1"/>
  <c r="U193" i="1"/>
  <c r="T193" i="1"/>
  <c r="L193" i="1"/>
  <c r="I193" i="1"/>
  <c r="A193" i="1"/>
  <c r="AC192" i="1"/>
  <c r="AB192" i="1"/>
  <c r="AA192" i="1"/>
  <c r="Z192" i="1"/>
  <c r="Y192" i="1"/>
  <c r="X192" i="1"/>
  <c r="W192" i="1"/>
  <c r="V192" i="1"/>
  <c r="U192" i="1"/>
  <c r="T192" i="1"/>
  <c r="L192" i="1"/>
  <c r="I192" i="1"/>
  <c r="A192" i="1"/>
  <c r="AC191" i="1"/>
  <c r="AB191" i="1"/>
  <c r="AA191" i="1"/>
  <c r="Z191" i="1"/>
  <c r="Y191" i="1"/>
  <c r="X191" i="1"/>
  <c r="W191" i="1"/>
  <c r="V191" i="1"/>
  <c r="U191" i="1"/>
  <c r="T191" i="1"/>
  <c r="L191" i="1"/>
  <c r="I191" i="1"/>
  <c r="A191" i="1"/>
  <c r="AC190" i="1"/>
  <c r="AB190" i="1"/>
  <c r="AA190" i="1"/>
  <c r="Z190" i="1"/>
  <c r="Y190" i="1"/>
  <c r="X190" i="1"/>
  <c r="W190" i="1"/>
  <c r="V190" i="1"/>
  <c r="U190" i="1"/>
  <c r="T190" i="1"/>
  <c r="L190" i="1"/>
  <c r="I190" i="1"/>
  <c r="A190" i="1"/>
  <c r="AC189" i="1"/>
  <c r="AB189" i="1"/>
  <c r="AA189" i="1"/>
  <c r="Z189" i="1"/>
  <c r="Y189" i="1"/>
  <c r="X189" i="1"/>
  <c r="W189" i="1"/>
  <c r="V189" i="1"/>
  <c r="U189" i="1"/>
  <c r="T189" i="1"/>
  <c r="L189" i="1"/>
  <c r="K189" i="1"/>
  <c r="J189" i="1"/>
  <c r="I189" i="1"/>
  <c r="H189" i="1"/>
  <c r="G189" i="1"/>
  <c r="F189" i="1"/>
  <c r="E189" i="1"/>
  <c r="D189" i="1"/>
  <c r="C189" i="1"/>
  <c r="A189" i="1"/>
  <c r="AC188" i="1"/>
  <c r="AB188" i="1"/>
  <c r="AA188" i="1"/>
  <c r="Z188" i="1"/>
  <c r="Y188" i="1"/>
  <c r="X188" i="1"/>
  <c r="W188" i="1"/>
  <c r="V188" i="1"/>
  <c r="U188" i="1"/>
  <c r="T188" i="1"/>
  <c r="L188" i="1"/>
  <c r="A188" i="1"/>
  <c r="AC187" i="1"/>
  <c r="AB187" i="1"/>
  <c r="AA187" i="1"/>
  <c r="Z187" i="1"/>
  <c r="Y187" i="1"/>
  <c r="X187" i="1"/>
  <c r="W187" i="1"/>
  <c r="V187" i="1"/>
  <c r="U187" i="1"/>
  <c r="T187" i="1"/>
  <c r="L187" i="1"/>
  <c r="A187" i="1"/>
  <c r="AC186" i="1"/>
  <c r="AB186" i="1"/>
  <c r="AA186" i="1"/>
  <c r="Z186" i="1"/>
  <c r="Y186" i="1"/>
  <c r="X186" i="1"/>
  <c r="W186" i="1"/>
  <c r="V186" i="1"/>
  <c r="U186" i="1"/>
  <c r="T186" i="1"/>
  <c r="L186" i="1"/>
  <c r="A186" i="1"/>
  <c r="AC185" i="1"/>
  <c r="AB185" i="1"/>
  <c r="AA185" i="1"/>
  <c r="Z185" i="1"/>
  <c r="Y185" i="1"/>
  <c r="X185" i="1"/>
  <c r="W185" i="1"/>
  <c r="V185" i="1"/>
  <c r="U185" i="1"/>
  <c r="T185" i="1"/>
  <c r="L185" i="1"/>
  <c r="A185" i="1"/>
  <c r="AC184" i="1"/>
  <c r="AB184" i="1"/>
  <c r="AA184" i="1"/>
  <c r="Z184" i="1"/>
  <c r="Y184" i="1"/>
  <c r="X184" i="1"/>
  <c r="W184" i="1"/>
  <c r="V184" i="1"/>
  <c r="U184" i="1"/>
  <c r="T184" i="1"/>
  <c r="L184" i="1"/>
  <c r="A184" i="1"/>
  <c r="AC183" i="1"/>
  <c r="AB183" i="1"/>
  <c r="AA183" i="1"/>
  <c r="Z183" i="1"/>
  <c r="Y183" i="1"/>
  <c r="X183" i="1"/>
  <c r="W183" i="1"/>
  <c r="V183" i="1"/>
  <c r="U183" i="1"/>
  <c r="T183" i="1"/>
  <c r="L183" i="1"/>
  <c r="A183" i="1"/>
  <c r="AC182" i="1"/>
  <c r="AB182" i="1"/>
  <c r="AA182" i="1"/>
  <c r="Z182" i="1"/>
  <c r="Y182" i="1"/>
  <c r="X182" i="1"/>
  <c r="W182" i="1"/>
  <c r="V182" i="1"/>
  <c r="U182" i="1"/>
  <c r="T182" i="1"/>
  <c r="L182" i="1"/>
  <c r="A182" i="1"/>
  <c r="AC181" i="1"/>
  <c r="AB181" i="1"/>
  <c r="AA181" i="1"/>
  <c r="Z181" i="1"/>
  <c r="Y181" i="1"/>
  <c r="X181" i="1"/>
  <c r="W181" i="1"/>
  <c r="V181" i="1"/>
  <c r="U181" i="1"/>
  <c r="T181" i="1"/>
  <c r="L181" i="1"/>
  <c r="A181" i="1"/>
  <c r="AC180" i="1"/>
  <c r="AB180" i="1"/>
  <c r="AA180" i="1"/>
  <c r="Z180" i="1"/>
  <c r="Y180" i="1"/>
  <c r="X180" i="1"/>
  <c r="W180" i="1"/>
  <c r="V180" i="1"/>
  <c r="U180" i="1"/>
  <c r="T180" i="1"/>
  <c r="L180" i="1"/>
  <c r="A180" i="1"/>
  <c r="AC179" i="1"/>
  <c r="AB179" i="1"/>
  <c r="AA179" i="1"/>
  <c r="Z179" i="1"/>
  <c r="Y179" i="1"/>
  <c r="X179" i="1"/>
  <c r="W179" i="1"/>
  <c r="V179" i="1"/>
  <c r="U179" i="1"/>
  <c r="T179" i="1"/>
  <c r="L179" i="1"/>
  <c r="A179" i="1"/>
  <c r="AC178" i="1"/>
  <c r="AB178" i="1"/>
  <c r="AA178" i="1"/>
  <c r="Z178" i="1"/>
  <c r="Y178" i="1"/>
  <c r="X178" i="1"/>
  <c r="W178" i="1"/>
  <c r="V178" i="1"/>
  <c r="U178" i="1"/>
  <c r="T178" i="1"/>
  <c r="L178" i="1"/>
  <c r="A178" i="1"/>
  <c r="AC177" i="1"/>
  <c r="AB177" i="1"/>
  <c r="AA177" i="1"/>
  <c r="Z177" i="1"/>
  <c r="Y177" i="1"/>
  <c r="X177" i="1"/>
  <c r="W177" i="1"/>
  <c r="V177" i="1"/>
  <c r="U177" i="1"/>
  <c r="T177" i="1"/>
  <c r="L177" i="1"/>
  <c r="AC176" i="1"/>
  <c r="AB176" i="1"/>
  <c r="AA176" i="1"/>
  <c r="Z176" i="1"/>
  <c r="Y176" i="1"/>
  <c r="X176" i="1"/>
  <c r="W176" i="1"/>
  <c r="V176" i="1"/>
  <c r="U176" i="1"/>
  <c r="T176" i="1"/>
  <c r="L176" i="1"/>
  <c r="K176" i="1"/>
  <c r="J176" i="1"/>
  <c r="I176" i="1"/>
  <c r="H176" i="1"/>
  <c r="G176" i="1"/>
  <c r="F176" i="1"/>
  <c r="E176" i="1"/>
  <c r="D176" i="1"/>
  <c r="C176" i="1"/>
  <c r="AC175" i="1"/>
  <c r="AB175" i="1"/>
  <c r="AA175" i="1"/>
  <c r="Z175" i="1"/>
  <c r="Y175" i="1"/>
  <c r="X175" i="1"/>
  <c r="W175" i="1"/>
  <c r="V175" i="1"/>
  <c r="U175" i="1"/>
  <c r="T175" i="1"/>
  <c r="L175" i="1"/>
  <c r="I175" i="1"/>
  <c r="A175" i="1"/>
  <c r="AC174" i="1"/>
  <c r="AB174" i="1"/>
  <c r="AA174" i="1"/>
  <c r="Z174" i="1"/>
  <c r="Y174" i="1"/>
  <c r="X174" i="1"/>
  <c r="W174" i="1"/>
  <c r="V174" i="1"/>
  <c r="U174" i="1"/>
  <c r="T174" i="1"/>
  <c r="L174" i="1"/>
  <c r="I174" i="1"/>
  <c r="A174" i="1"/>
  <c r="AC173" i="1"/>
  <c r="AB173" i="1"/>
  <c r="AA173" i="1"/>
  <c r="Z173" i="1"/>
  <c r="Y173" i="1"/>
  <c r="X173" i="1"/>
  <c r="W173" i="1"/>
  <c r="V173" i="1"/>
  <c r="U173" i="1"/>
  <c r="T173" i="1"/>
  <c r="L173" i="1"/>
  <c r="I173" i="1"/>
  <c r="AC172" i="1"/>
  <c r="AB172" i="1"/>
  <c r="AA172" i="1"/>
  <c r="Z172" i="1"/>
  <c r="Y172" i="1"/>
  <c r="X172" i="1"/>
  <c r="W172" i="1"/>
  <c r="V172" i="1"/>
  <c r="U172" i="1"/>
  <c r="T172" i="1"/>
  <c r="L172" i="1"/>
  <c r="I172" i="1"/>
  <c r="AE170" i="1"/>
  <c r="S170" i="1"/>
  <c r="B170" i="1"/>
  <c r="AC167" i="1"/>
  <c r="AB167" i="1"/>
  <c r="AA167" i="1"/>
  <c r="Z167" i="1"/>
  <c r="Y167" i="1"/>
  <c r="X167" i="1"/>
  <c r="W167" i="1"/>
  <c r="V167" i="1"/>
  <c r="U167" i="1"/>
  <c r="T167" i="1"/>
  <c r="L167" i="1"/>
  <c r="K167" i="1"/>
  <c r="J167" i="1"/>
  <c r="I167" i="1"/>
  <c r="H167" i="1"/>
  <c r="G167" i="1"/>
  <c r="F167" i="1"/>
  <c r="E167" i="1"/>
  <c r="D167" i="1"/>
  <c r="C167" i="1"/>
  <c r="AC166" i="1"/>
  <c r="AB166" i="1"/>
  <c r="AA166" i="1"/>
  <c r="Z166" i="1"/>
  <c r="Y166" i="1"/>
  <c r="X166" i="1"/>
  <c r="W166" i="1"/>
  <c r="V166" i="1"/>
  <c r="U166" i="1"/>
  <c r="T166" i="1"/>
  <c r="L166" i="1"/>
  <c r="I166" i="1"/>
  <c r="C166" i="1"/>
  <c r="A166" i="1"/>
  <c r="AC165" i="1"/>
  <c r="AB165" i="1"/>
  <c r="AA165" i="1"/>
  <c r="Z165" i="1"/>
  <c r="Y165" i="1"/>
  <c r="X165" i="1"/>
  <c r="W165" i="1"/>
  <c r="V165" i="1"/>
  <c r="U165" i="1"/>
  <c r="T165" i="1"/>
  <c r="L165" i="1"/>
  <c r="I165" i="1"/>
  <c r="A165" i="1"/>
  <c r="AC164" i="1"/>
  <c r="AB164" i="1"/>
  <c r="AA164" i="1"/>
  <c r="Z164" i="1"/>
  <c r="Y164" i="1"/>
  <c r="X164" i="1"/>
  <c r="W164" i="1"/>
  <c r="V164" i="1"/>
  <c r="U164" i="1"/>
  <c r="T164" i="1"/>
  <c r="L164" i="1"/>
  <c r="I164" i="1"/>
  <c r="A164" i="1"/>
  <c r="AC163" i="1"/>
  <c r="AB163" i="1"/>
  <c r="AA163" i="1"/>
  <c r="Z163" i="1"/>
  <c r="Y163" i="1"/>
  <c r="X163" i="1"/>
  <c r="W163" i="1"/>
  <c r="V163" i="1"/>
  <c r="U163" i="1"/>
  <c r="T163" i="1"/>
  <c r="L163" i="1"/>
  <c r="I163" i="1"/>
  <c r="A163" i="1"/>
  <c r="AC162" i="1"/>
  <c r="AB162" i="1"/>
  <c r="AA162" i="1"/>
  <c r="Z162" i="1"/>
  <c r="Y162" i="1"/>
  <c r="X162" i="1"/>
  <c r="W162" i="1"/>
  <c r="V162" i="1"/>
  <c r="U162" i="1"/>
  <c r="T162" i="1"/>
  <c r="L162" i="1"/>
  <c r="I162" i="1"/>
  <c r="A162" i="1"/>
  <c r="AC161" i="1"/>
  <c r="AB161" i="1"/>
  <c r="AA161" i="1"/>
  <c r="Z161" i="1"/>
  <c r="Y161" i="1"/>
  <c r="X161" i="1"/>
  <c r="W161" i="1"/>
  <c r="V161" i="1"/>
  <c r="U161" i="1"/>
  <c r="T161" i="1"/>
  <c r="L161" i="1"/>
  <c r="K161" i="1"/>
  <c r="J161" i="1"/>
  <c r="I161" i="1"/>
  <c r="H161" i="1"/>
  <c r="G161" i="1"/>
  <c r="F161" i="1"/>
  <c r="E161" i="1"/>
  <c r="D161" i="1"/>
  <c r="C161" i="1"/>
  <c r="A161" i="1"/>
  <c r="AC160" i="1"/>
  <c r="AB160" i="1"/>
  <c r="AA160" i="1"/>
  <c r="Z160" i="1"/>
  <c r="Y160" i="1"/>
  <c r="X160" i="1"/>
  <c r="W160" i="1"/>
  <c r="V160" i="1"/>
  <c r="U160" i="1"/>
  <c r="T160" i="1"/>
  <c r="L160" i="1"/>
  <c r="I160" i="1"/>
  <c r="A160" i="1"/>
  <c r="AC159" i="1"/>
  <c r="AB159" i="1"/>
  <c r="AA159" i="1"/>
  <c r="Z159" i="1"/>
  <c r="Y159" i="1"/>
  <c r="X159" i="1"/>
  <c r="W159" i="1"/>
  <c r="V159" i="1"/>
  <c r="U159" i="1"/>
  <c r="T159" i="1"/>
  <c r="L159" i="1"/>
  <c r="I159" i="1"/>
  <c r="A159" i="1"/>
  <c r="AC158" i="1"/>
  <c r="AB158" i="1"/>
  <c r="AA158" i="1"/>
  <c r="Z158" i="1"/>
  <c r="Y158" i="1"/>
  <c r="X158" i="1"/>
  <c r="W158" i="1"/>
  <c r="V158" i="1"/>
  <c r="U158" i="1"/>
  <c r="T158" i="1"/>
  <c r="L158" i="1"/>
  <c r="I158" i="1"/>
  <c r="A158" i="1"/>
  <c r="AC157" i="1"/>
  <c r="AB157" i="1"/>
  <c r="AA157" i="1"/>
  <c r="Z157" i="1"/>
  <c r="Y157" i="1"/>
  <c r="X157" i="1"/>
  <c r="W157" i="1"/>
  <c r="V157" i="1"/>
  <c r="U157" i="1"/>
  <c r="T157" i="1"/>
  <c r="L157" i="1"/>
  <c r="I157" i="1"/>
  <c r="A157" i="1"/>
  <c r="AC156" i="1"/>
  <c r="AB156" i="1"/>
  <c r="AA156" i="1"/>
  <c r="Z156" i="1"/>
  <c r="Y156" i="1"/>
  <c r="X156" i="1"/>
  <c r="W156" i="1"/>
  <c r="V156" i="1"/>
  <c r="U156" i="1"/>
  <c r="T156" i="1"/>
  <c r="L156" i="1"/>
  <c r="I156" i="1"/>
  <c r="A156" i="1"/>
  <c r="AC155" i="1"/>
  <c r="AB155" i="1"/>
  <c r="AA155" i="1"/>
  <c r="Z155" i="1"/>
  <c r="Y155" i="1"/>
  <c r="X155" i="1"/>
  <c r="W155" i="1"/>
  <c r="V155" i="1"/>
  <c r="U155" i="1"/>
  <c r="T155" i="1"/>
  <c r="L155" i="1"/>
  <c r="I155" i="1"/>
  <c r="A155" i="1"/>
  <c r="AC154" i="1"/>
  <c r="AB154" i="1"/>
  <c r="AA154" i="1"/>
  <c r="Z154" i="1"/>
  <c r="Y154" i="1"/>
  <c r="X154" i="1"/>
  <c r="W154" i="1"/>
  <c r="V154" i="1"/>
  <c r="U154" i="1"/>
  <c r="T154" i="1"/>
  <c r="L154" i="1"/>
  <c r="I154" i="1"/>
  <c r="A154" i="1"/>
  <c r="AC153" i="1"/>
  <c r="AB153" i="1"/>
  <c r="AA153" i="1"/>
  <c r="Z153" i="1"/>
  <c r="Y153" i="1"/>
  <c r="X153" i="1"/>
  <c r="W153" i="1"/>
  <c r="V153" i="1"/>
  <c r="U153" i="1"/>
  <c r="T153" i="1"/>
  <c r="L153" i="1"/>
  <c r="I153" i="1"/>
  <c r="A153" i="1"/>
  <c r="AC152" i="1"/>
  <c r="AB152" i="1"/>
  <c r="AA152" i="1"/>
  <c r="Z152" i="1"/>
  <c r="Y152" i="1"/>
  <c r="X152" i="1"/>
  <c r="W152" i="1"/>
  <c r="V152" i="1"/>
  <c r="U152" i="1"/>
  <c r="T152" i="1"/>
  <c r="L152" i="1"/>
  <c r="I152" i="1"/>
  <c r="A152" i="1"/>
  <c r="AC151" i="1"/>
  <c r="AB151" i="1"/>
  <c r="AA151" i="1"/>
  <c r="Z151" i="1"/>
  <c r="Y151" i="1"/>
  <c r="X151" i="1"/>
  <c r="W151" i="1"/>
  <c r="V151" i="1"/>
  <c r="U151" i="1"/>
  <c r="T151" i="1"/>
  <c r="L151" i="1"/>
  <c r="I151" i="1"/>
  <c r="A151" i="1"/>
  <c r="AC150" i="1"/>
  <c r="AB150" i="1"/>
  <c r="AA150" i="1"/>
  <c r="Z150" i="1"/>
  <c r="Y150" i="1"/>
  <c r="X150" i="1"/>
  <c r="W150" i="1"/>
  <c r="V150" i="1"/>
  <c r="U150" i="1"/>
  <c r="T150" i="1"/>
  <c r="L150" i="1"/>
  <c r="I150" i="1"/>
  <c r="A150" i="1"/>
  <c r="AC149" i="1"/>
  <c r="AB149" i="1"/>
  <c r="AA149" i="1"/>
  <c r="Z149" i="1"/>
  <c r="Y149" i="1"/>
  <c r="X149" i="1"/>
  <c r="W149" i="1"/>
  <c r="V149" i="1"/>
  <c r="U149" i="1"/>
  <c r="T149" i="1"/>
  <c r="L149" i="1"/>
  <c r="I149" i="1"/>
  <c r="A149" i="1"/>
  <c r="AC148" i="1"/>
  <c r="AB148" i="1"/>
  <c r="AA148" i="1"/>
  <c r="Z148" i="1"/>
  <c r="Y148" i="1"/>
  <c r="X148" i="1"/>
  <c r="W148" i="1"/>
  <c r="V148" i="1"/>
  <c r="U148" i="1"/>
  <c r="T148" i="1"/>
  <c r="L148" i="1"/>
  <c r="K148" i="1"/>
  <c r="J148" i="1"/>
  <c r="I148" i="1"/>
  <c r="H148" i="1"/>
  <c r="G148" i="1"/>
  <c r="F148" i="1"/>
  <c r="E148" i="1"/>
  <c r="D148" i="1"/>
  <c r="C148" i="1"/>
  <c r="A148" i="1"/>
  <c r="AC147" i="1"/>
  <c r="AB147" i="1"/>
  <c r="AA147" i="1"/>
  <c r="Z147" i="1"/>
  <c r="Y147" i="1"/>
  <c r="X147" i="1"/>
  <c r="W147" i="1"/>
  <c r="V147" i="1"/>
  <c r="U147" i="1"/>
  <c r="T147" i="1"/>
  <c r="L147" i="1"/>
  <c r="A147" i="1"/>
  <c r="AC146" i="1"/>
  <c r="AB146" i="1"/>
  <c r="AA146" i="1"/>
  <c r="Z146" i="1"/>
  <c r="Y146" i="1"/>
  <c r="X146" i="1"/>
  <c r="W146" i="1"/>
  <c r="V146" i="1"/>
  <c r="U146" i="1"/>
  <c r="T146" i="1"/>
  <c r="L146" i="1"/>
  <c r="A146" i="1"/>
  <c r="AC145" i="1"/>
  <c r="AB145" i="1"/>
  <c r="AA145" i="1"/>
  <c r="Z145" i="1"/>
  <c r="Y145" i="1"/>
  <c r="X145" i="1"/>
  <c r="W145" i="1"/>
  <c r="V145" i="1"/>
  <c r="U145" i="1"/>
  <c r="T145" i="1"/>
  <c r="L145" i="1"/>
  <c r="A145" i="1"/>
  <c r="AC144" i="1"/>
  <c r="AB144" i="1"/>
  <c r="AA144" i="1"/>
  <c r="Z144" i="1"/>
  <c r="Y144" i="1"/>
  <c r="X144" i="1"/>
  <c r="W144" i="1"/>
  <c r="V144" i="1"/>
  <c r="U144" i="1"/>
  <c r="T144" i="1"/>
  <c r="L144" i="1"/>
  <c r="A144" i="1"/>
  <c r="AC143" i="1"/>
  <c r="AB143" i="1"/>
  <c r="AA143" i="1"/>
  <c r="Z143" i="1"/>
  <c r="Y143" i="1"/>
  <c r="X143" i="1"/>
  <c r="W143" i="1"/>
  <c r="V143" i="1"/>
  <c r="U143" i="1"/>
  <c r="T143" i="1"/>
  <c r="L143" i="1"/>
  <c r="A143" i="1"/>
  <c r="AC142" i="1"/>
  <c r="AB142" i="1"/>
  <c r="AA142" i="1"/>
  <c r="Z142" i="1"/>
  <c r="Y142" i="1"/>
  <c r="X142" i="1"/>
  <c r="W142" i="1"/>
  <c r="V142" i="1"/>
  <c r="U142" i="1"/>
  <c r="T142" i="1"/>
  <c r="L142" i="1"/>
  <c r="A142" i="1"/>
  <c r="AC141" i="1"/>
  <c r="AB141" i="1"/>
  <c r="AA141" i="1"/>
  <c r="Z141" i="1"/>
  <c r="Y141" i="1"/>
  <c r="X141" i="1"/>
  <c r="W141" i="1"/>
  <c r="V141" i="1"/>
  <c r="U141" i="1"/>
  <c r="T141" i="1"/>
  <c r="L141" i="1"/>
  <c r="A141" i="1"/>
  <c r="AC140" i="1"/>
  <c r="AB140" i="1"/>
  <c r="AA140" i="1"/>
  <c r="Z140" i="1"/>
  <c r="Y140" i="1"/>
  <c r="X140" i="1"/>
  <c r="W140" i="1"/>
  <c r="V140" i="1"/>
  <c r="U140" i="1"/>
  <c r="T140" i="1"/>
  <c r="L140" i="1"/>
  <c r="A140" i="1"/>
  <c r="AC139" i="1"/>
  <c r="AB139" i="1"/>
  <c r="AA139" i="1"/>
  <c r="Z139" i="1"/>
  <c r="Y139" i="1"/>
  <c r="X139" i="1"/>
  <c r="W139" i="1"/>
  <c r="V139" i="1"/>
  <c r="U139" i="1"/>
  <c r="T139" i="1"/>
  <c r="L139" i="1"/>
  <c r="A139" i="1"/>
  <c r="AC138" i="1"/>
  <c r="AB138" i="1"/>
  <c r="AA138" i="1"/>
  <c r="Z138" i="1"/>
  <c r="Y138" i="1"/>
  <c r="X138" i="1"/>
  <c r="W138" i="1"/>
  <c r="V138" i="1"/>
  <c r="U138" i="1"/>
  <c r="T138" i="1"/>
  <c r="L138" i="1"/>
  <c r="A138" i="1"/>
  <c r="AC137" i="1"/>
  <c r="AB137" i="1"/>
  <c r="AA137" i="1"/>
  <c r="Z137" i="1"/>
  <c r="Y137" i="1"/>
  <c r="X137" i="1"/>
  <c r="W137" i="1"/>
  <c r="V137" i="1"/>
  <c r="U137" i="1"/>
  <c r="T137" i="1"/>
  <c r="L137" i="1"/>
  <c r="A137" i="1"/>
  <c r="AC136" i="1"/>
  <c r="AB136" i="1"/>
  <c r="AA136" i="1"/>
  <c r="Z136" i="1"/>
  <c r="Y136" i="1"/>
  <c r="X136" i="1"/>
  <c r="W136" i="1"/>
  <c r="V136" i="1"/>
  <c r="U136" i="1"/>
  <c r="T136" i="1"/>
  <c r="L136" i="1"/>
  <c r="AC135" i="1"/>
  <c r="AB135" i="1"/>
  <c r="AA135" i="1"/>
  <c r="Z135" i="1"/>
  <c r="Y135" i="1"/>
  <c r="X135" i="1"/>
  <c r="W135" i="1"/>
  <c r="V135" i="1"/>
  <c r="U135" i="1"/>
  <c r="T135" i="1"/>
  <c r="L135" i="1"/>
  <c r="K135" i="1"/>
  <c r="J135" i="1"/>
  <c r="I135" i="1"/>
  <c r="H135" i="1"/>
  <c r="G135" i="1"/>
  <c r="F135" i="1"/>
  <c r="E135" i="1"/>
  <c r="D135" i="1"/>
  <c r="C135" i="1"/>
  <c r="AC134" i="1"/>
  <c r="AB134" i="1"/>
  <c r="AA134" i="1"/>
  <c r="Z134" i="1"/>
  <c r="Y134" i="1"/>
  <c r="X134" i="1"/>
  <c r="W134" i="1"/>
  <c r="V134" i="1"/>
  <c r="U134" i="1"/>
  <c r="T134" i="1"/>
  <c r="L134" i="1"/>
  <c r="I134" i="1"/>
  <c r="A134" i="1"/>
  <c r="AC133" i="1"/>
  <c r="AB133" i="1"/>
  <c r="AA133" i="1"/>
  <c r="Z133" i="1"/>
  <c r="Y133" i="1"/>
  <c r="X133" i="1"/>
  <c r="W133" i="1"/>
  <c r="V133" i="1"/>
  <c r="U133" i="1"/>
  <c r="T133" i="1"/>
  <c r="L133" i="1"/>
  <c r="I133" i="1"/>
  <c r="A133" i="1"/>
  <c r="AC132" i="1"/>
  <c r="AB132" i="1"/>
  <c r="AA132" i="1"/>
  <c r="Z132" i="1"/>
  <c r="Y132" i="1"/>
  <c r="X132" i="1"/>
  <c r="W132" i="1"/>
  <c r="V132" i="1"/>
  <c r="U132" i="1"/>
  <c r="T132" i="1"/>
  <c r="L132" i="1"/>
  <c r="I132" i="1"/>
  <c r="AC131" i="1"/>
  <c r="AB131" i="1"/>
  <c r="AA131" i="1"/>
  <c r="Z131" i="1"/>
  <c r="Y131" i="1"/>
  <c r="X131" i="1"/>
  <c r="W131" i="1"/>
  <c r="V131" i="1"/>
  <c r="U131" i="1"/>
  <c r="T131" i="1"/>
  <c r="L131" i="1"/>
  <c r="I131" i="1"/>
  <c r="AE129" i="1"/>
  <c r="S129" i="1"/>
  <c r="B129" i="1"/>
  <c r="AC126" i="1"/>
  <c r="AB126" i="1"/>
  <c r="AA126" i="1"/>
  <c r="Z126" i="1"/>
  <c r="Y126" i="1"/>
  <c r="X126" i="1"/>
  <c r="W126" i="1"/>
  <c r="V126" i="1"/>
  <c r="U126" i="1"/>
  <c r="T126" i="1"/>
  <c r="L126" i="1"/>
  <c r="K126" i="1"/>
  <c r="J126" i="1"/>
  <c r="I126" i="1"/>
  <c r="H126" i="1"/>
  <c r="G126" i="1"/>
  <c r="F126" i="1"/>
  <c r="E126" i="1"/>
  <c r="D126" i="1"/>
  <c r="C126" i="1"/>
  <c r="AC125" i="1"/>
  <c r="AB125" i="1"/>
  <c r="AA125" i="1"/>
  <c r="Z125" i="1"/>
  <c r="Y125" i="1"/>
  <c r="X125" i="1"/>
  <c r="W125" i="1"/>
  <c r="V125" i="1"/>
  <c r="U125" i="1"/>
  <c r="T125" i="1"/>
  <c r="L125" i="1"/>
  <c r="I125" i="1"/>
  <c r="C125" i="1"/>
  <c r="A125" i="1"/>
  <c r="AC124" i="1"/>
  <c r="AB124" i="1"/>
  <c r="AA124" i="1"/>
  <c r="Z124" i="1"/>
  <c r="Y124" i="1"/>
  <c r="X124" i="1"/>
  <c r="W124" i="1"/>
  <c r="V124" i="1"/>
  <c r="U124" i="1"/>
  <c r="T124" i="1"/>
  <c r="L124" i="1"/>
  <c r="I124" i="1"/>
  <c r="A124" i="1"/>
  <c r="AC123" i="1"/>
  <c r="AB123" i="1"/>
  <c r="AA123" i="1"/>
  <c r="Z123" i="1"/>
  <c r="Y123" i="1"/>
  <c r="X123" i="1"/>
  <c r="W123" i="1"/>
  <c r="V123" i="1"/>
  <c r="U123" i="1"/>
  <c r="T123" i="1"/>
  <c r="L123" i="1"/>
  <c r="I123" i="1"/>
  <c r="A123" i="1"/>
  <c r="AC122" i="1"/>
  <c r="AB122" i="1"/>
  <c r="AA122" i="1"/>
  <c r="Z122" i="1"/>
  <c r="Y122" i="1"/>
  <c r="X122" i="1"/>
  <c r="W122" i="1"/>
  <c r="V122" i="1"/>
  <c r="U122" i="1"/>
  <c r="T122" i="1"/>
  <c r="L122" i="1"/>
  <c r="I122" i="1"/>
  <c r="A122" i="1"/>
  <c r="AC121" i="1"/>
  <c r="AB121" i="1"/>
  <c r="AA121" i="1"/>
  <c r="Z121" i="1"/>
  <c r="Y121" i="1"/>
  <c r="X121" i="1"/>
  <c r="W121" i="1"/>
  <c r="V121" i="1"/>
  <c r="U121" i="1"/>
  <c r="T121" i="1"/>
  <c r="L121" i="1"/>
  <c r="I121" i="1"/>
  <c r="A121" i="1"/>
  <c r="AC120" i="1"/>
  <c r="AB120" i="1"/>
  <c r="AA120" i="1"/>
  <c r="Z120" i="1"/>
  <c r="Y120" i="1"/>
  <c r="X120" i="1"/>
  <c r="W120" i="1"/>
  <c r="V120" i="1"/>
  <c r="U120" i="1"/>
  <c r="T120" i="1"/>
  <c r="L120" i="1"/>
  <c r="K120" i="1"/>
  <c r="J120" i="1"/>
  <c r="I120" i="1"/>
  <c r="H120" i="1"/>
  <c r="G120" i="1"/>
  <c r="F120" i="1"/>
  <c r="E120" i="1"/>
  <c r="D120" i="1"/>
  <c r="C120" i="1"/>
  <c r="A120" i="1"/>
  <c r="AC119" i="1"/>
  <c r="AB119" i="1"/>
  <c r="AA119" i="1"/>
  <c r="Z119" i="1"/>
  <c r="Y119" i="1"/>
  <c r="X119" i="1"/>
  <c r="W119" i="1"/>
  <c r="V119" i="1"/>
  <c r="U119" i="1"/>
  <c r="T119" i="1"/>
  <c r="L119" i="1"/>
  <c r="I119" i="1"/>
  <c r="A119" i="1"/>
  <c r="AC118" i="1"/>
  <c r="AB118" i="1"/>
  <c r="AA118" i="1"/>
  <c r="Z118" i="1"/>
  <c r="Y118" i="1"/>
  <c r="X118" i="1"/>
  <c r="W118" i="1"/>
  <c r="V118" i="1"/>
  <c r="U118" i="1"/>
  <c r="T118" i="1"/>
  <c r="L118" i="1"/>
  <c r="I118" i="1"/>
  <c r="A118" i="1"/>
  <c r="AC117" i="1"/>
  <c r="AB117" i="1"/>
  <c r="AA117" i="1"/>
  <c r="Z117" i="1"/>
  <c r="Y117" i="1"/>
  <c r="X117" i="1"/>
  <c r="W117" i="1"/>
  <c r="V117" i="1"/>
  <c r="U117" i="1"/>
  <c r="T117" i="1"/>
  <c r="L117" i="1"/>
  <c r="I117" i="1"/>
  <c r="A117" i="1"/>
  <c r="AC116" i="1"/>
  <c r="AB116" i="1"/>
  <c r="AA116" i="1"/>
  <c r="Z116" i="1"/>
  <c r="Y116" i="1"/>
  <c r="X116" i="1"/>
  <c r="W116" i="1"/>
  <c r="V116" i="1"/>
  <c r="U116" i="1"/>
  <c r="T116" i="1"/>
  <c r="L116" i="1"/>
  <c r="I116" i="1"/>
  <c r="A116" i="1"/>
  <c r="AC115" i="1"/>
  <c r="AB115" i="1"/>
  <c r="AA115" i="1"/>
  <c r="Z115" i="1"/>
  <c r="Y115" i="1"/>
  <c r="X115" i="1"/>
  <c r="W115" i="1"/>
  <c r="V115" i="1"/>
  <c r="U115" i="1"/>
  <c r="T115" i="1"/>
  <c r="L115" i="1"/>
  <c r="I115" i="1"/>
  <c r="A115" i="1"/>
  <c r="AC114" i="1"/>
  <c r="AB114" i="1"/>
  <c r="AA114" i="1"/>
  <c r="Z114" i="1"/>
  <c r="Y114" i="1"/>
  <c r="X114" i="1"/>
  <c r="W114" i="1"/>
  <c r="V114" i="1"/>
  <c r="U114" i="1"/>
  <c r="T114" i="1"/>
  <c r="L114" i="1"/>
  <c r="I114" i="1"/>
  <c r="A114" i="1"/>
  <c r="AC113" i="1"/>
  <c r="AB113" i="1"/>
  <c r="AA113" i="1"/>
  <c r="Z113" i="1"/>
  <c r="Y113" i="1"/>
  <c r="X113" i="1"/>
  <c r="W113" i="1"/>
  <c r="V113" i="1"/>
  <c r="U113" i="1"/>
  <c r="T113" i="1"/>
  <c r="L113" i="1"/>
  <c r="I113" i="1"/>
  <c r="A113" i="1"/>
  <c r="AC112" i="1"/>
  <c r="AB112" i="1"/>
  <c r="AA112" i="1"/>
  <c r="Z112" i="1"/>
  <c r="Y112" i="1"/>
  <c r="X112" i="1"/>
  <c r="W112" i="1"/>
  <c r="V112" i="1"/>
  <c r="U112" i="1"/>
  <c r="T112" i="1"/>
  <c r="L112" i="1"/>
  <c r="I112" i="1"/>
  <c r="A112" i="1"/>
  <c r="AC111" i="1"/>
  <c r="AB111" i="1"/>
  <c r="AA111" i="1"/>
  <c r="Z111" i="1"/>
  <c r="Y111" i="1"/>
  <c r="X111" i="1"/>
  <c r="W111" i="1"/>
  <c r="V111" i="1"/>
  <c r="U111" i="1"/>
  <c r="T111" i="1"/>
  <c r="L111" i="1"/>
  <c r="I111" i="1"/>
  <c r="A111" i="1"/>
  <c r="AC110" i="1"/>
  <c r="AB110" i="1"/>
  <c r="AA110" i="1"/>
  <c r="Z110" i="1"/>
  <c r="Y110" i="1"/>
  <c r="X110" i="1"/>
  <c r="W110" i="1"/>
  <c r="V110" i="1"/>
  <c r="U110" i="1"/>
  <c r="T110" i="1"/>
  <c r="L110" i="1"/>
  <c r="I110" i="1"/>
  <c r="A110" i="1"/>
  <c r="AC109" i="1"/>
  <c r="AB109" i="1"/>
  <c r="AA109" i="1"/>
  <c r="Z109" i="1"/>
  <c r="Y109" i="1"/>
  <c r="X109" i="1"/>
  <c r="W109" i="1"/>
  <c r="V109" i="1"/>
  <c r="U109" i="1"/>
  <c r="T109" i="1"/>
  <c r="L109" i="1"/>
  <c r="I109" i="1"/>
  <c r="A109" i="1"/>
  <c r="AC108" i="1"/>
  <c r="AB108" i="1"/>
  <c r="AA108" i="1"/>
  <c r="Z108" i="1"/>
  <c r="Y108" i="1"/>
  <c r="X108" i="1"/>
  <c r="W108" i="1"/>
  <c r="V108" i="1"/>
  <c r="U108" i="1"/>
  <c r="T108" i="1"/>
  <c r="L108" i="1"/>
  <c r="I108" i="1"/>
  <c r="A108" i="1"/>
  <c r="AC107" i="1"/>
  <c r="AB107" i="1"/>
  <c r="AA107" i="1"/>
  <c r="Z107" i="1"/>
  <c r="Y107" i="1"/>
  <c r="X107" i="1"/>
  <c r="W107" i="1"/>
  <c r="V107" i="1"/>
  <c r="U107" i="1"/>
  <c r="T107" i="1"/>
  <c r="L107" i="1"/>
  <c r="K107" i="1"/>
  <c r="J107" i="1"/>
  <c r="I107" i="1"/>
  <c r="H107" i="1"/>
  <c r="G107" i="1"/>
  <c r="F107" i="1"/>
  <c r="E107" i="1"/>
  <c r="D107" i="1"/>
  <c r="C107" i="1"/>
  <c r="A107" i="1"/>
  <c r="AC106" i="1"/>
  <c r="AB106" i="1"/>
  <c r="AA106" i="1"/>
  <c r="Z106" i="1"/>
  <c r="Y106" i="1"/>
  <c r="X106" i="1"/>
  <c r="W106" i="1"/>
  <c r="V106" i="1"/>
  <c r="U106" i="1"/>
  <c r="T106" i="1"/>
  <c r="L106" i="1"/>
  <c r="I106" i="1"/>
  <c r="A106" i="1"/>
  <c r="AC105" i="1"/>
  <c r="AB105" i="1"/>
  <c r="AA105" i="1"/>
  <c r="Z105" i="1"/>
  <c r="Y105" i="1"/>
  <c r="X105" i="1"/>
  <c r="W105" i="1"/>
  <c r="V105" i="1"/>
  <c r="U105" i="1"/>
  <c r="T105" i="1"/>
  <c r="L105" i="1"/>
  <c r="I105" i="1"/>
  <c r="A105" i="1"/>
  <c r="AC104" i="1"/>
  <c r="AB104" i="1"/>
  <c r="AA104" i="1"/>
  <c r="Z104" i="1"/>
  <c r="Y104" i="1"/>
  <c r="X104" i="1"/>
  <c r="W104" i="1"/>
  <c r="V104" i="1"/>
  <c r="U104" i="1"/>
  <c r="T104" i="1"/>
  <c r="L104" i="1"/>
  <c r="I104" i="1"/>
  <c r="A104" i="1"/>
  <c r="AC103" i="1"/>
  <c r="AB103" i="1"/>
  <c r="AA103" i="1"/>
  <c r="Z103" i="1"/>
  <c r="Y103" i="1"/>
  <c r="X103" i="1"/>
  <c r="W103" i="1"/>
  <c r="V103" i="1"/>
  <c r="U103" i="1"/>
  <c r="T103" i="1"/>
  <c r="L103" i="1"/>
  <c r="I103" i="1"/>
  <c r="A103" i="1"/>
  <c r="AC102" i="1"/>
  <c r="AB102" i="1"/>
  <c r="AA102" i="1"/>
  <c r="Z102" i="1"/>
  <c r="Y102" i="1"/>
  <c r="X102" i="1"/>
  <c r="W102" i="1"/>
  <c r="V102" i="1"/>
  <c r="U102" i="1"/>
  <c r="T102" i="1"/>
  <c r="L102" i="1"/>
  <c r="I102" i="1"/>
  <c r="A102" i="1"/>
  <c r="AC101" i="1"/>
  <c r="AB101" i="1"/>
  <c r="AA101" i="1"/>
  <c r="Z101" i="1"/>
  <c r="Y101" i="1"/>
  <c r="X101" i="1"/>
  <c r="W101" i="1"/>
  <c r="V101" i="1"/>
  <c r="U101" i="1"/>
  <c r="T101" i="1"/>
  <c r="L101" i="1"/>
  <c r="I101" i="1"/>
  <c r="A101" i="1"/>
  <c r="AC100" i="1"/>
  <c r="AB100" i="1"/>
  <c r="AA100" i="1"/>
  <c r="Z100" i="1"/>
  <c r="Y100" i="1"/>
  <c r="X100" i="1"/>
  <c r="W100" i="1"/>
  <c r="V100" i="1"/>
  <c r="U100" i="1"/>
  <c r="T100" i="1"/>
  <c r="L100" i="1"/>
  <c r="I100" i="1"/>
  <c r="A100" i="1"/>
  <c r="AC99" i="1"/>
  <c r="AB99" i="1"/>
  <c r="AA99" i="1"/>
  <c r="Z99" i="1"/>
  <c r="Y99" i="1"/>
  <c r="X99" i="1"/>
  <c r="W99" i="1"/>
  <c r="V99" i="1"/>
  <c r="U99" i="1"/>
  <c r="T99" i="1"/>
  <c r="L99" i="1"/>
  <c r="I99" i="1"/>
  <c r="A99" i="1"/>
  <c r="AC98" i="1"/>
  <c r="AB98" i="1"/>
  <c r="AA98" i="1"/>
  <c r="Z98" i="1"/>
  <c r="Y98" i="1"/>
  <c r="X98" i="1"/>
  <c r="W98" i="1"/>
  <c r="V98" i="1"/>
  <c r="U98" i="1"/>
  <c r="T98" i="1"/>
  <c r="L98" i="1"/>
  <c r="I98" i="1"/>
  <c r="A98" i="1"/>
  <c r="AC97" i="1"/>
  <c r="AB97" i="1"/>
  <c r="AA97" i="1"/>
  <c r="Z97" i="1"/>
  <c r="Y97" i="1"/>
  <c r="X97" i="1"/>
  <c r="W97" i="1"/>
  <c r="V97" i="1"/>
  <c r="U97" i="1"/>
  <c r="T97" i="1"/>
  <c r="L97" i="1"/>
  <c r="I97" i="1"/>
  <c r="A97" i="1"/>
  <c r="AC96" i="1"/>
  <c r="AB96" i="1"/>
  <c r="AA96" i="1"/>
  <c r="Z96" i="1"/>
  <c r="Y96" i="1"/>
  <c r="X96" i="1"/>
  <c r="W96" i="1"/>
  <c r="V96" i="1"/>
  <c r="U96" i="1"/>
  <c r="T96" i="1"/>
  <c r="L96" i="1"/>
  <c r="I96" i="1"/>
  <c r="A96" i="1"/>
  <c r="AC95" i="1"/>
  <c r="AB95" i="1"/>
  <c r="AA95" i="1"/>
  <c r="Z95" i="1"/>
  <c r="Y95" i="1"/>
  <c r="X95" i="1"/>
  <c r="W95" i="1"/>
  <c r="V95" i="1"/>
  <c r="U95" i="1"/>
  <c r="T95" i="1"/>
  <c r="L95" i="1"/>
  <c r="I95" i="1"/>
  <c r="AC94" i="1"/>
  <c r="AB94" i="1"/>
  <c r="AA94" i="1"/>
  <c r="Z94" i="1"/>
  <c r="Y94" i="1"/>
  <c r="X94" i="1"/>
  <c r="W94" i="1"/>
  <c r="V94" i="1"/>
  <c r="U94" i="1"/>
  <c r="T94" i="1"/>
  <c r="L94" i="1"/>
  <c r="K94" i="1"/>
  <c r="J94" i="1"/>
  <c r="I94" i="1"/>
  <c r="H94" i="1"/>
  <c r="G94" i="1"/>
  <c r="F94" i="1"/>
  <c r="E94" i="1"/>
  <c r="D94" i="1"/>
  <c r="C94" i="1"/>
  <c r="AC93" i="1"/>
  <c r="AB93" i="1"/>
  <c r="AA93" i="1"/>
  <c r="Z93" i="1"/>
  <c r="Y93" i="1"/>
  <c r="X93" i="1"/>
  <c r="W93" i="1"/>
  <c r="V93" i="1"/>
  <c r="U93" i="1"/>
  <c r="T93" i="1"/>
  <c r="L93" i="1"/>
  <c r="I93" i="1"/>
  <c r="A93" i="1"/>
  <c r="AC92" i="1"/>
  <c r="AB92" i="1"/>
  <c r="AA92" i="1"/>
  <c r="Z92" i="1"/>
  <c r="Y92" i="1"/>
  <c r="X92" i="1"/>
  <c r="W92" i="1"/>
  <c r="V92" i="1"/>
  <c r="U92" i="1"/>
  <c r="T92" i="1"/>
  <c r="L92" i="1"/>
  <c r="I92" i="1"/>
  <c r="A92" i="1"/>
  <c r="AC91" i="1"/>
  <c r="AB91" i="1"/>
  <c r="AA91" i="1"/>
  <c r="Z91" i="1"/>
  <c r="Y91" i="1"/>
  <c r="X91" i="1"/>
  <c r="W91" i="1"/>
  <c r="V91" i="1"/>
  <c r="U91" i="1"/>
  <c r="T91" i="1"/>
  <c r="L91" i="1"/>
  <c r="I91" i="1"/>
  <c r="AC90" i="1"/>
  <c r="AB90" i="1"/>
  <c r="AA90" i="1"/>
  <c r="Z90" i="1"/>
  <c r="Y90" i="1"/>
  <c r="X90" i="1"/>
  <c r="W90" i="1"/>
  <c r="V90" i="1"/>
  <c r="U90" i="1"/>
  <c r="T90" i="1"/>
  <c r="L90" i="1"/>
  <c r="I90" i="1"/>
  <c r="AE88" i="1"/>
  <c r="S88" i="1"/>
  <c r="B88" i="1"/>
  <c r="AC84" i="1"/>
  <c r="AB84" i="1"/>
  <c r="AA84" i="1"/>
  <c r="Z84" i="1"/>
  <c r="Y84" i="1"/>
  <c r="X84" i="1"/>
  <c r="W84" i="1"/>
  <c r="V84" i="1"/>
  <c r="U84" i="1"/>
  <c r="T84" i="1"/>
  <c r="L84" i="1"/>
  <c r="K84" i="1"/>
  <c r="J84" i="1"/>
  <c r="I84" i="1"/>
  <c r="H84" i="1"/>
  <c r="G84" i="1"/>
  <c r="F84" i="1"/>
  <c r="E84" i="1"/>
  <c r="D84" i="1"/>
  <c r="C84" i="1"/>
  <c r="AC83" i="1"/>
  <c r="AB83" i="1"/>
  <c r="AA83" i="1"/>
  <c r="Z83" i="1"/>
  <c r="Y83" i="1"/>
  <c r="X83" i="1"/>
  <c r="W83" i="1"/>
  <c r="V83" i="1"/>
  <c r="U83" i="1"/>
  <c r="T83" i="1"/>
  <c r="L83" i="1"/>
  <c r="I83" i="1"/>
  <c r="C83" i="1"/>
  <c r="A83" i="1"/>
  <c r="AC82" i="1"/>
  <c r="AB82" i="1"/>
  <c r="AA82" i="1"/>
  <c r="Z82" i="1"/>
  <c r="Y82" i="1"/>
  <c r="X82" i="1"/>
  <c r="W82" i="1"/>
  <c r="V82" i="1"/>
  <c r="U82" i="1"/>
  <c r="T82" i="1"/>
  <c r="L82" i="1"/>
  <c r="I82" i="1"/>
  <c r="A82" i="1"/>
  <c r="AC81" i="1"/>
  <c r="AB81" i="1"/>
  <c r="AA81" i="1"/>
  <c r="Z81" i="1"/>
  <c r="Y81" i="1"/>
  <c r="X81" i="1"/>
  <c r="W81" i="1"/>
  <c r="V81" i="1"/>
  <c r="U81" i="1"/>
  <c r="T81" i="1"/>
  <c r="L81" i="1"/>
  <c r="I81" i="1"/>
  <c r="A81" i="1"/>
  <c r="AC80" i="1"/>
  <c r="AB80" i="1"/>
  <c r="AA80" i="1"/>
  <c r="Z80" i="1"/>
  <c r="Y80" i="1"/>
  <c r="X80" i="1"/>
  <c r="W80" i="1"/>
  <c r="V80" i="1"/>
  <c r="U80" i="1"/>
  <c r="T80" i="1"/>
  <c r="L80" i="1"/>
  <c r="I80" i="1"/>
  <c r="A80" i="1"/>
  <c r="AC79" i="1"/>
  <c r="AB79" i="1"/>
  <c r="AA79" i="1"/>
  <c r="Z79" i="1"/>
  <c r="Y79" i="1"/>
  <c r="X79" i="1"/>
  <c r="W79" i="1"/>
  <c r="V79" i="1"/>
  <c r="U79" i="1"/>
  <c r="T79" i="1"/>
  <c r="L79" i="1"/>
  <c r="I79" i="1"/>
  <c r="A79" i="1"/>
  <c r="AC78" i="1"/>
  <c r="AB78" i="1"/>
  <c r="AA78" i="1"/>
  <c r="Z78" i="1"/>
  <c r="Y78" i="1"/>
  <c r="X78" i="1"/>
  <c r="W78" i="1"/>
  <c r="V78" i="1"/>
  <c r="U78" i="1"/>
  <c r="T78" i="1"/>
  <c r="L78" i="1"/>
  <c r="K78" i="1"/>
  <c r="J78" i="1"/>
  <c r="I78" i="1"/>
  <c r="H78" i="1"/>
  <c r="G78" i="1"/>
  <c r="F78" i="1"/>
  <c r="E78" i="1"/>
  <c r="D78" i="1"/>
  <c r="C78" i="1"/>
  <c r="A78" i="1"/>
  <c r="AC77" i="1"/>
  <c r="AB77" i="1"/>
  <c r="AA77" i="1"/>
  <c r="Z77" i="1"/>
  <c r="Y77" i="1"/>
  <c r="X77" i="1"/>
  <c r="W77" i="1"/>
  <c r="V77" i="1"/>
  <c r="U77" i="1"/>
  <c r="T77" i="1"/>
  <c r="L77" i="1"/>
  <c r="I77" i="1"/>
  <c r="A77" i="1"/>
  <c r="AC76" i="1"/>
  <c r="AB76" i="1"/>
  <c r="AA76" i="1"/>
  <c r="Z76" i="1"/>
  <c r="Y76" i="1"/>
  <c r="X76" i="1"/>
  <c r="W76" i="1"/>
  <c r="V76" i="1"/>
  <c r="U76" i="1"/>
  <c r="T76" i="1"/>
  <c r="L76" i="1"/>
  <c r="I76" i="1"/>
  <c r="A76" i="1"/>
  <c r="AC75" i="1"/>
  <c r="AB75" i="1"/>
  <c r="AA75" i="1"/>
  <c r="Z75" i="1"/>
  <c r="Y75" i="1"/>
  <c r="X75" i="1"/>
  <c r="W75" i="1"/>
  <c r="V75" i="1"/>
  <c r="U75" i="1"/>
  <c r="T75" i="1"/>
  <c r="L75" i="1"/>
  <c r="I75" i="1"/>
  <c r="A75" i="1"/>
  <c r="AC74" i="1"/>
  <c r="AB74" i="1"/>
  <c r="AA74" i="1"/>
  <c r="Z74" i="1"/>
  <c r="Y74" i="1"/>
  <c r="X74" i="1"/>
  <c r="W74" i="1"/>
  <c r="V74" i="1"/>
  <c r="U74" i="1"/>
  <c r="T74" i="1"/>
  <c r="L74" i="1"/>
  <c r="I74" i="1"/>
  <c r="A74" i="1"/>
  <c r="AC73" i="1"/>
  <c r="AB73" i="1"/>
  <c r="AA73" i="1"/>
  <c r="Z73" i="1"/>
  <c r="Y73" i="1"/>
  <c r="X73" i="1"/>
  <c r="W73" i="1"/>
  <c r="V73" i="1"/>
  <c r="U73" i="1"/>
  <c r="T73" i="1"/>
  <c r="L73" i="1"/>
  <c r="I73" i="1"/>
  <c r="A73" i="1"/>
  <c r="AC72" i="1"/>
  <c r="AB72" i="1"/>
  <c r="AA72" i="1"/>
  <c r="Z72" i="1"/>
  <c r="Y72" i="1"/>
  <c r="X72" i="1"/>
  <c r="W72" i="1"/>
  <c r="V72" i="1"/>
  <c r="U72" i="1"/>
  <c r="T72" i="1"/>
  <c r="L72" i="1"/>
  <c r="I72" i="1"/>
  <c r="A72" i="1"/>
  <c r="AC71" i="1"/>
  <c r="AB71" i="1"/>
  <c r="AA71" i="1"/>
  <c r="Z71" i="1"/>
  <c r="Y71" i="1"/>
  <c r="X71" i="1"/>
  <c r="W71" i="1"/>
  <c r="V71" i="1"/>
  <c r="U71" i="1"/>
  <c r="T71" i="1"/>
  <c r="L71" i="1"/>
  <c r="I71" i="1"/>
  <c r="A71" i="1"/>
  <c r="AC70" i="1"/>
  <c r="AB70" i="1"/>
  <c r="AA70" i="1"/>
  <c r="Z70" i="1"/>
  <c r="Y70" i="1"/>
  <c r="X70" i="1"/>
  <c r="W70" i="1"/>
  <c r="V70" i="1"/>
  <c r="U70" i="1"/>
  <c r="T70" i="1"/>
  <c r="L70" i="1"/>
  <c r="I70" i="1"/>
  <c r="A70" i="1"/>
  <c r="AC69" i="1"/>
  <c r="AB69" i="1"/>
  <c r="AA69" i="1"/>
  <c r="Z69" i="1"/>
  <c r="Y69" i="1"/>
  <c r="X69" i="1"/>
  <c r="W69" i="1"/>
  <c r="V69" i="1"/>
  <c r="U69" i="1"/>
  <c r="T69" i="1"/>
  <c r="L69" i="1"/>
  <c r="I69" i="1"/>
  <c r="A69" i="1"/>
  <c r="AC68" i="1"/>
  <c r="AB68" i="1"/>
  <c r="AA68" i="1"/>
  <c r="Z68" i="1"/>
  <c r="Y68" i="1"/>
  <c r="X68" i="1"/>
  <c r="W68" i="1"/>
  <c r="V68" i="1"/>
  <c r="U68" i="1"/>
  <c r="T68" i="1"/>
  <c r="L68" i="1"/>
  <c r="I68" i="1"/>
  <c r="A68" i="1"/>
  <c r="AC67" i="1"/>
  <c r="AB67" i="1"/>
  <c r="AA67" i="1"/>
  <c r="Z67" i="1"/>
  <c r="Y67" i="1"/>
  <c r="X67" i="1"/>
  <c r="W67" i="1"/>
  <c r="V67" i="1"/>
  <c r="U67" i="1"/>
  <c r="T67" i="1"/>
  <c r="L67" i="1"/>
  <c r="I67" i="1"/>
  <c r="A67" i="1"/>
  <c r="AC66" i="1"/>
  <c r="AB66" i="1"/>
  <c r="AA66" i="1"/>
  <c r="Z66" i="1"/>
  <c r="Y66" i="1"/>
  <c r="X66" i="1"/>
  <c r="W66" i="1"/>
  <c r="V66" i="1"/>
  <c r="U66" i="1"/>
  <c r="T66" i="1"/>
  <c r="L66" i="1"/>
  <c r="I66" i="1"/>
  <c r="A66" i="1"/>
  <c r="AC65" i="1"/>
  <c r="AB65" i="1"/>
  <c r="AA65" i="1"/>
  <c r="Z65" i="1"/>
  <c r="Y65" i="1"/>
  <c r="X65" i="1"/>
  <c r="W65" i="1"/>
  <c r="V65" i="1"/>
  <c r="U65" i="1"/>
  <c r="T65" i="1"/>
  <c r="L65" i="1"/>
  <c r="K65" i="1"/>
  <c r="J65" i="1"/>
  <c r="I65" i="1"/>
  <c r="H65" i="1"/>
  <c r="G65" i="1"/>
  <c r="F65" i="1"/>
  <c r="E65" i="1"/>
  <c r="D65" i="1"/>
  <c r="C65" i="1"/>
  <c r="A65" i="1"/>
  <c r="AC64" i="1"/>
  <c r="AB64" i="1"/>
  <c r="AA64" i="1"/>
  <c r="Z64" i="1"/>
  <c r="Y64" i="1"/>
  <c r="X64" i="1"/>
  <c r="W64" i="1"/>
  <c r="V64" i="1"/>
  <c r="U64" i="1"/>
  <c r="T64" i="1"/>
  <c r="L64" i="1"/>
  <c r="I64" i="1"/>
  <c r="C64" i="1"/>
  <c r="A64" i="1"/>
  <c r="AC63" i="1"/>
  <c r="AB63" i="1"/>
  <c r="AA63" i="1"/>
  <c r="Z63" i="1"/>
  <c r="Y63" i="1"/>
  <c r="X63" i="1"/>
  <c r="W63" i="1"/>
  <c r="V63" i="1"/>
  <c r="U63" i="1"/>
  <c r="T63" i="1"/>
  <c r="L63" i="1"/>
  <c r="I63" i="1"/>
  <c r="C63" i="1"/>
  <c r="A63" i="1"/>
  <c r="AC62" i="1"/>
  <c r="AB62" i="1"/>
  <c r="AA62" i="1"/>
  <c r="Z62" i="1"/>
  <c r="Y62" i="1"/>
  <c r="X62" i="1"/>
  <c r="W62" i="1"/>
  <c r="V62" i="1"/>
  <c r="U62" i="1"/>
  <c r="T62" i="1"/>
  <c r="L62" i="1"/>
  <c r="I62" i="1"/>
  <c r="C62" i="1"/>
  <c r="A62" i="1"/>
  <c r="AC61" i="1"/>
  <c r="AB61" i="1"/>
  <c r="AA61" i="1"/>
  <c r="Z61" i="1"/>
  <c r="Y61" i="1"/>
  <c r="X61" i="1"/>
  <c r="W61" i="1"/>
  <c r="V61" i="1"/>
  <c r="U61" i="1"/>
  <c r="T61" i="1"/>
  <c r="L61" i="1"/>
  <c r="I61" i="1"/>
  <c r="C61" i="1"/>
  <c r="A61" i="1"/>
  <c r="AC60" i="1"/>
  <c r="AB60" i="1"/>
  <c r="AA60" i="1"/>
  <c r="Z60" i="1"/>
  <c r="Y60" i="1"/>
  <c r="X60" i="1"/>
  <c r="W60" i="1"/>
  <c r="V60" i="1"/>
  <c r="U60" i="1"/>
  <c r="T60" i="1"/>
  <c r="L60" i="1"/>
  <c r="I60" i="1"/>
  <c r="C60" i="1"/>
  <c r="A60" i="1"/>
  <c r="AC59" i="1"/>
  <c r="AB59" i="1"/>
  <c r="AA59" i="1"/>
  <c r="Z59" i="1"/>
  <c r="Y59" i="1"/>
  <c r="X59" i="1"/>
  <c r="W59" i="1"/>
  <c r="V59" i="1"/>
  <c r="U59" i="1"/>
  <c r="T59" i="1"/>
  <c r="L59" i="1"/>
  <c r="I59" i="1"/>
  <c r="C59" i="1"/>
  <c r="A59" i="1"/>
  <c r="AC58" i="1"/>
  <c r="AB58" i="1"/>
  <c r="AA58" i="1"/>
  <c r="Z58" i="1"/>
  <c r="Y58" i="1"/>
  <c r="X58" i="1"/>
  <c r="W58" i="1"/>
  <c r="V58" i="1"/>
  <c r="U58" i="1"/>
  <c r="T58" i="1"/>
  <c r="L58" i="1"/>
  <c r="I58" i="1"/>
  <c r="C58" i="1"/>
  <c r="A58" i="1"/>
  <c r="AC57" i="1"/>
  <c r="AB57" i="1"/>
  <c r="AA57" i="1"/>
  <c r="Z57" i="1"/>
  <c r="Y57" i="1"/>
  <c r="X57" i="1"/>
  <c r="W57" i="1"/>
  <c r="V57" i="1"/>
  <c r="U57" i="1"/>
  <c r="T57" i="1"/>
  <c r="L57" i="1"/>
  <c r="I57" i="1"/>
  <c r="C57" i="1"/>
  <c r="A57" i="1"/>
  <c r="AC56" i="1"/>
  <c r="AB56" i="1"/>
  <c r="AA56" i="1"/>
  <c r="Z56" i="1"/>
  <c r="Y56" i="1"/>
  <c r="X56" i="1"/>
  <c r="W56" i="1"/>
  <c r="V56" i="1"/>
  <c r="U56" i="1"/>
  <c r="T56" i="1"/>
  <c r="L56" i="1"/>
  <c r="I56" i="1"/>
  <c r="C56" i="1"/>
  <c r="A56" i="1"/>
  <c r="AC55" i="1"/>
  <c r="AB55" i="1"/>
  <c r="AA55" i="1"/>
  <c r="Z55" i="1"/>
  <c r="Y55" i="1"/>
  <c r="X55" i="1"/>
  <c r="W55" i="1"/>
  <c r="V55" i="1"/>
  <c r="U55" i="1"/>
  <c r="T55" i="1"/>
  <c r="L55" i="1"/>
  <c r="I55" i="1"/>
  <c r="C55" i="1"/>
  <c r="A55" i="1"/>
  <c r="AC54" i="1"/>
  <c r="AB54" i="1"/>
  <c r="AA54" i="1"/>
  <c r="Z54" i="1"/>
  <c r="Y54" i="1"/>
  <c r="X54" i="1"/>
  <c r="W54" i="1"/>
  <c r="V54" i="1"/>
  <c r="U54" i="1"/>
  <c r="T54" i="1"/>
  <c r="L54" i="1"/>
  <c r="I54" i="1"/>
  <c r="C54" i="1"/>
  <c r="A54" i="1"/>
  <c r="AC53" i="1"/>
  <c r="AB53" i="1"/>
  <c r="AA53" i="1"/>
  <c r="Z53" i="1"/>
  <c r="Y53" i="1"/>
  <c r="X53" i="1"/>
  <c r="W53" i="1"/>
  <c r="V53" i="1"/>
  <c r="U53" i="1"/>
  <c r="T53" i="1"/>
  <c r="L53" i="1"/>
  <c r="I53" i="1"/>
  <c r="C53" i="1"/>
  <c r="AC52" i="1"/>
  <c r="AB52" i="1"/>
  <c r="AA52" i="1"/>
  <c r="Z52" i="1"/>
  <c r="Y52" i="1"/>
  <c r="X52" i="1"/>
  <c r="W52" i="1"/>
  <c r="V52" i="1"/>
  <c r="U52" i="1"/>
  <c r="T52" i="1"/>
  <c r="L52" i="1"/>
  <c r="K52" i="1"/>
  <c r="J52" i="1"/>
  <c r="I52" i="1"/>
  <c r="H52" i="1"/>
  <c r="G52" i="1"/>
  <c r="F52" i="1"/>
  <c r="E52" i="1"/>
  <c r="D52" i="1"/>
  <c r="C52" i="1"/>
  <c r="AC51" i="1"/>
  <c r="AB51" i="1"/>
  <c r="AA51" i="1"/>
  <c r="Z51" i="1"/>
  <c r="Y51" i="1"/>
  <c r="X51" i="1"/>
  <c r="W51" i="1"/>
  <c r="V51" i="1"/>
  <c r="U51" i="1"/>
  <c r="T51" i="1"/>
  <c r="L51" i="1"/>
  <c r="I51" i="1"/>
  <c r="C51" i="1"/>
  <c r="A51" i="1"/>
  <c r="AC50" i="1"/>
  <c r="AB50" i="1"/>
  <c r="AA50" i="1"/>
  <c r="Z50" i="1"/>
  <c r="Y50" i="1"/>
  <c r="X50" i="1"/>
  <c r="W50" i="1"/>
  <c r="V50" i="1"/>
  <c r="U50" i="1"/>
  <c r="T50" i="1"/>
  <c r="L50" i="1"/>
  <c r="I50" i="1"/>
  <c r="C50" i="1"/>
  <c r="A50" i="1"/>
  <c r="AC49" i="1"/>
  <c r="AB49" i="1"/>
  <c r="AA49" i="1"/>
  <c r="Z49" i="1"/>
  <c r="Y49" i="1"/>
  <c r="X49" i="1"/>
  <c r="W49" i="1"/>
  <c r="V49" i="1"/>
  <c r="U49" i="1"/>
  <c r="T49" i="1"/>
  <c r="L49" i="1"/>
  <c r="I49" i="1"/>
  <c r="C49" i="1"/>
  <c r="AC48" i="1"/>
  <c r="AB48" i="1"/>
  <c r="AA48" i="1"/>
  <c r="Z48" i="1"/>
  <c r="Y48" i="1"/>
  <c r="X48" i="1"/>
  <c r="W48" i="1"/>
  <c r="V48" i="1"/>
  <c r="U48" i="1"/>
  <c r="T48" i="1"/>
  <c r="L48" i="1"/>
  <c r="I48" i="1"/>
  <c r="C48" i="1"/>
  <c r="AE46" i="1"/>
  <c r="S46" i="1"/>
  <c r="B46" i="1"/>
  <c r="AC43" i="1"/>
  <c r="AB43" i="1"/>
  <c r="AA43" i="1"/>
  <c r="Z43" i="1"/>
  <c r="Y43" i="1"/>
  <c r="X43" i="1"/>
  <c r="W43" i="1"/>
  <c r="V43" i="1"/>
  <c r="U43" i="1"/>
  <c r="T43" i="1"/>
  <c r="L43" i="1"/>
  <c r="K43" i="1"/>
  <c r="J43" i="1"/>
  <c r="I43" i="1"/>
  <c r="H43" i="1"/>
  <c r="G43" i="1"/>
  <c r="F43" i="1"/>
  <c r="E43" i="1"/>
  <c r="D43" i="1"/>
  <c r="C43" i="1"/>
  <c r="AC42" i="1"/>
  <c r="AB42" i="1"/>
  <c r="AA42" i="1"/>
  <c r="Z42" i="1"/>
  <c r="Y42" i="1"/>
  <c r="X42" i="1"/>
  <c r="W42" i="1"/>
  <c r="V42" i="1"/>
  <c r="U42" i="1"/>
  <c r="T42" i="1"/>
  <c r="L42" i="1"/>
  <c r="I42" i="1"/>
  <c r="C42" i="1"/>
  <c r="A42" i="1"/>
  <c r="AC41" i="1"/>
  <c r="AB41" i="1"/>
  <c r="AA41" i="1"/>
  <c r="Z41" i="1"/>
  <c r="Y41" i="1"/>
  <c r="X41" i="1"/>
  <c r="W41" i="1"/>
  <c r="V41" i="1"/>
  <c r="U41" i="1"/>
  <c r="T41" i="1"/>
  <c r="L41" i="1"/>
  <c r="I41" i="1"/>
  <c r="A41" i="1"/>
  <c r="AC40" i="1"/>
  <c r="AB40" i="1"/>
  <c r="AA40" i="1"/>
  <c r="Z40" i="1"/>
  <c r="Y40" i="1"/>
  <c r="X40" i="1"/>
  <c r="W40" i="1"/>
  <c r="V40" i="1"/>
  <c r="U40" i="1"/>
  <c r="T40" i="1"/>
  <c r="L40" i="1"/>
  <c r="I40" i="1"/>
  <c r="A40" i="1"/>
  <c r="AC39" i="1"/>
  <c r="AB39" i="1"/>
  <c r="AA39" i="1"/>
  <c r="Z39" i="1"/>
  <c r="Y39" i="1"/>
  <c r="X39" i="1"/>
  <c r="W39" i="1"/>
  <c r="V39" i="1"/>
  <c r="U39" i="1"/>
  <c r="T39" i="1"/>
  <c r="L39" i="1"/>
  <c r="I39" i="1"/>
  <c r="A39" i="1"/>
  <c r="AC38" i="1"/>
  <c r="AB38" i="1"/>
  <c r="AA38" i="1"/>
  <c r="Z38" i="1"/>
  <c r="Y38" i="1"/>
  <c r="X38" i="1"/>
  <c r="W38" i="1"/>
  <c r="V38" i="1"/>
  <c r="U38" i="1"/>
  <c r="T38" i="1"/>
  <c r="L38" i="1"/>
  <c r="I38" i="1"/>
  <c r="A38" i="1"/>
  <c r="AC37" i="1"/>
  <c r="AB37" i="1"/>
  <c r="AA37" i="1"/>
  <c r="Z37" i="1"/>
  <c r="Y37" i="1"/>
  <c r="X37" i="1"/>
  <c r="W37" i="1"/>
  <c r="V37" i="1"/>
  <c r="U37" i="1"/>
  <c r="T37" i="1"/>
  <c r="L37" i="1"/>
  <c r="K37" i="1"/>
  <c r="J37" i="1"/>
  <c r="I37" i="1"/>
  <c r="H37" i="1"/>
  <c r="G37" i="1"/>
  <c r="F37" i="1"/>
  <c r="E37" i="1"/>
  <c r="D37" i="1"/>
  <c r="C37" i="1"/>
  <c r="A37" i="1"/>
  <c r="AC36" i="1"/>
  <c r="AB36" i="1"/>
  <c r="AA36" i="1"/>
  <c r="Z36" i="1"/>
  <c r="Y36" i="1"/>
  <c r="X36" i="1"/>
  <c r="W36" i="1"/>
  <c r="V36" i="1"/>
  <c r="U36" i="1"/>
  <c r="T36" i="1"/>
  <c r="L36" i="1"/>
  <c r="I36" i="1"/>
  <c r="A36" i="1"/>
  <c r="AC35" i="1"/>
  <c r="AB35" i="1"/>
  <c r="AA35" i="1"/>
  <c r="Z35" i="1"/>
  <c r="Y35" i="1"/>
  <c r="X35" i="1"/>
  <c r="W35" i="1"/>
  <c r="V35" i="1"/>
  <c r="U35" i="1"/>
  <c r="T35" i="1"/>
  <c r="L35" i="1"/>
  <c r="I35" i="1"/>
  <c r="A35" i="1"/>
  <c r="AC34" i="1"/>
  <c r="AB34" i="1"/>
  <c r="AA34" i="1"/>
  <c r="Z34" i="1"/>
  <c r="Y34" i="1"/>
  <c r="X34" i="1"/>
  <c r="W34" i="1"/>
  <c r="V34" i="1"/>
  <c r="U34" i="1"/>
  <c r="T34" i="1"/>
  <c r="L34" i="1"/>
  <c r="I34" i="1"/>
  <c r="A34" i="1"/>
  <c r="AC33" i="1"/>
  <c r="AB33" i="1"/>
  <c r="AA33" i="1"/>
  <c r="Z33" i="1"/>
  <c r="Y33" i="1"/>
  <c r="X33" i="1"/>
  <c r="W33" i="1"/>
  <c r="V33" i="1"/>
  <c r="U33" i="1"/>
  <c r="T33" i="1"/>
  <c r="L33" i="1"/>
  <c r="I33" i="1"/>
  <c r="A33" i="1"/>
  <c r="AC32" i="1"/>
  <c r="AB32" i="1"/>
  <c r="AA32" i="1"/>
  <c r="Z32" i="1"/>
  <c r="Y32" i="1"/>
  <c r="X32" i="1"/>
  <c r="W32" i="1"/>
  <c r="V32" i="1"/>
  <c r="U32" i="1"/>
  <c r="T32" i="1"/>
  <c r="L32" i="1"/>
  <c r="I32" i="1"/>
  <c r="A32" i="1"/>
  <c r="AC31" i="1"/>
  <c r="AB31" i="1"/>
  <c r="AA31" i="1"/>
  <c r="Z31" i="1"/>
  <c r="Y31" i="1"/>
  <c r="X31" i="1"/>
  <c r="W31" i="1"/>
  <c r="V31" i="1"/>
  <c r="U31" i="1"/>
  <c r="T31" i="1"/>
  <c r="L31" i="1"/>
  <c r="I31" i="1"/>
  <c r="A31" i="1"/>
  <c r="AC30" i="1"/>
  <c r="AB30" i="1"/>
  <c r="AA30" i="1"/>
  <c r="Z30" i="1"/>
  <c r="Y30" i="1"/>
  <c r="X30" i="1"/>
  <c r="W30" i="1"/>
  <c r="V30" i="1"/>
  <c r="U30" i="1"/>
  <c r="T30" i="1"/>
  <c r="L30" i="1"/>
  <c r="I30" i="1"/>
  <c r="A30" i="1"/>
  <c r="AC29" i="1"/>
  <c r="AB29" i="1"/>
  <c r="AA29" i="1"/>
  <c r="Z29" i="1"/>
  <c r="Y29" i="1"/>
  <c r="X29" i="1"/>
  <c r="W29" i="1"/>
  <c r="V29" i="1"/>
  <c r="U29" i="1"/>
  <c r="T29" i="1"/>
  <c r="L29" i="1"/>
  <c r="I29" i="1"/>
  <c r="A29" i="1"/>
  <c r="AC28" i="1"/>
  <c r="AB28" i="1"/>
  <c r="AA28" i="1"/>
  <c r="Z28" i="1"/>
  <c r="Y28" i="1"/>
  <c r="X28" i="1"/>
  <c r="W28" i="1"/>
  <c r="V28" i="1"/>
  <c r="U28" i="1"/>
  <c r="T28" i="1"/>
  <c r="L28" i="1"/>
  <c r="I28" i="1"/>
  <c r="C28" i="1"/>
  <c r="A28" i="1"/>
  <c r="AC27" i="1"/>
  <c r="AB27" i="1"/>
  <c r="AA27" i="1"/>
  <c r="Z27" i="1"/>
  <c r="Y27" i="1"/>
  <c r="X27" i="1"/>
  <c r="W27" i="1"/>
  <c r="V27" i="1"/>
  <c r="U27" i="1"/>
  <c r="T27" i="1"/>
  <c r="L27" i="1"/>
  <c r="I27" i="1"/>
  <c r="C27" i="1"/>
  <c r="A27" i="1"/>
  <c r="AC26" i="1"/>
  <c r="AB26" i="1"/>
  <c r="AA26" i="1"/>
  <c r="Z26" i="1"/>
  <c r="Y26" i="1"/>
  <c r="X26" i="1"/>
  <c r="W26" i="1"/>
  <c r="V26" i="1"/>
  <c r="U26" i="1"/>
  <c r="T26" i="1"/>
  <c r="L26" i="1"/>
  <c r="I26" i="1"/>
  <c r="A26" i="1"/>
  <c r="AC25" i="1"/>
  <c r="AB25" i="1"/>
  <c r="AA25" i="1"/>
  <c r="Z25" i="1"/>
  <c r="Y25" i="1"/>
  <c r="X25" i="1"/>
  <c r="W25" i="1"/>
  <c r="V25" i="1"/>
  <c r="U25" i="1"/>
  <c r="T25" i="1"/>
  <c r="L25" i="1"/>
  <c r="I25" i="1"/>
  <c r="A25" i="1"/>
  <c r="AC24" i="1"/>
  <c r="AB24" i="1"/>
  <c r="AA24" i="1"/>
  <c r="Z24" i="1"/>
  <c r="Y24" i="1"/>
  <c r="X24" i="1"/>
  <c r="W24" i="1"/>
  <c r="V24" i="1"/>
  <c r="U24" i="1"/>
  <c r="T24" i="1"/>
  <c r="L24" i="1"/>
  <c r="K24" i="1"/>
  <c r="J24" i="1"/>
  <c r="I24" i="1"/>
  <c r="H24" i="1"/>
  <c r="G24" i="1"/>
  <c r="F24" i="1"/>
  <c r="E24" i="1"/>
  <c r="D24" i="1"/>
  <c r="C24" i="1"/>
  <c r="A24" i="1"/>
  <c r="AC23" i="1"/>
  <c r="AB23" i="1"/>
  <c r="AA23" i="1"/>
  <c r="Z23" i="1"/>
  <c r="Y23" i="1"/>
  <c r="X23" i="1"/>
  <c r="W23" i="1"/>
  <c r="V23" i="1"/>
  <c r="U23" i="1"/>
  <c r="T23" i="1"/>
  <c r="L23" i="1"/>
  <c r="I23" i="1"/>
  <c r="A23" i="1"/>
  <c r="AC22" i="1"/>
  <c r="AB22" i="1"/>
  <c r="AA22" i="1"/>
  <c r="Z22" i="1"/>
  <c r="Y22" i="1"/>
  <c r="X22" i="1"/>
  <c r="W22" i="1"/>
  <c r="V22" i="1"/>
  <c r="U22" i="1"/>
  <c r="T22" i="1"/>
  <c r="L22" i="1"/>
  <c r="I22" i="1"/>
  <c r="A22" i="1"/>
  <c r="AC21" i="1"/>
  <c r="AB21" i="1"/>
  <c r="AA21" i="1"/>
  <c r="Z21" i="1"/>
  <c r="Y21" i="1"/>
  <c r="X21" i="1"/>
  <c r="W21" i="1"/>
  <c r="V21" i="1"/>
  <c r="U21" i="1"/>
  <c r="T21" i="1"/>
  <c r="L21" i="1"/>
  <c r="I21" i="1"/>
  <c r="A21" i="1"/>
  <c r="AC20" i="1"/>
  <c r="AB20" i="1"/>
  <c r="AA20" i="1"/>
  <c r="Z20" i="1"/>
  <c r="Y20" i="1"/>
  <c r="X20" i="1"/>
  <c r="W20" i="1"/>
  <c r="V20" i="1"/>
  <c r="U20" i="1"/>
  <c r="T20" i="1"/>
  <c r="L20" i="1"/>
  <c r="I20" i="1"/>
  <c r="A20" i="1"/>
  <c r="AC19" i="1"/>
  <c r="AB19" i="1"/>
  <c r="AA19" i="1"/>
  <c r="Z19" i="1"/>
  <c r="Y19" i="1"/>
  <c r="X19" i="1"/>
  <c r="W19" i="1"/>
  <c r="V19" i="1"/>
  <c r="U19" i="1"/>
  <c r="T19" i="1"/>
  <c r="L19" i="1"/>
  <c r="I19" i="1"/>
  <c r="A19" i="1"/>
  <c r="AC18" i="1"/>
  <c r="AB18" i="1"/>
  <c r="AA18" i="1"/>
  <c r="Z18" i="1"/>
  <c r="Y18" i="1"/>
  <c r="X18" i="1"/>
  <c r="W18" i="1"/>
  <c r="V18" i="1"/>
  <c r="U18" i="1"/>
  <c r="T18" i="1"/>
  <c r="L18" i="1"/>
  <c r="I18" i="1"/>
  <c r="A18" i="1"/>
  <c r="AC17" i="1"/>
  <c r="AB17" i="1"/>
  <c r="AA17" i="1"/>
  <c r="Z17" i="1"/>
  <c r="Y17" i="1"/>
  <c r="X17" i="1"/>
  <c r="W17" i="1"/>
  <c r="V17" i="1"/>
  <c r="U17" i="1"/>
  <c r="T17" i="1"/>
  <c r="L17" i="1"/>
  <c r="I17" i="1"/>
  <c r="A17" i="1"/>
  <c r="AC16" i="1"/>
  <c r="AB16" i="1"/>
  <c r="AA16" i="1"/>
  <c r="Z16" i="1"/>
  <c r="Y16" i="1"/>
  <c r="X16" i="1"/>
  <c r="W16" i="1"/>
  <c r="V16" i="1"/>
  <c r="U16" i="1"/>
  <c r="T16" i="1"/>
  <c r="L16" i="1"/>
  <c r="I16" i="1"/>
  <c r="A16" i="1"/>
  <c r="AC15" i="1"/>
  <c r="AB15" i="1"/>
  <c r="AA15" i="1"/>
  <c r="Z15" i="1"/>
  <c r="Y15" i="1"/>
  <c r="X15" i="1"/>
  <c r="W15" i="1"/>
  <c r="V15" i="1"/>
  <c r="U15" i="1"/>
  <c r="T15" i="1"/>
  <c r="L15" i="1"/>
  <c r="I15" i="1"/>
  <c r="A15" i="1"/>
  <c r="AC14" i="1"/>
  <c r="AB14" i="1"/>
  <c r="AA14" i="1"/>
  <c r="Z14" i="1"/>
  <c r="Y14" i="1"/>
  <c r="X14" i="1"/>
  <c r="W14" i="1"/>
  <c r="V14" i="1"/>
  <c r="U14" i="1"/>
  <c r="T14" i="1"/>
  <c r="L14" i="1"/>
  <c r="I14" i="1"/>
  <c r="A14" i="1"/>
  <c r="AC13" i="1"/>
  <c r="AB13" i="1"/>
  <c r="AA13" i="1"/>
  <c r="Z13" i="1"/>
  <c r="Y13" i="1"/>
  <c r="X13" i="1"/>
  <c r="W13" i="1"/>
  <c r="V13" i="1"/>
  <c r="U13" i="1"/>
  <c r="T13" i="1"/>
  <c r="L13" i="1"/>
  <c r="I13" i="1"/>
  <c r="A13" i="1"/>
  <c r="AC12" i="1"/>
  <c r="AB12" i="1"/>
  <c r="AA12" i="1"/>
  <c r="Z12" i="1"/>
  <c r="Y12" i="1"/>
  <c r="X12" i="1"/>
  <c r="W12" i="1"/>
  <c r="V12" i="1"/>
  <c r="U12" i="1"/>
  <c r="T12" i="1"/>
  <c r="O12" i="1"/>
  <c r="L12" i="1"/>
  <c r="I12" i="1"/>
  <c r="AC11" i="1"/>
  <c r="AB11" i="1"/>
  <c r="AA11" i="1"/>
  <c r="Z11" i="1"/>
  <c r="Y11" i="1"/>
  <c r="X11" i="1"/>
  <c r="W11" i="1"/>
  <c r="V11" i="1"/>
  <c r="U11" i="1"/>
  <c r="T11" i="1"/>
  <c r="P11" i="1"/>
  <c r="L11" i="1"/>
  <c r="K11" i="1"/>
  <c r="J11" i="1"/>
  <c r="I11" i="1"/>
  <c r="H11" i="1"/>
  <c r="G11" i="1"/>
  <c r="F11" i="1"/>
  <c r="E11" i="1"/>
  <c r="D11" i="1"/>
  <c r="C11" i="1"/>
  <c r="AC10" i="1"/>
  <c r="AB10" i="1"/>
  <c r="AA10" i="1"/>
  <c r="Z10" i="1"/>
  <c r="Y10" i="1"/>
  <c r="X10" i="1"/>
  <c r="W10" i="1"/>
  <c r="V10" i="1"/>
  <c r="U10" i="1"/>
  <c r="T10" i="1"/>
  <c r="Q10" i="1"/>
  <c r="L10" i="1"/>
  <c r="I10" i="1"/>
  <c r="A10" i="1"/>
  <c r="AC9" i="1"/>
  <c r="AB9" i="1"/>
  <c r="AA9" i="1"/>
  <c r="Z9" i="1"/>
  <c r="Y9" i="1"/>
  <c r="X9" i="1"/>
  <c r="W9" i="1"/>
  <c r="V9" i="1"/>
  <c r="U9" i="1"/>
  <c r="T9" i="1"/>
  <c r="Q9" i="1"/>
  <c r="L9" i="1"/>
  <c r="I9" i="1"/>
  <c r="A9" i="1"/>
  <c r="AC8" i="1"/>
  <c r="AB8" i="1"/>
  <c r="AA8" i="1"/>
  <c r="Z8" i="1"/>
  <c r="Y8" i="1"/>
  <c r="X8" i="1"/>
  <c r="W8" i="1"/>
  <c r="V8" i="1"/>
  <c r="U8" i="1"/>
  <c r="T8" i="1"/>
  <c r="Q8" i="1"/>
  <c r="L8" i="1"/>
  <c r="I8" i="1"/>
  <c r="AC7" i="1"/>
  <c r="AB7" i="1"/>
  <c r="AA7" i="1"/>
  <c r="Z7" i="1"/>
  <c r="Y7" i="1"/>
  <c r="X7" i="1"/>
  <c r="W7" i="1"/>
  <c r="V7" i="1"/>
  <c r="U7" i="1"/>
  <c r="T7" i="1"/>
  <c r="N7" i="1"/>
  <c r="L7" i="1"/>
  <c r="I7" i="1"/>
  <c r="C7" i="1"/>
  <c r="AE5" i="1"/>
  <c r="S5" i="1"/>
  <c r="B5" i="1"/>
</calcChain>
</file>

<file path=xl/sharedStrings.xml><?xml version="1.0" encoding="utf-8"?>
<sst xmlns="http://schemas.openxmlformats.org/spreadsheetml/2006/main" count="2626" uniqueCount="496">
  <si>
    <t>Note:</t>
  </si>
  <si>
    <t>Month On month collections are shown</t>
  </si>
  <si>
    <t>Unidentified = Realised-Reg-Receipts</t>
  </si>
  <si>
    <t>Receipts = New sale+Other charges+dues&amp;adv</t>
  </si>
  <si>
    <t>Difference</t>
  </si>
  <si>
    <t>Yesterday</t>
  </si>
  <si>
    <t>Year</t>
  </si>
  <si>
    <t>Total realised</t>
  </si>
  <si>
    <t>DLD</t>
  </si>
  <si>
    <t>Receipts total</t>
  </si>
  <si>
    <t xml:space="preserve">Dues + Advance collection </t>
  </si>
  <si>
    <t>New sale receipts</t>
  </si>
  <si>
    <t>Other charges</t>
  </si>
  <si>
    <t>Est. Unidentified</t>
  </si>
  <si>
    <t>Advance collection</t>
  </si>
  <si>
    <t>Dues collection</t>
  </si>
  <si>
    <t>Actual unidentifed</t>
  </si>
  <si>
    <t>2020 &amp; Before</t>
  </si>
  <si>
    <t>2021 Total</t>
  </si>
  <si>
    <t>Sobha</t>
  </si>
  <si>
    <t>2022 Total</t>
  </si>
  <si>
    <t>Siniya</t>
  </si>
  <si>
    <t>2023 Total</t>
  </si>
  <si>
    <t>Downtown UAQ</t>
  </si>
  <si>
    <t>2024 Total</t>
  </si>
  <si>
    <t>Abu Dhabi</t>
  </si>
  <si>
    <t>Jan'24</t>
  </si>
  <si>
    <t>Total</t>
  </si>
  <si>
    <t>Feb'24</t>
  </si>
  <si>
    <t>Mar'24</t>
  </si>
  <si>
    <t>Apr'24</t>
  </si>
  <si>
    <t>May'24</t>
  </si>
  <si>
    <t xml:space="preserve"> </t>
  </si>
  <si>
    <t>Jun'24</t>
  </si>
  <si>
    <t>Jul'24</t>
  </si>
  <si>
    <t>Aug'24</t>
  </si>
  <si>
    <t>Sep'24</t>
  </si>
  <si>
    <t>Oct'24</t>
  </si>
  <si>
    <t>Nov'24</t>
  </si>
  <si>
    <t>Dec'24</t>
  </si>
  <si>
    <t>2025 Total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</si>
  <si>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</si>
  <si>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</si>
  <si>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</si>
  <si>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</si>
  <si>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</si>
  <si>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</si>
  <si>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</si>
  <si>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</si>
  <si>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</si>
  <si>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</si>
  <si>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</si>
  <si>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</si>
  <si>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2026 Total</t>
  </si>
  <si>
    <t>Jan'26</t>
  </si>
  <si>
    <t>Feb'26</t>
  </si>
  <si>
    <t>Mar'26</t>
  </si>
  <si>
    <t>Apr'26</t>
  </si>
  <si>
    <t>May'26</t>
  </si>
  <si>
    <t>Grand Total</t>
  </si>
  <si>
    <t>Sobha advance</t>
  </si>
  <si>
    <t>Sobha dues</t>
  </si>
  <si>
    <t>Siniya advance</t>
  </si>
  <si>
    <t>Siniya dues</t>
  </si>
  <si>
    <t>Down Town advance</t>
  </si>
  <si>
    <t>Down Town  dues</t>
  </si>
  <si>
    <t>actual unidenfitifed</t>
  </si>
  <si>
    <t>Note</t>
  </si>
  <si>
    <t>Quarter and Monthwise dues  Projectwise for last 3 quarters</t>
  </si>
  <si>
    <t>Project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</si>
  <si>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</si>
  <si>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</si>
  <si>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</si>
  <si>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</si>
  <si>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</si>
  <si>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</si>
  <si>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</si>
  <si>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</si>
  <si>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</si>
  <si>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</si>
  <si>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</si>
  <si>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</si>
  <si>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Greens</t>
  </si>
  <si>
    <t>Phase I - Building 1</t>
  </si>
  <si>
    <t>Phase I - Building 4</t>
  </si>
  <si>
    <t>Phase II - Building 2</t>
  </si>
  <si>
    <t>Phase II - Building 3</t>
  </si>
  <si>
    <t>Phase III - Building 5</t>
  </si>
  <si>
    <t>Phase III - Building 6</t>
  </si>
  <si>
    <t>One Park Avenue Tower</t>
  </si>
  <si>
    <t>Hartland 1 villas &amp; townhouses</t>
  </si>
  <si>
    <t>Townhouse</t>
  </si>
  <si>
    <t>Villas Phase I</t>
  </si>
  <si>
    <t>Villas Phase II</t>
  </si>
  <si>
    <t>Villas Phase III</t>
  </si>
  <si>
    <t>Villas Phase IV</t>
  </si>
  <si>
    <t>CV &amp; CVR</t>
  </si>
  <si>
    <t>Creek vista reserve Tower A</t>
  </si>
  <si>
    <t>Creek vista reserve Tower B</t>
  </si>
  <si>
    <t>Creek Vista Tower A</t>
  </si>
  <si>
    <t>Creek vista Tower B</t>
  </si>
  <si>
    <t>Waves</t>
  </si>
  <si>
    <t>Waves Grande</t>
  </si>
  <si>
    <t>Hartland 1 plots</t>
  </si>
  <si>
    <t>Hartland Extension</t>
  </si>
  <si>
    <t>Sobha Tranquility</t>
  </si>
  <si>
    <t>Waterside Plots</t>
  </si>
  <si>
    <t>Creek Vistas Grande</t>
  </si>
  <si>
    <t>Crest</t>
  </si>
  <si>
    <t>The Crest - A</t>
  </si>
  <si>
    <t>The crest - B</t>
  </si>
  <si>
    <t>The crest - C</t>
  </si>
  <si>
    <t>The crest - D</t>
  </si>
  <si>
    <t>The Crest - Retail</t>
  </si>
  <si>
    <t>The S</t>
  </si>
  <si>
    <t>Sub Total (A)</t>
  </si>
  <si>
    <t>Crest Grande</t>
  </si>
  <si>
    <t>Crest Grande - Tower A</t>
  </si>
  <si>
    <t>Crest Grande - Tower B</t>
  </si>
  <si>
    <t>Crest Grande - Tower C</t>
  </si>
  <si>
    <t>Crest Grande - Retail</t>
  </si>
  <si>
    <t>Waves Opulence</t>
  </si>
  <si>
    <t>Verde</t>
  </si>
  <si>
    <t>Sobha Reserve Villas</t>
  </si>
  <si>
    <t>Hartland II Villas &amp; Mansion</t>
  </si>
  <si>
    <t>Hartland II Villas</t>
  </si>
  <si>
    <t>Hartland II Mansion</t>
  </si>
  <si>
    <t>Hartland II Villas 6BR</t>
  </si>
  <si>
    <t>Hartland II Villas-Phase II</t>
  </si>
  <si>
    <t>Riverside Crescent</t>
  </si>
  <si>
    <t>320 Riverside Crescent</t>
  </si>
  <si>
    <t>330 Riverside Crescent</t>
  </si>
  <si>
    <t>340 Riverside Crescent</t>
  </si>
  <si>
    <t>360 Riverside Crescent</t>
  </si>
  <si>
    <t>350 Riverside Crescent</t>
  </si>
  <si>
    <t>310 Riverside Crescent</t>
  </si>
  <si>
    <t>Creek vista Heights</t>
  </si>
  <si>
    <t>Creek vista heights tower A</t>
  </si>
  <si>
    <t>Creek vista heights tower B</t>
  </si>
  <si>
    <t>Creek vista heights retail</t>
  </si>
  <si>
    <t>Sobha One</t>
  </si>
  <si>
    <t>Sobha One Tower A</t>
  </si>
  <si>
    <t>Sobha One Tower B</t>
  </si>
  <si>
    <t>Sobha One Tower C</t>
  </si>
  <si>
    <t>Sobha One Tower D</t>
  </si>
  <si>
    <t>Sobha One Tower E</t>
  </si>
  <si>
    <t>Sobha One - Podium</t>
  </si>
  <si>
    <t>Sobha One Retail Tower</t>
  </si>
  <si>
    <t>Sub Total (B)</t>
  </si>
  <si>
    <t>Sea Haven</t>
  </si>
  <si>
    <t>Sea Haven Tower A</t>
  </si>
  <si>
    <t>Sea Haven Tower B</t>
  </si>
  <si>
    <t>Sea Haven Tower C</t>
  </si>
  <si>
    <t>Sobha Orbis</t>
  </si>
  <si>
    <t>Sobha Orbis Tower A</t>
  </si>
  <si>
    <t>Sobha Orbis Tower B</t>
  </si>
  <si>
    <t>Sobha Orbis Tower C</t>
  </si>
  <si>
    <t>Sobha Orbis Tower D</t>
  </si>
  <si>
    <t>Sobha Orbis Tower E</t>
  </si>
  <si>
    <t>Sobha Orbis Tower F</t>
  </si>
  <si>
    <t>Sobha Orbis Tower G</t>
  </si>
  <si>
    <t>Orbis Tower Plaza</t>
  </si>
  <si>
    <t>Skyscape</t>
  </si>
  <si>
    <t>Skyscape Avenue</t>
  </si>
  <si>
    <t>Skyscape Aura</t>
  </si>
  <si>
    <t>Skyscape Altius</t>
  </si>
  <si>
    <t>Sub Total (C)</t>
  </si>
  <si>
    <t>Elwood Villas</t>
  </si>
  <si>
    <t>Elwood Villas 1</t>
  </si>
  <si>
    <t>Sobha Solis</t>
  </si>
  <si>
    <t>Sobha Solis Tower A</t>
  </si>
  <si>
    <t>Sobha Solis Tower B</t>
  </si>
  <si>
    <t>Sobha Solis Tower C</t>
  </si>
  <si>
    <t>Sobha Solis Tower D</t>
  </si>
  <si>
    <t>Sobha Sanctuary</t>
  </si>
  <si>
    <t>The Greens</t>
  </si>
  <si>
    <t>The Brooks</t>
  </si>
  <si>
    <t>The Willows</t>
  </si>
  <si>
    <t>The Grove</t>
  </si>
  <si>
    <t>Skyvue</t>
  </si>
  <si>
    <t>Skyvue Solair</t>
  </si>
  <si>
    <t>Skyvue Spectra</t>
  </si>
  <si>
    <t>Skyvue Stellar</t>
  </si>
  <si>
    <t>Skyvue Altier</t>
  </si>
  <si>
    <t>The Element at Sobha One</t>
  </si>
  <si>
    <t>The S at Hartland II</t>
  </si>
  <si>
    <t>Sobha Skyparks</t>
  </si>
  <si>
    <t>Sub Total (D)</t>
  </si>
  <si>
    <t>Siniya Island</t>
  </si>
  <si>
    <t>Sobha Siniya Island Villas Phase I</t>
  </si>
  <si>
    <t>Siniya Island-Villas Phase II</t>
  </si>
  <si>
    <t>Siniya Island-Villas Phase II B</t>
  </si>
  <si>
    <t>Siniya Beach Residences</t>
  </si>
  <si>
    <t>Selene Beach Residences Tower A</t>
  </si>
  <si>
    <t>Selene Beach Residences Tower B</t>
  </si>
  <si>
    <t>Selene Beach Residences Tower C</t>
  </si>
  <si>
    <t>Selene Beach Residences Tower D</t>
  </si>
  <si>
    <t>Delphine Beach Residences Tower A</t>
  </si>
  <si>
    <t>Delphine Beach Residences Tower B</t>
  </si>
  <si>
    <t>Delphine Beach Residences Tower C</t>
  </si>
  <si>
    <t>Delphine Beach Residences Tower D</t>
  </si>
  <si>
    <t>Coraline Beach Residences Tower A</t>
  </si>
  <si>
    <t>Coraline Beach Residences Tower B</t>
  </si>
  <si>
    <t>Coraline Beach Residences Tower C</t>
  </si>
  <si>
    <t>Coraline Beach Residences Tower D</t>
  </si>
  <si>
    <t>Aquamarine Beach Residences Tower A</t>
  </si>
  <si>
    <t>Aquamarine Beach Residences Tower B</t>
  </si>
  <si>
    <t>Aquamarine Beach Residences Tower C</t>
  </si>
  <si>
    <t>Aquamarine Beach Residences Tower D</t>
  </si>
  <si>
    <t>Florine Beach Residences Tower A</t>
  </si>
  <si>
    <t>Florine Beach Residences Tower B</t>
  </si>
  <si>
    <t>Florine Beach Residences Tower C</t>
  </si>
  <si>
    <t>Florine Beach Residences Tower D</t>
  </si>
  <si>
    <t>Coastline Beach Residences Tower A</t>
  </si>
  <si>
    <t>Coastline Beach Residences Tower B</t>
  </si>
  <si>
    <t>Coastline Beach Residences Tower C</t>
  </si>
  <si>
    <t>Coastline Beach Residences Tower D</t>
  </si>
  <si>
    <t>Starline Beach Residences Tower A</t>
  </si>
  <si>
    <t>Starline Beach Residences Tower B</t>
  </si>
  <si>
    <t>Starline Beach Residences Tower C</t>
  </si>
  <si>
    <t>Starline Beach Residences Tower D</t>
  </si>
  <si>
    <t>Tranquil Beach Residences - Tower A</t>
  </si>
  <si>
    <t>Tranquil Beach Residences - Tower C</t>
  </si>
  <si>
    <t>Pristine Beach Residences Tower A</t>
  </si>
  <si>
    <t>Pristine Beach Residences Tower B</t>
  </si>
  <si>
    <t>Pristine Beach Residences Tower C</t>
  </si>
  <si>
    <t>Pristine Beach Residences Tower D</t>
  </si>
  <si>
    <t>Siniya Marina Residences</t>
  </si>
  <si>
    <t>Bayside Marina Residences Tower A</t>
  </si>
  <si>
    <t>Bayside Marina Residences Tower B</t>
  </si>
  <si>
    <t>Bayside Marina Residences Tower C</t>
  </si>
  <si>
    <t>Bayside Marina Residences Tower D</t>
  </si>
  <si>
    <t>Pierside Marina Residences - Tower A</t>
  </si>
  <si>
    <t>Pierside  Marina Residences - Tower B</t>
  </si>
  <si>
    <t>Pierside Marina Residences - Tower C</t>
  </si>
  <si>
    <t>Pierside Marina Residences - Tower D</t>
  </si>
  <si>
    <t>Yachtside Marina Residences Tower A</t>
  </si>
  <si>
    <t>Yachtside Marina Residences Tower B</t>
  </si>
  <si>
    <t>Yachtside Marina Residences Tower C</t>
  </si>
  <si>
    <t>Yachtside Marina Residences Tower D</t>
  </si>
  <si>
    <t>Bayfront Marina Residences Tower A</t>
  </si>
  <si>
    <t>Bayfront Marina Residences Tower B</t>
  </si>
  <si>
    <t>Bayfront Marina Residences Tower C</t>
  </si>
  <si>
    <t>Bayfront Marina Residences Tower D</t>
  </si>
  <si>
    <t>Canalside Marina Residences Tower A</t>
  </si>
  <si>
    <t>Canalside Marina Residences Tower B</t>
  </si>
  <si>
    <t>Canalside Marina Residences Tower C</t>
  </si>
  <si>
    <t>Canalside Marina Residences Tower D</t>
  </si>
  <si>
    <t>Capeside Marina Residences - Tower A</t>
  </si>
  <si>
    <t>Pearlside Marina Residences Tower A</t>
  </si>
  <si>
    <t>Pearlside Marina Residences Tower B</t>
  </si>
  <si>
    <t>Sub Total (E)</t>
  </si>
  <si>
    <t xml:space="preserve">Sobha Aquamont </t>
  </si>
  <si>
    <t>Sobha Aquamont Tower A</t>
  </si>
  <si>
    <t>Sobha Aquamont Tower B</t>
  </si>
  <si>
    <t>Sobha Aquamont Tower C</t>
  </si>
  <si>
    <t>Sobha Aquacrest</t>
  </si>
  <si>
    <t>Sobha Aquacrest Tower A</t>
  </si>
  <si>
    <t>Sobha Aquacrest Tower B</t>
  </si>
  <si>
    <t>Sobha Aquacrest Tower C</t>
  </si>
  <si>
    <t>Sobha Aquacrest Tower D</t>
  </si>
  <si>
    <t>Sub Total (F)</t>
  </si>
  <si>
    <t>Sobha Central</t>
  </si>
  <si>
    <t>The Eden</t>
  </si>
  <si>
    <t>The Horizon</t>
  </si>
  <si>
    <t>The Serene</t>
  </si>
  <si>
    <t>The Tranquil</t>
  </si>
  <si>
    <t>Sobha Central Mall</t>
  </si>
  <si>
    <t>The Pinnacle</t>
  </si>
  <si>
    <t>The Mirage</t>
  </si>
  <si>
    <t>Sub Total (G)</t>
  </si>
  <si>
    <t>Sobha AUH</t>
  </si>
  <si>
    <t>The Terraces</t>
  </si>
  <si>
    <t>River Cove Residences - Tower A</t>
  </si>
  <si>
    <t>River Cove Residences - Tower B</t>
  </si>
  <si>
    <t>River Cove Residences - Tower C</t>
  </si>
  <si>
    <t>The Orchard</t>
  </si>
  <si>
    <t>Sub Total (H)</t>
  </si>
  <si>
    <t>Overall dues collected, and categorization of the same in  Booking amount dues( BA collected beyond 10% and after 30days) and non-Booking amount dues</t>
  </si>
  <si>
    <t xml:space="preserve">Dues collection  from  MS  overdue aging (+/-)30 days, 30-60 days, 60-90 days and 90+ days </t>
  </si>
  <si>
    <t>New sales collection  from aging 30 days, 30-60 days, 60-90 days and 90+ days from booking</t>
  </si>
  <si>
    <t>Booking amount (BA collected beyond 10% and after 30days) collection  from aging 30-60 days, 60-90 days and 90+ days from booking</t>
  </si>
  <si>
    <t>Month</t>
  </si>
  <si>
    <t>Dues collected</t>
  </si>
  <si>
    <t>Non-BA  dues</t>
  </si>
  <si>
    <t>BA  dues(BA collected beyond 10% &amp; after 30days)</t>
  </si>
  <si>
    <t>%non BA dues</t>
  </si>
  <si>
    <t>%BA dues</t>
  </si>
  <si>
    <t>Dues collected within  30 days</t>
  </si>
  <si>
    <t>Dues  collcted  from 30 to 60 days</t>
  </si>
  <si>
    <t>Dues  collcted  from 60 to 90 days</t>
  </si>
  <si>
    <t>Dues  collcted  from 90 to 120 days</t>
  </si>
  <si>
    <t>Dues  collcted  from 120+ days</t>
  </si>
  <si>
    <t>% within 30 days</t>
  </si>
  <si>
    <t>% 30 to 60 days</t>
  </si>
  <si>
    <t xml:space="preserve">% 60 -90 days </t>
  </si>
  <si>
    <t xml:space="preserve">% 90-120 days </t>
  </si>
  <si>
    <t xml:space="preserve">%120+ days </t>
  </si>
  <si>
    <t>New Sales collected(10% +BA collected within 30days )</t>
  </si>
  <si>
    <t>New Sales collected  0-30 days of booking</t>
  </si>
  <si>
    <t>New sales Collected 30-60  days of booking</t>
  </si>
  <si>
    <t>New Sales collected  &gt;60  days of booking</t>
  </si>
  <si>
    <t>%30-60</t>
  </si>
  <si>
    <t>%60+</t>
  </si>
  <si>
    <t>BA dues(BA collected beyond 10% &amp; after 30days)</t>
  </si>
  <si>
    <t>BA Collected 30-60  days of Booking</t>
  </si>
  <si>
    <t>BA Collected 60-90  days of Booking</t>
  </si>
  <si>
    <t>BA Collected &gt;90  days of Booking</t>
  </si>
  <si>
    <t>%60-90</t>
  </si>
  <si>
    <t>%90+</t>
  </si>
  <si>
    <t>Q4</t>
  </si>
  <si>
    <t>Q1</t>
  </si>
  <si>
    <t>Q2</t>
  </si>
  <si>
    <t>Nationality</t>
  </si>
  <si>
    <t>Russain</t>
  </si>
  <si>
    <t>Antiguan &amp; Barbudan</t>
  </si>
  <si>
    <t>Belarusian</t>
  </si>
  <si>
    <t>Netherlander</t>
  </si>
  <si>
    <t>Chinese</t>
  </si>
  <si>
    <t>British</t>
  </si>
  <si>
    <t>Italian</t>
  </si>
  <si>
    <t>Indian</t>
  </si>
  <si>
    <t>Ukrainian</t>
  </si>
  <si>
    <t>Saudi</t>
  </si>
  <si>
    <t>Iranian</t>
  </si>
  <si>
    <t>Niger</t>
  </si>
  <si>
    <t>African</t>
  </si>
  <si>
    <t>Deutsch</t>
  </si>
  <si>
    <t>Iraqi</t>
  </si>
  <si>
    <t>Equatorial Guinean</t>
  </si>
  <si>
    <t>Emirati</t>
  </si>
  <si>
    <t>Omani</t>
  </si>
  <si>
    <t>French</t>
  </si>
  <si>
    <t>Kazakhstani</t>
  </si>
  <si>
    <t>Pakistani</t>
  </si>
  <si>
    <t>Dominican</t>
  </si>
  <si>
    <t>Mexican</t>
  </si>
  <si>
    <t>Ethiopian</t>
  </si>
  <si>
    <t>Moldovan</t>
  </si>
  <si>
    <t>Albanian</t>
  </si>
  <si>
    <t>Canadian</t>
  </si>
  <si>
    <t>Sri Lanka</t>
  </si>
  <si>
    <t>American</t>
  </si>
  <si>
    <t>Afghani</t>
  </si>
  <si>
    <t>Turkish</t>
  </si>
  <si>
    <t>Tunisian</t>
  </si>
  <si>
    <t>Spanish</t>
  </si>
  <si>
    <t>Moroccan</t>
  </si>
  <si>
    <t>Belgian</t>
  </si>
  <si>
    <t>Romanian</t>
  </si>
  <si>
    <t>Jordanian</t>
  </si>
  <si>
    <t>Israeli</t>
  </si>
  <si>
    <t>Lebanese</t>
  </si>
  <si>
    <t>Japanese</t>
  </si>
  <si>
    <t>Gabonese</t>
  </si>
  <si>
    <t>Polish</t>
  </si>
  <si>
    <t>Colombian</t>
  </si>
  <si>
    <t>Turkmen</t>
  </si>
  <si>
    <t>Austrian</t>
  </si>
  <si>
    <t>Hungarian</t>
  </si>
  <si>
    <t>Singaporean</t>
  </si>
  <si>
    <t>Egyptian</t>
  </si>
  <si>
    <t>Australian</t>
  </si>
  <si>
    <t>Irish</t>
  </si>
  <si>
    <t>Brazilian</t>
  </si>
  <si>
    <t>Slovakian</t>
  </si>
  <si>
    <t>Danish</t>
  </si>
  <si>
    <t>Armenian</t>
  </si>
  <si>
    <t>Swiss</t>
  </si>
  <si>
    <t>Mozambican</t>
  </si>
  <si>
    <t>Kyrgyz</t>
  </si>
  <si>
    <t>Algerian</t>
  </si>
  <si>
    <t>Guinean</t>
  </si>
  <si>
    <t>Venezuelan</t>
  </si>
  <si>
    <t>Croatian</t>
  </si>
  <si>
    <t>Congolese</t>
  </si>
  <si>
    <t>Saint Kitts and Nevis National</t>
  </si>
  <si>
    <t>Syrian</t>
  </si>
  <si>
    <t>Azerbaijani</t>
  </si>
  <si>
    <t>Tanzanian</t>
  </si>
  <si>
    <t>Cambodian</t>
  </si>
  <si>
    <t>Uzbekistani</t>
  </si>
  <si>
    <t>Bangladeshi</t>
  </si>
  <si>
    <t>Grenadian</t>
  </si>
  <si>
    <t>Georgian</t>
  </si>
  <si>
    <t>Angolan</t>
  </si>
  <si>
    <t>Chadian</t>
  </si>
  <si>
    <t>Portuguese</t>
  </si>
  <si>
    <t>German</t>
  </si>
  <si>
    <t>Serbian</t>
  </si>
  <si>
    <t>Swedish</t>
  </si>
  <si>
    <t>Nepalese</t>
  </si>
  <si>
    <t>Ugandan</t>
  </si>
  <si>
    <t>Chilean</t>
  </si>
  <si>
    <t>Botswanan</t>
  </si>
  <si>
    <t>Qatari</t>
  </si>
  <si>
    <t>Burundian</t>
  </si>
  <si>
    <t>Zimbabwean</t>
  </si>
  <si>
    <t>Sudanese</t>
  </si>
  <si>
    <t>Palestenian</t>
  </si>
  <si>
    <t>Eritrean</t>
  </si>
  <si>
    <t>New Zealander</t>
  </si>
  <si>
    <t>Seychellois</t>
  </si>
  <si>
    <t>Rwandan</t>
  </si>
  <si>
    <t>Cypriot</t>
  </si>
  <si>
    <t>Bahraini</t>
  </si>
  <si>
    <t>Yemeni</t>
  </si>
  <si>
    <t>Burmese</t>
  </si>
  <si>
    <t>Kenyan</t>
  </si>
  <si>
    <t>Czech</t>
  </si>
  <si>
    <t>Ivorian</t>
  </si>
  <si>
    <t>Maltese</t>
  </si>
  <si>
    <t>Peruvian</t>
  </si>
  <si>
    <t>Lithuanian</t>
  </si>
  <si>
    <t>Saint Lucian</t>
  </si>
  <si>
    <t>Thai</t>
  </si>
  <si>
    <t>Papua New Guinean</t>
  </si>
  <si>
    <t>Malaysian</t>
  </si>
  <si>
    <t>Greek</t>
  </si>
  <si>
    <t>Vanuatu</t>
  </si>
  <si>
    <t>Madagascar</t>
  </si>
  <si>
    <t>Norwegian</t>
  </si>
  <si>
    <t>Zambian</t>
  </si>
  <si>
    <t>Finnish</t>
  </si>
  <si>
    <t>Kuwaiti</t>
  </si>
  <si>
    <t>Tajik</t>
  </si>
  <si>
    <t>Bulgarian</t>
  </si>
  <si>
    <t>Estonian</t>
  </si>
  <si>
    <t>Beninese</t>
  </si>
  <si>
    <t>Mongolian</t>
  </si>
  <si>
    <t>Gambian</t>
  </si>
  <si>
    <t>Vietnamese</t>
  </si>
  <si>
    <t>Uruguayan</t>
  </si>
  <si>
    <t>Libyan</t>
  </si>
  <si>
    <t>Filipino</t>
  </si>
  <si>
    <t>Honduras</t>
  </si>
  <si>
    <t>Luxembourger</t>
  </si>
  <si>
    <t>Taiwanese</t>
  </si>
  <si>
    <t>Cameroon</t>
  </si>
  <si>
    <t>Ghanaian</t>
  </si>
  <si>
    <t>Senegalese</t>
  </si>
  <si>
    <t>Latvian</t>
  </si>
  <si>
    <t>Panamanian</t>
  </si>
  <si>
    <t>Argentinean</t>
  </si>
  <si>
    <t>Macedonian</t>
  </si>
  <si>
    <t>Indonesian</t>
  </si>
  <si>
    <t>Comoran</t>
  </si>
  <si>
    <t>Jamaican</t>
  </si>
  <si>
    <t>Malawian</t>
  </si>
  <si>
    <t>Montenegro</t>
  </si>
  <si>
    <t>Bosnian</t>
  </si>
  <si>
    <t>Namibian</t>
  </si>
  <si>
    <t>Slovenian</t>
  </si>
  <si>
    <t>Somali</t>
  </si>
  <si>
    <t>Trinidadian And Tobagonian</t>
  </si>
  <si>
    <t>Kosovar</t>
  </si>
  <si>
    <t>Swazi</t>
  </si>
  <si>
    <t>South Sudan</t>
  </si>
  <si>
    <t>Liechtensteiner</t>
  </si>
  <si>
    <t>Guinea-Bissauan</t>
  </si>
  <si>
    <t>Djibouti</t>
  </si>
  <si>
    <t>Ecuadorean</t>
  </si>
  <si>
    <t>Mauritian</t>
  </si>
  <si>
    <t>Sierra Leonean</t>
  </si>
  <si>
    <t>Malian</t>
  </si>
  <si>
    <t>Cuban</t>
  </si>
  <si>
    <t>Armercian</t>
  </si>
  <si>
    <t>Korean</t>
  </si>
  <si>
    <t>Mauritanian</t>
  </si>
  <si>
    <t>Maldivan</t>
  </si>
  <si>
    <t>Icelander</t>
  </si>
  <si>
    <t>Macanese</t>
  </si>
  <si>
    <t>Surinamer</t>
  </si>
  <si>
    <t>Philippines</t>
  </si>
  <si>
    <t>Costa Rican</t>
  </si>
  <si>
    <t>Burkina Faso</t>
  </si>
  <si>
    <t>San Marinese</t>
  </si>
  <si>
    <t>Belizean</t>
  </si>
  <si>
    <t>Andorran</t>
  </si>
  <si>
    <t>-</t>
  </si>
  <si>
    <t>Guatemalan</t>
  </si>
  <si>
    <t>Bolivian</t>
  </si>
  <si>
    <t>Haitian</t>
  </si>
  <si>
    <t>Fijian</t>
  </si>
  <si>
    <t>Lesotho</t>
  </si>
  <si>
    <t>Sobha+Siniya+DT UAQ</t>
  </si>
  <si>
    <t>2025</t>
  </si>
  <si>
    <t>Account_1</t>
  </si>
  <si>
    <t>Account_2</t>
  </si>
  <si>
    <t>NA</t>
  </si>
  <si>
    <t xml:space="preserve"> Net Effect</t>
  </si>
  <si>
    <t>New Sale</t>
  </si>
  <si>
    <t xml:space="preserve"> 3dues</t>
  </si>
  <si>
    <t xml:space="preserve"> 3advance</t>
  </si>
  <si>
    <t>* The data is based on debit account name in receipt data from Salesforce(In flow bank accunt). Post regularisation data is not available on salesforce to get accurate mapping</t>
  </si>
  <si>
    <t>DT-UAQ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</si>
</sst>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2060"/>
        <bgColor theme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theme="6" tint="-0.499984740745262"/>
        <bgColor theme="8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8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rgb="FFDDEBF7"/>
      </patternFill>
    </fill>
    <fill>
      <patternFill patternType="solid">
        <fgColor theme="4" tint="-0.249977111117893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medium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medium">
        <color indexed="64"/>
      </right>
      <top style="thin">
        <color rgb="FF9BC2E6"/>
      </top>
      <bottom/>
      <diagonal/>
    </border>
    <border>
      <left style="medium">
        <color indexed="64"/>
      </left>
      <right/>
      <top style="thin">
        <color rgb="FF9BC2E6"/>
      </top>
      <bottom style="medium">
        <color indexed="64"/>
      </bottom>
      <diagonal/>
    </border>
    <border>
      <left/>
      <right/>
      <top style="thin">
        <color rgb="FF9BC2E6"/>
      </top>
      <bottom style="medium">
        <color indexed="64"/>
      </bottom>
      <diagonal/>
    </border>
    <border>
      <left/>
      <right style="medium">
        <color indexed="64"/>
      </right>
      <top style="thin">
        <color rgb="FF9BC2E6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</cellStyleXfs>
  <cellXfs count="179">
    <xf numFmtId="0" fontId="0" fillId="0" borderId="0" xfId="0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8" fillId="2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1" applyNumberFormat="1" applyFont="1" applyBorder="1" applyAlignment="1">
      <alignment vertical="center"/>
    </xf>
    <xf numFmtId="164" fontId="10" fillId="0" borderId="10" xfId="1" applyNumberFormat="1" applyFont="1" applyBorder="1"/>
    <xf numFmtId="164" fontId="0" fillId="0" borderId="0" xfId="1" applyNumberFormat="1" applyFont="1"/>
    <xf numFmtId="164" fontId="4" fillId="0" borderId="10" xfId="1" applyNumberFormat="1" applyFont="1" applyBorder="1"/>
    <xf numFmtId="14" fontId="0" fillId="8" borderId="0" xfId="0" applyNumberFormat="1" applyFill="1"/>
    <xf numFmtId="0" fontId="0" fillId="0" borderId="11" xfId="0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12" xfId="1" applyNumberFormat="1" applyFont="1" applyFill="1" applyBorder="1" applyAlignment="1">
      <alignment horizontal="center" vertical="center"/>
    </xf>
    <xf numFmtId="164" fontId="11" fillId="9" borderId="9" xfId="1" applyNumberFormat="1" applyFont="1" applyFill="1" applyBorder="1" applyAlignment="1">
      <alignment vertical="center"/>
    </xf>
    <xf numFmtId="0" fontId="0" fillId="10" borderId="6" xfId="0" applyFill="1" applyBorder="1" applyAlignment="1">
      <alignment horizontal="center" vertical="center"/>
    </xf>
    <xf numFmtId="164" fontId="0" fillId="10" borderId="7" xfId="0" applyNumberFormat="1" applyFill="1" applyBorder="1" applyAlignment="1">
      <alignment horizontal="center" vertical="center"/>
    </xf>
    <xf numFmtId="164" fontId="0" fillId="10" borderId="8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12" fillId="0" borderId="0" xfId="1" applyFont="1" applyFill="1" applyBorder="1" applyAlignment="1" applyProtection="1">
      <alignment horizontal="right" vertical="center" indent="1"/>
    </xf>
    <xf numFmtId="3" fontId="0" fillId="0" borderId="0" xfId="0" applyNumberFormat="1"/>
    <xf numFmtId="0" fontId="4" fillId="7" borderId="13" xfId="0" applyFont="1" applyFill="1" applyBorder="1" applyAlignment="1">
      <alignment horizontal="center" vertical="center"/>
    </xf>
    <xf numFmtId="164" fontId="4" fillId="7" borderId="14" xfId="0" applyNumberFormat="1" applyFont="1" applyFill="1" applyBorder="1" applyAlignment="1">
      <alignment horizontal="center" vertical="center"/>
    </xf>
    <xf numFmtId="164" fontId="4" fillId="7" borderId="10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43" fontId="0" fillId="0" borderId="0" xfId="1" applyFont="1"/>
    <xf numFmtId="43" fontId="0" fillId="0" borderId="0" xfId="0" applyNumberFormat="1"/>
    <xf numFmtId="164" fontId="0" fillId="11" borderId="7" xfId="0" applyNumberFormat="1" applyFill="1" applyBorder="1" applyAlignment="1">
      <alignment horizontal="center" vertical="center"/>
    </xf>
    <xf numFmtId="164" fontId="0" fillId="12" borderId="0" xfId="1" applyNumberFormat="1" applyFont="1" applyFill="1" applyBorder="1" applyAlignment="1">
      <alignment horizontal="center" vertical="center"/>
    </xf>
    <xf numFmtId="0" fontId="9" fillId="3" borderId="0" xfId="0" applyFont="1" applyFill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13" borderId="9" xfId="0" applyFont="1" applyFill="1" applyBorder="1"/>
    <xf numFmtId="0" fontId="6" fillId="14" borderId="15" xfId="0" applyFont="1" applyFill="1" applyBorder="1"/>
    <xf numFmtId="0" fontId="6" fillId="14" borderId="16" xfId="0" applyFont="1" applyFill="1" applyBorder="1" applyAlignment="1">
      <alignment horizontal="center"/>
    </xf>
    <xf numFmtId="0" fontId="6" fillId="14" borderId="17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0" xfId="0" applyFont="1" applyFill="1" applyAlignment="1">
      <alignment horizont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164" fontId="0" fillId="0" borderId="11" xfId="1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right"/>
    </xf>
    <xf numFmtId="0" fontId="0" fillId="0" borderId="23" xfId="0" applyBorder="1" applyAlignment="1">
      <alignment horizontal="right" vertical="center"/>
    </xf>
    <xf numFmtId="0" fontId="4" fillId="0" borderId="23" xfId="0" applyFont="1" applyBorder="1"/>
    <xf numFmtId="0" fontId="0" fillId="15" borderId="9" xfId="0" applyFill="1" applyBorder="1" applyAlignment="1">
      <alignment horizontal="left" vertical="center"/>
    </xf>
    <xf numFmtId="164" fontId="0" fillId="15" borderId="13" xfId="1" applyNumberFormat="1" applyFont="1" applyFill="1" applyBorder="1" applyAlignment="1">
      <alignment horizontal="center" vertical="center"/>
    </xf>
    <xf numFmtId="164" fontId="0" fillId="15" borderId="14" xfId="1" applyNumberFormat="1" applyFont="1" applyFill="1" applyBorder="1" applyAlignment="1">
      <alignment horizontal="center" vertical="center"/>
    </xf>
    <xf numFmtId="164" fontId="0" fillId="15" borderId="10" xfId="1" applyNumberFormat="1" applyFont="1" applyFill="1" applyBorder="1" applyAlignment="1">
      <alignment horizontal="center" vertical="center"/>
    </xf>
    <xf numFmtId="164" fontId="0" fillId="15" borderId="0" xfId="1" applyNumberFormat="1" applyFont="1" applyFill="1" applyBorder="1" applyAlignment="1">
      <alignment horizontal="center" vertical="center"/>
    </xf>
    <xf numFmtId="0" fontId="4" fillId="0" borderId="15" xfId="0" applyFont="1" applyBorder="1"/>
    <xf numFmtId="164" fontId="0" fillId="0" borderId="3" xfId="1" applyNumberFormat="1" applyFont="1" applyFill="1" applyBorder="1" applyAlignment="1">
      <alignment horizontal="center" vertical="center"/>
    </xf>
    <xf numFmtId="164" fontId="0" fillId="0" borderId="4" xfId="1" applyNumberFormat="1" applyFon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4" fillId="0" borderId="11" xfId="0" applyFont="1" applyBorder="1"/>
    <xf numFmtId="0" fontId="4" fillId="0" borderId="24" xfId="0" applyFont="1" applyBorder="1" applyAlignment="1">
      <alignment horizontal="left"/>
    </xf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25" xfId="1" applyNumberFormat="1" applyFont="1" applyBorder="1"/>
    <xf numFmtId="164" fontId="0" fillId="0" borderId="1" xfId="1" applyNumberFormat="1" applyFont="1" applyFill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164" fontId="0" fillId="0" borderId="25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64" fontId="0" fillId="0" borderId="0" xfId="1" applyNumberFormat="1" applyFont="1" applyBorder="1"/>
    <xf numFmtId="0" fontId="0" fillId="0" borderId="0" xfId="0" applyAlignment="1">
      <alignment horizontal="center" vertical="center"/>
    </xf>
    <xf numFmtId="0" fontId="13" fillId="14" borderId="13" xfId="0" applyFont="1" applyFill="1" applyBorder="1" applyAlignment="1">
      <alignment horizontal="center"/>
    </xf>
    <xf numFmtId="0" fontId="13" fillId="14" borderId="14" xfId="0" applyFont="1" applyFill="1" applyBorder="1" applyAlignment="1">
      <alignment horizontal="center"/>
    </xf>
    <xf numFmtId="0" fontId="13" fillId="14" borderId="1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wrapText="1"/>
    </xf>
    <xf numFmtId="0" fontId="15" fillId="16" borderId="3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17" borderId="26" xfId="0" applyFont="1" applyFill="1" applyBorder="1" applyAlignment="1">
      <alignment horizontal="center" vertical="center"/>
    </xf>
    <xf numFmtId="164" fontId="16" fillId="17" borderId="27" xfId="0" applyNumberFormat="1" applyFont="1" applyFill="1" applyBorder="1" applyAlignment="1">
      <alignment horizontal="center" vertical="center"/>
    </xf>
    <xf numFmtId="9" fontId="16" fillId="17" borderId="27" xfId="2" applyFont="1" applyFill="1" applyBorder="1" applyAlignment="1">
      <alignment horizontal="center" vertical="center"/>
    </xf>
    <xf numFmtId="9" fontId="16" fillId="17" borderId="28" xfId="2" applyFont="1" applyFill="1" applyBorder="1" applyAlignment="1">
      <alignment horizontal="center" vertical="center"/>
    </xf>
    <xf numFmtId="164" fontId="16" fillId="0" borderId="0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9" fontId="16" fillId="0" borderId="0" xfId="2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164" fontId="16" fillId="0" borderId="0" xfId="1" applyNumberFormat="1" applyFont="1" applyFill="1" applyBorder="1" applyAlignment="1">
      <alignment horizontal="center" vertical="center"/>
    </xf>
    <xf numFmtId="0" fontId="17" fillId="18" borderId="26" xfId="0" applyFont="1" applyFill="1" applyBorder="1" applyAlignment="1">
      <alignment horizontal="center" vertical="center"/>
    </xf>
    <xf numFmtId="164" fontId="17" fillId="18" borderId="27" xfId="0" applyNumberFormat="1" applyFont="1" applyFill="1" applyBorder="1" applyAlignment="1">
      <alignment horizontal="center" vertical="center"/>
    </xf>
    <xf numFmtId="9" fontId="17" fillId="18" borderId="27" xfId="2" applyFont="1" applyFill="1" applyBorder="1" applyAlignment="1">
      <alignment horizontal="center" vertical="center"/>
    </xf>
    <xf numFmtId="9" fontId="17" fillId="18" borderId="28" xfId="2" applyFont="1" applyFill="1" applyBorder="1" applyAlignment="1">
      <alignment horizontal="center" vertical="center"/>
    </xf>
    <xf numFmtId="0" fontId="17" fillId="19" borderId="26" xfId="0" applyFont="1" applyFill="1" applyBorder="1" applyAlignment="1">
      <alignment horizontal="center" vertical="center"/>
    </xf>
    <xf numFmtId="164" fontId="17" fillId="19" borderId="27" xfId="0" applyNumberFormat="1" applyFont="1" applyFill="1" applyBorder="1" applyAlignment="1">
      <alignment horizontal="center" vertical="center"/>
    </xf>
    <xf numFmtId="9" fontId="17" fillId="19" borderId="27" xfId="2" applyFont="1" applyFill="1" applyBorder="1" applyAlignment="1">
      <alignment horizontal="center" vertical="center"/>
    </xf>
    <xf numFmtId="9" fontId="17" fillId="19" borderId="28" xfId="2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 vertical="center"/>
    </xf>
    <xf numFmtId="9" fontId="18" fillId="0" borderId="0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2" applyNumberFormat="1" applyFont="1" applyFill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0" fontId="19" fillId="20" borderId="29" xfId="0" applyFont="1" applyFill="1" applyBorder="1" applyAlignment="1">
      <alignment horizontal="center" vertical="center"/>
    </xf>
    <xf numFmtId="164" fontId="19" fillId="20" borderId="30" xfId="0" applyNumberFormat="1" applyFont="1" applyFill="1" applyBorder="1" applyAlignment="1">
      <alignment horizontal="center" vertical="center"/>
    </xf>
    <xf numFmtId="9" fontId="19" fillId="20" borderId="30" xfId="2" applyFont="1" applyFill="1" applyBorder="1" applyAlignment="1">
      <alignment horizontal="center" vertical="center"/>
    </xf>
    <xf numFmtId="9" fontId="19" fillId="20" borderId="31" xfId="2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9" fontId="15" fillId="16" borderId="4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6" fillId="17" borderId="27" xfId="1" applyNumberFormat="1" applyFont="1" applyFill="1" applyBorder="1" applyAlignment="1">
      <alignment horizontal="center" vertical="center"/>
    </xf>
    <xf numFmtId="165" fontId="16" fillId="17" borderId="27" xfId="2" applyNumberFormat="1" applyFont="1" applyFill="1" applyBorder="1" applyAlignment="1">
      <alignment horizontal="center" vertical="center"/>
    </xf>
    <xf numFmtId="165" fontId="16" fillId="17" borderId="28" xfId="2" applyNumberFormat="1" applyFont="1" applyFill="1" applyBorder="1" applyAlignment="1">
      <alignment horizontal="center" vertical="center"/>
    </xf>
    <xf numFmtId="164" fontId="16" fillId="0" borderId="27" xfId="1" applyNumberFormat="1" applyFont="1" applyBorder="1" applyAlignment="1">
      <alignment horizontal="center" vertical="center"/>
    </xf>
    <xf numFmtId="165" fontId="16" fillId="0" borderId="27" xfId="2" applyNumberFormat="1" applyFont="1" applyBorder="1" applyAlignment="1">
      <alignment horizontal="center" vertical="center"/>
    </xf>
    <xf numFmtId="165" fontId="16" fillId="0" borderId="28" xfId="2" applyNumberFormat="1" applyFont="1" applyBorder="1" applyAlignment="1">
      <alignment horizontal="center" vertical="center"/>
    </xf>
    <xf numFmtId="164" fontId="17" fillId="19" borderId="27" xfId="1" applyNumberFormat="1" applyFont="1" applyFill="1" applyBorder="1" applyAlignment="1">
      <alignment horizontal="center" vertical="center"/>
    </xf>
    <xf numFmtId="165" fontId="17" fillId="19" borderId="27" xfId="2" applyNumberFormat="1" applyFont="1" applyFill="1" applyBorder="1" applyAlignment="1">
      <alignment horizontal="center" vertical="center"/>
    </xf>
    <xf numFmtId="165" fontId="17" fillId="19" borderId="28" xfId="2" applyNumberFormat="1" applyFont="1" applyFill="1" applyBorder="1" applyAlignment="1">
      <alignment horizontal="center" vertical="center"/>
    </xf>
    <xf numFmtId="165" fontId="19" fillId="20" borderId="30" xfId="2" applyNumberFormat="1" applyFont="1" applyFill="1" applyBorder="1" applyAlignment="1">
      <alignment horizontal="center" vertical="center"/>
    </xf>
    <xf numFmtId="165" fontId="19" fillId="20" borderId="31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9" fontId="15" fillId="16" borderId="4" xfId="2" applyFont="1" applyFill="1" applyBorder="1" applyAlignment="1">
      <alignment horizontal="center" vertical="center" wrapText="1"/>
    </xf>
    <xf numFmtId="9" fontId="15" fillId="16" borderId="5" xfId="2" applyFont="1" applyFill="1" applyBorder="1" applyAlignment="1">
      <alignment horizontal="center" vertical="center" wrapText="1"/>
    </xf>
    <xf numFmtId="164" fontId="17" fillId="21" borderId="27" xfId="0" applyNumberFormat="1" applyFont="1" applyFill="1" applyBorder="1" applyAlignment="1">
      <alignment horizontal="center" vertical="center"/>
    </xf>
    <xf numFmtId="164" fontId="17" fillId="21" borderId="27" xfId="1" applyNumberFormat="1" applyFont="1" applyFill="1" applyBorder="1" applyAlignment="1">
      <alignment horizontal="center" vertical="center"/>
    </xf>
    <xf numFmtId="9" fontId="17" fillId="21" borderId="27" xfId="2" applyFont="1" applyFill="1" applyBorder="1" applyAlignment="1">
      <alignment horizontal="center" vertical="center"/>
    </xf>
    <xf numFmtId="9" fontId="17" fillId="21" borderId="28" xfId="2" applyFont="1" applyFill="1" applyBorder="1" applyAlignment="1">
      <alignment horizontal="center" vertical="center"/>
    </xf>
    <xf numFmtId="0" fontId="4" fillId="0" borderId="0" xfId="0" applyFont="1"/>
    <xf numFmtId="0" fontId="6" fillId="14" borderId="3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4" borderId="32" xfId="0" applyFont="1" applyFill="1" applyBorder="1" applyAlignment="1">
      <alignment horizontal="center" vertical="center"/>
    </xf>
    <xf numFmtId="164" fontId="2" fillId="4" borderId="33" xfId="1" applyNumberFormat="1" applyFont="1" applyFill="1" applyBorder="1" applyAlignment="1">
      <alignment horizontal="center" vertical="center"/>
    </xf>
    <xf numFmtId="164" fontId="2" fillId="4" borderId="34" xfId="1" applyNumberFormat="1" applyFont="1" applyFill="1" applyBorder="1" applyAlignment="1">
      <alignment horizontal="center" vertical="center"/>
    </xf>
    <xf numFmtId="164" fontId="2" fillId="4" borderId="32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/>
    </xf>
    <xf numFmtId="164" fontId="0" fillId="0" borderId="13" xfId="1" applyNumberFormat="1" applyFont="1" applyBorder="1"/>
    <xf numFmtId="164" fontId="0" fillId="0" borderId="14" xfId="1" applyNumberFormat="1" applyFont="1" applyBorder="1"/>
    <xf numFmtId="164" fontId="0" fillId="0" borderId="10" xfId="1" applyNumberFormat="1" applyFont="1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0" fontId="5" fillId="19" borderId="35" xfId="0" applyFont="1" applyFill="1" applyBorder="1" applyAlignment="1">
      <alignment horizontal="center"/>
    </xf>
    <xf numFmtId="0" fontId="0" fillId="22" borderId="9" xfId="0" applyFill="1" applyBorder="1"/>
    <xf numFmtId="0" fontId="4" fillId="23" borderId="36" xfId="0" applyFont="1" applyFill="1" applyBorder="1"/>
    <xf numFmtId="0" fontId="4" fillId="23" borderId="37" xfId="0" applyFont="1" applyFill="1" applyBorder="1" applyAlignment="1">
      <alignment horizontal="center"/>
    </xf>
    <xf numFmtId="0" fontId="4" fillId="23" borderId="38" xfId="0" applyFont="1" applyFill="1" applyBorder="1" applyAlignment="1">
      <alignment horizontal="center"/>
    </xf>
    <xf numFmtId="0" fontId="4" fillId="23" borderId="39" xfId="0" applyFont="1" applyFill="1" applyBorder="1" applyAlignment="1">
      <alignment horizontal="center"/>
    </xf>
    <xf numFmtId="0" fontId="0" fillId="0" borderId="36" xfId="0" applyBorder="1" applyAlignment="1">
      <alignment horizontal="left" indent="1"/>
    </xf>
    <xf numFmtId="164" fontId="0" fillId="0" borderId="36" xfId="0" applyNumberFormat="1" applyBorder="1"/>
    <xf numFmtId="9" fontId="0" fillId="0" borderId="0" xfId="2" applyFont="1"/>
    <xf numFmtId="0" fontId="4" fillId="23" borderId="36" xfId="0" applyFont="1" applyFill="1" applyBorder="1" applyAlignment="1">
      <alignment horizontal="left"/>
    </xf>
    <xf numFmtId="164" fontId="4" fillId="23" borderId="36" xfId="0" applyNumberFormat="1" applyFont="1" applyFill="1" applyBorder="1"/>
  </cellXfs>
  <cellStyles count="4">
    <cellStyle name="Comma" xfId="1" builtinId="3"/>
    <cellStyle name="Normal" xfId="0" builtinId="0"/>
    <cellStyle name="Normal 43" xfId="3" xr:uid="{5C983FC9-6FD0-463B-B95C-90B615DF3CBA}"/>
    <cellStyle name="Percent" xfId="2" builtinId="5"/>
  </cellStyles>
  <dxfs count="1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A598-9AA5-4978-9D1C-4C2C4FD0D07F}">
  <sheetPr>
    <tabColor rgb="FFFF0000"/>
    <pageSetUpPr fitToPage="1"/>
  </sheetPr>
  <dimension ref="A1:AO208"/>
  <sheetViews>
    <sheetView tabSelected="1" zoomScale="70" zoomScaleNormal="70" workbookViewId="0"/>
  </sheetViews>
  <sheetFormatPr defaultRowHeight="15" x14ac:dyDescent="0.25"/>
  <cols>
    <col min="1" max="1" width="12.42578125" bestFit="1" customWidth="1"/>
    <col min="2" max="2" width="22.5703125" customWidth="1"/>
    <col min="3" max="3" width="22.85546875" bestFit="1" customWidth="1"/>
    <col min="4" max="4" width="21.140625" bestFit="1" customWidth="1"/>
    <col min="5" max="5" width="22.42578125" bestFit="1" customWidth="1"/>
    <col min="6" max="6" width="22.85546875" bestFit="1" customWidth="1"/>
    <col min="7" max="7" width="22.42578125" bestFit="1" customWidth="1"/>
    <col min="8" max="8" width="18.140625" bestFit="1" customWidth="1"/>
    <col min="9" max="9" width="20.5703125" bestFit="1" customWidth="1"/>
    <col min="10" max="10" width="24" bestFit="1" customWidth="1"/>
    <col min="11" max="11" width="22.85546875" bestFit="1" customWidth="1"/>
    <col min="12" max="12" width="23" bestFit="1" customWidth="1"/>
    <col min="13" max="13" width="1" customWidth="1"/>
    <col min="14" max="14" width="19.5703125" bestFit="1" customWidth="1"/>
    <col min="15" max="15" width="20.28515625" bestFit="1" customWidth="1"/>
    <col min="16" max="17" width="17.28515625" bestFit="1" customWidth="1"/>
    <col min="18" max="18" width="19.7109375" hidden="1" customWidth="1"/>
    <col min="19" max="19" width="18.140625" hidden="1" customWidth="1"/>
    <col min="20" max="20" width="18.5703125" hidden="1" customWidth="1"/>
    <col min="21" max="21" width="15" hidden="1" customWidth="1"/>
    <col min="22" max="22" width="18.5703125" hidden="1" customWidth="1"/>
    <col min="23" max="23" width="32.85546875" hidden="1" customWidth="1"/>
    <col min="24" max="24" width="22" hidden="1" customWidth="1"/>
    <col min="25" max="25" width="18.140625" hidden="1" customWidth="1"/>
    <col min="26" max="26" width="20.5703125" hidden="1" customWidth="1"/>
    <col min="27" max="27" width="24" hidden="1" customWidth="1"/>
    <col min="28" max="28" width="21.5703125" hidden="1" customWidth="1"/>
    <col min="29" max="29" width="23" hidden="1" customWidth="1"/>
    <col min="30" max="30" width="15.28515625" hidden="1" customWidth="1"/>
    <col min="31" max="31" width="18.140625" hidden="1" customWidth="1"/>
    <col min="32" max="32" width="23.5703125" hidden="1" customWidth="1"/>
    <col min="33" max="34" width="23.140625" hidden="1" customWidth="1"/>
    <col min="35" max="35" width="23.5703125" hidden="1" customWidth="1"/>
    <col min="36" max="36" width="22.85546875" hidden="1" customWidth="1"/>
    <col min="37" max="37" width="19.28515625" hidden="1" customWidth="1"/>
    <col min="38" max="38" width="20.5703125" hidden="1" customWidth="1"/>
    <col min="39" max="39" width="24.85546875" hidden="1" customWidth="1"/>
    <col min="40" max="40" width="22.85546875" hidden="1" customWidth="1"/>
    <col min="41" max="41" width="23" hidden="1" customWidth="1"/>
    <col min="42" max="5801" width="15.28515625" bestFit="1" customWidth="1"/>
    <col min="5802" max="5802" width="10.7109375" bestFit="1" customWidth="1"/>
  </cols>
  <sheetData>
    <row r="1" spans="1:41" ht="18.75" x14ac:dyDescent="0.3">
      <c r="A1" s="1" t="s">
        <v>0</v>
      </c>
      <c r="B1" s="1" t="s">
        <v>1</v>
      </c>
    </row>
    <row r="2" spans="1:41" ht="18.75" x14ac:dyDescent="0.3">
      <c r="A2" s="2"/>
      <c r="B2" s="1" t="s">
        <v>2</v>
      </c>
      <c r="N2" s="3">
        <v>46148</v>
      </c>
    </row>
    <row r="3" spans="1:41" ht="18.75" x14ac:dyDescent="0.3">
      <c r="A3" s="2"/>
      <c r="B3" s="1" t="s">
        <v>3</v>
      </c>
    </row>
    <row r="4" spans="1:41" ht="23.25" x14ac:dyDescent="0.25">
      <c r="S4" s="4" t="s">
        <v>4</v>
      </c>
      <c r="T4" s="4"/>
      <c r="U4" s="4"/>
      <c r="V4" s="4"/>
      <c r="W4" s="4"/>
      <c r="X4" s="4"/>
      <c r="Y4" s="4"/>
      <c r="Z4" s="4"/>
      <c r="AA4" s="4"/>
      <c r="AB4" s="4"/>
      <c r="AC4" s="4"/>
      <c r="AE4" s="4" t="s">
        <v>5</v>
      </c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5.15" customHeight="1" thickBot="1" x14ac:dyDescent="0.4">
      <c r="A5" s="3"/>
      <c r="B5" s="5" t="str">
        <f ca="1">_xlfn.CONCAT("Summary as on-",TEXT(N2,"DD/MM/YYYY"))</f>
        <v>Summary as on-06/05/2026</v>
      </c>
      <c r="C5" s="6"/>
      <c r="D5" s="6"/>
      <c r="E5" s="6"/>
      <c r="F5" s="6"/>
      <c r="G5" s="6"/>
      <c r="H5" s="6"/>
      <c r="I5" s="6"/>
      <c r="J5" s="6"/>
      <c r="K5" s="6"/>
      <c r="L5" s="6"/>
      <c r="S5" s="5" t="str">
        <f ca="1">B5</f>
        <v>Summary as on-06/05/2026</v>
      </c>
      <c r="T5" s="6"/>
      <c r="U5" s="6"/>
      <c r="V5" s="6"/>
      <c r="W5" s="6"/>
      <c r="X5" s="6"/>
      <c r="Y5" s="6"/>
      <c r="Z5" s="6"/>
      <c r="AA5" s="6"/>
      <c r="AB5" s="6"/>
      <c r="AC5" s="6"/>
      <c r="AE5" s="5" t="str">
        <f ca="1">CONCATENATE("Summary as on-",TEXT(TODAY()-3,"dd/mm/yyyy"))</f>
        <v>Summary as on-05/05/2026</v>
      </c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ht="36.6" customHeight="1" x14ac:dyDescent="0.25">
      <c r="B6" s="7" t="s">
        <v>6</v>
      </c>
      <c r="C6" s="8" t="s">
        <v>7</v>
      </c>
      <c r="D6" s="8" t="s">
        <v>8</v>
      </c>
      <c r="E6" s="8" t="s">
        <v>9</v>
      </c>
      <c r="F6" s="9" t="s">
        <v>10</v>
      </c>
      <c r="G6" s="8" t="s">
        <v>11</v>
      </c>
      <c r="H6" s="8" t="s">
        <v>12</v>
      </c>
      <c r="I6" s="8" t="s">
        <v>13</v>
      </c>
      <c r="J6" s="10" t="s">
        <v>14</v>
      </c>
      <c r="K6" s="11" t="s">
        <v>15</v>
      </c>
      <c r="L6" s="12" t="s">
        <v>16</v>
      </c>
      <c r="S6" s="7" t="s">
        <v>6</v>
      </c>
      <c r="T6" s="8" t="s">
        <v>7</v>
      </c>
      <c r="U6" s="8" t="s">
        <v>8</v>
      </c>
      <c r="V6" s="8" t="s">
        <v>9</v>
      </c>
      <c r="W6" s="9" t="s">
        <v>10</v>
      </c>
      <c r="X6" s="8" t="s">
        <v>11</v>
      </c>
      <c r="Y6" s="8" t="s">
        <v>12</v>
      </c>
      <c r="Z6" s="8" t="s">
        <v>13</v>
      </c>
      <c r="AA6" s="10" t="s">
        <v>14</v>
      </c>
      <c r="AB6" s="11" t="s">
        <v>15</v>
      </c>
      <c r="AC6" s="12" t="s">
        <v>16</v>
      </c>
      <c r="AE6" s="7" t="s">
        <v>6</v>
      </c>
      <c r="AF6" s="8" t="s">
        <v>7</v>
      </c>
      <c r="AG6" s="8" t="s">
        <v>8</v>
      </c>
      <c r="AH6" s="8" t="s">
        <v>9</v>
      </c>
      <c r="AI6" s="9" t="s">
        <v>10</v>
      </c>
      <c r="AJ6" s="8" t="s">
        <v>11</v>
      </c>
      <c r="AK6" s="8" t="s">
        <v>12</v>
      </c>
      <c r="AL6" s="8" t="s">
        <v>13</v>
      </c>
      <c r="AM6" s="10" t="s">
        <v>14</v>
      </c>
      <c r="AN6" s="11" t="s">
        <v>15</v>
      </c>
      <c r="AO6" s="12" t="s">
        <v>16</v>
      </c>
    </row>
    <row r="7" spans="1:41" ht="15.75" thickBot="1" x14ac:dyDescent="0.3">
      <c r="A7" s="3">
        <v>44196</v>
      </c>
      <c r="B7" s="13" t="s">
        <v>17</v>
      </c>
      <c r="C7" s="14">
        <f ca="1">SUM(D7:E7)</f>
        <v>1771642300.650001</v>
      </c>
      <c r="D7" s="14">
        <v>64288549</v>
      </c>
      <c r="E7" s="14">
        <v>1707353751.650001</v>
      </c>
      <c r="F7" s="14">
        <v>1274263635</v>
      </c>
      <c r="G7" s="14">
        <v>431100953</v>
      </c>
      <c r="H7" s="14">
        <v>1989377</v>
      </c>
      <c r="I7" s="14">
        <f ca="1">C7-E7-D7</f>
        <v>0</v>
      </c>
      <c r="J7" s="14">
        <v>334031145.55999988</v>
      </c>
      <c r="K7" s="15">
        <v>940232489.44000006</v>
      </c>
      <c r="L7" s="15">
        <f t="shared" ref="L7:L23" ca="1" si="0">C7-E7-D7</f>
        <v>0</v>
      </c>
      <c r="M7" s="16"/>
      <c r="N7" s="17" t="str">
        <f ca="1">_xlfn.CONCAT("Values as on ",TEXT(N2,"dd-mm-yyyy"))</f>
        <v>Values as on 06-05-2026</v>
      </c>
      <c r="O7" s="17"/>
      <c r="S7" s="18" t="s">
        <v>17</v>
      </c>
      <c r="T7" s="19">
        <f ca="1">C7-AF7</f>
        <v>0</v>
      </c>
      <c r="U7" s="19">
        <f t="shared" ref="U7:AC43" ca="1" si="1">D7-AG7</f>
        <v>0</v>
      </c>
      <c r="V7" s="19">
        <f t="shared" ca="1" si="1"/>
        <v>0</v>
      </c>
      <c r="W7" s="19">
        <f t="shared" ca="1" si="1"/>
        <v>-322590</v>
      </c>
      <c r="X7" s="19">
        <f t="shared" ca="1" si="1"/>
        <v>322593</v>
      </c>
      <c r="Y7" s="19">
        <f t="shared" ca="1" si="1"/>
        <v>0</v>
      </c>
      <c r="Z7" s="19">
        <f t="shared" ca="1" si="1"/>
        <v>0</v>
      </c>
      <c r="AA7" s="19">
        <f t="shared" ca="1" si="1"/>
        <v>-98.779999971389771</v>
      </c>
      <c r="AB7" s="20">
        <f t="shared" ca="1" si="1"/>
        <v>-322491.21999979019</v>
      </c>
      <c r="AC7" s="20">
        <f t="shared" ca="1" si="1"/>
        <v>0</v>
      </c>
      <c r="AD7" s="16"/>
      <c r="AE7" s="13" t="s">
        <v>17</v>
      </c>
      <c r="AF7" s="14">
        <v>1771642300.650001</v>
      </c>
      <c r="AG7" s="14">
        <v>64288549</v>
      </c>
      <c r="AH7" s="14">
        <v>1707353751.650001</v>
      </c>
      <c r="AI7" s="14">
        <v>1274586225</v>
      </c>
      <c r="AJ7" s="14">
        <v>430778360</v>
      </c>
      <c r="AK7" s="14">
        <v>1989377</v>
      </c>
      <c r="AL7" s="14">
        <v>0</v>
      </c>
      <c r="AM7" s="14">
        <v>334031244.33999985</v>
      </c>
      <c r="AN7" s="15">
        <v>940554980.65999985</v>
      </c>
      <c r="AO7" s="15">
        <v>0</v>
      </c>
    </row>
    <row r="8" spans="1:41" ht="15.75" thickBot="1" x14ac:dyDescent="0.3">
      <c r="A8" s="3">
        <v>44561</v>
      </c>
      <c r="B8" s="13" t="s">
        <v>18</v>
      </c>
      <c r="C8" s="14">
        <v>1698298327</v>
      </c>
      <c r="D8" s="14">
        <v>130078450</v>
      </c>
      <c r="E8" s="14">
        <v>1566454545.9000003</v>
      </c>
      <c r="F8" s="14">
        <v>866125495</v>
      </c>
      <c r="G8" s="14">
        <v>699134658</v>
      </c>
      <c r="H8" s="14">
        <v>1194387</v>
      </c>
      <c r="I8" s="14">
        <f ca="1">C8-E8-D8</f>
        <v>1765331.0999996662</v>
      </c>
      <c r="J8" s="14">
        <v>217683374.13000035</v>
      </c>
      <c r="K8" s="15">
        <v>648442120.87000108</v>
      </c>
      <c r="L8" s="15">
        <f t="shared" ca="1" si="0"/>
        <v>1765331.0999996662</v>
      </c>
      <c r="M8" s="16"/>
      <c r="N8" s="21" t="s">
        <v>19</v>
      </c>
      <c r="O8" s="22">
        <v>230976698.08628002</v>
      </c>
      <c r="P8">
        <v>1168569854.3364995</v>
      </c>
      <c r="Q8" s="16">
        <f ca="1">P8-O8</f>
        <v>937593156.25021946</v>
      </c>
      <c r="S8" s="18" t="s">
        <v>18</v>
      </c>
      <c r="T8" s="19">
        <f t="shared" ref="T8:W43" ca="1" si="2">C8-AF8</f>
        <v>0</v>
      </c>
      <c r="U8" s="19">
        <f t="shared" ca="1" si="1"/>
        <v>0</v>
      </c>
      <c r="V8" s="19">
        <f t="shared" ca="1" si="1"/>
        <v>0</v>
      </c>
      <c r="W8" s="19">
        <f t="shared" ca="1" si="1"/>
        <v>-276</v>
      </c>
      <c r="X8" s="19">
        <f t="shared" ca="1" si="1"/>
        <v>277</v>
      </c>
      <c r="Y8" s="19">
        <f t="shared" ca="1" si="1"/>
        <v>0</v>
      </c>
      <c r="Z8" s="19">
        <f t="shared" ca="1" si="1"/>
        <v>0</v>
      </c>
      <c r="AA8" s="19">
        <f t="shared" ca="1" si="1"/>
        <v>2559.6599999964237</v>
      </c>
      <c r="AB8" s="20">
        <f t="shared" ca="1" si="1"/>
        <v>-2835.6599999666214</v>
      </c>
      <c r="AC8" s="20">
        <f t="shared" ca="1" si="1"/>
        <v>0</v>
      </c>
      <c r="AD8" s="16"/>
      <c r="AE8" s="13" t="s">
        <v>18</v>
      </c>
      <c r="AF8" s="14">
        <v>1698298327</v>
      </c>
      <c r="AG8" s="14">
        <v>130078450</v>
      </c>
      <c r="AH8" s="14">
        <v>1566454545.9000003</v>
      </c>
      <c r="AI8" s="14">
        <v>866125771</v>
      </c>
      <c r="AJ8" s="14">
        <v>699134381</v>
      </c>
      <c r="AK8" s="14">
        <v>1194387</v>
      </c>
      <c r="AL8" s="14">
        <v>1765331.0999996662</v>
      </c>
      <c r="AM8" s="14">
        <v>217680814.47000036</v>
      </c>
      <c r="AN8" s="15">
        <v>648444956.53000104</v>
      </c>
      <c r="AO8" s="15">
        <v>1765331.0999996662</v>
      </c>
    </row>
    <row r="9" spans="1:41" ht="15.75" thickBot="1" x14ac:dyDescent="0.3">
      <c r="A9" s="3">
        <f ca="1">EOMONTH(A8,12)</f>
        <v>44926</v>
      </c>
      <c r="B9" s="13" t="s">
        <v>20</v>
      </c>
      <c r="C9" s="14">
        <v>4272715411</v>
      </c>
      <c r="D9" s="14">
        <v>407978084</v>
      </c>
      <c r="E9" s="14">
        <v>3859644502.6600132</v>
      </c>
      <c r="F9" s="14">
        <v>2498323296</v>
      </c>
      <c r="G9" s="14">
        <v>1357599331</v>
      </c>
      <c r="H9" s="14">
        <v>3722293</v>
      </c>
      <c r="I9" s="14">
        <f ca="1">C9-E9-D9</f>
        <v>5092824.3399868011</v>
      </c>
      <c r="J9" s="14">
        <v>815001443.19000232</v>
      </c>
      <c r="K9" s="15">
        <v>1683321852.810009</v>
      </c>
      <c r="L9" s="15">
        <f t="shared" ca="1" si="0"/>
        <v>5092824.3399868011</v>
      </c>
      <c r="M9" s="16"/>
      <c r="N9" s="21" t="s">
        <v>21</v>
      </c>
      <c r="O9" s="22">
        <v>28868667.659999996</v>
      </c>
      <c r="P9" s="23">
        <v>178805933.16000003</v>
      </c>
      <c r="Q9" s="16">
        <f ca="1">P9-O9</f>
        <v>149937265.50000003</v>
      </c>
      <c r="S9" s="18" t="s">
        <v>20</v>
      </c>
      <c r="T9" s="19">
        <f t="shared" ca="1" si="2"/>
        <v>0</v>
      </c>
      <c r="U9" s="19">
        <f t="shared" ca="1" si="1"/>
        <v>0</v>
      </c>
      <c r="V9" s="19">
        <f t="shared" ca="1" si="1"/>
        <v>0</v>
      </c>
      <c r="W9" s="19">
        <f t="shared" ca="1" si="1"/>
        <v>-13731</v>
      </c>
      <c r="X9" s="19">
        <f t="shared" ca="1" si="1"/>
        <v>13756</v>
      </c>
      <c r="Y9" s="19">
        <f t="shared" ca="1" si="1"/>
        <v>0</v>
      </c>
      <c r="Z9" s="19">
        <f t="shared" ca="1" si="1"/>
        <v>0</v>
      </c>
      <c r="AA9" s="19">
        <f t="shared" ca="1" si="1"/>
        <v>-11567.820000052452</v>
      </c>
      <c r="AB9" s="20">
        <f t="shared" ca="1" si="1"/>
        <v>-2163.1799998283386</v>
      </c>
      <c r="AC9" s="20">
        <f t="shared" ca="1" si="1"/>
        <v>0</v>
      </c>
      <c r="AD9" s="16"/>
      <c r="AE9" s="13" t="s">
        <v>20</v>
      </c>
      <c r="AF9" s="14">
        <v>4272715411</v>
      </c>
      <c r="AG9" s="14">
        <v>407978084</v>
      </c>
      <c r="AH9" s="14">
        <v>3859644502.6600132</v>
      </c>
      <c r="AI9" s="14">
        <v>2498337027</v>
      </c>
      <c r="AJ9" s="14">
        <v>1357585575</v>
      </c>
      <c r="AK9" s="14">
        <v>3722293</v>
      </c>
      <c r="AL9" s="14">
        <v>5092824.3399868011</v>
      </c>
      <c r="AM9" s="14">
        <v>815013011.01000237</v>
      </c>
      <c r="AN9" s="15">
        <v>1683324015.9900088</v>
      </c>
      <c r="AO9" s="15">
        <v>5092824.3399868011</v>
      </c>
    </row>
    <row r="10" spans="1:41" ht="15.75" thickBot="1" x14ac:dyDescent="0.3">
      <c r="A10" s="3">
        <f ca="1">EOMONTH(A9,12)</f>
        <v>45291</v>
      </c>
      <c r="B10" s="13" t="s">
        <v>22</v>
      </c>
      <c r="C10" s="14">
        <v>7825770561</v>
      </c>
      <c r="D10" s="14">
        <v>637652517</v>
      </c>
      <c r="E10" s="14">
        <v>7173179540.6599855</v>
      </c>
      <c r="F10" s="14">
        <v>4692684807</v>
      </c>
      <c r="G10" s="14">
        <v>2467593381</v>
      </c>
      <c r="H10" s="14">
        <v>12901651</v>
      </c>
      <c r="I10" s="14">
        <f ca="1">C10-E10-D10</f>
        <v>14938503.340014458</v>
      </c>
      <c r="J10" s="14">
        <v>964263867.2999959</v>
      </c>
      <c r="K10" s="15">
        <v>3728420939.6999974</v>
      </c>
      <c r="L10" s="15">
        <f t="shared" ca="1" si="0"/>
        <v>14938503.340014458</v>
      </c>
      <c r="M10" s="16"/>
      <c r="N10" s="21" t="s">
        <v>23</v>
      </c>
      <c r="O10" s="24">
        <v>5891203.9900000002</v>
      </c>
      <c r="P10" s="23">
        <v>20322590.819999993</v>
      </c>
      <c r="Q10" s="16">
        <f ca="1">P10-O10</f>
        <v>14431386.829999993</v>
      </c>
      <c r="S10" s="18" t="s">
        <v>22</v>
      </c>
      <c r="T10" s="19">
        <f t="shared" ca="1" si="2"/>
        <v>0</v>
      </c>
      <c r="U10" s="19">
        <f t="shared" ca="1" si="1"/>
        <v>0</v>
      </c>
      <c r="V10" s="19">
        <f t="shared" ca="1" si="1"/>
        <v>0</v>
      </c>
      <c r="W10" s="19">
        <f t="shared" ca="1" si="1"/>
        <v>-338716</v>
      </c>
      <c r="X10" s="19">
        <f t="shared" ca="1" si="1"/>
        <v>338717</v>
      </c>
      <c r="Y10" s="19">
        <f t="shared" ca="1" si="1"/>
        <v>0</v>
      </c>
      <c r="Z10" s="19">
        <f t="shared" ca="1" si="1"/>
        <v>0</v>
      </c>
      <c r="AA10" s="19">
        <f t="shared" ca="1" si="1"/>
        <v>-15880.520000338554</v>
      </c>
      <c r="AB10" s="20">
        <f t="shared" ca="1" si="1"/>
        <v>-322835.48000049591</v>
      </c>
      <c r="AC10" s="20">
        <f t="shared" ca="1" si="1"/>
        <v>0</v>
      </c>
      <c r="AD10" s="16"/>
      <c r="AE10" s="13" t="s">
        <v>22</v>
      </c>
      <c r="AF10" s="14">
        <v>7825770561</v>
      </c>
      <c r="AG10" s="14">
        <v>637652517</v>
      </c>
      <c r="AH10" s="14">
        <v>7173179540.6599855</v>
      </c>
      <c r="AI10" s="14">
        <v>4693023523</v>
      </c>
      <c r="AJ10" s="14">
        <v>2467254664</v>
      </c>
      <c r="AK10" s="14">
        <v>12901651</v>
      </c>
      <c r="AL10" s="14">
        <v>14938503.340014458</v>
      </c>
      <c r="AM10" s="14">
        <v>964279747.81999624</v>
      </c>
      <c r="AN10" s="15">
        <v>3728743775.1799979</v>
      </c>
      <c r="AO10" s="15">
        <v>14938503.340014458</v>
      </c>
    </row>
    <row r="11" spans="1:41" ht="15.75" thickBot="1" x14ac:dyDescent="0.3">
      <c r="A11" s="25">
        <v>45291</v>
      </c>
      <c r="B11" s="13" t="s">
        <v>24</v>
      </c>
      <c r="C11" s="14">
        <f ca="1">SUM(C12:C23)</f>
        <v>10895087710.527864</v>
      </c>
      <c r="D11" s="14">
        <f ca="1">SUM(D12:D23)</f>
        <v>637969023</v>
      </c>
      <c r="E11" s="14">
        <f t="shared" ref="E11:K11" ca="1" si="3">SUM(E12:E23)</f>
        <v>10211957747.730003</v>
      </c>
      <c r="F11" s="14">
        <f t="shared" ca="1" si="3"/>
        <v>6977755871</v>
      </c>
      <c r="G11" s="14">
        <f t="shared" ca="1" si="3"/>
        <v>3215483679</v>
      </c>
      <c r="H11" s="14">
        <f t="shared" ca="1" si="3"/>
        <v>18719302</v>
      </c>
      <c r="I11" s="14">
        <f ca="1">SUM(I12:I23)</f>
        <v>45160939.797864437</v>
      </c>
      <c r="J11" s="14">
        <f t="shared" ca="1" si="3"/>
        <v>1451610545.3100002</v>
      </c>
      <c r="K11" s="15">
        <f t="shared" ca="1" si="3"/>
        <v>5526145325.6900024</v>
      </c>
      <c r="L11" s="15">
        <f t="shared" ca="1" si="0"/>
        <v>45160939.797861099</v>
      </c>
      <c r="M11" s="16"/>
      <c r="N11" s="21" t="s">
        <v>25</v>
      </c>
      <c r="O11" s="24">
        <v>18449470.739999998</v>
      </c>
      <c r="P11" s="16">
        <f ca="1">SUM(P8:P10)</f>
        <v>1367698378.3164995</v>
      </c>
      <c r="S11" s="18" t="s">
        <v>24</v>
      </c>
      <c r="T11" s="19">
        <f t="shared" ca="1" si="2"/>
        <v>0</v>
      </c>
      <c r="U11" s="19">
        <f t="shared" ca="1" si="1"/>
        <v>0</v>
      </c>
      <c r="V11" s="19">
        <f t="shared" ca="1" si="1"/>
        <v>73152.56000328064</v>
      </c>
      <c r="W11" s="19">
        <f t="shared" ca="1" si="1"/>
        <v>467386</v>
      </c>
      <c r="X11" s="19">
        <f t="shared" ca="1" si="1"/>
        <v>-394228</v>
      </c>
      <c r="Y11" s="19">
        <f t="shared" ca="1" si="1"/>
        <v>0</v>
      </c>
      <c r="Z11" s="19">
        <f t="shared" ca="1" si="1"/>
        <v>-73152.560000181198</v>
      </c>
      <c r="AA11" s="19">
        <f t="shared" ca="1" si="1"/>
        <v>357154.53000020981</v>
      </c>
      <c r="AB11" s="20">
        <f t="shared" ca="1" si="1"/>
        <v>110231.47000026703</v>
      </c>
      <c r="AC11" s="20">
        <f t="shared" ca="1" si="1"/>
        <v>-73152.56000328064</v>
      </c>
      <c r="AD11" s="16"/>
      <c r="AE11" s="13" t="s">
        <v>24</v>
      </c>
      <c r="AF11" s="14">
        <v>10895087710.527864</v>
      </c>
      <c r="AG11" s="14">
        <v>637969023</v>
      </c>
      <c r="AH11" s="14">
        <v>10211884595.17</v>
      </c>
      <c r="AI11" s="14">
        <v>6977288485</v>
      </c>
      <c r="AJ11" s="14">
        <v>3215877907</v>
      </c>
      <c r="AK11" s="14">
        <v>18719302</v>
      </c>
      <c r="AL11" s="14">
        <v>45234092.357864618</v>
      </c>
      <c r="AM11" s="14">
        <v>1451253390.78</v>
      </c>
      <c r="AN11" s="15">
        <v>5526035094.2200022</v>
      </c>
      <c r="AO11" s="15">
        <v>45234092.35786438</v>
      </c>
    </row>
    <row r="12" spans="1:41" ht="15.75" thickBot="1" x14ac:dyDescent="0.3">
      <c r="A12" s="3">
        <v>45322</v>
      </c>
      <c r="B12" s="26" t="s">
        <v>26</v>
      </c>
      <c r="C12" s="27">
        <v>787663499.39969301</v>
      </c>
      <c r="D12" s="27">
        <v>51330740</v>
      </c>
      <c r="E12" s="27">
        <v>732224934.51000106</v>
      </c>
      <c r="F12" s="27">
        <v>518398287</v>
      </c>
      <c r="G12" s="27">
        <v>212004087</v>
      </c>
      <c r="H12" s="27">
        <v>1822587</v>
      </c>
      <c r="I12" s="27">
        <f ca="1">C12-E12-D12</f>
        <v>4107824.8896919489</v>
      </c>
      <c r="J12" s="27">
        <v>124909680.94000004</v>
      </c>
      <c r="K12" s="28">
        <v>393488606.06000024</v>
      </c>
      <c r="L12" s="28">
        <f t="shared" ca="1" si="0"/>
        <v>4107824.8896919489</v>
      </c>
      <c r="M12" s="16"/>
      <c r="N12" s="29" t="s">
        <v>27</v>
      </c>
      <c r="O12" s="29">
        <f ca="1">SUM(O8:O11)</f>
        <v>284186040.47628003</v>
      </c>
      <c r="S12" s="26" t="s">
        <v>26</v>
      </c>
      <c r="T12" s="27">
        <f t="shared" ca="1" si="2"/>
        <v>0</v>
      </c>
      <c r="U12" s="27">
        <f t="shared" ca="1" si="1"/>
        <v>0</v>
      </c>
      <c r="V12" s="27">
        <f t="shared" ca="1" si="1"/>
        <v>0</v>
      </c>
      <c r="W12" s="27">
        <f t="shared" ca="1" si="1"/>
        <v>-5</v>
      </c>
      <c r="X12" s="27">
        <f t="shared" ca="1" si="1"/>
        <v>2</v>
      </c>
      <c r="Y12" s="27">
        <f t="shared" ca="1" si="1"/>
        <v>0</v>
      </c>
      <c r="Z12" s="27">
        <f t="shared" ca="1" si="1"/>
        <v>0</v>
      </c>
      <c r="AA12" s="27">
        <f t="shared" ca="1" si="1"/>
        <v>-1617.1300000101328</v>
      </c>
      <c r="AB12" s="28">
        <f t="shared" ca="1" si="1"/>
        <v>1612.1299999952316</v>
      </c>
      <c r="AC12" s="28">
        <f t="shared" ca="1" si="1"/>
        <v>0</v>
      </c>
      <c r="AD12" s="16"/>
      <c r="AE12" s="26" t="s">
        <v>26</v>
      </c>
      <c r="AF12" s="27">
        <v>787663499.39969301</v>
      </c>
      <c r="AG12" s="27">
        <v>51330740</v>
      </c>
      <c r="AH12" s="27">
        <v>732224934.51000106</v>
      </c>
      <c r="AI12" s="27">
        <v>518398292</v>
      </c>
      <c r="AJ12" s="27">
        <v>212004085</v>
      </c>
      <c r="AK12" s="27">
        <v>1822587</v>
      </c>
      <c r="AL12" s="27">
        <v>4107824.8896919489</v>
      </c>
      <c r="AM12" s="27">
        <v>124911298.07000005</v>
      </c>
      <c r="AN12" s="28">
        <v>393486993.93000025</v>
      </c>
      <c r="AO12" s="28">
        <v>4107824.8896919489</v>
      </c>
    </row>
    <row r="13" spans="1:41" x14ac:dyDescent="0.25">
      <c r="A13" s="3">
        <f ca="1">EOMONTH(A12+1,0)</f>
        <v>45351</v>
      </c>
      <c r="B13" s="30" t="s">
        <v>28</v>
      </c>
      <c r="C13" s="31">
        <v>842750909.42590988</v>
      </c>
      <c r="D13" s="31">
        <v>62367891</v>
      </c>
      <c r="E13" s="31">
        <v>774123023.0599997</v>
      </c>
      <c r="F13" s="31">
        <v>532780998</v>
      </c>
      <c r="G13" s="31">
        <v>238989502</v>
      </c>
      <c r="H13" s="31">
        <v>2352539</v>
      </c>
      <c r="I13" s="31">
        <f t="shared" ref="I13:I23" ca="1" si="4">C13-E13-D13</f>
        <v>6259995.3659101725</v>
      </c>
      <c r="J13" s="31">
        <v>110049258.10000004</v>
      </c>
      <c r="K13" s="32">
        <v>422731739.89999998</v>
      </c>
      <c r="L13" s="32">
        <f t="shared" ca="1" si="0"/>
        <v>6259995.3659101725</v>
      </c>
      <c r="M13" s="16"/>
      <c r="S13" s="33" t="s">
        <v>28</v>
      </c>
      <c r="T13" s="19">
        <f t="shared" ca="1" si="2"/>
        <v>0</v>
      </c>
      <c r="U13" s="19">
        <f t="shared" ca="1" si="1"/>
        <v>0</v>
      </c>
      <c r="V13" s="19">
        <f t="shared" ca="1" si="1"/>
        <v>0</v>
      </c>
      <c r="W13" s="19">
        <f t="shared" ca="1" si="1"/>
        <v>4</v>
      </c>
      <c r="X13" s="19">
        <f t="shared" ca="1" si="1"/>
        <v>0</v>
      </c>
      <c r="Y13" s="19">
        <f t="shared" ca="1" si="1"/>
        <v>0</v>
      </c>
      <c r="Z13" s="19">
        <f t="shared" ca="1" si="1"/>
        <v>0</v>
      </c>
      <c r="AA13" s="19">
        <f t="shared" ca="1" si="1"/>
        <v>-54997.289999991655</v>
      </c>
      <c r="AB13" s="20">
        <f t="shared" ca="1" si="1"/>
        <v>55001.290000081062</v>
      </c>
      <c r="AC13" s="20">
        <f t="shared" ca="1" si="1"/>
        <v>0</v>
      </c>
      <c r="AD13" s="16"/>
      <c r="AE13" s="30" t="s">
        <v>28</v>
      </c>
      <c r="AF13" s="31">
        <v>842750909.42590988</v>
      </c>
      <c r="AG13" s="31">
        <v>62367891</v>
      </c>
      <c r="AH13" s="31">
        <v>774123023.0599997</v>
      </c>
      <c r="AI13" s="31">
        <v>532780994</v>
      </c>
      <c r="AJ13" s="31">
        <v>238989502</v>
      </c>
      <c r="AK13" s="31">
        <v>2352539</v>
      </c>
      <c r="AL13" s="31">
        <v>6259995.3659101725</v>
      </c>
      <c r="AM13" s="31">
        <v>110104255.39000003</v>
      </c>
      <c r="AN13" s="32">
        <v>422676738.6099999</v>
      </c>
      <c r="AO13" s="32">
        <v>6259995.3659101725</v>
      </c>
    </row>
    <row r="14" spans="1:41" x14ac:dyDescent="0.25">
      <c r="A14" s="3">
        <f t="shared" ref="A14:A23" ca="1" si="5">EOMONTH(A13+1,0)</f>
        <v>45382</v>
      </c>
      <c r="B14" s="26" t="s">
        <v>29</v>
      </c>
      <c r="C14" s="27">
        <v>915678922.73391926</v>
      </c>
      <c r="D14" s="27">
        <v>63072708</v>
      </c>
      <c r="E14" s="27">
        <v>848114732.77999914</v>
      </c>
      <c r="F14" s="27">
        <v>520422396</v>
      </c>
      <c r="G14" s="27">
        <v>325507505</v>
      </c>
      <c r="H14" s="27">
        <v>2184784</v>
      </c>
      <c r="I14" s="27">
        <f t="shared" ca="1" si="4"/>
        <v>4491481.953920126</v>
      </c>
      <c r="J14" s="19">
        <v>120288787.40999994</v>
      </c>
      <c r="K14" s="20">
        <v>400133608.58999997</v>
      </c>
      <c r="L14" s="20">
        <f t="shared" ca="1" si="0"/>
        <v>4491481.953920126</v>
      </c>
      <c r="M14" s="16"/>
      <c r="S14" s="26" t="s">
        <v>29</v>
      </c>
      <c r="T14" s="27">
        <f t="shared" ca="1" si="2"/>
        <v>0</v>
      </c>
      <c r="U14" s="27">
        <f t="shared" ca="1" si="1"/>
        <v>0</v>
      </c>
      <c r="V14" s="27">
        <f t="shared" ca="1" si="1"/>
        <v>0</v>
      </c>
      <c r="W14" s="27">
        <f t="shared" ca="1" si="1"/>
        <v>-3</v>
      </c>
      <c r="X14" s="27">
        <f t="shared" ca="1" si="1"/>
        <v>1</v>
      </c>
      <c r="Y14" s="27">
        <f t="shared" ca="1" si="1"/>
        <v>0</v>
      </c>
      <c r="Z14" s="27">
        <f t="shared" ca="1" si="1"/>
        <v>0</v>
      </c>
      <c r="AA14" s="19">
        <f t="shared" ca="1" si="1"/>
        <v>-9821.8500000089407</v>
      </c>
      <c r="AB14" s="20">
        <f t="shared" ca="1" si="1"/>
        <v>9818.8499999642372</v>
      </c>
      <c r="AC14" s="20">
        <f t="shared" ca="1" si="1"/>
        <v>0</v>
      </c>
      <c r="AD14" s="16"/>
      <c r="AE14" s="26" t="s">
        <v>29</v>
      </c>
      <c r="AF14" s="27">
        <v>915678922.73391926</v>
      </c>
      <c r="AG14" s="27">
        <v>63072708</v>
      </c>
      <c r="AH14" s="27">
        <v>848114732.77999914</v>
      </c>
      <c r="AI14" s="27">
        <v>520422399</v>
      </c>
      <c r="AJ14" s="27">
        <v>325507504</v>
      </c>
      <c r="AK14" s="27">
        <v>2184784</v>
      </c>
      <c r="AL14" s="27">
        <v>4491481.953920126</v>
      </c>
      <c r="AM14" s="19">
        <v>120298609.25999995</v>
      </c>
      <c r="AN14" s="20">
        <v>400123789.74000001</v>
      </c>
      <c r="AO14" s="20">
        <v>4491481.953920126</v>
      </c>
    </row>
    <row r="15" spans="1:41" x14ac:dyDescent="0.25">
      <c r="A15" s="3">
        <f t="shared" ca="1" si="5"/>
        <v>45412</v>
      </c>
      <c r="B15" s="30" t="s">
        <v>30</v>
      </c>
      <c r="C15" s="31">
        <v>795900147.02475762</v>
      </c>
      <c r="D15" s="31">
        <v>55989228</v>
      </c>
      <c r="E15" s="31">
        <v>736259810.82000124</v>
      </c>
      <c r="F15" s="31">
        <v>487717181</v>
      </c>
      <c r="G15" s="31">
        <v>247240968</v>
      </c>
      <c r="H15" s="31">
        <v>1301619</v>
      </c>
      <c r="I15" s="31">
        <f t="shared" ca="1" si="4"/>
        <v>3651108.2047563791</v>
      </c>
      <c r="J15" s="31">
        <v>82130973.39000003</v>
      </c>
      <c r="K15" s="32">
        <v>405586207.61000055</v>
      </c>
      <c r="L15" s="32">
        <f t="shared" ca="1" si="0"/>
        <v>3651108.2047563791</v>
      </c>
      <c r="M15" s="16"/>
      <c r="S15" s="33" t="s">
        <v>30</v>
      </c>
      <c r="T15" s="19">
        <f t="shared" ca="1" si="2"/>
        <v>0</v>
      </c>
      <c r="U15" s="19">
        <f t="shared" ca="1" si="1"/>
        <v>0</v>
      </c>
      <c r="V15" s="19">
        <f t="shared" ca="1" si="1"/>
        <v>0</v>
      </c>
      <c r="W15" s="19">
        <f t="shared" ca="1" si="1"/>
        <v>420471</v>
      </c>
      <c r="X15" s="19">
        <f t="shared" ca="1" si="1"/>
        <v>-420468</v>
      </c>
      <c r="Y15" s="19">
        <f t="shared" ca="1" si="1"/>
        <v>0</v>
      </c>
      <c r="Z15" s="19">
        <f t="shared" ca="1" si="1"/>
        <v>0</v>
      </c>
      <c r="AA15" s="19">
        <f t="shared" ca="1" si="1"/>
        <v>419815.93000000715</v>
      </c>
      <c r="AB15" s="20">
        <f t="shared" ca="1" si="1"/>
        <v>655.07000005245209</v>
      </c>
      <c r="AC15" s="20">
        <f t="shared" ca="1" si="1"/>
        <v>0</v>
      </c>
      <c r="AD15" s="16"/>
      <c r="AE15" s="30" t="s">
        <v>30</v>
      </c>
      <c r="AF15" s="31">
        <v>795900147.02475762</v>
      </c>
      <c r="AG15" s="31">
        <v>55989228</v>
      </c>
      <c r="AH15" s="31">
        <v>736259810.82000124</v>
      </c>
      <c r="AI15" s="31">
        <v>487296710</v>
      </c>
      <c r="AJ15" s="31">
        <v>247661436</v>
      </c>
      <c r="AK15" s="31">
        <v>1301619</v>
      </c>
      <c r="AL15" s="31">
        <v>3651108.2047563791</v>
      </c>
      <c r="AM15" s="31">
        <v>81711157.460000023</v>
      </c>
      <c r="AN15" s="32">
        <v>405585552.5400005</v>
      </c>
      <c r="AO15" s="32">
        <v>3651108.2047563791</v>
      </c>
    </row>
    <row r="16" spans="1:41" x14ac:dyDescent="0.25">
      <c r="A16" s="3">
        <f t="shared" ca="1" si="5"/>
        <v>45443</v>
      </c>
      <c r="B16" s="26" t="s">
        <v>31</v>
      </c>
      <c r="C16" s="27">
        <v>894295198.64999998</v>
      </c>
      <c r="D16" s="27">
        <v>66293170</v>
      </c>
      <c r="E16" s="27">
        <v>826754833.97999966</v>
      </c>
      <c r="F16" s="27">
        <v>580599202</v>
      </c>
      <c r="G16" s="27">
        <v>243818421</v>
      </c>
      <c r="H16" s="27">
        <v>2337246</v>
      </c>
      <c r="I16" s="27">
        <f t="shared" ca="1" si="4"/>
        <v>1247194.6700003147</v>
      </c>
      <c r="J16" s="19">
        <v>120564647.27000007</v>
      </c>
      <c r="K16" s="20">
        <v>460034554.73000038</v>
      </c>
      <c r="L16" s="20">
        <f t="shared" ca="1" si="0"/>
        <v>1247194.6700003147</v>
      </c>
      <c r="M16" s="16"/>
      <c r="O16" s="16"/>
      <c r="P16" t="s">
        <v>32</v>
      </c>
      <c r="S16" s="26" t="s">
        <v>31</v>
      </c>
      <c r="T16" s="27">
        <f t="shared" ca="1" si="2"/>
        <v>0</v>
      </c>
      <c r="U16" s="27">
        <f t="shared" ca="1" si="1"/>
        <v>0</v>
      </c>
      <c r="V16" s="27">
        <f t="shared" ca="1" si="1"/>
        <v>0</v>
      </c>
      <c r="W16" s="27">
        <f t="shared" ca="1" si="1"/>
        <v>2</v>
      </c>
      <c r="X16" s="27">
        <f t="shared" ca="1" si="1"/>
        <v>0</v>
      </c>
      <c r="Y16" s="27">
        <f t="shared" ca="1" si="1"/>
        <v>0</v>
      </c>
      <c r="Z16" s="27">
        <f t="shared" ca="1" si="1"/>
        <v>0</v>
      </c>
      <c r="AA16" s="19">
        <f t="shared" ca="1" si="1"/>
        <v>12688.089999973774</v>
      </c>
      <c r="AB16" s="20">
        <f t="shared" ca="1" si="1"/>
        <v>-12686.089999973774</v>
      </c>
      <c r="AC16" s="20">
        <f t="shared" ca="1" si="1"/>
        <v>0</v>
      </c>
      <c r="AD16" s="16"/>
      <c r="AE16" s="26" t="s">
        <v>31</v>
      </c>
      <c r="AF16" s="27">
        <v>894295198.64999998</v>
      </c>
      <c r="AG16" s="27">
        <v>66293170</v>
      </c>
      <c r="AH16" s="27">
        <v>826754833.97999966</v>
      </c>
      <c r="AI16" s="27">
        <v>580599200</v>
      </c>
      <c r="AJ16" s="27">
        <v>243818421</v>
      </c>
      <c r="AK16" s="27">
        <v>2337246</v>
      </c>
      <c r="AL16" s="27">
        <v>1247194.6700003147</v>
      </c>
      <c r="AM16" s="19">
        <v>120551959.1800001</v>
      </c>
      <c r="AN16" s="20">
        <v>460047240.82000035</v>
      </c>
      <c r="AO16" s="20">
        <v>1247194.6700003147</v>
      </c>
    </row>
    <row r="17" spans="1:41" x14ac:dyDescent="0.25">
      <c r="A17" s="3">
        <f t="shared" ca="1" si="5"/>
        <v>45473</v>
      </c>
      <c r="B17" s="30" t="s">
        <v>33</v>
      </c>
      <c r="C17" s="31">
        <v>741292942.85000002</v>
      </c>
      <c r="D17" s="31">
        <v>43018017</v>
      </c>
      <c r="E17" s="31">
        <v>696360414.4300009</v>
      </c>
      <c r="F17" s="31">
        <v>502657372</v>
      </c>
      <c r="G17" s="31">
        <v>192285683</v>
      </c>
      <c r="H17" s="31">
        <v>1417459</v>
      </c>
      <c r="I17" s="31">
        <f t="shared" ca="1" si="4"/>
        <v>1914511.4199991226</v>
      </c>
      <c r="J17" s="31">
        <v>80140511.820000038</v>
      </c>
      <c r="K17" s="32">
        <v>422516860.17999989</v>
      </c>
      <c r="L17" s="32">
        <f t="shared" ca="1" si="0"/>
        <v>1914511.4199991226</v>
      </c>
      <c r="M17" s="16"/>
      <c r="O17" s="16"/>
      <c r="Q17" s="34"/>
      <c r="S17" s="33" t="s">
        <v>33</v>
      </c>
      <c r="T17" s="19">
        <f t="shared" ca="1" si="2"/>
        <v>0</v>
      </c>
      <c r="U17" s="19">
        <f t="shared" ca="1" si="1"/>
        <v>0</v>
      </c>
      <c r="V17" s="19">
        <f t="shared" ca="1" si="1"/>
        <v>0</v>
      </c>
      <c r="W17" s="19">
        <f t="shared" ca="1" si="1"/>
        <v>-6</v>
      </c>
      <c r="X17" s="19">
        <f t="shared" ca="1" si="1"/>
        <v>2</v>
      </c>
      <c r="Y17" s="19">
        <f t="shared" ca="1" si="1"/>
        <v>0</v>
      </c>
      <c r="Z17" s="19">
        <f t="shared" ca="1" si="1"/>
        <v>0</v>
      </c>
      <c r="AA17" s="19">
        <f t="shared" ca="1" si="1"/>
        <v>-12002.210000008345</v>
      </c>
      <c r="AB17" s="20">
        <f t="shared" ca="1" si="1"/>
        <v>11996.209999918938</v>
      </c>
      <c r="AC17" s="20">
        <f t="shared" ca="1" si="1"/>
        <v>0</v>
      </c>
      <c r="AD17" s="16"/>
      <c r="AE17" s="30" t="s">
        <v>33</v>
      </c>
      <c r="AF17" s="31">
        <v>741292942.85000002</v>
      </c>
      <c r="AG17" s="31">
        <v>43018017</v>
      </c>
      <c r="AH17" s="31">
        <v>696360414.4300009</v>
      </c>
      <c r="AI17" s="31">
        <v>502657378</v>
      </c>
      <c r="AJ17" s="31">
        <v>192285681</v>
      </c>
      <c r="AK17" s="31">
        <v>1417459</v>
      </c>
      <c r="AL17" s="31">
        <v>1914511.4199991226</v>
      </c>
      <c r="AM17" s="31">
        <v>80152514.030000046</v>
      </c>
      <c r="AN17" s="32">
        <v>422504863.96999997</v>
      </c>
      <c r="AO17" s="32">
        <v>1914511.4199991226</v>
      </c>
    </row>
    <row r="18" spans="1:41" x14ac:dyDescent="0.25">
      <c r="A18" s="3">
        <f t="shared" ca="1" si="5"/>
        <v>45504</v>
      </c>
      <c r="B18" s="26" t="s">
        <v>34</v>
      </c>
      <c r="C18" s="27">
        <v>817094792.00967252</v>
      </c>
      <c r="D18" s="27">
        <v>48059793</v>
      </c>
      <c r="E18" s="27">
        <v>766908172.02000022</v>
      </c>
      <c r="F18" s="27">
        <v>571037984</v>
      </c>
      <c r="G18" s="27">
        <v>194700434</v>
      </c>
      <c r="H18" s="27">
        <v>1169899</v>
      </c>
      <c r="I18" s="27">
        <f t="shared" ca="1" si="4"/>
        <v>2126826.9896723032</v>
      </c>
      <c r="J18" s="19">
        <v>106177523.05000001</v>
      </c>
      <c r="K18" s="20">
        <v>464860460.95000035</v>
      </c>
      <c r="L18" s="20">
        <f t="shared" ca="1" si="0"/>
        <v>2126826.9896723032</v>
      </c>
      <c r="M18" s="16"/>
      <c r="S18" s="26" t="s">
        <v>34</v>
      </c>
      <c r="T18" s="27">
        <f t="shared" ca="1" si="2"/>
        <v>0</v>
      </c>
      <c r="U18" s="27">
        <f t="shared" ca="1" si="1"/>
        <v>0</v>
      </c>
      <c r="V18" s="27">
        <f t="shared" ca="1" si="1"/>
        <v>0.35000002384185791</v>
      </c>
      <c r="W18" s="27">
        <f t="shared" ca="1" si="1"/>
        <v>7</v>
      </c>
      <c r="X18" s="27">
        <f t="shared" ca="1" si="1"/>
        <v>-3</v>
      </c>
      <c r="Y18" s="27">
        <f t="shared" ca="1" si="1"/>
        <v>0</v>
      </c>
      <c r="Z18" s="27">
        <f t="shared" ca="1" si="1"/>
        <v>-0.35000002384185791</v>
      </c>
      <c r="AA18" s="19">
        <f t="shared" ca="1" si="1"/>
        <v>6.2200000435113907</v>
      </c>
      <c r="AB18" s="20">
        <f t="shared" ca="1" si="1"/>
        <v>0.78000009059906006</v>
      </c>
      <c r="AC18" s="20">
        <f t="shared" ca="1" si="1"/>
        <v>-0.35000002384185791</v>
      </c>
      <c r="AD18" s="16"/>
      <c r="AE18" s="26" t="s">
        <v>34</v>
      </c>
      <c r="AF18" s="27">
        <v>817094792.00967252</v>
      </c>
      <c r="AG18" s="27">
        <v>48059793</v>
      </c>
      <c r="AH18" s="27">
        <v>766908171.6700002</v>
      </c>
      <c r="AI18" s="27">
        <v>571037977</v>
      </c>
      <c r="AJ18" s="27">
        <v>194700437</v>
      </c>
      <c r="AK18" s="27">
        <v>1169899</v>
      </c>
      <c r="AL18" s="27">
        <v>2126827.339672327</v>
      </c>
      <c r="AM18" s="19">
        <v>106177516.82999997</v>
      </c>
      <c r="AN18" s="20">
        <v>464860460.17000026</v>
      </c>
      <c r="AO18" s="20">
        <v>2126827.339672327</v>
      </c>
    </row>
    <row r="19" spans="1:41" x14ac:dyDescent="0.25">
      <c r="A19" s="3">
        <f t="shared" ca="1" si="5"/>
        <v>45535</v>
      </c>
      <c r="B19" s="30" t="s">
        <v>35</v>
      </c>
      <c r="C19" s="31">
        <v>873257057.99263299</v>
      </c>
      <c r="D19" s="31">
        <v>45030725</v>
      </c>
      <c r="E19" s="31">
        <v>823347933.41000021</v>
      </c>
      <c r="F19" s="31">
        <v>574432824</v>
      </c>
      <c r="G19" s="31">
        <v>247529835</v>
      </c>
      <c r="H19" s="31">
        <v>1385453</v>
      </c>
      <c r="I19" s="31">
        <f t="shared" ca="1" si="4"/>
        <v>4878399.5826327801</v>
      </c>
      <c r="J19" s="31">
        <v>134523764.90999994</v>
      </c>
      <c r="K19" s="32">
        <v>439909059.08999944</v>
      </c>
      <c r="L19" s="32">
        <f t="shared" ca="1" si="0"/>
        <v>4878399.5826327801</v>
      </c>
      <c r="M19" s="16"/>
      <c r="O19" s="23"/>
      <c r="S19" s="33" t="s">
        <v>35</v>
      </c>
      <c r="T19" s="19">
        <f t="shared" ca="1" si="2"/>
        <v>0</v>
      </c>
      <c r="U19" s="19">
        <f t="shared" ca="1" si="1"/>
        <v>0</v>
      </c>
      <c r="V19" s="19">
        <f t="shared" ca="1" si="1"/>
        <v>-3.9999961853027344E-2</v>
      </c>
      <c r="W19" s="19">
        <f t="shared" ca="1" si="1"/>
        <v>9</v>
      </c>
      <c r="X19" s="19">
        <f t="shared" ca="1" si="1"/>
        <v>-3</v>
      </c>
      <c r="Y19" s="19">
        <f t="shared" ca="1" si="1"/>
        <v>0</v>
      </c>
      <c r="Z19" s="19">
        <f t="shared" ca="1" si="1"/>
        <v>3.9999961853027344E-2</v>
      </c>
      <c r="AA19" s="19">
        <f t="shared" ca="1" si="1"/>
        <v>-14591.800000041723</v>
      </c>
      <c r="AB19" s="20">
        <f t="shared" ca="1" si="1"/>
        <v>14600.799999952316</v>
      </c>
      <c r="AC19" s="20">
        <f t="shared" ca="1" si="1"/>
        <v>3.9999961853027344E-2</v>
      </c>
      <c r="AD19" s="16"/>
      <c r="AE19" s="30" t="s">
        <v>35</v>
      </c>
      <c r="AF19" s="31">
        <v>873257057.99263299</v>
      </c>
      <c r="AG19" s="31">
        <v>45030725</v>
      </c>
      <c r="AH19" s="31">
        <v>823347933.45000017</v>
      </c>
      <c r="AI19" s="31">
        <v>574432815</v>
      </c>
      <c r="AJ19" s="31">
        <v>247529838</v>
      </c>
      <c r="AK19" s="31">
        <v>1385453</v>
      </c>
      <c r="AL19" s="31">
        <v>4878399.5426328182</v>
      </c>
      <c r="AM19" s="31">
        <v>134538356.70999998</v>
      </c>
      <c r="AN19" s="32">
        <v>439894458.28999949</v>
      </c>
      <c r="AO19" s="32">
        <v>4878399.5426328182</v>
      </c>
    </row>
    <row r="20" spans="1:41" x14ac:dyDescent="0.25">
      <c r="A20" s="3">
        <f t="shared" ca="1" si="5"/>
        <v>45565</v>
      </c>
      <c r="B20" s="26" t="s">
        <v>36</v>
      </c>
      <c r="C20" s="27">
        <v>897154300.6365416</v>
      </c>
      <c r="D20" s="27">
        <v>45977307</v>
      </c>
      <c r="E20" s="27">
        <v>849994154.83999944</v>
      </c>
      <c r="F20" s="27">
        <v>583889163</v>
      </c>
      <c r="G20" s="27">
        <v>265105888</v>
      </c>
      <c r="H20" s="27">
        <v>999285</v>
      </c>
      <c r="I20" s="27">
        <f t="shared" ca="1" si="4"/>
        <v>1182838.7965421677</v>
      </c>
      <c r="J20" s="19">
        <v>116117058.93999994</v>
      </c>
      <c r="K20" s="20">
        <v>467772104.0600003</v>
      </c>
      <c r="L20" s="20">
        <f t="shared" ca="1" si="0"/>
        <v>1182838.7965421677</v>
      </c>
      <c r="M20" s="16"/>
      <c r="P20" s="16"/>
      <c r="S20" s="26" t="s">
        <v>36</v>
      </c>
      <c r="T20" s="27">
        <f t="shared" ca="1" si="2"/>
        <v>0</v>
      </c>
      <c r="U20" s="27">
        <f t="shared" ca="1" si="1"/>
        <v>0</v>
      </c>
      <c r="V20" s="27">
        <f t="shared" ca="1" si="1"/>
        <v>0.92000007629394531</v>
      </c>
      <c r="W20" s="27">
        <f t="shared" ca="1" si="1"/>
        <v>402</v>
      </c>
      <c r="X20" s="27">
        <f t="shared" ca="1" si="1"/>
        <v>-402</v>
      </c>
      <c r="Y20" s="27">
        <f t="shared" ca="1" si="1"/>
        <v>0</v>
      </c>
      <c r="Z20" s="27">
        <f t="shared" ca="1" si="1"/>
        <v>-0.92000007629394531</v>
      </c>
      <c r="AA20" s="19">
        <f t="shared" ca="1" si="1"/>
        <v>-4599.589999973774</v>
      </c>
      <c r="AB20" s="20">
        <f t="shared" ca="1" si="1"/>
        <v>5001.5900000929832</v>
      </c>
      <c r="AC20" s="20">
        <f t="shared" ca="1" si="1"/>
        <v>-0.92000007629394531</v>
      </c>
      <c r="AD20" s="16"/>
      <c r="AE20" s="26" t="s">
        <v>36</v>
      </c>
      <c r="AF20" s="27">
        <v>897154300.6365416</v>
      </c>
      <c r="AG20" s="27">
        <v>45977307</v>
      </c>
      <c r="AH20" s="27">
        <v>849994153.91999936</v>
      </c>
      <c r="AI20" s="27">
        <v>583888761</v>
      </c>
      <c r="AJ20" s="27">
        <v>265106290</v>
      </c>
      <c r="AK20" s="27">
        <v>999285</v>
      </c>
      <c r="AL20" s="27">
        <v>1182839.716542244</v>
      </c>
      <c r="AM20" s="19">
        <v>116121658.52999991</v>
      </c>
      <c r="AN20" s="20">
        <v>467767102.47000021</v>
      </c>
      <c r="AO20" s="20">
        <v>1182839.716542244</v>
      </c>
    </row>
    <row r="21" spans="1:41" x14ac:dyDescent="0.25">
      <c r="A21" s="3">
        <f t="shared" ca="1" si="5"/>
        <v>45596</v>
      </c>
      <c r="B21" s="30" t="s">
        <v>37</v>
      </c>
      <c r="C21" s="31">
        <v>1107873234.6646969</v>
      </c>
      <c r="D21" s="31">
        <v>43325977</v>
      </c>
      <c r="E21" s="31">
        <v>1057371401.7800004</v>
      </c>
      <c r="F21" s="31">
        <v>732948378</v>
      </c>
      <c r="G21" s="31">
        <v>323373274</v>
      </c>
      <c r="H21" s="31">
        <v>1049902</v>
      </c>
      <c r="I21" s="31">
        <f t="shared" ca="1" si="4"/>
        <v>7175855.8846964836</v>
      </c>
      <c r="J21" s="31">
        <v>164197667.26000002</v>
      </c>
      <c r="K21" s="32">
        <v>568750710.74000037</v>
      </c>
      <c r="L21" s="32">
        <f t="shared" ca="1" si="0"/>
        <v>7175855.8846964836</v>
      </c>
      <c r="M21" s="16"/>
      <c r="O21" s="23"/>
      <c r="P21" s="16"/>
      <c r="S21" s="33" t="s">
        <v>37</v>
      </c>
      <c r="T21" s="19">
        <f t="shared" ca="1" si="2"/>
        <v>0</v>
      </c>
      <c r="U21" s="19">
        <f t="shared" ca="1" si="1"/>
        <v>0</v>
      </c>
      <c r="V21" s="19">
        <f t="shared" ca="1" si="1"/>
        <v>1454.4299999475479</v>
      </c>
      <c r="W21" s="19">
        <f t="shared" ca="1" si="1"/>
        <v>1438</v>
      </c>
      <c r="X21" s="19">
        <f t="shared" ca="1" si="1"/>
        <v>12</v>
      </c>
      <c r="Y21" s="19">
        <f t="shared" ca="1" si="1"/>
        <v>0</v>
      </c>
      <c r="Z21" s="19">
        <f t="shared" ca="1" si="1"/>
        <v>-1454.4299999475479</v>
      </c>
      <c r="AA21" s="19">
        <f t="shared" ca="1" si="1"/>
        <v>-2747.7899999916553</v>
      </c>
      <c r="AB21" s="20">
        <f t="shared" ca="1" si="1"/>
        <v>4185.7900000810623</v>
      </c>
      <c r="AC21" s="20">
        <f t="shared" ca="1" si="1"/>
        <v>-1454.4299999475479</v>
      </c>
      <c r="AD21" s="16"/>
      <c r="AE21" s="30" t="s">
        <v>37</v>
      </c>
      <c r="AF21" s="31">
        <v>1107873234.6646969</v>
      </c>
      <c r="AG21" s="31">
        <v>43325977</v>
      </c>
      <c r="AH21" s="31">
        <v>1057369947.3500005</v>
      </c>
      <c r="AI21" s="31">
        <v>732946940</v>
      </c>
      <c r="AJ21" s="31">
        <v>323373262</v>
      </c>
      <c r="AK21" s="31">
        <v>1049902</v>
      </c>
      <c r="AL21" s="31">
        <v>7177310.3146964312</v>
      </c>
      <c r="AM21" s="31">
        <v>164200415.05000001</v>
      </c>
      <c r="AN21" s="32">
        <v>568746524.95000029</v>
      </c>
      <c r="AO21" s="32">
        <v>7177310.3146964312</v>
      </c>
    </row>
    <row r="22" spans="1:41" x14ac:dyDescent="0.25">
      <c r="A22" s="3">
        <f t="shared" ca="1" si="5"/>
        <v>45626</v>
      </c>
      <c r="B22" s="26" t="s">
        <v>38</v>
      </c>
      <c r="C22" s="27">
        <v>1129005541.4163084</v>
      </c>
      <c r="D22" s="27">
        <v>56642195</v>
      </c>
      <c r="E22" s="27">
        <v>1068526712.8799999</v>
      </c>
      <c r="F22" s="27">
        <v>703279277</v>
      </c>
      <c r="G22" s="27">
        <v>363909082</v>
      </c>
      <c r="H22" s="27">
        <v>1338503</v>
      </c>
      <c r="I22" s="27">
        <f t="shared" ca="1" si="4"/>
        <v>3836633.536308527</v>
      </c>
      <c r="J22" s="19">
        <v>147940215.14999998</v>
      </c>
      <c r="K22" s="20">
        <v>555339061.85000026</v>
      </c>
      <c r="L22" s="20">
        <f t="shared" ca="1" si="0"/>
        <v>3836633.536308527</v>
      </c>
      <c r="M22" s="16"/>
      <c r="O22" s="16"/>
      <c r="P22" s="16"/>
      <c r="S22" s="26" t="s">
        <v>38</v>
      </c>
      <c r="T22" s="27">
        <f t="shared" ca="1" si="2"/>
        <v>0</v>
      </c>
      <c r="U22" s="27">
        <f t="shared" ca="1" si="1"/>
        <v>0</v>
      </c>
      <c r="V22" s="27">
        <f t="shared" ca="1" si="1"/>
        <v>64722.319999933243</v>
      </c>
      <c r="W22" s="27">
        <f t="shared" ca="1" si="1"/>
        <v>38082</v>
      </c>
      <c r="X22" s="27">
        <f t="shared" ca="1" si="1"/>
        <v>26637</v>
      </c>
      <c r="Y22" s="27">
        <f t="shared" ca="1" si="1"/>
        <v>0</v>
      </c>
      <c r="Z22" s="27">
        <f t="shared" ca="1" si="1"/>
        <v>-64722.319999933243</v>
      </c>
      <c r="AA22" s="19">
        <f t="shared" ca="1" si="1"/>
        <v>-3766.0999999940395</v>
      </c>
      <c r="AB22" s="20">
        <f t="shared" ca="1" si="1"/>
        <v>41848.100000023842</v>
      </c>
      <c r="AC22" s="20">
        <f t="shared" ca="1" si="1"/>
        <v>-64722.319999933243</v>
      </c>
      <c r="AD22" s="16"/>
      <c r="AE22" s="26" t="s">
        <v>38</v>
      </c>
      <c r="AF22" s="27">
        <v>1129005541.4163084</v>
      </c>
      <c r="AG22" s="27">
        <v>56642195</v>
      </c>
      <c r="AH22" s="27">
        <v>1068461990.5599999</v>
      </c>
      <c r="AI22" s="27">
        <v>703241195</v>
      </c>
      <c r="AJ22" s="27">
        <v>363882445</v>
      </c>
      <c r="AK22" s="27">
        <v>1338503</v>
      </c>
      <c r="AL22" s="27">
        <v>3901355.8563084602</v>
      </c>
      <c r="AM22" s="19">
        <v>147943981.24999997</v>
      </c>
      <c r="AN22" s="20">
        <v>555297213.75000024</v>
      </c>
      <c r="AO22" s="20">
        <v>3901355.8563084602</v>
      </c>
    </row>
    <row r="23" spans="1:41" x14ac:dyDescent="0.25">
      <c r="A23" s="3">
        <f t="shared" ca="1" si="5"/>
        <v>45657</v>
      </c>
      <c r="B23" s="30" t="s">
        <v>39</v>
      </c>
      <c r="C23" s="31">
        <v>1093121163.7237344</v>
      </c>
      <c r="D23" s="31">
        <v>56861272</v>
      </c>
      <c r="E23" s="31">
        <v>1031971623.2200003</v>
      </c>
      <c r="F23" s="31">
        <v>669592809</v>
      </c>
      <c r="G23" s="31">
        <v>361019000</v>
      </c>
      <c r="H23" s="31">
        <v>1360026</v>
      </c>
      <c r="I23" s="31">
        <f t="shared" ca="1" si="4"/>
        <v>4288268.5037341118</v>
      </c>
      <c r="J23" s="31">
        <v>144570457.06999993</v>
      </c>
      <c r="K23" s="32">
        <v>525022351.93000013</v>
      </c>
      <c r="L23" s="32">
        <f t="shared" ca="1" si="0"/>
        <v>4288268.5037341118</v>
      </c>
      <c r="M23" s="16"/>
      <c r="O23" s="16"/>
      <c r="S23" s="33" t="s">
        <v>39</v>
      </c>
      <c r="T23" s="19">
        <f t="shared" ca="1" si="2"/>
        <v>0</v>
      </c>
      <c r="U23" s="19">
        <f t="shared" ca="1" si="1"/>
        <v>0</v>
      </c>
      <c r="V23" s="19">
        <f t="shared" ca="1" si="1"/>
        <v>6974.5800001621246</v>
      </c>
      <c r="W23" s="19">
        <f t="shared" ca="1" si="1"/>
        <v>6985</v>
      </c>
      <c r="X23" s="19">
        <f t="shared" ca="1" si="1"/>
        <v>-6</v>
      </c>
      <c r="Y23" s="19">
        <f t="shared" ca="1" si="1"/>
        <v>0</v>
      </c>
      <c r="Z23" s="19">
        <f t="shared" ca="1" si="1"/>
        <v>-6974.5800001621246</v>
      </c>
      <c r="AA23" s="19">
        <f t="shared" ca="1" si="1"/>
        <v>28788.050000011921</v>
      </c>
      <c r="AB23" s="20">
        <f t="shared" ca="1" si="1"/>
        <v>-21803.049999952316</v>
      </c>
      <c r="AC23" s="20">
        <f t="shared" ca="1" si="1"/>
        <v>-6974.5800001621246</v>
      </c>
      <c r="AD23" s="16"/>
      <c r="AE23" s="30" t="s">
        <v>39</v>
      </c>
      <c r="AF23" s="31">
        <v>1093121163.7237344</v>
      </c>
      <c r="AG23" s="31">
        <v>56861272</v>
      </c>
      <c r="AH23" s="31">
        <v>1031964648.6400001</v>
      </c>
      <c r="AI23" s="31">
        <v>669585824</v>
      </c>
      <c r="AJ23" s="31">
        <v>361019006</v>
      </c>
      <c r="AK23" s="31">
        <v>1360026</v>
      </c>
      <c r="AL23" s="31">
        <v>4295243.0837342739</v>
      </c>
      <c r="AM23" s="31">
        <v>144541669.01999992</v>
      </c>
      <c r="AN23" s="32">
        <v>525044154.98000008</v>
      </c>
      <c r="AO23" s="32">
        <v>4295243.0837342739</v>
      </c>
    </row>
    <row r="24" spans="1:41" x14ac:dyDescent="0.25">
      <c r="A24" s="25">
        <f ca="1">A23</f>
        <v>45657</v>
      </c>
      <c r="B24" s="13" t="s">
        <v>40</v>
      </c>
      <c r="C24" s="14">
        <f t="shared" ref="C24:H24" ca="1" si="6">SUM(C25:C36)</f>
        <v>17685139199.066608</v>
      </c>
      <c r="D24" s="14">
        <f t="shared" ca="1" si="6"/>
        <v>813260419</v>
      </c>
      <c r="E24" s="14">
        <f t="shared" ca="1" si="6"/>
        <v>16746140030.220007</v>
      </c>
      <c r="F24" s="14">
        <f t="shared" ca="1" si="6"/>
        <v>12876250831</v>
      </c>
      <c r="G24" s="14">
        <f t="shared" ca="1" si="6"/>
        <v>3821295883</v>
      </c>
      <c r="H24" s="14">
        <f t="shared" ca="1" si="6"/>
        <v>48597532</v>
      </c>
      <c r="I24" s="14">
        <f ca="1">SUM(I25:I36)</f>
        <v>125738749.84660292</v>
      </c>
      <c r="J24" s="14">
        <f ca="1">SUM(J25:J36)</f>
        <v>3267829312.2200003</v>
      </c>
      <c r="K24" s="15">
        <f ca="1">SUM(K25:K36)</f>
        <v>9608421518.779995</v>
      </c>
      <c r="L24" s="15">
        <f ca="1">C24-E24-D24</f>
        <v>125738749.84660149</v>
      </c>
      <c r="M24" s="16"/>
      <c r="S24" s="18" t="s">
        <v>40</v>
      </c>
      <c r="T24" s="19">
        <f t="shared" ca="1" si="2"/>
        <v>0</v>
      </c>
      <c r="U24" s="19">
        <f t="shared" ca="1" si="1"/>
        <v>-1000775</v>
      </c>
      <c r="V24" s="19">
        <f t="shared" ca="1" si="1"/>
        <v>1733084.7800045013</v>
      </c>
      <c r="W24" s="19">
        <f t="shared" ca="1" si="1"/>
        <v>1844233</v>
      </c>
      <c r="X24" s="19">
        <f t="shared" ca="1" si="1"/>
        <v>-126049</v>
      </c>
      <c r="Y24" s="19">
        <f t="shared" ca="1" si="1"/>
        <v>14799</v>
      </c>
      <c r="Z24" s="19">
        <f t="shared" ca="1" si="1"/>
        <v>-732309.77999973297</v>
      </c>
      <c r="AA24" s="19">
        <f t="shared" ca="1" si="1"/>
        <v>1552775.2500004768</v>
      </c>
      <c r="AB24" s="20">
        <f t="shared" ca="1" si="1"/>
        <v>291457.75</v>
      </c>
      <c r="AC24" s="20">
        <f t="shared" ca="1" si="1"/>
        <v>-732309.78000450134</v>
      </c>
      <c r="AD24" s="16"/>
      <c r="AE24" s="13" t="s">
        <v>40</v>
      </c>
      <c r="AF24" s="14">
        <v>17685139199.066608</v>
      </c>
      <c r="AG24" s="14">
        <v>814261194</v>
      </c>
      <c r="AH24" s="14">
        <v>16744406945.440002</v>
      </c>
      <c r="AI24" s="14">
        <v>12874406598</v>
      </c>
      <c r="AJ24" s="14">
        <v>3821421932</v>
      </c>
      <c r="AK24" s="14">
        <v>48582733</v>
      </c>
      <c r="AL24" s="14">
        <v>126471059.62660265</v>
      </c>
      <c r="AM24" s="14">
        <v>3266276536.9699998</v>
      </c>
      <c r="AN24" s="15">
        <v>9608130061.029995</v>
      </c>
      <c r="AO24" s="15">
        <v>126471059.62660599</v>
      </c>
    </row>
    <row r="25" spans="1:41" x14ac:dyDescent="0.25">
      <c r="A25" s="3">
        <f ca="1">EOMONTH(A23+1,0)</f>
        <v>45688</v>
      </c>
      <c r="B25" s="26" t="s">
        <v>41</v>
      </c>
      <c r="C25" s="27">
        <v>1180464560.8000002</v>
      </c>
      <c r="D25" s="27">
        <v>65721792</v>
      </c>
      <c r="E25" s="27">
        <v>1109370956.7600005</v>
      </c>
      <c r="F25" s="27">
        <v>767307303</v>
      </c>
      <c r="G25" s="27">
        <v>338848056</v>
      </c>
      <c r="H25" s="27">
        <v>3215774</v>
      </c>
      <c r="I25" s="27">
        <f t="shared" ref="I25:I36" ca="1" si="7">C25-E25-D25</f>
        <v>5371812.0399997234</v>
      </c>
      <c r="J25" s="19">
        <v>165476924.57999989</v>
      </c>
      <c r="K25" s="20">
        <v>601830378.41999972</v>
      </c>
      <c r="L25" s="20">
        <f t="shared" ref="L25:L36" ca="1" si="8">C25-E25-D25</f>
        <v>5371812.0399997234</v>
      </c>
      <c r="M25" s="16"/>
      <c r="P25" s="35"/>
      <c r="S25" s="26" t="s">
        <v>41</v>
      </c>
      <c r="T25" s="27">
        <f t="shared" ca="1" si="2"/>
        <v>0</v>
      </c>
      <c r="U25" s="27">
        <f t="shared" ca="1" si="1"/>
        <v>0</v>
      </c>
      <c r="V25" s="27">
        <f t="shared" ca="1" si="1"/>
        <v>1.4700000286102295</v>
      </c>
      <c r="W25" s="27">
        <f t="shared" ca="1" si="1"/>
        <v>-996</v>
      </c>
      <c r="X25" s="27">
        <f t="shared" ca="1" si="1"/>
        <v>991</v>
      </c>
      <c r="Y25" s="27">
        <f t="shared" ca="1" si="1"/>
        <v>0</v>
      </c>
      <c r="Z25" s="27">
        <f t="shared" ca="1" si="1"/>
        <v>-1.4700000286102295</v>
      </c>
      <c r="AA25" s="19">
        <f t="shared" ca="1" si="1"/>
        <v>29439.620000034571</v>
      </c>
      <c r="AB25" s="20">
        <f t="shared" ca="1" si="1"/>
        <v>-30435.620000004768</v>
      </c>
      <c r="AC25" s="20">
        <f t="shared" ca="1" si="1"/>
        <v>-1.4700000286102295</v>
      </c>
      <c r="AD25" s="16"/>
      <c r="AE25" s="26" t="s">
        <v>41</v>
      </c>
      <c r="AF25" s="27">
        <v>1180464560.8000002</v>
      </c>
      <c r="AG25" s="27">
        <v>65721792</v>
      </c>
      <c r="AH25" s="27">
        <v>1109370955.2900004</v>
      </c>
      <c r="AI25" s="27">
        <v>767308299</v>
      </c>
      <c r="AJ25" s="27">
        <v>338847065</v>
      </c>
      <c r="AK25" s="27">
        <v>3215774</v>
      </c>
      <c r="AL25" s="27">
        <v>5371813.509999752</v>
      </c>
      <c r="AM25" s="19">
        <v>165447484.95999986</v>
      </c>
      <c r="AN25" s="20">
        <v>601860814.03999972</v>
      </c>
      <c r="AO25" s="20">
        <v>5371813.509999752</v>
      </c>
    </row>
    <row r="26" spans="1:41" x14ac:dyDescent="0.25">
      <c r="A26" s="3">
        <f t="shared" ref="A26:A33" ca="1" si="9">EOMONTH(A25+1,0)</f>
        <v>45716</v>
      </c>
      <c r="B26" s="30" t="s">
        <v>42</v>
      </c>
      <c r="C26" s="31">
        <v>1258770042.6122916</v>
      </c>
      <c r="D26" s="31">
        <v>64905273</v>
      </c>
      <c r="E26" s="31">
        <v>1189573768.3100011</v>
      </c>
      <c r="F26" s="31">
        <v>808162069</v>
      </c>
      <c r="G26" s="31">
        <v>378552326</v>
      </c>
      <c r="H26" s="31">
        <v>2859574</v>
      </c>
      <c r="I26" s="31">
        <f t="shared" ca="1" si="7"/>
        <v>4291001.3022904396</v>
      </c>
      <c r="J26" s="31">
        <v>162399159.13999999</v>
      </c>
      <c r="K26" s="32">
        <v>645762909.86000025</v>
      </c>
      <c r="L26" s="32">
        <f t="shared" ca="1" si="8"/>
        <v>4291001.3022904396</v>
      </c>
      <c r="M26" s="16"/>
      <c r="S26" s="33" t="s">
        <v>42</v>
      </c>
      <c r="T26" s="19">
        <f t="shared" ca="1" si="2"/>
        <v>0</v>
      </c>
      <c r="U26" s="19">
        <f t="shared" ca="1" si="1"/>
        <v>0</v>
      </c>
      <c r="V26" s="19">
        <f t="shared" ca="1" si="1"/>
        <v>2.0900001525878906</v>
      </c>
      <c r="W26" s="19">
        <f t="shared" ca="1" si="1"/>
        <v>-9</v>
      </c>
      <c r="X26" s="19">
        <f t="shared" ca="1" si="1"/>
        <v>0</v>
      </c>
      <c r="Y26" s="19">
        <f t="shared" ca="1" si="1"/>
        <v>0</v>
      </c>
      <c r="Z26" s="19">
        <f t="shared" ca="1" si="1"/>
        <v>-2.0900001525878906</v>
      </c>
      <c r="AA26" s="19">
        <f t="shared" ca="1" si="1"/>
        <v>-39763.919999957085</v>
      </c>
      <c r="AB26" s="20">
        <f t="shared" ca="1" si="1"/>
        <v>39754.920000195503</v>
      </c>
      <c r="AC26" s="20">
        <f t="shared" ca="1" si="1"/>
        <v>-2.0900001525878906</v>
      </c>
      <c r="AD26" s="16"/>
      <c r="AE26" s="30" t="s">
        <v>42</v>
      </c>
      <c r="AF26" s="31">
        <v>1258770042.6122916</v>
      </c>
      <c r="AG26" s="31">
        <v>64905273</v>
      </c>
      <c r="AH26" s="31">
        <v>1189573766.220001</v>
      </c>
      <c r="AI26" s="31">
        <v>808162078</v>
      </c>
      <c r="AJ26" s="31">
        <v>378552326</v>
      </c>
      <c r="AK26" s="31">
        <v>2859574</v>
      </c>
      <c r="AL26" s="31">
        <v>4291003.3922905922</v>
      </c>
      <c r="AM26" s="31">
        <v>162438923.05999994</v>
      </c>
      <c r="AN26" s="32">
        <v>645723154.94000006</v>
      </c>
      <c r="AO26" s="32">
        <v>4291003.3922905922</v>
      </c>
    </row>
    <row r="27" spans="1:41" x14ac:dyDescent="0.25">
      <c r="A27" s="3">
        <f t="shared" ca="1" si="9"/>
        <v>45747</v>
      </c>
      <c r="B27" s="26" t="s">
        <v>43</v>
      </c>
      <c r="C27" s="27">
        <f ca="1">C68+C110</f>
        <v>1323079653.6561079</v>
      </c>
      <c r="D27" s="27">
        <v>69441622</v>
      </c>
      <c r="E27" s="27">
        <v>1242491236.4700005</v>
      </c>
      <c r="F27" s="27">
        <v>859123980</v>
      </c>
      <c r="G27" s="27">
        <v>380926920</v>
      </c>
      <c r="H27" s="27">
        <v>2440561</v>
      </c>
      <c r="I27" s="27">
        <f t="shared" ca="1" si="7"/>
        <v>11146795.186107397</v>
      </c>
      <c r="J27" s="19">
        <v>186015713.70999992</v>
      </c>
      <c r="K27" s="20">
        <v>673108266.28999996</v>
      </c>
      <c r="L27" s="20">
        <f t="shared" ca="1" si="8"/>
        <v>11146795.186107397</v>
      </c>
      <c r="M27" s="16"/>
      <c r="O27" s="35"/>
      <c r="P27" s="35"/>
      <c r="S27" s="26" t="s">
        <v>43</v>
      </c>
      <c r="T27" s="27">
        <f t="shared" ca="1" si="2"/>
        <v>0</v>
      </c>
      <c r="U27" s="27">
        <f t="shared" ca="1" si="1"/>
        <v>0</v>
      </c>
      <c r="V27" s="27">
        <f t="shared" ca="1" si="1"/>
        <v>1.2200000286102295</v>
      </c>
      <c r="W27" s="27">
        <f t="shared" ca="1" si="1"/>
        <v>-9795</v>
      </c>
      <c r="X27" s="27">
        <f t="shared" ca="1" si="1"/>
        <v>-7</v>
      </c>
      <c r="Y27" s="27">
        <f t="shared" ca="1" si="1"/>
        <v>9799</v>
      </c>
      <c r="Z27" s="27">
        <f t="shared" ca="1" si="1"/>
        <v>-1.2200000286102295</v>
      </c>
      <c r="AA27" s="19">
        <f t="shared" ca="1" si="1"/>
        <v>-10802.189999997616</v>
      </c>
      <c r="AB27" s="20">
        <f t="shared" ca="1" si="1"/>
        <v>1007.1899999380112</v>
      </c>
      <c r="AC27" s="20">
        <f t="shared" ca="1" si="1"/>
        <v>-1.2200000286102295</v>
      </c>
      <c r="AD27" s="16"/>
      <c r="AE27" s="26" t="s">
        <v>43</v>
      </c>
      <c r="AF27" s="27">
        <v>1323079653.6561079</v>
      </c>
      <c r="AG27" s="27">
        <v>69441622</v>
      </c>
      <c r="AH27" s="27">
        <v>1242491235.2500005</v>
      </c>
      <c r="AI27" s="27">
        <v>859133775</v>
      </c>
      <c r="AJ27" s="27">
        <v>380926927</v>
      </c>
      <c r="AK27" s="27">
        <v>2430762</v>
      </c>
      <c r="AL27" s="27">
        <v>11146796.406107426</v>
      </c>
      <c r="AM27" s="19">
        <v>186026515.89999992</v>
      </c>
      <c r="AN27" s="20">
        <v>673107259.10000002</v>
      </c>
      <c r="AO27" s="20">
        <v>11146796.406107426</v>
      </c>
    </row>
    <row r="28" spans="1:41" x14ac:dyDescent="0.25">
      <c r="A28" s="3">
        <f t="shared" ca="1" si="9"/>
        <v>45777</v>
      </c>
      <c r="B28" s="30" t="s">
        <v>44</v>
      </c>
      <c r="C28" s="31">
        <f ca="1">C69+C111+C152</f>
        <v>1598189010.5616996</v>
      </c>
      <c r="D28" s="31">
        <v>79954589</v>
      </c>
      <c r="E28" s="31">
        <v>1510208933.8899999</v>
      </c>
      <c r="F28" s="31">
        <v>1140645654</v>
      </c>
      <c r="G28" s="31">
        <v>367121996</v>
      </c>
      <c r="H28" s="31">
        <v>2441637</v>
      </c>
      <c r="I28" s="31">
        <f t="shared" ca="1" si="7"/>
        <v>8025487.6716997623</v>
      </c>
      <c r="J28" s="31">
        <v>266267164.36999995</v>
      </c>
      <c r="K28" s="32">
        <v>874378489.62999988</v>
      </c>
      <c r="L28" s="32">
        <f t="shared" ca="1" si="8"/>
        <v>8025487.6716997623</v>
      </c>
      <c r="M28" s="16"/>
      <c r="O28" s="35"/>
      <c r="S28" s="33" t="s">
        <v>44</v>
      </c>
      <c r="T28" s="19">
        <f t="shared" ca="1" si="2"/>
        <v>0</v>
      </c>
      <c r="U28" s="19">
        <f t="shared" ca="1" si="1"/>
        <v>0</v>
      </c>
      <c r="V28" s="19">
        <f t="shared" ca="1" si="1"/>
        <v>1.8500001430511475</v>
      </c>
      <c r="W28" s="19">
        <f t="shared" ca="1" si="1"/>
        <v>-5</v>
      </c>
      <c r="X28" s="19">
        <f t="shared" ca="1" si="1"/>
        <v>0</v>
      </c>
      <c r="Y28" s="19">
        <f t="shared" ca="1" si="1"/>
        <v>0</v>
      </c>
      <c r="Z28" s="19">
        <f t="shared" ca="1" si="1"/>
        <v>-1.8500001430511475</v>
      </c>
      <c r="AA28" s="19">
        <f t="shared" ca="1" si="1"/>
        <v>38394.319999933243</v>
      </c>
      <c r="AB28" s="20">
        <f t="shared" ca="1" si="1"/>
        <v>-38399.320000290871</v>
      </c>
      <c r="AC28" s="20">
        <f t="shared" ca="1" si="1"/>
        <v>-1.8500001430511475</v>
      </c>
      <c r="AD28" s="16"/>
      <c r="AE28" s="30" t="s">
        <v>44</v>
      </c>
      <c r="AF28" s="31">
        <v>1598189010.5616996</v>
      </c>
      <c r="AG28" s="31">
        <v>79954589</v>
      </c>
      <c r="AH28" s="31">
        <v>1510208932.0399997</v>
      </c>
      <c r="AI28" s="31">
        <v>1140645659</v>
      </c>
      <c r="AJ28" s="31">
        <v>367121996</v>
      </c>
      <c r="AK28" s="31">
        <v>2441637</v>
      </c>
      <c r="AL28" s="31">
        <v>8025489.5216999054</v>
      </c>
      <c r="AM28" s="31">
        <v>266228770.05000001</v>
      </c>
      <c r="AN28" s="32">
        <v>874416888.95000017</v>
      </c>
      <c r="AO28" s="32">
        <v>8025489.5216999054</v>
      </c>
    </row>
    <row r="29" spans="1:41" x14ac:dyDescent="0.25">
      <c r="A29" s="3">
        <f t="shared" ca="1" si="9"/>
        <v>45808</v>
      </c>
      <c r="B29" s="26" t="s">
        <v>45</v>
      </c>
      <c r="C29" s="27">
        <v>1944449376.8262997</v>
      </c>
      <c r="D29" s="27">
        <v>79033925</v>
      </c>
      <c r="E29" s="27">
        <v>1860926585.2400026</v>
      </c>
      <c r="F29" s="27">
        <v>1370943432</v>
      </c>
      <c r="G29" s="27">
        <v>485635021</v>
      </c>
      <c r="H29" s="27">
        <v>4348425</v>
      </c>
      <c r="I29" s="27">
        <f t="shared" ca="1" si="7"/>
        <v>4488866.5862970352</v>
      </c>
      <c r="J29" s="19">
        <v>330990244.01000017</v>
      </c>
      <c r="K29" s="20">
        <v>1039953187.9899994</v>
      </c>
      <c r="L29" s="20">
        <f t="shared" ca="1" si="8"/>
        <v>4488866.5862970352</v>
      </c>
      <c r="M29" s="16"/>
      <c r="S29" s="26" t="s">
        <v>45</v>
      </c>
      <c r="T29" s="27">
        <f t="shared" ca="1" si="2"/>
        <v>0</v>
      </c>
      <c r="U29" s="27">
        <f t="shared" ca="1" si="1"/>
        <v>0</v>
      </c>
      <c r="V29" s="27">
        <f t="shared" ca="1" si="1"/>
        <v>1003.25</v>
      </c>
      <c r="W29" s="27">
        <f t="shared" ca="1" si="1"/>
        <v>98994</v>
      </c>
      <c r="X29" s="27">
        <f t="shared" ca="1" si="1"/>
        <v>-99008</v>
      </c>
      <c r="Y29" s="27">
        <f t="shared" ca="1" si="1"/>
        <v>1000</v>
      </c>
      <c r="Z29" s="27">
        <f t="shared" ca="1" si="1"/>
        <v>-1003.25</v>
      </c>
      <c r="AA29" s="19">
        <f t="shared" ca="1" si="1"/>
        <v>7938.7999999523163</v>
      </c>
      <c r="AB29" s="20">
        <f t="shared" ca="1" si="1"/>
        <v>91055.199999928474</v>
      </c>
      <c r="AC29" s="20">
        <f t="shared" ca="1" si="1"/>
        <v>-1003.25</v>
      </c>
      <c r="AD29" s="16"/>
      <c r="AE29" s="26" t="s">
        <v>45</v>
      </c>
      <c r="AF29" s="27">
        <v>1944449376.8262997</v>
      </c>
      <c r="AG29" s="27">
        <v>79033925</v>
      </c>
      <c r="AH29" s="27">
        <v>1860925581.9900026</v>
      </c>
      <c r="AI29" s="27">
        <v>1370844438</v>
      </c>
      <c r="AJ29" s="27">
        <v>485734029</v>
      </c>
      <c r="AK29" s="27">
        <v>4347425</v>
      </c>
      <c r="AL29" s="27">
        <v>4489869.8362970352</v>
      </c>
      <c r="AM29" s="19">
        <v>330982305.21000022</v>
      </c>
      <c r="AN29" s="20">
        <v>1039862132.7899995</v>
      </c>
      <c r="AO29" s="20">
        <v>4489869.8362970352</v>
      </c>
    </row>
    <row r="30" spans="1:41" x14ac:dyDescent="0.25">
      <c r="A30" s="3">
        <f t="shared" ca="1" si="9"/>
        <v>45838</v>
      </c>
      <c r="B30" s="30" t="s">
        <v>46</v>
      </c>
      <c r="C30" s="31">
        <v>1472278323.2005398</v>
      </c>
      <c r="D30" s="31">
        <v>68830274</v>
      </c>
      <c r="E30" s="31">
        <v>1400346008.6199992</v>
      </c>
      <c r="F30" s="31">
        <v>1099329815</v>
      </c>
      <c r="G30" s="31">
        <v>296353229</v>
      </c>
      <c r="H30" s="31">
        <v>4663369</v>
      </c>
      <c r="I30" s="31">
        <f t="shared" ca="1" si="7"/>
        <v>3102040.580540657</v>
      </c>
      <c r="J30" s="31">
        <v>260168317.71000004</v>
      </c>
      <c r="K30" s="32">
        <v>839161497.28999877</v>
      </c>
      <c r="L30" s="32">
        <f t="shared" ca="1" si="8"/>
        <v>3102040.580540657</v>
      </c>
      <c r="M30" s="16"/>
      <c r="S30" s="33" t="s">
        <v>46</v>
      </c>
      <c r="T30" s="19">
        <f t="shared" ca="1" si="2"/>
        <v>0</v>
      </c>
      <c r="U30" s="19">
        <f t="shared" ca="1" si="1"/>
        <v>0</v>
      </c>
      <c r="V30" s="19">
        <f t="shared" ca="1" si="1"/>
        <v>3.0999996662139893</v>
      </c>
      <c r="W30" s="19">
        <f t="shared" ca="1" si="1"/>
        <v>-7</v>
      </c>
      <c r="X30" s="19">
        <f t="shared" ca="1" si="1"/>
        <v>0</v>
      </c>
      <c r="Y30" s="19">
        <f t="shared" ca="1" si="1"/>
        <v>0</v>
      </c>
      <c r="Z30" s="19">
        <f t="shared" ca="1" si="1"/>
        <v>-3.0999996662139893</v>
      </c>
      <c r="AA30" s="19">
        <f t="shared" ca="1" si="1"/>
        <v>38481.139999985695</v>
      </c>
      <c r="AB30" s="20">
        <f t="shared" ca="1" si="1"/>
        <v>-38488.139999985695</v>
      </c>
      <c r="AC30" s="20">
        <f t="shared" ca="1" si="1"/>
        <v>-3.0999996662139893</v>
      </c>
      <c r="AD30" s="16"/>
      <c r="AE30" s="30" t="s">
        <v>46</v>
      </c>
      <c r="AF30" s="31">
        <v>1472278323.2005398</v>
      </c>
      <c r="AG30" s="31">
        <v>68830274</v>
      </c>
      <c r="AH30" s="31">
        <v>1400346005.5199995</v>
      </c>
      <c r="AI30" s="31">
        <v>1099329822</v>
      </c>
      <c r="AJ30" s="31">
        <v>296353229</v>
      </c>
      <c r="AK30" s="31">
        <v>4663369</v>
      </c>
      <c r="AL30" s="31">
        <v>3102043.6805403233</v>
      </c>
      <c r="AM30" s="31">
        <v>260129836.57000005</v>
      </c>
      <c r="AN30" s="32">
        <v>839199985.42999876</v>
      </c>
      <c r="AO30" s="32">
        <v>3102043.6805403233</v>
      </c>
    </row>
    <row r="31" spans="1:41" x14ac:dyDescent="0.25">
      <c r="A31" s="3">
        <f t="shared" ca="1" si="9"/>
        <v>45869</v>
      </c>
      <c r="B31" s="26" t="s">
        <v>47</v>
      </c>
      <c r="C31" s="27">
        <v>1625720365.1625412</v>
      </c>
      <c r="D31" s="27">
        <v>70900193</v>
      </c>
      <c r="E31" s="27">
        <v>1547490483.2999988</v>
      </c>
      <c r="F31" s="27">
        <v>1274543105</v>
      </c>
      <c r="G31" s="27">
        <v>262770133</v>
      </c>
      <c r="H31" s="27">
        <v>10177651</v>
      </c>
      <c r="I31" s="27">
        <f t="shared" ca="1" si="7"/>
        <v>7329688.8625423908</v>
      </c>
      <c r="J31" s="19">
        <v>274302389.89000034</v>
      </c>
      <c r="K31" s="20">
        <v>1000240715.110001</v>
      </c>
      <c r="L31" s="20">
        <f t="shared" ca="1" si="8"/>
        <v>7329688.8625423908</v>
      </c>
      <c r="M31" s="16"/>
      <c r="S31" s="26" t="s">
        <v>47</v>
      </c>
      <c r="T31" s="27">
        <f t="shared" ca="1" si="2"/>
        <v>0</v>
      </c>
      <c r="U31" s="27">
        <f t="shared" ca="1" si="1"/>
        <v>0</v>
      </c>
      <c r="V31" s="27">
        <f t="shared" ca="1" si="1"/>
        <v>1.940000057220459</v>
      </c>
      <c r="W31" s="27">
        <f t="shared" ca="1" si="1"/>
        <v>-11</v>
      </c>
      <c r="X31" s="27">
        <f t="shared" ca="1" si="1"/>
        <v>2</v>
      </c>
      <c r="Y31" s="27">
        <f t="shared" ca="1" si="1"/>
        <v>0</v>
      </c>
      <c r="Z31" s="27">
        <f t="shared" ca="1" si="1"/>
        <v>-1.940000057220459</v>
      </c>
      <c r="AA31" s="19">
        <f t="shared" ca="1" si="1"/>
        <v>5055.3299999237061</v>
      </c>
      <c r="AB31" s="20">
        <f t="shared" ca="1" si="1"/>
        <v>-5066.3299998044968</v>
      </c>
      <c r="AC31" s="20">
        <f t="shared" ca="1" si="1"/>
        <v>-1.940000057220459</v>
      </c>
      <c r="AD31" s="16"/>
      <c r="AE31" s="26" t="s">
        <v>47</v>
      </c>
      <c r="AF31" s="27">
        <v>1625720365.1625412</v>
      </c>
      <c r="AG31" s="27">
        <v>70900193</v>
      </c>
      <c r="AH31" s="27">
        <v>1547490481.3599987</v>
      </c>
      <c r="AI31" s="27">
        <v>1274543116</v>
      </c>
      <c r="AJ31" s="27">
        <v>262770131</v>
      </c>
      <c r="AK31" s="27">
        <v>10177651</v>
      </c>
      <c r="AL31" s="27">
        <v>7329690.802542448</v>
      </c>
      <c r="AM31" s="19">
        <v>274297334.56000042</v>
      </c>
      <c r="AN31" s="20">
        <v>1000245781.4400008</v>
      </c>
      <c r="AO31" s="20">
        <v>7329690.802542448</v>
      </c>
    </row>
    <row r="32" spans="1:41" x14ac:dyDescent="0.25">
      <c r="A32" s="3">
        <f ca="1">EOMONTH(A31+1,0)</f>
        <v>45900</v>
      </c>
      <c r="B32" s="30" t="s">
        <v>48</v>
      </c>
      <c r="C32" s="31">
        <v>1406332828.6631567</v>
      </c>
      <c r="D32" s="31">
        <v>61803640</v>
      </c>
      <c r="E32" s="31">
        <v>1333214444.3499994</v>
      </c>
      <c r="F32" s="31">
        <v>1102695131</v>
      </c>
      <c r="G32" s="31">
        <v>224969722</v>
      </c>
      <c r="H32" s="31">
        <v>5549969</v>
      </c>
      <c r="I32" s="31">
        <f t="shared" ca="1" si="7"/>
        <v>11314744.31315732</v>
      </c>
      <c r="J32" s="31">
        <v>319591705.60000008</v>
      </c>
      <c r="K32" s="32">
        <v>783103425.39999866</v>
      </c>
      <c r="L32" s="32">
        <f t="shared" ca="1" si="8"/>
        <v>11314744.31315732</v>
      </c>
      <c r="M32" s="16"/>
      <c r="S32" s="33" t="s">
        <v>48</v>
      </c>
      <c r="T32" s="19">
        <f t="shared" ca="1" si="2"/>
        <v>0</v>
      </c>
      <c r="U32" s="19">
        <f t="shared" ca="1" si="1"/>
        <v>0</v>
      </c>
      <c r="V32" s="19">
        <f t="shared" ca="1" si="1"/>
        <v>1.4799997806549072</v>
      </c>
      <c r="W32" s="19">
        <f t="shared" ca="1" si="1"/>
        <v>-2994</v>
      </c>
      <c r="X32" s="19">
        <f t="shared" ca="1" si="1"/>
        <v>-3</v>
      </c>
      <c r="Y32" s="19">
        <f t="shared" ca="1" si="1"/>
        <v>3000</v>
      </c>
      <c r="Z32" s="19">
        <f t="shared" ca="1" si="1"/>
        <v>-1.4799997806549072</v>
      </c>
      <c r="AA32" s="19">
        <f t="shared" ca="1" si="1"/>
        <v>32805.409999966621</v>
      </c>
      <c r="AB32" s="20">
        <f t="shared" ca="1" si="1"/>
        <v>-35799.409999847412</v>
      </c>
      <c r="AC32" s="20">
        <f t="shared" ca="1" si="1"/>
        <v>-1.4799997806549072</v>
      </c>
      <c r="AD32" s="16"/>
      <c r="AE32" s="30" t="s">
        <v>48</v>
      </c>
      <c r="AF32" s="31">
        <v>1406332828.6631567</v>
      </c>
      <c r="AG32" s="31">
        <v>61803640</v>
      </c>
      <c r="AH32" s="31">
        <v>1333214442.8699996</v>
      </c>
      <c r="AI32" s="31">
        <v>1102698125</v>
      </c>
      <c r="AJ32" s="31">
        <v>224969725</v>
      </c>
      <c r="AK32" s="31">
        <v>5546969</v>
      </c>
      <c r="AL32" s="31">
        <v>11314745.793157101</v>
      </c>
      <c r="AM32" s="31">
        <v>319558900.19000012</v>
      </c>
      <c r="AN32" s="32">
        <v>783139224.80999851</v>
      </c>
      <c r="AO32" s="32">
        <v>11314745.793157101</v>
      </c>
    </row>
    <row r="33" spans="1:41" x14ac:dyDescent="0.25">
      <c r="A33" s="3">
        <f t="shared" ca="1" si="9"/>
        <v>45930</v>
      </c>
      <c r="B33" s="26" t="s">
        <v>49</v>
      </c>
      <c r="C33" s="27">
        <v>1432479625.8890853</v>
      </c>
      <c r="D33" s="27">
        <v>67497164</v>
      </c>
      <c r="E33" s="27">
        <v>1353168372.1799996</v>
      </c>
      <c r="F33" s="27">
        <v>1061165347</v>
      </c>
      <c r="G33" s="27">
        <v>288019909</v>
      </c>
      <c r="H33" s="27">
        <v>3983562</v>
      </c>
      <c r="I33" s="27">
        <f t="shared" ca="1" si="7"/>
        <v>11814089.709085703</v>
      </c>
      <c r="J33" s="19">
        <v>264926279.78999981</v>
      </c>
      <c r="K33" s="20">
        <v>796239067.21000016</v>
      </c>
      <c r="L33" s="20">
        <f t="shared" ca="1" si="8"/>
        <v>11814089.709085703</v>
      </c>
      <c r="M33" s="16"/>
      <c r="S33" s="26" t="s">
        <v>49</v>
      </c>
      <c r="T33" s="27">
        <f t="shared" ca="1" si="2"/>
        <v>0</v>
      </c>
      <c r="U33" s="27">
        <f t="shared" ca="1" si="1"/>
        <v>0</v>
      </c>
      <c r="V33" s="27">
        <f t="shared" ca="1" si="1"/>
        <v>149973.68000006676</v>
      </c>
      <c r="W33" s="27">
        <f t="shared" ca="1" si="1"/>
        <v>175258</v>
      </c>
      <c r="X33" s="27">
        <f t="shared" ca="1" si="1"/>
        <v>-25299</v>
      </c>
      <c r="Y33" s="27">
        <f t="shared" ca="1" si="1"/>
        <v>0</v>
      </c>
      <c r="Z33" s="27">
        <f t="shared" ca="1" si="1"/>
        <v>-149973.68000006676</v>
      </c>
      <c r="AA33" s="19">
        <f t="shared" ca="1" si="1"/>
        <v>41001.559999972582</v>
      </c>
      <c r="AB33" s="20">
        <f t="shared" ca="1" si="1"/>
        <v>134256.43999993801</v>
      </c>
      <c r="AC33" s="20">
        <f t="shared" ca="1" si="1"/>
        <v>-149973.68000006676</v>
      </c>
      <c r="AD33" s="16"/>
      <c r="AE33" s="26" t="s">
        <v>49</v>
      </c>
      <c r="AF33" s="27">
        <v>1432479625.8890853</v>
      </c>
      <c r="AG33" s="27">
        <v>67497164</v>
      </c>
      <c r="AH33" s="27">
        <v>1353018398.4999995</v>
      </c>
      <c r="AI33" s="27">
        <v>1060990089</v>
      </c>
      <c r="AJ33" s="27">
        <v>288045208</v>
      </c>
      <c r="AK33" s="27">
        <v>3983562</v>
      </c>
      <c r="AL33" s="27">
        <v>11964063.38908577</v>
      </c>
      <c r="AM33" s="19">
        <v>264885278.22999984</v>
      </c>
      <c r="AN33" s="20">
        <v>796104810.77000022</v>
      </c>
      <c r="AO33" s="20">
        <v>11964063.38908577</v>
      </c>
    </row>
    <row r="34" spans="1:41" x14ac:dyDescent="0.25">
      <c r="A34" s="3">
        <f ca="1">EOMONTH(A33+1,0)</f>
        <v>45961</v>
      </c>
      <c r="B34" s="30" t="s">
        <v>50</v>
      </c>
      <c r="C34" s="31">
        <v>1595693703.0987666</v>
      </c>
      <c r="D34" s="31">
        <v>67826211</v>
      </c>
      <c r="E34" s="31">
        <v>1514878532.5300016</v>
      </c>
      <c r="F34" s="31">
        <v>1230466877</v>
      </c>
      <c r="G34" s="31">
        <v>280841968</v>
      </c>
      <c r="H34" s="31">
        <v>3570199</v>
      </c>
      <c r="I34" s="31">
        <f t="shared" ca="1" si="7"/>
        <v>12988959.568764925</v>
      </c>
      <c r="J34" s="31">
        <v>334129614.22000003</v>
      </c>
      <c r="K34" s="32">
        <v>896337262.78000164</v>
      </c>
      <c r="L34" s="32">
        <f t="shared" ca="1" si="8"/>
        <v>12988959.568764925</v>
      </c>
      <c r="M34" s="16"/>
      <c r="N34" s="16"/>
      <c r="S34" s="33" t="s">
        <v>50</v>
      </c>
      <c r="T34" s="19">
        <f t="shared" ca="1" si="2"/>
        <v>0</v>
      </c>
      <c r="U34" s="19">
        <f t="shared" ca="1" si="1"/>
        <v>0</v>
      </c>
      <c r="V34" s="19">
        <f t="shared" ca="1" si="1"/>
        <v>577315.89999961853</v>
      </c>
      <c r="W34" s="19">
        <f t="shared" ca="1" si="1"/>
        <v>580017</v>
      </c>
      <c r="X34" s="19">
        <f t="shared" ca="1" si="1"/>
        <v>-2708</v>
      </c>
      <c r="Y34" s="19">
        <f t="shared" ca="1" si="1"/>
        <v>0</v>
      </c>
      <c r="Z34" s="19">
        <f t="shared" ca="1" si="1"/>
        <v>-577315.89999961853</v>
      </c>
      <c r="AA34" s="19">
        <f t="shared" ca="1" si="1"/>
        <v>451783.46000009775</v>
      </c>
      <c r="AB34" s="20">
        <f t="shared" ca="1" si="1"/>
        <v>128233.54000008106</v>
      </c>
      <c r="AC34" s="20">
        <f t="shared" ca="1" si="1"/>
        <v>-577315.89999961853</v>
      </c>
      <c r="AD34" s="16"/>
      <c r="AE34" s="30" t="s">
        <v>50</v>
      </c>
      <c r="AF34" s="31">
        <v>1595693703.0987666</v>
      </c>
      <c r="AG34" s="31">
        <v>67826211</v>
      </c>
      <c r="AH34" s="31">
        <v>1514301216.630002</v>
      </c>
      <c r="AI34" s="31">
        <v>1229886860</v>
      </c>
      <c r="AJ34" s="31">
        <v>280844676</v>
      </c>
      <c r="AK34" s="31">
        <v>3570199</v>
      </c>
      <c r="AL34" s="31">
        <v>13566275.468764544</v>
      </c>
      <c r="AM34" s="31">
        <v>333677830.75999993</v>
      </c>
      <c r="AN34" s="32">
        <v>896209029.24000156</v>
      </c>
      <c r="AO34" s="32">
        <v>13566275.468764544</v>
      </c>
    </row>
    <row r="35" spans="1:41" x14ac:dyDescent="0.25">
      <c r="A35" s="3">
        <f ca="1">EOMONTH(A34+1,0)</f>
        <v>45991</v>
      </c>
      <c r="B35" s="26" t="s">
        <v>51</v>
      </c>
      <c r="C35" s="27">
        <v>1362078826.2900002</v>
      </c>
      <c r="D35" s="27">
        <v>52464720</v>
      </c>
      <c r="E35" s="27">
        <v>1291624800.0200005</v>
      </c>
      <c r="F35" s="27">
        <v>1053588885</v>
      </c>
      <c r="G35" s="27">
        <v>235254193</v>
      </c>
      <c r="H35" s="27">
        <v>2782147</v>
      </c>
      <c r="I35" s="27">
        <f t="shared" ca="1" si="7"/>
        <v>17989306.269999743</v>
      </c>
      <c r="J35" s="19">
        <v>294335990.88999999</v>
      </c>
      <c r="K35" s="20">
        <v>759252894.10999739</v>
      </c>
      <c r="L35" s="20">
        <f t="shared" ca="1" si="8"/>
        <v>17989306.269999743</v>
      </c>
      <c r="M35" s="16"/>
      <c r="S35" s="26" t="s">
        <v>51</v>
      </c>
      <c r="T35" s="27">
        <f t="shared" ca="1" si="2"/>
        <v>0</v>
      </c>
      <c r="U35" s="27">
        <f t="shared" ca="1" si="1"/>
        <v>0</v>
      </c>
      <c r="V35" s="27">
        <f t="shared" ca="1" si="1"/>
        <v>4001.1000001430511</v>
      </c>
      <c r="W35" s="27">
        <f t="shared" ca="1" si="1"/>
        <v>3004</v>
      </c>
      <c r="X35" s="27">
        <f t="shared" ref="X35:AC71" ca="1" si="10">G35-AJ35</f>
        <v>-12</v>
      </c>
      <c r="Y35" s="27">
        <f t="shared" ca="1" si="10"/>
        <v>1000</v>
      </c>
      <c r="Z35" s="27">
        <f t="shared" ca="1" si="10"/>
        <v>-4001.1000001430511</v>
      </c>
      <c r="AA35" s="19">
        <f t="shared" ca="1" si="10"/>
        <v>-97018.909999966621</v>
      </c>
      <c r="AB35" s="20">
        <f t="shared" ca="1" si="10"/>
        <v>100022.91000008583</v>
      </c>
      <c r="AC35" s="20">
        <f t="shared" ca="1" si="10"/>
        <v>-4001.1000001430511</v>
      </c>
      <c r="AD35" s="16"/>
      <c r="AE35" s="26" t="s">
        <v>51</v>
      </c>
      <c r="AF35" s="27">
        <v>1362078826.2900002</v>
      </c>
      <c r="AG35" s="27">
        <v>52464720</v>
      </c>
      <c r="AH35" s="27">
        <v>1291620798.9200003</v>
      </c>
      <c r="AI35" s="27">
        <v>1053585881</v>
      </c>
      <c r="AJ35" s="27">
        <v>235254205</v>
      </c>
      <c r="AK35" s="27">
        <v>2781147</v>
      </c>
      <c r="AL35" s="27">
        <v>17993307.369999886</v>
      </c>
      <c r="AM35" s="19">
        <v>294433009.79999995</v>
      </c>
      <c r="AN35" s="20">
        <v>759152871.19999731</v>
      </c>
      <c r="AO35" s="20">
        <v>17993307.369999886</v>
      </c>
    </row>
    <row r="36" spans="1:41" x14ac:dyDescent="0.25">
      <c r="A36" s="3">
        <f ca="1">EOMONTH(A35+1,0)</f>
        <v>46022</v>
      </c>
      <c r="B36" s="30" t="s">
        <v>52</v>
      </c>
      <c r="C36" s="31">
        <v>1485602882.3061185</v>
      </c>
      <c r="D36" s="31">
        <v>64881016</v>
      </c>
      <c r="E36" s="31">
        <v>1392845908.5500007</v>
      </c>
      <c r="F36" s="31">
        <v>1108279233</v>
      </c>
      <c r="G36" s="31">
        <v>282002410</v>
      </c>
      <c r="H36" s="31">
        <v>2564664</v>
      </c>
      <c r="I36" s="31">
        <f t="shared" ca="1" si="7"/>
        <v>27875957.756117821</v>
      </c>
      <c r="J36" s="31">
        <v>409225808.31</v>
      </c>
      <c r="K36" s="32">
        <v>699053424.68999863</v>
      </c>
      <c r="L36" s="32">
        <f t="shared" ca="1" si="8"/>
        <v>27875957.756117821</v>
      </c>
      <c r="M36" s="16"/>
      <c r="S36" s="33" t="s">
        <v>52</v>
      </c>
      <c r="T36" s="19">
        <f t="shared" ca="1" si="2"/>
        <v>0</v>
      </c>
      <c r="U36" s="19">
        <f t="shared" ca="1" si="2"/>
        <v>-1000775</v>
      </c>
      <c r="V36" s="19">
        <f t="shared" ca="1" si="2"/>
        <v>1000777.7000000477</v>
      </c>
      <c r="W36" s="19">
        <f t="shared" ca="1" si="2"/>
        <v>1000777</v>
      </c>
      <c r="X36" s="19">
        <f t="shared" ca="1" si="10"/>
        <v>-5</v>
      </c>
      <c r="Y36" s="19">
        <f t="shared" ca="1" si="10"/>
        <v>0</v>
      </c>
      <c r="Z36" s="19">
        <f t="shared" ca="1" si="10"/>
        <v>-2.7000000476837158</v>
      </c>
      <c r="AA36" s="19">
        <f t="shared" ca="1" si="10"/>
        <v>1055460.6300001144</v>
      </c>
      <c r="AB36" s="20">
        <f t="shared" ca="1" si="10"/>
        <v>-54683.629999995232</v>
      </c>
      <c r="AC36" s="20">
        <f t="shared" ca="1" si="10"/>
        <v>-2.7000000476837158</v>
      </c>
      <c r="AD36" s="16"/>
      <c r="AE36" s="30" t="s">
        <v>52</v>
      </c>
      <c r="AF36" s="31">
        <v>1485602882.3061185</v>
      </c>
      <c r="AG36" s="31">
        <v>65881791</v>
      </c>
      <c r="AH36" s="31">
        <v>1391845130.8500006</v>
      </c>
      <c r="AI36" s="31">
        <v>1107278456</v>
      </c>
      <c r="AJ36" s="31">
        <v>282002415</v>
      </c>
      <c r="AK36" s="31">
        <v>2564664</v>
      </c>
      <c r="AL36" s="31">
        <v>27875960.456117868</v>
      </c>
      <c r="AM36" s="31">
        <v>408170347.67999989</v>
      </c>
      <c r="AN36" s="32">
        <v>699108108.31999862</v>
      </c>
      <c r="AO36" s="32">
        <v>27875960.456117868</v>
      </c>
    </row>
    <row r="37" spans="1:41" x14ac:dyDescent="0.25">
      <c r="A37" s="25">
        <f ca="1">A36</f>
        <v>46022</v>
      </c>
      <c r="B37" s="13" t="s">
        <v>53</v>
      </c>
      <c r="C37" s="14">
        <f ca="1">SUM(C38:C42)</f>
        <v>5159651854.0993099</v>
      </c>
      <c r="D37" s="14">
        <f t="shared" ref="D37:L37" ca="1" si="11">SUM(D38:D42)</f>
        <v>166812996</v>
      </c>
      <c r="E37" s="14">
        <f t="shared" ca="1" si="11"/>
        <v>4704801070.3399935</v>
      </c>
      <c r="F37" s="14">
        <f t="shared" ca="1" si="11"/>
        <v>3989466475</v>
      </c>
      <c r="G37" s="14">
        <f t="shared" ca="1" si="11"/>
        <v>702267049</v>
      </c>
      <c r="H37" s="14">
        <f t="shared" ca="1" si="11"/>
        <v>13069540</v>
      </c>
      <c r="I37" s="14">
        <f t="shared" ca="1" si="11"/>
        <v>288037787.75931537</v>
      </c>
      <c r="J37" s="14">
        <f t="shared" ca="1" si="11"/>
        <v>1104556736.049999</v>
      </c>
      <c r="K37" s="15">
        <f t="shared" ca="1" si="11"/>
        <v>2884909738.9499998</v>
      </c>
      <c r="L37" s="15">
        <f t="shared" ca="1" si="11"/>
        <v>288037787.75931537</v>
      </c>
      <c r="M37" s="16"/>
      <c r="S37" s="18" t="s">
        <v>53</v>
      </c>
      <c r="T37" s="19">
        <f t="shared" ca="1" si="2"/>
        <v>65971849.84953022</v>
      </c>
      <c r="U37" s="19">
        <f t="shared" ca="1" si="2"/>
        <v>1184486</v>
      </c>
      <c r="V37" s="19">
        <f t="shared" ca="1" si="2"/>
        <v>69233280.619998932</v>
      </c>
      <c r="W37" s="19">
        <f t="shared" ca="1" si="2"/>
        <v>63773400</v>
      </c>
      <c r="X37" s="19">
        <f t="shared" ca="1" si="10"/>
        <v>5214699</v>
      </c>
      <c r="Y37" s="19">
        <f t="shared" ca="1" si="10"/>
        <v>245177</v>
      </c>
      <c r="Z37" s="19">
        <f t="shared" ca="1" si="10"/>
        <v>-4445916.7704697847</v>
      </c>
      <c r="AA37" s="19">
        <f t="shared" ca="1" si="10"/>
        <v>14611150.450000048</v>
      </c>
      <c r="AB37" s="20">
        <f t="shared" ca="1" si="10"/>
        <v>49162249.550000668</v>
      </c>
      <c r="AC37" s="20">
        <f t="shared" ca="1" si="10"/>
        <v>-4445916.7704697847</v>
      </c>
      <c r="AD37" s="16"/>
      <c r="AE37" s="13" t="s">
        <v>53</v>
      </c>
      <c r="AF37" s="14">
        <v>5093680004.2497797</v>
      </c>
      <c r="AG37" s="14">
        <v>165628510</v>
      </c>
      <c r="AH37" s="14">
        <v>4635567789.7199945</v>
      </c>
      <c r="AI37" s="14">
        <v>3925693075</v>
      </c>
      <c r="AJ37" s="14">
        <v>697052350</v>
      </c>
      <c r="AK37" s="14">
        <v>12824363</v>
      </c>
      <c r="AL37" s="14">
        <v>292483704.52978516</v>
      </c>
      <c r="AM37" s="14">
        <v>1089945585.599999</v>
      </c>
      <c r="AN37" s="15">
        <v>2835747489.3999991</v>
      </c>
      <c r="AO37" s="15">
        <v>292483704.52978516</v>
      </c>
    </row>
    <row r="38" spans="1:41" x14ac:dyDescent="0.25">
      <c r="A38" s="3">
        <f ca="1">EOMONTH(A36+1,0)</f>
        <v>46053</v>
      </c>
      <c r="B38" s="26" t="s">
        <v>54</v>
      </c>
      <c r="C38" s="27">
        <v>1400456434.1794889</v>
      </c>
      <c r="D38" s="27">
        <v>60584218</v>
      </c>
      <c r="E38" s="27">
        <v>1317364330.599998</v>
      </c>
      <c r="F38" s="27">
        <v>1083565209</v>
      </c>
      <c r="G38" s="27">
        <v>231454801</v>
      </c>
      <c r="H38" s="27">
        <v>2344798</v>
      </c>
      <c r="I38" s="27">
        <f ca="1">C38-E38-D38</f>
        <v>22507885.5794909</v>
      </c>
      <c r="J38" s="19">
        <v>300481292.53999954</v>
      </c>
      <c r="K38" s="20">
        <v>783083916.46000004</v>
      </c>
      <c r="L38" s="20">
        <f t="shared" ref="L38:L43" ca="1" si="12">C38-E38-D38</f>
        <v>22507885.5794909</v>
      </c>
      <c r="M38" s="16"/>
      <c r="P38" s="35"/>
      <c r="S38" s="26" t="s">
        <v>54</v>
      </c>
      <c r="T38" s="27">
        <f t="shared" ca="1" si="2"/>
        <v>0</v>
      </c>
      <c r="U38" s="27">
        <f t="shared" ca="1" si="2"/>
        <v>0</v>
      </c>
      <c r="V38" s="27">
        <f t="shared" ca="1" si="2"/>
        <v>14000.959999799728</v>
      </c>
      <c r="W38" s="27">
        <f t="shared" ca="1" si="2"/>
        <v>11990</v>
      </c>
      <c r="X38" s="27">
        <f ca="1">G38-AJ38</f>
        <v>-3</v>
      </c>
      <c r="Y38" s="27">
        <f t="shared" ca="1" si="10"/>
        <v>2000</v>
      </c>
      <c r="Z38" s="27">
        <f ca="1">I38-AL38</f>
        <v>-14000.959999799728</v>
      </c>
      <c r="AA38" s="19">
        <f t="shared" ca="1" si="10"/>
        <v>32506.329999923706</v>
      </c>
      <c r="AB38" s="20">
        <f t="shared" ca="1" si="10"/>
        <v>-20516.329999804497</v>
      </c>
      <c r="AC38" s="20">
        <f t="shared" ca="1" si="10"/>
        <v>-14000.959999799728</v>
      </c>
      <c r="AD38" s="16"/>
      <c r="AE38" s="26" t="s">
        <v>54</v>
      </c>
      <c r="AF38" s="27">
        <v>1400456434.1794889</v>
      </c>
      <c r="AG38" s="27">
        <v>60584218</v>
      </c>
      <c r="AH38" s="27">
        <v>1317350329.6399982</v>
      </c>
      <c r="AI38" s="27">
        <v>1083553219</v>
      </c>
      <c r="AJ38" s="27">
        <v>231454804</v>
      </c>
      <c r="AK38" s="27">
        <v>2342798</v>
      </c>
      <c r="AL38" s="27">
        <v>22521886.5394907</v>
      </c>
      <c r="AM38" s="19">
        <v>300448786.20999962</v>
      </c>
      <c r="AN38" s="20">
        <v>783104432.78999984</v>
      </c>
      <c r="AO38" s="20">
        <v>22521886.5394907</v>
      </c>
    </row>
    <row r="39" spans="1:41" x14ac:dyDescent="0.25">
      <c r="A39" s="3">
        <f ca="1">EOMONTH(A38+1,0)</f>
        <v>46081</v>
      </c>
      <c r="B39" s="30" t="s">
        <v>55</v>
      </c>
      <c r="C39" s="31">
        <v>1322812098</v>
      </c>
      <c r="D39" s="31">
        <v>58065532</v>
      </c>
      <c r="E39" s="31">
        <v>1244340800.2899983</v>
      </c>
      <c r="F39" s="31">
        <v>990560081</v>
      </c>
      <c r="G39" s="31">
        <v>251180015</v>
      </c>
      <c r="H39" s="31">
        <v>2601244</v>
      </c>
      <c r="I39" s="31">
        <f ca="1">C39-E39-D39</f>
        <v>20405765.710001707</v>
      </c>
      <c r="J39" s="31">
        <v>311161579.29999971</v>
      </c>
      <c r="K39" s="32">
        <v>679398501.69999981</v>
      </c>
      <c r="L39" s="32">
        <f t="shared" ca="1" si="12"/>
        <v>20405765.710001707</v>
      </c>
      <c r="M39" s="16"/>
      <c r="S39" s="33" t="s">
        <v>55</v>
      </c>
      <c r="T39" s="19">
        <f t="shared" ca="1" si="2"/>
        <v>0</v>
      </c>
      <c r="U39" s="19">
        <f t="shared" ca="1" si="2"/>
        <v>0</v>
      </c>
      <c r="V39" s="19">
        <f t="shared" ca="1" si="2"/>
        <v>744666.86999988556</v>
      </c>
      <c r="W39" s="19">
        <f t="shared" ca="1" si="2"/>
        <v>746632</v>
      </c>
      <c r="X39" s="19">
        <f ca="1">G39-AJ39</f>
        <v>-1969</v>
      </c>
      <c r="Y39" s="19">
        <f t="shared" ca="1" si="10"/>
        <v>0</v>
      </c>
      <c r="Z39" s="19">
        <f ca="1">I39-AL39</f>
        <v>-744666.86999988556</v>
      </c>
      <c r="AA39" s="19">
        <f t="shared" ca="1" si="10"/>
        <v>346078.31999999285</v>
      </c>
      <c r="AB39" s="20">
        <f t="shared" ca="1" si="10"/>
        <v>400553.68000006676</v>
      </c>
      <c r="AC39" s="20">
        <f t="shared" ca="1" si="10"/>
        <v>-744666.86999988556</v>
      </c>
      <c r="AD39" s="16"/>
      <c r="AE39" s="30" t="s">
        <v>55</v>
      </c>
      <c r="AF39" s="31">
        <v>1322812098</v>
      </c>
      <c r="AG39" s="31">
        <v>58065532</v>
      </c>
      <c r="AH39" s="31">
        <v>1243596133.4199984</v>
      </c>
      <c r="AI39" s="31">
        <v>989813449</v>
      </c>
      <c r="AJ39" s="31">
        <v>251181984</v>
      </c>
      <c r="AK39" s="31">
        <v>2601244</v>
      </c>
      <c r="AL39" s="31">
        <v>21150432.580001593</v>
      </c>
      <c r="AM39" s="31">
        <v>310815500.97999972</v>
      </c>
      <c r="AN39" s="32">
        <v>678997948.01999974</v>
      </c>
      <c r="AO39" s="32">
        <v>21150432.580001593</v>
      </c>
    </row>
    <row r="40" spans="1:41" x14ac:dyDescent="0.25">
      <c r="A40" s="3">
        <f ca="1">EOMONTH(A39+1,0)</f>
        <v>46112</v>
      </c>
      <c r="B40" s="26" t="s">
        <v>56</v>
      </c>
      <c r="C40" s="27">
        <v>927813046.43959951</v>
      </c>
      <c r="D40" s="27">
        <v>25635088</v>
      </c>
      <c r="E40" s="27">
        <v>869005215.08999968</v>
      </c>
      <c r="F40" s="27">
        <v>794213519</v>
      </c>
      <c r="G40" s="27">
        <v>73284054</v>
      </c>
      <c r="H40" s="27">
        <v>1508149</v>
      </c>
      <c r="I40" s="27">
        <f ca="1">C40-E40-D40</f>
        <v>33172743.349599838</v>
      </c>
      <c r="J40" s="19">
        <v>198593644.57000008</v>
      </c>
      <c r="K40" s="20">
        <v>595619874.43000007</v>
      </c>
      <c r="L40" s="20">
        <f t="shared" ca="1" si="12"/>
        <v>33172743.349599838</v>
      </c>
      <c r="M40" s="16"/>
      <c r="O40" s="35"/>
      <c r="S40" s="33" t="s">
        <v>56</v>
      </c>
      <c r="T40" s="19">
        <f t="shared" ca="1" si="2"/>
        <v>0</v>
      </c>
      <c r="U40" s="19">
        <f t="shared" ca="1" si="2"/>
        <v>351</v>
      </c>
      <c r="V40" s="19">
        <f t="shared" ca="1" si="2"/>
        <v>195085.04999995232</v>
      </c>
      <c r="W40" s="19">
        <f t="shared" ca="1" si="2"/>
        <v>172040</v>
      </c>
      <c r="X40" s="19">
        <f ca="1">G40-AJ40</f>
        <v>-4</v>
      </c>
      <c r="Y40" s="19">
        <f t="shared" ca="1" si="10"/>
        <v>23045</v>
      </c>
      <c r="Z40" s="19">
        <f t="shared" ca="1" si="10"/>
        <v>-195436.04999995232</v>
      </c>
      <c r="AA40" s="19">
        <f t="shared" ca="1" si="10"/>
        <v>214903.60000005364</v>
      </c>
      <c r="AB40" s="20">
        <f t="shared" ca="1" si="10"/>
        <v>-42863.599999904633</v>
      </c>
      <c r="AC40" s="20">
        <f t="shared" ca="1" si="10"/>
        <v>-195436.04999995232</v>
      </c>
      <c r="AD40" s="16"/>
      <c r="AE40" s="26" t="s">
        <v>56</v>
      </c>
      <c r="AF40" s="27">
        <v>927813046.43959951</v>
      </c>
      <c r="AG40" s="27">
        <v>25634737</v>
      </c>
      <c r="AH40" s="27">
        <v>868810130.03999972</v>
      </c>
      <c r="AI40" s="27">
        <v>794041479</v>
      </c>
      <c r="AJ40" s="27">
        <v>73284058</v>
      </c>
      <c r="AK40" s="27">
        <v>1485104</v>
      </c>
      <c r="AL40" s="27">
        <v>33368179.399599791</v>
      </c>
      <c r="AM40" s="19">
        <v>198378740.97000003</v>
      </c>
      <c r="AN40" s="20">
        <v>595662738.02999997</v>
      </c>
      <c r="AO40" s="20">
        <v>33368179.399599791</v>
      </c>
    </row>
    <row r="41" spans="1:41" x14ac:dyDescent="0.25">
      <c r="A41" s="3">
        <f ca="1">EOMONTH(A40+1,0)</f>
        <v>46142</v>
      </c>
      <c r="B41" s="30" t="s">
        <v>57</v>
      </c>
      <c r="C41" s="31">
        <v>1224384235.0039408</v>
      </c>
      <c r="D41" s="31">
        <v>18094134</v>
      </c>
      <c r="E41" s="31">
        <v>1083233190.1599979</v>
      </c>
      <c r="F41" s="31">
        <v>953782470</v>
      </c>
      <c r="G41" s="31">
        <v>123532317</v>
      </c>
      <c r="H41" s="31">
        <v>5918824</v>
      </c>
      <c r="I41" s="31">
        <f ca="1">C41-E41-D41</f>
        <v>123056910.84394288</v>
      </c>
      <c r="J41" s="31">
        <v>253909462.27999973</v>
      </c>
      <c r="K41" s="32">
        <v>699873007.71999991</v>
      </c>
      <c r="L41" s="32">
        <f t="shared" ca="1" si="12"/>
        <v>123056910.84394288</v>
      </c>
      <c r="M41" s="16"/>
      <c r="O41" s="35"/>
      <c r="S41" s="33" t="s">
        <v>57</v>
      </c>
      <c r="T41" s="19">
        <f t="shared" ca="1" si="2"/>
        <v>0</v>
      </c>
      <c r="U41" s="19">
        <f t="shared" ca="1" si="2"/>
        <v>82184</v>
      </c>
      <c r="V41" s="19">
        <f t="shared" ca="1" si="2"/>
        <v>10763975.7900002</v>
      </c>
      <c r="W41" s="19">
        <f t="shared" ca="1" si="2"/>
        <v>8819968</v>
      </c>
      <c r="X41" s="19">
        <f ca="1">G41-AJ41</f>
        <v>1811847</v>
      </c>
      <c r="Y41" s="19">
        <f t="shared" ca="1" si="10"/>
        <v>132165</v>
      </c>
      <c r="Z41" s="19">
        <f t="shared" ca="1" si="10"/>
        <v>-10846159.7900002</v>
      </c>
      <c r="AA41" s="19">
        <f t="shared" ca="1" si="10"/>
        <v>883429.34000003338</v>
      </c>
      <c r="AB41" s="20">
        <f t="shared" ca="1" si="10"/>
        <v>7936538.660000205</v>
      </c>
      <c r="AC41" s="20">
        <f t="shared" ca="1" si="10"/>
        <v>-10846159.7900002</v>
      </c>
      <c r="AD41" s="16"/>
      <c r="AE41" s="30" t="s">
        <v>57</v>
      </c>
      <c r="AF41" s="31">
        <v>1224384235.0039408</v>
      </c>
      <c r="AG41" s="31">
        <v>18011950</v>
      </c>
      <c r="AH41" s="31">
        <v>1072469214.3699977</v>
      </c>
      <c r="AI41" s="31">
        <v>944962502</v>
      </c>
      <c r="AJ41" s="31">
        <v>121720470</v>
      </c>
      <c r="AK41" s="31">
        <v>5786659</v>
      </c>
      <c r="AL41" s="31">
        <v>133903070.63394308</v>
      </c>
      <c r="AM41" s="31">
        <v>253026032.9399997</v>
      </c>
      <c r="AN41" s="32">
        <v>691936469.0599997</v>
      </c>
      <c r="AO41" s="32">
        <v>133903070.63394308</v>
      </c>
    </row>
    <row r="42" spans="1:41" ht="15.75" thickBot="1" x14ac:dyDescent="0.3">
      <c r="A42" s="3">
        <f ca="1">EOMONTH(A41+1,0)</f>
        <v>46173</v>
      </c>
      <c r="B42" s="26" t="s">
        <v>58</v>
      </c>
      <c r="C42" s="27">
        <f ca="1">O12</f>
        <v>284186040.47628003</v>
      </c>
      <c r="D42" s="27">
        <v>4434024</v>
      </c>
      <c r="E42" s="27">
        <v>190857534.20000002</v>
      </c>
      <c r="F42" s="27">
        <v>167345196</v>
      </c>
      <c r="G42" s="27">
        <v>22815862</v>
      </c>
      <c r="H42" s="27">
        <v>696525</v>
      </c>
      <c r="I42" s="27">
        <f ca="1">C42-E42-D42</f>
        <v>88894482.276280016</v>
      </c>
      <c r="J42" s="19">
        <v>40410757.35999994</v>
      </c>
      <c r="K42" s="20">
        <v>126934438.64000002</v>
      </c>
      <c r="L42" s="20">
        <f ca="1">C42-E42-D42</f>
        <v>88894482.276280016</v>
      </c>
      <c r="M42" s="16"/>
      <c r="O42" s="35"/>
      <c r="S42" s="33" t="s">
        <v>58</v>
      </c>
      <c r="T42" s="19">
        <f t="shared" ca="1" si="2"/>
        <v>65971849.849530041</v>
      </c>
      <c r="U42" s="19">
        <f t="shared" ca="1" si="2"/>
        <v>1101951</v>
      </c>
      <c r="V42" s="19">
        <f t="shared" ca="1" si="2"/>
        <v>57515551.950000018</v>
      </c>
      <c r="W42" s="19">
        <f t="shared" ca="1" si="2"/>
        <v>54022770</v>
      </c>
      <c r="X42" s="19">
        <f ca="1">G42-AJ42</f>
        <v>3404828</v>
      </c>
      <c r="Y42" s="19">
        <f t="shared" ca="1" si="10"/>
        <v>87967</v>
      </c>
      <c r="Z42" s="19">
        <f t="shared" ca="1" si="10"/>
        <v>7354346.8995300233</v>
      </c>
      <c r="AA42" s="19">
        <f t="shared" ca="1" si="10"/>
        <v>13134232.859999966</v>
      </c>
      <c r="AB42" s="20">
        <f t="shared" ca="1" si="10"/>
        <v>40888537.14000003</v>
      </c>
      <c r="AC42" s="20">
        <f t="shared" ca="1" si="10"/>
        <v>7354346.8995300233</v>
      </c>
      <c r="AD42" s="16"/>
      <c r="AE42" s="26" t="s">
        <v>58</v>
      </c>
      <c r="AF42" s="27">
        <v>218214190.62674999</v>
      </c>
      <c r="AG42" s="27">
        <v>3332073</v>
      </c>
      <c r="AH42" s="27">
        <v>133341982.25</v>
      </c>
      <c r="AI42" s="27">
        <v>113322426</v>
      </c>
      <c r="AJ42" s="27">
        <v>19411034</v>
      </c>
      <c r="AK42" s="27">
        <v>608558</v>
      </c>
      <c r="AL42" s="27">
        <v>81540135.376749992</v>
      </c>
      <c r="AM42" s="19">
        <v>27276524.499999974</v>
      </c>
      <c r="AN42" s="20">
        <v>86045901.499999985</v>
      </c>
      <c r="AO42" s="20">
        <v>81540135.376749992</v>
      </c>
    </row>
    <row r="43" spans="1:41" ht="15.75" thickBot="1" x14ac:dyDescent="0.3">
      <c r="B43" s="36" t="s">
        <v>59</v>
      </c>
      <c r="C43" s="37">
        <f ca="1">SUM(C7:C11)+C24+C37</f>
        <v>49308305363.343788</v>
      </c>
      <c r="D43" s="37">
        <f ca="1">SUM(D7:D11)+D24+D37</f>
        <v>2858040038</v>
      </c>
      <c r="E43" s="37">
        <f t="shared" ref="E43:K43" ca="1" si="13">SUM(E7:E11)+E24+E37</f>
        <v>45969531189.160004</v>
      </c>
      <c r="F43" s="37">
        <f t="shared" ca="1" si="13"/>
        <v>33174870410</v>
      </c>
      <c r="G43" s="37">
        <f t="shared" ca="1" si="13"/>
        <v>12694474934</v>
      </c>
      <c r="H43" s="37">
        <f t="shared" ca="1" si="13"/>
        <v>100194082</v>
      </c>
      <c r="I43" s="37">
        <f t="shared" ca="1" si="13"/>
        <v>480734136.18378365</v>
      </c>
      <c r="J43" s="37">
        <f t="shared" ca="1" si="13"/>
        <v>8154976423.7599983</v>
      </c>
      <c r="K43" s="37">
        <f t="shared" ca="1" si="13"/>
        <v>25019893986.240005</v>
      </c>
      <c r="L43" s="38">
        <f t="shared" ca="1" si="12"/>
        <v>480734136.18378448</v>
      </c>
      <c r="M43" s="16"/>
      <c r="O43" s="35"/>
      <c r="S43" s="39" t="s">
        <v>59</v>
      </c>
      <c r="T43" s="40">
        <f t="shared" ca="1" si="2"/>
        <v>65971849.849533081</v>
      </c>
      <c r="U43" s="40">
        <f t="shared" ca="1" si="2"/>
        <v>183711</v>
      </c>
      <c r="V43" s="40">
        <f t="shared" ca="1" si="2"/>
        <v>71039517.960006714</v>
      </c>
      <c r="W43" s="40">
        <f t="shared" ca="1" si="2"/>
        <v>65409706</v>
      </c>
      <c r="X43" s="40">
        <f t="shared" ca="1" si="10"/>
        <v>5369765</v>
      </c>
      <c r="Y43" s="40">
        <f t="shared" ca="1" si="10"/>
        <v>259976</v>
      </c>
      <c r="Z43" s="40">
        <f t="shared" ca="1" si="10"/>
        <v>-5251379.1104696989</v>
      </c>
      <c r="AA43" s="40">
        <f t="shared" ca="1" si="10"/>
        <v>16496092.770000458</v>
      </c>
      <c r="AB43" s="40">
        <f t="shared" ca="1" si="10"/>
        <v>48913613.230003357</v>
      </c>
      <c r="AC43" s="41">
        <f t="shared" ca="1" si="10"/>
        <v>-5251379.1104736328</v>
      </c>
      <c r="AD43" s="16"/>
      <c r="AE43" s="36" t="s">
        <v>59</v>
      </c>
      <c r="AF43" s="37">
        <v>49242333513.494255</v>
      </c>
      <c r="AG43" s="37">
        <v>2857856327</v>
      </c>
      <c r="AH43" s="37">
        <v>45898491671.199997</v>
      </c>
      <c r="AI43" s="37">
        <v>33109460704</v>
      </c>
      <c r="AJ43" s="37">
        <v>12689105169</v>
      </c>
      <c r="AK43" s="37">
        <v>99934106</v>
      </c>
      <c r="AL43" s="37">
        <v>485985515.29425335</v>
      </c>
      <c r="AM43" s="37">
        <v>8138480330.9899979</v>
      </c>
      <c r="AN43" s="37">
        <v>24970980373.010002</v>
      </c>
      <c r="AO43" s="38">
        <v>485985515.29425812</v>
      </c>
    </row>
    <row r="44" spans="1:41" ht="26.65" customHeight="1" x14ac:dyDescent="0.25">
      <c r="C44" s="23"/>
      <c r="D44" s="23"/>
      <c r="E44" s="16"/>
      <c r="F44" s="16"/>
      <c r="G44" s="16"/>
      <c r="H44" s="16"/>
      <c r="I44" s="16"/>
      <c r="J44" s="16"/>
      <c r="K44" s="35"/>
      <c r="L44" s="35"/>
      <c r="M44" s="16"/>
      <c r="T44" s="23"/>
      <c r="U44" s="23"/>
      <c r="V44" s="16"/>
      <c r="W44" s="16"/>
      <c r="X44" s="16"/>
      <c r="Y44" s="16"/>
      <c r="Z44" s="16"/>
      <c r="AA44" s="16"/>
      <c r="AB44" s="35"/>
      <c r="AC44" s="35"/>
      <c r="AD44" s="16"/>
      <c r="AF44" s="23"/>
      <c r="AG44" s="23"/>
      <c r="AH44" s="16"/>
      <c r="AI44" s="16"/>
      <c r="AJ44" s="16"/>
      <c r="AK44" s="16"/>
      <c r="AL44" s="16"/>
      <c r="AM44" s="16"/>
      <c r="AN44" s="35"/>
      <c r="AO44" s="35"/>
    </row>
    <row r="45" spans="1:41" x14ac:dyDescent="0.25"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ht="21.75" thickBot="1" x14ac:dyDescent="0.4">
      <c r="B46" s="5" t="str">
        <f ca="1">_xlfn.CONCAT("Sobha Summary as on-",TEXT(N2,"DD/MM/YYYY"))</f>
        <v>Sobha Summary as on-06/05/2026</v>
      </c>
      <c r="C46" s="6"/>
      <c r="D46" s="6"/>
      <c r="E46" s="6"/>
      <c r="F46" s="6"/>
      <c r="G46" s="6"/>
      <c r="H46" s="6"/>
      <c r="I46" s="6"/>
      <c r="J46" s="6"/>
      <c r="K46" s="6"/>
      <c r="L46" s="6"/>
      <c r="S46" s="5" t="str">
        <f ca="1">B46</f>
        <v>Sobha Summary as on-06/05/2026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E46" s="5" t="str">
        <f ca="1">CONCATENATE("Sobha Summary as on-",TEXT(TODAY()-3,"dd/mm/yyyy"))</f>
        <v>Sobha Summary as on-05/05/2026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30" x14ac:dyDescent="0.25">
      <c r="B47" s="7" t="s">
        <v>6</v>
      </c>
      <c r="C47" s="8" t="s">
        <v>7</v>
      </c>
      <c r="D47" s="8" t="s">
        <v>8</v>
      </c>
      <c r="E47" s="8" t="s">
        <v>9</v>
      </c>
      <c r="F47" s="9" t="s">
        <v>10</v>
      </c>
      <c r="G47" s="8" t="s">
        <v>11</v>
      </c>
      <c r="H47" s="8" t="s">
        <v>12</v>
      </c>
      <c r="I47" s="8" t="s">
        <v>13</v>
      </c>
      <c r="J47" s="10" t="s">
        <v>60</v>
      </c>
      <c r="K47" s="11" t="s">
        <v>61</v>
      </c>
      <c r="L47" s="12" t="s">
        <v>16</v>
      </c>
      <c r="S47" s="7" t="s">
        <v>6</v>
      </c>
      <c r="T47" s="8" t="s">
        <v>7</v>
      </c>
      <c r="U47" s="8" t="s">
        <v>8</v>
      </c>
      <c r="V47" s="8" t="s">
        <v>9</v>
      </c>
      <c r="W47" s="9" t="s">
        <v>10</v>
      </c>
      <c r="X47" s="8" t="s">
        <v>11</v>
      </c>
      <c r="Y47" s="8" t="s">
        <v>12</v>
      </c>
      <c r="Z47" s="8" t="s">
        <v>13</v>
      </c>
      <c r="AA47" s="10" t="s">
        <v>60</v>
      </c>
      <c r="AB47" s="11" t="s">
        <v>61</v>
      </c>
      <c r="AC47" s="12" t="s">
        <v>16</v>
      </c>
      <c r="AE47" s="7" t="s">
        <v>6</v>
      </c>
      <c r="AF47" s="8" t="s">
        <v>7</v>
      </c>
      <c r="AG47" s="8" t="s">
        <v>8</v>
      </c>
      <c r="AH47" s="8" t="s">
        <v>9</v>
      </c>
      <c r="AI47" s="9" t="s">
        <v>10</v>
      </c>
      <c r="AJ47" s="8" t="s">
        <v>11</v>
      </c>
      <c r="AK47" s="8" t="s">
        <v>12</v>
      </c>
      <c r="AL47" s="8" t="s">
        <v>13</v>
      </c>
      <c r="AM47" s="10" t="s">
        <v>60</v>
      </c>
      <c r="AN47" s="11" t="s">
        <v>61</v>
      </c>
      <c r="AO47" s="12" t="s">
        <v>16</v>
      </c>
    </row>
    <row r="48" spans="1:41" x14ac:dyDescent="0.25">
      <c r="A48" s="3">
        <v>44196</v>
      </c>
      <c r="B48" s="13" t="s">
        <v>17</v>
      </c>
      <c r="C48" s="14">
        <f t="shared" ref="C48:C64" ca="1" si="14">C7-C90</f>
        <v>1771642300.650001</v>
      </c>
      <c r="D48" s="14">
        <v>64288549</v>
      </c>
      <c r="E48" s="14">
        <v>1707353751.650001</v>
      </c>
      <c r="F48" s="14">
        <v>1274263635</v>
      </c>
      <c r="G48" s="14">
        <v>431100953</v>
      </c>
      <c r="H48" s="14">
        <v>0</v>
      </c>
      <c r="I48" s="14">
        <f ca="1">C48-E48-D48</f>
        <v>0</v>
      </c>
      <c r="J48" s="14">
        <v>334031145.55999988</v>
      </c>
      <c r="K48" s="15">
        <v>940232489.44000006</v>
      </c>
      <c r="L48" s="15">
        <f t="shared" ref="L48:L84" ca="1" si="15">C48-E48-D48</f>
        <v>0</v>
      </c>
      <c r="S48" s="18" t="s">
        <v>17</v>
      </c>
      <c r="T48" s="19">
        <f t="shared" ref="T48:AC84" ca="1" si="16">C48-AF48</f>
        <v>0</v>
      </c>
      <c r="U48" s="19">
        <f t="shared" ca="1" si="16"/>
        <v>0</v>
      </c>
      <c r="V48" s="19">
        <f t="shared" ca="1" si="16"/>
        <v>0</v>
      </c>
      <c r="W48" s="19">
        <f t="shared" ca="1" si="16"/>
        <v>-322590</v>
      </c>
      <c r="X48" s="19">
        <f t="shared" ca="1" si="16"/>
        <v>322593</v>
      </c>
      <c r="Y48" s="19">
        <f t="shared" ca="1" si="16"/>
        <v>0</v>
      </c>
      <c r="Z48" s="19">
        <f t="shared" ca="1" si="16"/>
        <v>0</v>
      </c>
      <c r="AA48" s="19">
        <f t="shared" ca="1" si="16"/>
        <v>-98.779999971389771</v>
      </c>
      <c r="AB48" s="20">
        <f t="shared" ca="1" si="16"/>
        <v>-322491.21999979019</v>
      </c>
      <c r="AC48" s="20">
        <f t="shared" ca="1" si="16"/>
        <v>0</v>
      </c>
      <c r="AE48" s="13" t="s">
        <v>17</v>
      </c>
      <c r="AF48" s="14">
        <v>1771642300.650001</v>
      </c>
      <c r="AG48" s="14">
        <v>64288549</v>
      </c>
      <c r="AH48" s="14">
        <v>1707353751.650001</v>
      </c>
      <c r="AI48" s="14">
        <v>1274586225</v>
      </c>
      <c r="AJ48" s="14">
        <v>430778360</v>
      </c>
      <c r="AK48" s="14">
        <v>0</v>
      </c>
      <c r="AL48" s="14">
        <v>0</v>
      </c>
      <c r="AM48" s="14">
        <v>334031244.33999985</v>
      </c>
      <c r="AN48" s="15">
        <v>940554980.65999985</v>
      </c>
      <c r="AO48" s="15">
        <v>0</v>
      </c>
    </row>
    <row r="49" spans="1:41" x14ac:dyDescent="0.25">
      <c r="A49" s="3">
        <v>44561</v>
      </c>
      <c r="B49" s="13" t="s">
        <v>18</v>
      </c>
      <c r="C49" s="14">
        <f t="shared" ca="1" si="14"/>
        <v>1698298327</v>
      </c>
      <c r="D49" s="14">
        <v>130078450</v>
      </c>
      <c r="E49" s="14">
        <v>1566454545.9000003</v>
      </c>
      <c r="F49" s="14">
        <v>866125495</v>
      </c>
      <c r="G49" s="14">
        <v>699134658</v>
      </c>
      <c r="H49" s="14">
        <v>1194387</v>
      </c>
      <c r="I49" s="14">
        <f ca="1">C49-E49-D49</f>
        <v>1765331.0999996662</v>
      </c>
      <c r="J49" s="14">
        <v>217683374.13000035</v>
      </c>
      <c r="K49" s="15">
        <v>648442120.87000108</v>
      </c>
      <c r="L49" s="15">
        <f t="shared" ca="1" si="15"/>
        <v>1765331.0999996662</v>
      </c>
      <c r="S49" s="18" t="s">
        <v>18</v>
      </c>
      <c r="T49" s="19">
        <f t="shared" ca="1" si="16"/>
        <v>0</v>
      </c>
      <c r="U49" s="19">
        <f t="shared" ca="1" si="16"/>
        <v>0</v>
      </c>
      <c r="V49" s="19">
        <f t="shared" ca="1" si="16"/>
        <v>0</v>
      </c>
      <c r="W49" s="19">
        <f t="shared" ca="1" si="16"/>
        <v>-276</v>
      </c>
      <c r="X49" s="19">
        <f t="shared" ca="1" si="16"/>
        <v>277</v>
      </c>
      <c r="Y49" s="19">
        <f t="shared" ca="1" si="16"/>
        <v>0</v>
      </c>
      <c r="Z49" s="19">
        <f t="shared" ca="1" si="16"/>
        <v>0</v>
      </c>
      <c r="AA49" s="19">
        <f t="shared" ca="1" si="16"/>
        <v>2559.6599999964237</v>
      </c>
      <c r="AB49" s="20">
        <f t="shared" ca="1" si="16"/>
        <v>-2835.6599999666214</v>
      </c>
      <c r="AC49" s="20">
        <f t="shared" ca="1" si="16"/>
        <v>0</v>
      </c>
      <c r="AE49" s="13" t="s">
        <v>18</v>
      </c>
      <c r="AF49" s="14">
        <v>1698298327</v>
      </c>
      <c r="AG49" s="14">
        <v>130078450</v>
      </c>
      <c r="AH49" s="14">
        <v>1566454545.9000003</v>
      </c>
      <c r="AI49" s="14">
        <v>866125771</v>
      </c>
      <c r="AJ49" s="14">
        <v>699134381</v>
      </c>
      <c r="AK49" s="14">
        <v>1194387</v>
      </c>
      <c r="AL49" s="14">
        <v>1765331.0999996662</v>
      </c>
      <c r="AM49" s="14">
        <v>217680814.47000036</v>
      </c>
      <c r="AN49" s="15">
        <v>648444956.53000104</v>
      </c>
      <c r="AO49" s="15">
        <v>1765331.0999996662</v>
      </c>
    </row>
    <row r="50" spans="1:41" x14ac:dyDescent="0.25">
      <c r="A50" s="3">
        <f ca="1">EOMONTH(A49,12)</f>
        <v>44926</v>
      </c>
      <c r="B50" s="13" t="s">
        <v>20</v>
      </c>
      <c r="C50" s="14">
        <f t="shared" ca="1" si="14"/>
        <v>4272715411</v>
      </c>
      <c r="D50" s="14">
        <v>407978084</v>
      </c>
      <c r="E50" s="14">
        <v>3859644502.6600132</v>
      </c>
      <c r="F50" s="14">
        <v>2498323296</v>
      </c>
      <c r="G50" s="14">
        <v>1357599331</v>
      </c>
      <c r="H50" s="14">
        <v>3722293</v>
      </c>
      <c r="I50" s="14">
        <f ca="1">C50-E50-D50</f>
        <v>5092824.3399868011</v>
      </c>
      <c r="J50" s="14">
        <v>815001443.19000232</v>
      </c>
      <c r="K50" s="15">
        <v>1683321852.810009</v>
      </c>
      <c r="L50" s="15">
        <f t="shared" ca="1" si="15"/>
        <v>5092824.3399868011</v>
      </c>
      <c r="S50" s="18" t="s">
        <v>20</v>
      </c>
      <c r="T50" s="19">
        <f t="shared" ca="1" si="16"/>
        <v>0</v>
      </c>
      <c r="U50" s="19">
        <f t="shared" ca="1" si="16"/>
        <v>0</v>
      </c>
      <c r="V50" s="19">
        <f t="shared" ca="1" si="16"/>
        <v>0</v>
      </c>
      <c r="W50" s="19">
        <f t="shared" ca="1" si="16"/>
        <v>-13731</v>
      </c>
      <c r="X50" s="19">
        <f t="shared" ca="1" si="16"/>
        <v>13756</v>
      </c>
      <c r="Y50" s="19">
        <f t="shared" ca="1" si="16"/>
        <v>0</v>
      </c>
      <c r="Z50" s="19">
        <f t="shared" ca="1" si="16"/>
        <v>0</v>
      </c>
      <c r="AA50" s="19">
        <f t="shared" ca="1" si="16"/>
        <v>-11567.820000052452</v>
      </c>
      <c r="AB50" s="20">
        <f t="shared" ca="1" si="16"/>
        <v>-2163.1799998283386</v>
      </c>
      <c r="AC50" s="20">
        <f t="shared" ca="1" si="16"/>
        <v>0</v>
      </c>
      <c r="AE50" s="13" t="s">
        <v>20</v>
      </c>
      <c r="AF50" s="14">
        <v>4272715411</v>
      </c>
      <c r="AG50" s="14">
        <v>407978084</v>
      </c>
      <c r="AH50" s="14">
        <v>3859644502.6600132</v>
      </c>
      <c r="AI50" s="14">
        <v>2498337027</v>
      </c>
      <c r="AJ50" s="14">
        <v>1357585575</v>
      </c>
      <c r="AK50" s="14">
        <v>3722293</v>
      </c>
      <c r="AL50" s="14">
        <v>5092824.3399868011</v>
      </c>
      <c r="AM50" s="14">
        <v>815013011.01000237</v>
      </c>
      <c r="AN50" s="15">
        <v>1683324015.9900088</v>
      </c>
      <c r="AO50" s="15">
        <v>5092824.3399868011</v>
      </c>
    </row>
    <row r="51" spans="1:41" x14ac:dyDescent="0.25">
      <c r="A51" s="3">
        <f ca="1">EOMONTH(A50,12)</f>
        <v>45291</v>
      </c>
      <c r="B51" s="13" t="s">
        <v>22</v>
      </c>
      <c r="C51" s="14">
        <f t="shared" ca="1" si="14"/>
        <v>7825770561</v>
      </c>
      <c r="D51" s="14">
        <v>637652517</v>
      </c>
      <c r="E51" s="14">
        <v>7173179540.6599855</v>
      </c>
      <c r="F51" s="14">
        <v>4692684807</v>
      </c>
      <c r="G51" s="14">
        <v>2467593381</v>
      </c>
      <c r="H51" s="14">
        <v>12901651</v>
      </c>
      <c r="I51" s="14">
        <f ca="1">C51-E51-D51</f>
        <v>14938503.340014458</v>
      </c>
      <c r="J51" s="14">
        <v>964263867.2999959</v>
      </c>
      <c r="K51" s="15">
        <v>3728420939.6999974</v>
      </c>
      <c r="L51" s="15">
        <f t="shared" ca="1" si="15"/>
        <v>14938503.340014458</v>
      </c>
      <c r="S51" s="18" t="s">
        <v>22</v>
      </c>
      <c r="T51" s="19">
        <f t="shared" ca="1" si="16"/>
        <v>0</v>
      </c>
      <c r="U51" s="19">
        <f t="shared" ca="1" si="16"/>
        <v>0</v>
      </c>
      <c r="V51" s="19">
        <f t="shared" ca="1" si="16"/>
        <v>0</v>
      </c>
      <c r="W51" s="19">
        <f t="shared" ca="1" si="16"/>
        <v>-338716</v>
      </c>
      <c r="X51" s="19">
        <f t="shared" ca="1" si="16"/>
        <v>338717</v>
      </c>
      <c r="Y51" s="19">
        <f t="shared" ca="1" si="16"/>
        <v>0</v>
      </c>
      <c r="Z51" s="19">
        <f t="shared" ca="1" si="16"/>
        <v>0</v>
      </c>
      <c r="AA51" s="19">
        <f t="shared" ca="1" si="16"/>
        <v>-15880.520000338554</v>
      </c>
      <c r="AB51" s="20">
        <f t="shared" ca="1" si="16"/>
        <v>-322835.48000049591</v>
      </c>
      <c r="AC51" s="20">
        <f t="shared" ca="1" si="16"/>
        <v>0</v>
      </c>
      <c r="AE51" s="13" t="s">
        <v>22</v>
      </c>
      <c r="AF51" s="14">
        <v>7825770561</v>
      </c>
      <c r="AG51" s="14">
        <v>637652517</v>
      </c>
      <c r="AH51" s="14">
        <v>7173179540.6599855</v>
      </c>
      <c r="AI51" s="14">
        <v>4693023523</v>
      </c>
      <c r="AJ51" s="14">
        <v>2467254664</v>
      </c>
      <c r="AK51" s="14">
        <v>12901651</v>
      </c>
      <c r="AL51" s="14">
        <v>14938503.340014458</v>
      </c>
      <c r="AM51" s="14">
        <v>964279747.81999624</v>
      </c>
      <c r="AN51" s="15">
        <v>3728743775.1799979</v>
      </c>
      <c r="AO51" s="15">
        <v>14938503.340014458</v>
      </c>
    </row>
    <row r="52" spans="1:41" x14ac:dyDescent="0.25">
      <c r="A52" s="3">
        <v>45291</v>
      </c>
      <c r="B52" s="13" t="s">
        <v>24</v>
      </c>
      <c r="C52" s="14">
        <f t="shared" ca="1" si="14"/>
        <v>10211221822.160704</v>
      </c>
      <c r="D52" s="14">
        <f t="shared" ref="D52:K52" ca="1" si="17">SUM(D53:D64)</f>
        <v>637969011</v>
      </c>
      <c r="E52" s="14">
        <f t="shared" ca="1" si="17"/>
        <v>9521961030.3000031</v>
      </c>
      <c r="F52" s="14">
        <f t="shared" ca="1" si="17"/>
        <v>6854053368</v>
      </c>
      <c r="G52" s="14">
        <f t="shared" ca="1" si="17"/>
        <v>2649214564</v>
      </c>
      <c r="H52" s="14">
        <f t="shared" ca="1" si="17"/>
        <v>18694311</v>
      </c>
      <c r="I52" s="14">
        <f t="shared" ca="1" si="17"/>
        <v>43331493.870704517</v>
      </c>
      <c r="J52" s="14">
        <f t="shared" ca="1" si="17"/>
        <v>1417701548.1300001</v>
      </c>
      <c r="K52" s="15">
        <f t="shared" ca="1" si="17"/>
        <v>5436351819.8700018</v>
      </c>
      <c r="L52" s="15">
        <f t="shared" ca="1" si="15"/>
        <v>51291780.860700607</v>
      </c>
      <c r="S52" s="18" t="s">
        <v>24</v>
      </c>
      <c r="T52" s="19">
        <f t="shared" ca="1" si="16"/>
        <v>0</v>
      </c>
      <c r="U52" s="19">
        <f t="shared" ca="1" si="16"/>
        <v>0</v>
      </c>
      <c r="V52" s="19">
        <f t="shared" ca="1" si="16"/>
        <v>55677.370002746582</v>
      </c>
      <c r="W52" s="19">
        <f t="shared" ca="1" si="16"/>
        <v>449934</v>
      </c>
      <c r="X52" s="19">
        <f t="shared" ca="1" si="16"/>
        <v>-394244</v>
      </c>
      <c r="Y52" s="19">
        <f t="shared" ca="1" si="16"/>
        <v>0</v>
      </c>
      <c r="Z52" s="19">
        <f t="shared" ca="1" si="16"/>
        <v>-55679.440000206232</v>
      </c>
      <c r="AA52" s="19">
        <f t="shared" ca="1" si="16"/>
        <v>357170.19000005722</v>
      </c>
      <c r="AB52" s="20">
        <f t="shared" ca="1" si="16"/>
        <v>92763.810000419617</v>
      </c>
      <c r="AC52" s="20">
        <f t="shared" ca="1" si="16"/>
        <v>-55677.370002746582</v>
      </c>
      <c r="AE52" s="13" t="s">
        <v>24</v>
      </c>
      <c r="AF52" s="14">
        <v>10211221822.160704</v>
      </c>
      <c r="AG52" s="14">
        <v>637969011</v>
      </c>
      <c r="AH52" s="14">
        <v>9521905352.9300003</v>
      </c>
      <c r="AI52" s="14">
        <v>6853603434</v>
      </c>
      <c r="AJ52" s="14">
        <v>2649608808</v>
      </c>
      <c r="AK52" s="14">
        <v>18694311</v>
      </c>
      <c r="AL52" s="14">
        <v>43387173.310704723</v>
      </c>
      <c r="AM52" s="14">
        <v>1417344377.9400001</v>
      </c>
      <c r="AN52" s="15">
        <v>5436259056.0600014</v>
      </c>
      <c r="AO52" s="15">
        <v>51347458.230703354</v>
      </c>
    </row>
    <row r="53" spans="1:41" x14ac:dyDescent="0.25">
      <c r="A53" s="3">
        <v>45322</v>
      </c>
      <c r="B53" s="26" t="s">
        <v>26</v>
      </c>
      <c r="C53" s="27">
        <f t="shared" ca="1" si="14"/>
        <v>787663499.39969301</v>
      </c>
      <c r="D53" s="27">
        <v>51330740</v>
      </c>
      <c r="E53" s="27">
        <v>732224934.51000106</v>
      </c>
      <c r="F53" s="27">
        <v>518398287</v>
      </c>
      <c r="G53" s="27">
        <v>212004087</v>
      </c>
      <c r="H53" s="27">
        <v>1822587</v>
      </c>
      <c r="I53" s="27">
        <f t="shared" ref="I53:I64" ca="1" si="18">(C53-E53-D53)+IF(L95&lt;0,L95,0)+IF(L136&lt;0,L136,0)</f>
        <v>4107824.8896919489</v>
      </c>
      <c r="J53" s="27">
        <v>124909680.94000004</v>
      </c>
      <c r="K53" s="28">
        <v>393488606.06000024</v>
      </c>
      <c r="L53" s="28">
        <f t="shared" ca="1" si="15"/>
        <v>4107824.8896919489</v>
      </c>
      <c r="S53" s="26" t="s">
        <v>26</v>
      </c>
      <c r="T53" s="27">
        <f t="shared" ca="1" si="16"/>
        <v>0</v>
      </c>
      <c r="U53" s="27">
        <f t="shared" ca="1" si="16"/>
        <v>0</v>
      </c>
      <c r="V53" s="27">
        <f t="shared" ca="1" si="16"/>
        <v>0</v>
      </c>
      <c r="W53" s="27">
        <f t="shared" ca="1" si="16"/>
        <v>-5</v>
      </c>
      <c r="X53" s="27">
        <f t="shared" ca="1" si="16"/>
        <v>2</v>
      </c>
      <c r="Y53" s="27">
        <f t="shared" ca="1" si="16"/>
        <v>0</v>
      </c>
      <c r="Z53" s="27">
        <f t="shared" ca="1" si="16"/>
        <v>0</v>
      </c>
      <c r="AA53" s="27">
        <f t="shared" ca="1" si="16"/>
        <v>-1617.1300000101328</v>
      </c>
      <c r="AB53" s="28">
        <f t="shared" ca="1" si="16"/>
        <v>1612.1299999952316</v>
      </c>
      <c r="AC53" s="28">
        <f t="shared" ca="1" si="16"/>
        <v>0</v>
      </c>
      <c r="AE53" s="26" t="s">
        <v>26</v>
      </c>
      <c r="AF53" s="27">
        <v>787663499.39969301</v>
      </c>
      <c r="AG53" s="27">
        <v>51330740</v>
      </c>
      <c r="AH53" s="27">
        <v>732224934.51000106</v>
      </c>
      <c r="AI53" s="27">
        <v>518398292</v>
      </c>
      <c r="AJ53" s="27">
        <v>212004085</v>
      </c>
      <c r="AK53" s="27">
        <v>1822587</v>
      </c>
      <c r="AL53" s="27">
        <v>4107824.8896919489</v>
      </c>
      <c r="AM53" s="27">
        <v>124911298.07000005</v>
      </c>
      <c r="AN53" s="28">
        <v>393486993.93000025</v>
      </c>
      <c r="AO53" s="28">
        <v>4107824.8896919489</v>
      </c>
    </row>
    <row r="54" spans="1:41" x14ac:dyDescent="0.25">
      <c r="A54" s="3">
        <f ca="1">EOMONTH(A53+1,0)</f>
        <v>45351</v>
      </c>
      <c r="B54" s="30" t="s">
        <v>28</v>
      </c>
      <c r="C54" s="31">
        <f t="shared" ca="1" si="14"/>
        <v>842750909.42590988</v>
      </c>
      <c r="D54" s="31">
        <v>62367891</v>
      </c>
      <c r="E54" s="31">
        <v>774123023.0599997</v>
      </c>
      <c r="F54" s="31">
        <v>532780998</v>
      </c>
      <c r="G54" s="31">
        <v>238989502</v>
      </c>
      <c r="H54" s="31">
        <v>2352539</v>
      </c>
      <c r="I54" s="31">
        <f t="shared" ca="1" si="18"/>
        <v>6259995.3659101725</v>
      </c>
      <c r="J54" s="31">
        <v>110049258.10000004</v>
      </c>
      <c r="K54" s="32">
        <v>422731739.89999998</v>
      </c>
      <c r="L54" s="32">
        <f t="shared" ca="1" si="15"/>
        <v>6259995.3659101725</v>
      </c>
      <c r="N54" s="16"/>
      <c r="S54" s="33" t="s">
        <v>28</v>
      </c>
      <c r="T54" s="19">
        <f t="shared" ca="1" si="16"/>
        <v>0</v>
      </c>
      <c r="U54" s="19">
        <f t="shared" ca="1" si="16"/>
        <v>0</v>
      </c>
      <c r="V54" s="19">
        <f t="shared" ca="1" si="16"/>
        <v>0</v>
      </c>
      <c r="W54" s="19">
        <f t="shared" ca="1" si="16"/>
        <v>4</v>
      </c>
      <c r="X54" s="19">
        <f t="shared" ca="1" si="16"/>
        <v>0</v>
      </c>
      <c r="Y54" s="19">
        <f t="shared" ca="1" si="16"/>
        <v>0</v>
      </c>
      <c r="Z54" s="19">
        <f t="shared" ca="1" si="16"/>
        <v>0</v>
      </c>
      <c r="AA54" s="19">
        <f t="shared" ca="1" si="16"/>
        <v>-54997.289999991655</v>
      </c>
      <c r="AB54" s="20">
        <f t="shared" ca="1" si="16"/>
        <v>55001.290000081062</v>
      </c>
      <c r="AC54" s="20">
        <f t="shared" ca="1" si="16"/>
        <v>0</v>
      </c>
      <c r="AE54" s="30" t="s">
        <v>28</v>
      </c>
      <c r="AF54" s="31">
        <v>842750909.42590988</v>
      </c>
      <c r="AG54" s="31">
        <v>62367891</v>
      </c>
      <c r="AH54" s="31">
        <v>774123023.0599997</v>
      </c>
      <c r="AI54" s="31">
        <v>532780994</v>
      </c>
      <c r="AJ54" s="31">
        <v>238989502</v>
      </c>
      <c r="AK54" s="31">
        <v>2352539</v>
      </c>
      <c r="AL54" s="31">
        <v>6259995.3659101725</v>
      </c>
      <c r="AM54" s="31">
        <v>110104255.39000003</v>
      </c>
      <c r="AN54" s="32">
        <v>422676738.6099999</v>
      </c>
      <c r="AO54" s="32">
        <v>6259995.3659101725</v>
      </c>
    </row>
    <row r="55" spans="1:41" x14ac:dyDescent="0.25">
      <c r="A55" s="3">
        <f t="shared" ref="A55:A64" ca="1" si="19">EOMONTH(A54+1,0)</f>
        <v>45382</v>
      </c>
      <c r="B55" s="26" t="s">
        <v>29</v>
      </c>
      <c r="C55" s="27">
        <f t="shared" ca="1" si="14"/>
        <v>915678922.73391926</v>
      </c>
      <c r="D55" s="27">
        <v>63072708</v>
      </c>
      <c r="E55" s="27">
        <v>848027136.77999914</v>
      </c>
      <c r="F55" s="27">
        <v>520422396</v>
      </c>
      <c r="G55" s="27">
        <v>325419909</v>
      </c>
      <c r="H55" s="27">
        <v>2184784</v>
      </c>
      <c r="I55" s="27">
        <f t="shared" ca="1" si="18"/>
        <v>4491481.953920126</v>
      </c>
      <c r="J55" s="19">
        <v>120288787.40999994</v>
      </c>
      <c r="K55" s="20">
        <v>400133608.58999997</v>
      </c>
      <c r="L55" s="20">
        <f t="shared" ca="1" si="15"/>
        <v>4579077.953920126</v>
      </c>
      <c r="N55" s="16"/>
      <c r="S55" s="26" t="s">
        <v>29</v>
      </c>
      <c r="T55" s="27">
        <f t="shared" ca="1" si="16"/>
        <v>0</v>
      </c>
      <c r="U55" s="27">
        <f t="shared" ca="1" si="16"/>
        <v>0</v>
      </c>
      <c r="V55" s="27">
        <f t="shared" ca="1" si="16"/>
        <v>0</v>
      </c>
      <c r="W55" s="27">
        <f t="shared" ca="1" si="16"/>
        <v>-3</v>
      </c>
      <c r="X55" s="27">
        <f t="shared" ca="1" si="16"/>
        <v>1</v>
      </c>
      <c r="Y55" s="27">
        <f t="shared" ca="1" si="16"/>
        <v>0</v>
      </c>
      <c r="Z55" s="27">
        <f t="shared" ca="1" si="16"/>
        <v>0</v>
      </c>
      <c r="AA55" s="19">
        <f t="shared" ca="1" si="16"/>
        <v>-9821.8500000089407</v>
      </c>
      <c r="AB55" s="20">
        <f t="shared" ca="1" si="16"/>
        <v>9818.8499999642372</v>
      </c>
      <c r="AC55" s="20">
        <f t="shared" ca="1" si="16"/>
        <v>0</v>
      </c>
      <c r="AE55" s="26" t="s">
        <v>29</v>
      </c>
      <c r="AF55" s="27">
        <v>915678922.73391926</v>
      </c>
      <c r="AG55" s="27">
        <v>63072708</v>
      </c>
      <c r="AH55" s="27">
        <v>848027136.77999914</v>
      </c>
      <c r="AI55" s="27">
        <v>520422399</v>
      </c>
      <c r="AJ55" s="27">
        <v>325419908</v>
      </c>
      <c r="AK55" s="27">
        <v>2184784</v>
      </c>
      <c r="AL55" s="27">
        <v>4491481.953920126</v>
      </c>
      <c r="AM55" s="19">
        <v>120298609.25999995</v>
      </c>
      <c r="AN55" s="20">
        <v>400123789.74000001</v>
      </c>
      <c r="AO55" s="20">
        <v>4579077.953920126</v>
      </c>
    </row>
    <row r="56" spans="1:41" x14ac:dyDescent="0.25">
      <c r="A56" s="3">
        <f t="shared" ca="1" si="19"/>
        <v>45412</v>
      </c>
      <c r="B56" s="30" t="s">
        <v>30</v>
      </c>
      <c r="C56" s="31">
        <f t="shared" ca="1" si="14"/>
        <v>795900147.02475762</v>
      </c>
      <c r="D56" s="31">
        <v>55989228</v>
      </c>
      <c r="E56" s="31">
        <v>736259810.82000124</v>
      </c>
      <c r="F56" s="31">
        <v>487717181</v>
      </c>
      <c r="G56" s="31">
        <v>247240968</v>
      </c>
      <c r="H56" s="31">
        <v>1301619</v>
      </c>
      <c r="I56" s="31">
        <f t="shared" ca="1" si="18"/>
        <v>3651108.2047563791</v>
      </c>
      <c r="J56" s="31">
        <v>82130973.39000003</v>
      </c>
      <c r="K56" s="32">
        <v>405586207.61000055</v>
      </c>
      <c r="L56" s="32">
        <f t="shared" ca="1" si="15"/>
        <v>3651108.2047563791</v>
      </c>
      <c r="N56" s="16"/>
      <c r="S56" s="33" t="s">
        <v>30</v>
      </c>
      <c r="T56" s="19">
        <f t="shared" ca="1" si="16"/>
        <v>0</v>
      </c>
      <c r="U56" s="19">
        <f t="shared" ca="1" si="16"/>
        <v>0</v>
      </c>
      <c r="V56" s="19">
        <f t="shared" ca="1" si="16"/>
        <v>0</v>
      </c>
      <c r="W56" s="19">
        <f t="shared" ca="1" si="16"/>
        <v>420471</v>
      </c>
      <c r="X56" s="19">
        <f t="shared" ca="1" si="16"/>
        <v>-420468</v>
      </c>
      <c r="Y56" s="19">
        <f t="shared" ca="1" si="16"/>
        <v>0</v>
      </c>
      <c r="Z56" s="19">
        <f t="shared" ca="1" si="16"/>
        <v>0</v>
      </c>
      <c r="AA56" s="19">
        <f t="shared" ca="1" si="16"/>
        <v>419815.93000000715</v>
      </c>
      <c r="AB56" s="20">
        <f t="shared" ca="1" si="16"/>
        <v>655.07000005245209</v>
      </c>
      <c r="AC56" s="20">
        <f t="shared" ca="1" si="16"/>
        <v>0</v>
      </c>
      <c r="AE56" s="30" t="s">
        <v>30</v>
      </c>
      <c r="AF56" s="31">
        <v>795900147.02475762</v>
      </c>
      <c r="AG56" s="31">
        <v>55989228</v>
      </c>
      <c r="AH56" s="31">
        <v>736259810.82000124</v>
      </c>
      <c r="AI56" s="31">
        <v>487296710</v>
      </c>
      <c r="AJ56" s="31">
        <v>247661436</v>
      </c>
      <c r="AK56" s="31">
        <v>1301619</v>
      </c>
      <c r="AL56" s="31">
        <v>3651108.2047563791</v>
      </c>
      <c r="AM56" s="31">
        <v>81711157.460000023</v>
      </c>
      <c r="AN56" s="32">
        <v>405585552.5400005</v>
      </c>
      <c r="AO56" s="32">
        <v>3651108.2047563791</v>
      </c>
    </row>
    <row r="57" spans="1:41" x14ac:dyDescent="0.25">
      <c r="A57" s="3">
        <f t="shared" ca="1" si="19"/>
        <v>45443</v>
      </c>
      <c r="B57" s="26" t="s">
        <v>31</v>
      </c>
      <c r="C57" s="27">
        <f t="shared" ca="1" si="14"/>
        <v>894295198.64999998</v>
      </c>
      <c r="D57" s="27">
        <v>66293170</v>
      </c>
      <c r="E57" s="27">
        <v>826754833.97999966</v>
      </c>
      <c r="F57" s="27">
        <v>580599202</v>
      </c>
      <c r="G57" s="27">
        <v>243818421</v>
      </c>
      <c r="H57" s="27">
        <v>2337246</v>
      </c>
      <c r="I57" s="27">
        <f t="shared" ca="1" si="18"/>
        <v>1247194.6700003147</v>
      </c>
      <c r="J57" s="19">
        <v>120564647.27000007</v>
      </c>
      <c r="K57" s="20">
        <v>460034554.73000038</v>
      </c>
      <c r="L57" s="20">
        <f t="shared" ca="1" si="15"/>
        <v>1247194.6700003147</v>
      </c>
      <c r="N57" s="16"/>
      <c r="S57" s="26" t="s">
        <v>31</v>
      </c>
      <c r="T57" s="27">
        <f t="shared" ca="1" si="16"/>
        <v>0</v>
      </c>
      <c r="U57" s="27">
        <f t="shared" ca="1" si="16"/>
        <v>0</v>
      </c>
      <c r="V57" s="27">
        <f t="shared" ca="1" si="16"/>
        <v>0</v>
      </c>
      <c r="W57" s="27">
        <f t="shared" ca="1" si="16"/>
        <v>2</v>
      </c>
      <c r="X57" s="27">
        <f t="shared" ca="1" si="16"/>
        <v>0</v>
      </c>
      <c r="Y57" s="27">
        <f t="shared" ca="1" si="16"/>
        <v>0</v>
      </c>
      <c r="Z57" s="27">
        <f t="shared" ca="1" si="16"/>
        <v>0</v>
      </c>
      <c r="AA57" s="19">
        <f t="shared" ca="1" si="16"/>
        <v>12688.089999973774</v>
      </c>
      <c r="AB57" s="20">
        <f t="shared" ca="1" si="16"/>
        <v>-12686.089999973774</v>
      </c>
      <c r="AC57" s="20">
        <f t="shared" ca="1" si="16"/>
        <v>0</v>
      </c>
      <c r="AE57" s="26" t="s">
        <v>31</v>
      </c>
      <c r="AF57" s="27">
        <v>894295198.64999998</v>
      </c>
      <c r="AG57" s="27">
        <v>66293170</v>
      </c>
      <c r="AH57" s="27">
        <v>826754833.97999966</v>
      </c>
      <c r="AI57" s="27">
        <v>580599200</v>
      </c>
      <c r="AJ57" s="27">
        <v>243818421</v>
      </c>
      <c r="AK57" s="27">
        <v>2337246</v>
      </c>
      <c r="AL57" s="27">
        <v>1247194.6700003147</v>
      </c>
      <c r="AM57" s="19">
        <v>120551959.1800001</v>
      </c>
      <c r="AN57" s="20">
        <v>460047240.82000035</v>
      </c>
      <c r="AO57" s="20">
        <v>1247194.6700003147</v>
      </c>
    </row>
    <row r="58" spans="1:41" x14ac:dyDescent="0.25">
      <c r="A58" s="3">
        <f t="shared" ca="1" si="19"/>
        <v>45473</v>
      </c>
      <c r="B58" s="30" t="s">
        <v>33</v>
      </c>
      <c r="C58" s="31">
        <f t="shared" ca="1" si="14"/>
        <v>741292942.85000002</v>
      </c>
      <c r="D58" s="31">
        <v>43018017</v>
      </c>
      <c r="E58" s="31">
        <v>696360414.4300009</v>
      </c>
      <c r="F58" s="31">
        <v>502657372</v>
      </c>
      <c r="G58" s="31">
        <v>192285683</v>
      </c>
      <c r="H58" s="31">
        <v>1417459</v>
      </c>
      <c r="I58" s="31">
        <f t="shared" ca="1" si="18"/>
        <v>1914511.4199991226</v>
      </c>
      <c r="J58" s="31">
        <v>80140511.820000038</v>
      </c>
      <c r="K58" s="32">
        <v>422516860.17999989</v>
      </c>
      <c r="L58" s="32">
        <f t="shared" ca="1" si="15"/>
        <v>1914511.4199991226</v>
      </c>
      <c r="N58" s="16"/>
      <c r="S58" s="33" t="s">
        <v>33</v>
      </c>
      <c r="T58" s="19">
        <f t="shared" ca="1" si="16"/>
        <v>0</v>
      </c>
      <c r="U58" s="19">
        <f t="shared" ca="1" si="16"/>
        <v>0</v>
      </c>
      <c r="V58" s="19">
        <f t="shared" ca="1" si="16"/>
        <v>0</v>
      </c>
      <c r="W58" s="19">
        <f t="shared" ca="1" si="16"/>
        <v>-6</v>
      </c>
      <c r="X58" s="19">
        <f t="shared" ca="1" si="16"/>
        <v>2</v>
      </c>
      <c r="Y58" s="19">
        <f t="shared" ca="1" si="16"/>
        <v>0</v>
      </c>
      <c r="Z58" s="19">
        <f t="shared" ca="1" si="16"/>
        <v>0</v>
      </c>
      <c r="AA58" s="19">
        <f t="shared" ca="1" si="16"/>
        <v>-12002.210000008345</v>
      </c>
      <c r="AB58" s="20">
        <f t="shared" ca="1" si="16"/>
        <v>11996.209999918938</v>
      </c>
      <c r="AC58" s="20">
        <f t="shared" ca="1" si="16"/>
        <v>0</v>
      </c>
      <c r="AE58" s="30" t="s">
        <v>33</v>
      </c>
      <c r="AF58" s="31">
        <v>741292942.85000002</v>
      </c>
      <c r="AG58" s="31">
        <v>43018017</v>
      </c>
      <c r="AH58" s="31">
        <v>696360414.4300009</v>
      </c>
      <c r="AI58" s="31">
        <v>502657378</v>
      </c>
      <c r="AJ58" s="31">
        <v>192285681</v>
      </c>
      <c r="AK58" s="31">
        <v>1417459</v>
      </c>
      <c r="AL58" s="31">
        <v>1914511.4199991226</v>
      </c>
      <c r="AM58" s="31">
        <v>80152514.030000046</v>
      </c>
      <c r="AN58" s="32">
        <v>422504863.96999997</v>
      </c>
      <c r="AO58" s="32">
        <v>1914511.4199991226</v>
      </c>
    </row>
    <row r="59" spans="1:41" x14ac:dyDescent="0.25">
      <c r="A59" s="3">
        <f t="shared" ca="1" si="19"/>
        <v>45504</v>
      </c>
      <c r="B59" s="26" t="s">
        <v>34</v>
      </c>
      <c r="C59" s="27">
        <f t="shared" ca="1" si="14"/>
        <v>789039321.1596725</v>
      </c>
      <c r="D59" s="27">
        <v>48059793</v>
      </c>
      <c r="E59" s="27">
        <v>739447600.82000017</v>
      </c>
      <c r="F59" s="27">
        <v>569837728</v>
      </c>
      <c r="G59" s="27">
        <v>168440121</v>
      </c>
      <c r="H59" s="27">
        <v>1169899</v>
      </c>
      <c r="I59" s="27">
        <f t="shared" ca="1" si="18"/>
        <v>1531927.339672327</v>
      </c>
      <c r="J59" s="19">
        <v>104977267.05000001</v>
      </c>
      <c r="K59" s="20">
        <v>464860460.95000035</v>
      </c>
      <c r="L59" s="20">
        <f t="shared" ca="1" si="15"/>
        <v>1531927.339672327</v>
      </c>
      <c r="N59" s="16"/>
      <c r="S59" s="26" t="s">
        <v>34</v>
      </c>
      <c r="T59" s="27">
        <f t="shared" ca="1" si="16"/>
        <v>0</v>
      </c>
      <c r="U59" s="27">
        <f t="shared" ca="1" si="16"/>
        <v>0</v>
      </c>
      <c r="V59" s="27">
        <f t="shared" ca="1" si="16"/>
        <v>0</v>
      </c>
      <c r="W59" s="27">
        <f t="shared" ca="1" si="16"/>
        <v>7</v>
      </c>
      <c r="X59" s="27">
        <f t="shared" ca="1" si="16"/>
        <v>-3</v>
      </c>
      <c r="Y59" s="27">
        <f t="shared" ca="1" si="16"/>
        <v>0</v>
      </c>
      <c r="Z59" s="27">
        <f t="shared" ca="1" si="16"/>
        <v>0</v>
      </c>
      <c r="AA59" s="19">
        <f t="shared" ca="1" si="16"/>
        <v>6.0700000375509262</v>
      </c>
      <c r="AB59" s="20">
        <f t="shared" ca="1" si="16"/>
        <v>0.93000006675720215</v>
      </c>
      <c r="AC59" s="20">
        <f t="shared" ca="1" si="16"/>
        <v>0</v>
      </c>
      <c r="AE59" s="26" t="s">
        <v>34</v>
      </c>
      <c r="AF59" s="27">
        <v>789039321.1596725</v>
      </c>
      <c r="AG59" s="27">
        <v>48059793</v>
      </c>
      <c r="AH59" s="27">
        <v>739447600.82000017</v>
      </c>
      <c r="AI59" s="27">
        <v>569837721</v>
      </c>
      <c r="AJ59" s="27">
        <v>168440124</v>
      </c>
      <c r="AK59" s="27">
        <v>1169899</v>
      </c>
      <c r="AL59" s="27">
        <v>1531927.339672327</v>
      </c>
      <c r="AM59" s="19">
        <v>104977260.97999997</v>
      </c>
      <c r="AN59" s="20">
        <v>464860460.02000028</v>
      </c>
      <c r="AO59" s="20">
        <v>1531927.339672327</v>
      </c>
    </row>
    <row r="60" spans="1:41" x14ac:dyDescent="0.25">
      <c r="A60" s="3">
        <f t="shared" ca="1" si="19"/>
        <v>45535</v>
      </c>
      <c r="B60" s="30" t="s">
        <v>35</v>
      </c>
      <c r="C60" s="31">
        <f t="shared" ca="1" si="14"/>
        <v>787419415.61263299</v>
      </c>
      <c r="D60" s="31">
        <v>45030725</v>
      </c>
      <c r="E60" s="31">
        <v>732673644.32000017</v>
      </c>
      <c r="F60" s="31">
        <v>568239955</v>
      </c>
      <c r="G60" s="31">
        <v>163049430</v>
      </c>
      <c r="H60" s="31">
        <v>1384453</v>
      </c>
      <c r="I60" s="31">
        <f t="shared" ca="1" si="18"/>
        <v>4878399.5826328397</v>
      </c>
      <c r="J60" s="31">
        <v>128765071.60999994</v>
      </c>
      <c r="K60" s="32">
        <v>439474883.38999945</v>
      </c>
      <c r="L60" s="32">
        <f t="shared" ca="1" si="15"/>
        <v>9715046.2926328182</v>
      </c>
      <c r="N60" s="16"/>
      <c r="S60" s="33" t="s">
        <v>35</v>
      </c>
      <c r="T60" s="19">
        <f t="shared" ca="1" si="16"/>
        <v>0</v>
      </c>
      <c r="U60" s="19">
        <f t="shared" ca="1" si="16"/>
        <v>0</v>
      </c>
      <c r="V60" s="19">
        <f t="shared" ca="1" si="16"/>
        <v>0</v>
      </c>
      <c r="W60" s="19">
        <f t="shared" ca="1" si="16"/>
        <v>2</v>
      </c>
      <c r="X60" s="19">
        <f t="shared" ca="1" si="16"/>
        <v>0</v>
      </c>
      <c r="Y60" s="19">
        <f t="shared" ca="1" si="16"/>
        <v>0</v>
      </c>
      <c r="Z60" s="19">
        <f t="shared" ca="1" si="16"/>
        <v>4.0000006556510925E-2</v>
      </c>
      <c r="AA60" s="19">
        <f t="shared" ca="1" si="16"/>
        <v>-14598.500000029802</v>
      </c>
      <c r="AB60" s="20">
        <f t="shared" ca="1" si="16"/>
        <v>14600.499999940395</v>
      </c>
      <c r="AC60" s="20">
        <f t="shared" ca="1" si="16"/>
        <v>0</v>
      </c>
      <c r="AE60" s="30" t="s">
        <v>35</v>
      </c>
      <c r="AF60" s="31">
        <v>787419415.61263299</v>
      </c>
      <c r="AG60" s="31">
        <v>45030725</v>
      </c>
      <c r="AH60" s="31">
        <v>732673644.32000017</v>
      </c>
      <c r="AI60" s="31">
        <v>568239953</v>
      </c>
      <c r="AJ60" s="31">
        <v>163049430</v>
      </c>
      <c r="AK60" s="31">
        <v>1384453</v>
      </c>
      <c r="AL60" s="31">
        <v>4878399.5426328331</v>
      </c>
      <c r="AM60" s="31">
        <v>128779670.10999997</v>
      </c>
      <c r="AN60" s="32">
        <v>439460282.88999951</v>
      </c>
      <c r="AO60" s="32">
        <v>9715046.2926328182</v>
      </c>
    </row>
    <row r="61" spans="1:41" x14ac:dyDescent="0.25">
      <c r="A61" s="3">
        <f t="shared" ca="1" si="19"/>
        <v>45565</v>
      </c>
      <c r="B61" s="26" t="s">
        <v>36</v>
      </c>
      <c r="C61" s="27">
        <f t="shared" ca="1" si="14"/>
        <v>804404188.22654164</v>
      </c>
      <c r="D61" s="27">
        <v>45977307</v>
      </c>
      <c r="E61" s="27">
        <v>755920771.3799994</v>
      </c>
      <c r="F61" s="27">
        <v>575944308</v>
      </c>
      <c r="G61" s="27">
        <v>178988391</v>
      </c>
      <c r="H61" s="27">
        <v>988285</v>
      </c>
      <c r="I61" s="27">
        <f t="shared" ca="1" si="18"/>
        <v>1182838.7965421826</v>
      </c>
      <c r="J61" s="19">
        <v>111038071.31999993</v>
      </c>
      <c r="K61" s="20">
        <v>464906236.68000031</v>
      </c>
      <c r="L61" s="20">
        <f t="shared" ca="1" si="15"/>
        <v>2506109.8465422392</v>
      </c>
      <c r="N61" s="16"/>
      <c r="S61" s="26" t="s">
        <v>36</v>
      </c>
      <c r="T61" s="27">
        <f t="shared" ca="1" si="16"/>
        <v>0</v>
      </c>
      <c r="U61" s="27">
        <f t="shared" ca="1" si="16"/>
        <v>0</v>
      </c>
      <c r="V61" s="27">
        <f t="shared" ca="1" si="16"/>
        <v>0</v>
      </c>
      <c r="W61" s="27">
        <f t="shared" ca="1" si="16"/>
        <v>400</v>
      </c>
      <c r="X61" s="27">
        <f t="shared" ca="1" si="16"/>
        <v>-400</v>
      </c>
      <c r="Y61" s="27">
        <f t="shared" ca="1" si="16"/>
        <v>0</v>
      </c>
      <c r="Z61" s="27">
        <f t="shared" ca="1" si="16"/>
        <v>-0.92000003159046173</v>
      </c>
      <c r="AA61" s="19">
        <f t="shared" ca="1" si="16"/>
        <v>-4600.4199999719858</v>
      </c>
      <c r="AB61" s="20">
        <f t="shared" ca="1" si="16"/>
        <v>5000.4200000762939</v>
      </c>
      <c r="AC61" s="20">
        <f t="shared" ca="1" si="16"/>
        <v>0</v>
      </c>
      <c r="AE61" s="26" t="s">
        <v>36</v>
      </c>
      <c r="AF61" s="27">
        <v>804404188.22654164</v>
      </c>
      <c r="AG61" s="27">
        <v>45977307</v>
      </c>
      <c r="AH61" s="27">
        <v>755920771.3799994</v>
      </c>
      <c r="AI61" s="27">
        <v>575943908</v>
      </c>
      <c r="AJ61" s="27">
        <v>178988791</v>
      </c>
      <c r="AK61" s="27">
        <v>988285</v>
      </c>
      <c r="AL61" s="27">
        <v>1182839.7165422142</v>
      </c>
      <c r="AM61" s="19">
        <v>111042671.73999991</v>
      </c>
      <c r="AN61" s="20">
        <v>464901236.26000023</v>
      </c>
      <c r="AO61" s="20">
        <v>2506109.8465422392</v>
      </c>
    </row>
    <row r="62" spans="1:41" x14ac:dyDescent="0.25">
      <c r="A62" s="3">
        <f t="shared" ca="1" si="19"/>
        <v>45596</v>
      </c>
      <c r="B62" s="30" t="s">
        <v>37</v>
      </c>
      <c r="C62" s="31">
        <f t="shared" ca="1" si="14"/>
        <v>950807663.67699683</v>
      </c>
      <c r="D62" s="31">
        <v>43325977</v>
      </c>
      <c r="E62" s="31">
        <v>900857014.04000044</v>
      </c>
      <c r="F62" s="31">
        <v>699539368</v>
      </c>
      <c r="G62" s="31">
        <v>200269928</v>
      </c>
      <c r="H62" s="31">
        <v>1047902</v>
      </c>
      <c r="I62" s="31">
        <f t="shared" ca="1" si="18"/>
        <v>6624672.6369963884</v>
      </c>
      <c r="J62" s="31">
        <v>156724521.00000003</v>
      </c>
      <c r="K62" s="32">
        <v>542814847.00000036</v>
      </c>
      <c r="L62" s="32">
        <f t="shared" ca="1" si="15"/>
        <v>6624672.6369963884</v>
      </c>
      <c r="N62" s="16"/>
      <c r="S62" s="33" t="s">
        <v>37</v>
      </c>
      <c r="T62" s="19">
        <f t="shared" ca="1" si="16"/>
        <v>0</v>
      </c>
      <c r="U62" s="19">
        <f t="shared" ca="1" si="16"/>
        <v>0</v>
      </c>
      <c r="V62" s="19">
        <f t="shared" ca="1" si="16"/>
        <v>1452</v>
      </c>
      <c r="W62" s="19">
        <f t="shared" ca="1" si="16"/>
        <v>1451</v>
      </c>
      <c r="X62" s="19">
        <f t="shared" ca="1" si="16"/>
        <v>1</v>
      </c>
      <c r="Y62" s="19">
        <f t="shared" ca="1" si="16"/>
        <v>0</v>
      </c>
      <c r="Z62" s="19">
        <f t="shared" ca="1" si="16"/>
        <v>-1452</v>
      </c>
      <c r="AA62" s="19">
        <f t="shared" ca="1" si="16"/>
        <v>-2736.0199999809265</v>
      </c>
      <c r="AB62" s="20">
        <f t="shared" ca="1" si="16"/>
        <v>4187.0200001001358</v>
      </c>
      <c r="AC62" s="20">
        <f t="shared" ca="1" si="16"/>
        <v>-1452</v>
      </c>
      <c r="AE62" s="30" t="s">
        <v>37</v>
      </c>
      <c r="AF62" s="31">
        <v>950807663.67699683</v>
      </c>
      <c r="AG62" s="31">
        <v>43325977</v>
      </c>
      <c r="AH62" s="31">
        <v>900855562.04000044</v>
      </c>
      <c r="AI62" s="31">
        <v>699537917</v>
      </c>
      <c r="AJ62" s="31">
        <v>200269927</v>
      </c>
      <c r="AK62" s="31">
        <v>1047902</v>
      </c>
      <c r="AL62" s="31">
        <v>6626124.6369963884</v>
      </c>
      <c r="AM62" s="31">
        <v>156727257.02000001</v>
      </c>
      <c r="AN62" s="32">
        <v>542810659.98000026</v>
      </c>
      <c r="AO62" s="32">
        <v>6626124.6369963884</v>
      </c>
    </row>
    <row r="63" spans="1:41" x14ac:dyDescent="0.25">
      <c r="A63" s="3">
        <f t="shared" ca="1" si="19"/>
        <v>45626</v>
      </c>
      <c r="B63" s="26" t="s">
        <v>38</v>
      </c>
      <c r="C63" s="27">
        <f t="shared" ca="1" si="14"/>
        <v>969107183.11684847</v>
      </c>
      <c r="D63" s="27">
        <v>56642195</v>
      </c>
      <c r="E63" s="27">
        <v>909311717.6099999</v>
      </c>
      <c r="F63" s="27">
        <v>661044553</v>
      </c>
      <c r="G63" s="27">
        <v>246929839</v>
      </c>
      <c r="H63" s="27">
        <v>1337503</v>
      </c>
      <c r="I63" s="27">
        <f t="shared" ca="1" si="18"/>
        <v>3153270.5068485737</v>
      </c>
      <c r="J63" s="19">
        <v>140742007.98999998</v>
      </c>
      <c r="K63" s="20">
        <v>520302545.01000023</v>
      </c>
      <c r="L63" s="20">
        <f t="shared" ca="1" si="15"/>
        <v>3153270.5068485737</v>
      </c>
      <c r="N63" s="16"/>
      <c r="S63" s="26" t="s">
        <v>38</v>
      </c>
      <c r="T63" s="27">
        <f t="shared" ca="1" si="16"/>
        <v>0</v>
      </c>
      <c r="U63" s="27">
        <f t="shared" ca="1" si="16"/>
        <v>0</v>
      </c>
      <c r="V63" s="27">
        <f t="shared" ca="1" si="16"/>
        <v>47251.980000019073</v>
      </c>
      <c r="W63" s="27">
        <f t="shared" ca="1" si="16"/>
        <v>20628</v>
      </c>
      <c r="X63" s="27">
        <f t="shared" ca="1" si="16"/>
        <v>26625</v>
      </c>
      <c r="Y63" s="27">
        <f t="shared" ca="1" si="16"/>
        <v>0</v>
      </c>
      <c r="Z63" s="27">
        <f t="shared" ca="1" si="16"/>
        <v>-47251.980000019073</v>
      </c>
      <c r="AA63" s="19">
        <f t="shared" ca="1" si="16"/>
        <v>-3754.8999999761581</v>
      </c>
      <c r="AB63" s="20">
        <f t="shared" ca="1" si="16"/>
        <v>24382.900000035763</v>
      </c>
      <c r="AC63" s="20">
        <f t="shared" ca="1" si="16"/>
        <v>-47251.980000019073</v>
      </c>
      <c r="AE63" s="26" t="s">
        <v>38</v>
      </c>
      <c r="AF63" s="27">
        <v>969107183.11684847</v>
      </c>
      <c r="AG63" s="27">
        <v>56642195</v>
      </c>
      <c r="AH63" s="27">
        <v>909264465.62999988</v>
      </c>
      <c r="AI63" s="27">
        <v>661023925</v>
      </c>
      <c r="AJ63" s="27">
        <v>246903214</v>
      </c>
      <c r="AK63" s="27">
        <v>1337503</v>
      </c>
      <c r="AL63" s="27">
        <v>3200522.4868485928</v>
      </c>
      <c r="AM63" s="19">
        <v>140745762.88999996</v>
      </c>
      <c r="AN63" s="20">
        <v>520278162.11000019</v>
      </c>
      <c r="AO63" s="20">
        <v>3200522.4868485928</v>
      </c>
    </row>
    <row r="64" spans="1:41" x14ac:dyDescent="0.25">
      <c r="A64" s="3">
        <f t="shared" ca="1" si="19"/>
        <v>45657</v>
      </c>
      <c r="B64" s="30" t="s">
        <v>39</v>
      </c>
      <c r="C64" s="31">
        <f t="shared" ca="1" si="14"/>
        <v>932862430.28373444</v>
      </c>
      <c r="D64" s="31">
        <v>56861260</v>
      </c>
      <c r="E64" s="31">
        <v>870000128.55000019</v>
      </c>
      <c r="F64" s="31">
        <v>636872020</v>
      </c>
      <c r="G64" s="31">
        <v>231778285</v>
      </c>
      <c r="H64" s="31">
        <v>1350035</v>
      </c>
      <c r="I64" s="31">
        <f t="shared" ca="1" si="18"/>
        <v>4288268.5037341416</v>
      </c>
      <c r="J64" s="19">
        <v>137370750.22999993</v>
      </c>
      <c r="K64" s="32">
        <v>499501269.77000016</v>
      </c>
      <c r="L64" s="32">
        <f t="shared" ca="1" si="15"/>
        <v>6001041.7337342501</v>
      </c>
      <c r="N64" s="16"/>
      <c r="S64" s="33" t="s">
        <v>39</v>
      </c>
      <c r="T64" s="19">
        <f t="shared" ca="1" si="16"/>
        <v>0</v>
      </c>
      <c r="U64" s="19">
        <f t="shared" ca="1" si="16"/>
        <v>0</v>
      </c>
      <c r="V64" s="19">
        <f t="shared" ca="1" si="16"/>
        <v>6973.3900001049042</v>
      </c>
      <c r="W64" s="19">
        <f t="shared" ca="1" si="16"/>
        <v>6983</v>
      </c>
      <c r="X64" s="19">
        <f t="shared" ca="1" si="16"/>
        <v>-4</v>
      </c>
      <c r="Y64" s="19">
        <f t="shared" ca="1" si="16"/>
        <v>0</v>
      </c>
      <c r="Z64" s="19">
        <f t="shared" ca="1" si="16"/>
        <v>-6974.5800001621246</v>
      </c>
      <c r="AA64" s="19">
        <f t="shared" ca="1" si="16"/>
        <v>28788.420000016689</v>
      </c>
      <c r="AB64" s="20">
        <f t="shared" ca="1" si="16"/>
        <v>-21805.41999989748</v>
      </c>
      <c r="AC64" s="20">
        <f t="shared" ca="1" si="16"/>
        <v>-6973.3900001049042</v>
      </c>
      <c r="AE64" s="30" t="s">
        <v>39</v>
      </c>
      <c r="AF64" s="31">
        <v>932862430.28373444</v>
      </c>
      <c r="AG64" s="31">
        <v>56861260</v>
      </c>
      <c r="AH64" s="31">
        <v>869993155.16000009</v>
      </c>
      <c r="AI64" s="31">
        <v>636865037</v>
      </c>
      <c r="AJ64" s="31">
        <v>231778289</v>
      </c>
      <c r="AK64" s="31">
        <v>1350035</v>
      </c>
      <c r="AL64" s="31">
        <v>4295243.0837343037</v>
      </c>
      <c r="AM64" s="19">
        <v>137341961.80999991</v>
      </c>
      <c r="AN64" s="32">
        <v>499523075.19000006</v>
      </c>
      <c r="AO64" s="32">
        <v>6008015.123734355</v>
      </c>
    </row>
    <row r="65" spans="1:41" x14ac:dyDescent="0.25">
      <c r="A65" s="3">
        <f ca="1">A64</f>
        <v>45657</v>
      </c>
      <c r="B65" s="13" t="s">
        <v>40</v>
      </c>
      <c r="C65" s="14">
        <f ca="1">SUM(C66:C77)</f>
        <v>15000240290.006403</v>
      </c>
      <c r="D65" s="14">
        <f t="shared" ref="D65:K65" ca="1" si="20">SUM(D66:D77)</f>
        <v>813181258</v>
      </c>
      <c r="E65" s="14">
        <f t="shared" ca="1" si="20"/>
        <v>13992818717.120007</v>
      </c>
      <c r="F65" s="14">
        <f t="shared" ca="1" si="20"/>
        <v>11203404273</v>
      </c>
      <c r="G65" s="14">
        <f t="shared" ca="1" si="20"/>
        <v>2744869003</v>
      </c>
      <c r="H65" s="14">
        <f t="shared" ca="1" si="20"/>
        <v>44548872</v>
      </c>
      <c r="I65" s="14">
        <f t="shared" ca="1" si="20"/>
        <v>118941365.33660281</v>
      </c>
      <c r="J65" s="14">
        <f t="shared" ca="1" si="20"/>
        <v>2870314191.4500008</v>
      </c>
      <c r="K65" s="15">
        <f t="shared" ca="1" si="20"/>
        <v>8333090081.5499954</v>
      </c>
      <c r="L65" s="15">
        <f t="shared" ca="1" si="15"/>
        <v>194240314.88639641</v>
      </c>
      <c r="N65" s="16"/>
      <c r="S65" s="18" t="s">
        <v>40</v>
      </c>
      <c r="T65" s="19">
        <f t="shared" ca="1" si="16"/>
        <v>0</v>
      </c>
      <c r="U65" s="19">
        <f t="shared" ca="1" si="16"/>
        <v>-1000775</v>
      </c>
      <c r="V65" s="19">
        <f t="shared" ca="1" si="16"/>
        <v>1209815.8800010681</v>
      </c>
      <c r="W65" s="19">
        <f t="shared" ca="1" si="16"/>
        <v>1323041</v>
      </c>
      <c r="X65" s="19">
        <f t="shared" ca="1" si="16"/>
        <v>-126025</v>
      </c>
      <c r="Y65" s="19">
        <f t="shared" ca="1" si="16"/>
        <v>12799</v>
      </c>
      <c r="Z65" s="19">
        <f t="shared" ca="1" si="16"/>
        <v>-581324.6099998951</v>
      </c>
      <c r="AA65" s="19">
        <f t="shared" ca="1" si="16"/>
        <v>1180741.680000782</v>
      </c>
      <c r="AB65" s="20">
        <f t="shared" ca="1" si="16"/>
        <v>142299.31999969482</v>
      </c>
      <c r="AC65" s="20">
        <f t="shared" ca="1" si="16"/>
        <v>-209040.88000106812</v>
      </c>
      <c r="AE65" s="13" t="s">
        <v>40</v>
      </c>
      <c r="AF65" s="14">
        <v>15000240290.006403</v>
      </c>
      <c r="AG65" s="14">
        <v>814182033</v>
      </c>
      <c r="AH65" s="14">
        <v>13991608901.240005</v>
      </c>
      <c r="AI65" s="14">
        <v>11202081232</v>
      </c>
      <c r="AJ65" s="14">
        <v>2744995028</v>
      </c>
      <c r="AK65" s="14">
        <v>44536073</v>
      </c>
      <c r="AL65" s="14">
        <v>119522689.9466027</v>
      </c>
      <c r="AM65" s="14">
        <v>2869133449.77</v>
      </c>
      <c r="AN65" s="15">
        <v>8332947782.2299957</v>
      </c>
      <c r="AO65" s="15">
        <v>194449355.76639748</v>
      </c>
    </row>
    <row r="66" spans="1:41" x14ac:dyDescent="0.25">
      <c r="A66" s="3">
        <f ca="1">EOMONTH(A64+1,0)</f>
        <v>45688</v>
      </c>
      <c r="B66" s="26" t="s">
        <v>41</v>
      </c>
      <c r="C66" s="27">
        <v>992975393.70000005</v>
      </c>
      <c r="D66" s="27">
        <v>65693004</v>
      </c>
      <c r="E66" s="27">
        <v>920290380.86000025</v>
      </c>
      <c r="F66" s="27">
        <v>694381800</v>
      </c>
      <c r="G66" s="27">
        <v>222701983</v>
      </c>
      <c r="H66" s="27">
        <v>3206774</v>
      </c>
      <c r="I66" s="27">
        <f t="shared" ref="I66:I77" ca="1" si="21">(C66-E66-D66)+IF(L108&lt;0,L108,0)+IF(L149&lt;0,L149,0)</f>
        <v>5371812.0399996936</v>
      </c>
      <c r="J66" s="19">
        <v>154290525.73999989</v>
      </c>
      <c r="K66" s="20">
        <v>540091274.25999975</v>
      </c>
      <c r="L66" s="20">
        <f t="shared" ca="1" si="15"/>
        <v>6992008.839999795</v>
      </c>
      <c r="M66" s="16"/>
      <c r="N66" s="16"/>
      <c r="S66" s="26" t="s">
        <v>41</v>
      </c>
      <c r="T66" s="27">
        <f t="shared" ca="1" si="16"/>
        <v>0</v>
      </c>
      <c r="U66" s="27">
        <f t="shared" ca="1" si="16"/>
        <v>0</v>
      </c>
      <c r="V66" s="27">
        <f t="shared" ca="1" si="16"/>
        <v>0</v>
      </c>
      <c r="W66" s="27">
        <f t="shared" ca="1" si="16"/>
        <v>-996</v>
      </c>
      <c r="X66" s="27">
        <f t="shared" ca="1" si="16"/>
        <v>996</v>
      </c>
      <c r="Y66" s="27">
        <f t="shared" ca="1" si="16"/>
        <v>0</v>
      </c>
      <c r="Z66" s="27">
        <f t="shared" ca="1" si="16"/>
        <v>-1.4699999392032623</v>
      </c>
      <c r="AA66" s="19">
        <f t="shared" ca="1" si="16"/>
        <v>29436.630000025034</v>
      </c>
      <c r="AB66" s="20">
        <f t="shared" ca="1" si="16"/>
        <v>-30432.629999995232</v>
      </c>
      <c r="AC66" s="20">
        <f t="shared" ca="1" si="16"/>
        <v>0</v>
      </c>
      <c r="AD66" s="16"/>
      <c r="AE66" s="26" t="s">
        <v>41</v>
      </c>
      <c r="AF66" s="27">
        <v>992975393.70000005</v>
      </c>
      <c r="AG66" s="27">
        <v>65693004</v>
      </c>
      <c r="AH66" s="27">
        <v>920290380.86000025</v>
      </c>
      <c r="AI66" s="27">
        <v>694382796</v>
      </c>
      <c r="AJ66" s="27">
        <v>222700987</v>
      </c>
      <c r="AK66" s="27">
        <v>3206774</v>
      </c>
      <c r="AL66" s="27">
        <v>5371813.5099996328</v>
      </c>
      <c r="AM66" s="19">
        <v>154261089.10999987</v>
      </c>
      <c r="AN66" s="20">
        <v>540121706.88999975</v>
      </c>
      <c r="AO66" s="20">
        <v>6992008.839999795</v>
      </c>
    </row>
    <row r="67" spans="1:41" x14ac:dyDescent="0.25">
      <c r="A67" s="3">
        <f t="shared" ref="A67:A75" ca="1" si="22">EOMONTH(A66+1,0)</f>
        <v>45716</v>
      </c>
      <c r="B67" s="30" t="s">
        <v>42</v>
      </c>
      <c r="C67" s="31">
        <v>1043918861.2720916</v>
      </c>
      <c r="D67" s="31">
        <v>64905273</v>
      </c>
      <c r="E67" s="31">
        <v>974502289.77000105</v>
      </c>
      <c r="F67" s="31">
        <v>725560453</v>
      </c>
      <c r="G67" s="31">
        <v>246106484</v>
      </c>
      <c r="H67" s="31">
        <v>2835539</v>
      </c>
      <c r="I67" s="31">
        <f t="shared" ca="1" si="21"/>
        <v>4291001.30229038</v>
      </c>
      <c r="J67" s="31">
        <v>146285517.98999998</v>
      </c>
      <c r="K67" s="32">
        <v>579274935.01000023</v>
      </c>
      <c r="L67" s="32">
        <f t="shared" ca="1" si="15"/>
        <v>4511298.5020905733</v>
      </c>
      <c r="M67" s="16"/>
      <c r="N67" s="16"/>
      <c r="S67" s="33" t="s">
        <v>42</v>
      </c>
      <c r="T67" s="19">
        <f t="shared" ca="1" si="16"/>
        <v>0</v>
      </c>
      <c r="U67" s="19">
        <f t="shared" ca="1" si="16"/>
        <v>0</v>
      </c>
      <c r="V67" s="19">
        <f t="shared" ca="1" si="16"/>
        <v>0</v>
      </c>
      <c r="W67" s="19">
        <f t="shared" ca="1" si="16"/>
        <v>1</v>
      </c>
      <c r="X67" s="19">
        <f t="shared" ca="1" si="16"/>
        <v>-1</v>
      </c>
      <c r="Y67" s="19">
        <f t="shared" ca="1" si="16"/>
        <v>0</v>
      </c>
      <c r="Z67" s="19">
        <f t="shared" ca="1" si="16"/>
        <v>-2.0900002121925354</v>
      </c>
      <c r="AA67" s="19">
        <f t="shared" ca="1" si="16"/>
        <v>-39755.409999966621</v>
      </c>
      <c r="AB67" s="20">
        <f t="shared" ca="1" si="16"/>
        <v>39756.410000085831</v>
      </c>
      <c r="AC67" s="20">
        <f t="shared" ca="1" si="16"/>
        <v>0</v>
      </c>
      <c r="AD67" s="16"/>
      <c r="AE67" s="30" t="s">
        <v>42</v>
      </c>
      <c r="AF67" s="31">
        <v>1043918861.2720916</v>
      </c>
      <c r="AG67" s="31">
        <v>64905273</v>
      </c>
      <c r="AH67" s="31">
        <v>974502289.77000105</v>
      </c>
      <c r="AI67" s="31">
        <v>725560452</v>
      </c>
      <c r="AJ67" s="31">
        <v>246106485</v>
      </c>
      <c r="AK67" s="31">
        <v>2835539</v>
      </c>
      <c r="AL67" s="31">
        <v>4291003.3922905922</v>
      </c>
      <c r="AM67" s="31">
        <v>146325273.39999995</v>
      </c>
      <c r="AN67" s="32">
        <v>579235178.60000014</v>
      </c>
      <c r="AO67" s="32">
        <v>4511298.5020905733</v>
      </c>
    </row>
    <row r="68" spans="1:41" x14ac:dyDescent="0.25">
      <c r="A68" s="3">
        <f t="shared" ca="1" si="22"/>
        <v>45747</v>
      </c>
      <c r="B68" s="26" t="s">
        <v>43</v>
      </c>
      <c r="C68" s="27">
        <v>1122285352.2361078</v>
      </c>
      <c r="D68" s="27">
        <v>69441599</v>
      </c>
      <c r="E68" s="27">
        <v>1042447898.4900005</v>
      </c>
      <c r="F68" s="27">
        <v>766645715</v>
      </c>
      <c r="G68" s="27">
        <v>273396314</v>
      </c>
      <c r="H68" s="27">
        <v>2406057</v>
      </c>
      <c r="I68" s="27">
        <f t="shared" ca="1" si="21"/>
        <v>10395854.74610734</v>
      </c>
      <c r="J68" s="19">
        <v>164323397.44999993</v>
      </c>
      <c r="K68" s="20">
        <v>602322317.54999995</v>
      </c>
      <c r="L68" s="20">
        <f t="shared" ca="1" si="15"/>
        <v>10395854.74610734</v>
      </c>
      <c r="M68" s="16"/>
      <c r="N68" s="16"/>
      <c r="S68" s="26" t="s">
        <v>43</v>
      </c>
      <c r="T68" s="27">
        <f t="shared" ca="1" si="16"/>
        <v>0</v>
      </c>
      <c r="U68" s="27">
        <f t="shared" ca="1" si="16"/>
        <v>0</v>
      </c>
      <c r="V68" s="27">
        <f t="shared" ca="1" si="16"/>
        <v>0</v>
      </c>
      <c r="W68" s="27">
        <f t="shared" ca="1" si="16"/>
        <v>-9791</v>
      </c>
      <c r="X68" s="27">
        <f t="shared" ca="1" si="16"/>
        <v>-4</v>
      </c>
      <c r="Y68" s="27">
        <f t="shared" ca="1" si="16"/>
        <v>9799</v>
      </c>
      <c r="Z68" s="27">
        <f t="shared" ca="1" si="16"/>
        <v>0</v>
      </c>
      <c r="AA68" s="19">
        <f t="shared" ca="1" si="16"/>
        <v>-10805.719999998808</v>
      </c>
      <c r="AB68" s="20">
        <f t="shared" ca="1" si="16"/>
        <v>1014.7199999094009</v>
      </c>
      <c r="AC68" s="20">
        <f t="shared" ca="1" si="16"/>
        <v>0</v>
      </c>
      <c r="AD68" s="16"/>
      <c r="AE68" s="26" t="s">
        <v>43</v>
      </c>
      <c r="AF68" s="27">
        <v>1122285352.2361078</v>
      </c>
      <c r="AG68" s="27">
        <v>69441599</v>
      </c>
      <c r="AH68" s="27">
        <v>1042447898.4900005</v>
      </c>
      <c r="AI68" s="27">
        <v>766655506</v>
      </c>
      <c r="AJ68" s="27">
        <v>273396318</v>
      </c>
      <c r="AK68" s="27">
        <v>2396258</v>
      </c>
      <c r="AL68" s="27">
        <v>10395854.74610734</v>
      </c>
      <c r="AM68" s="19">
        <v>164334203.16999993</v>
      </c>
      <c r="AN68" s="20">
        <v>602321302.83000004</v>
      </c>
      <c r="AO68" s="20">
        <v>10395854.74610734</v>
      </c>
    </row>
    <row r="69" spans="1:41" x14ac:dyDescent="0.25">
      <c r="A69" s="3">
        <f t="shared" ca="1" si="22"/>
        <v>45777</v>
      </c>
      <c r="B69" s="30" t="s">
        <v>44</v>
      </c>
      <c r="C69" s="31">
        <v>1360656217.2716997</v>
      </c>
      <c r="D69" s="31">
        <v>79954589</v>
      </c>
      <c r="E69" s="31">
        <v>1272661526.4599998</v>
      </c>
      <c r="F69" s="31">
        <v>999158902</v>
      </c>
      <c r="G69" s="31">
        <v>271130831</v>
      </c>
      <c r="H69" s="31">
        <v>2372081</v>
      </c>
      <c r="I69" s="31">
        <f t="shared" ca="1" si="21"/>
        <v>8010101.8116998672</v>
      </c>
      <c r="J69" s="31">
        <v>216537733.24999997</v>
      </c>
      <c r="K69" s="32">
        <v>782621168.75</v>
      </c>
      <c r="L69" s="32">
        <f t="shared" ca="1" si="15"/>
        <v>8040101.8116998672</v>
      </c>
      <c r="M69" s="16"/>
      <c r="N69" s="16"/>
      <c r="P69" s="42"/>
      <c r="S69" s="33" t="s">
        <v>44</v>
      </c>
      <c r="T69" s="19">
        <f t="shared" ca="1" si="16"/>
        <v>0</v>
      </c>
      <c r="U69" s="19">
        <f t="shared" ca="1" si="16"/>
        <v>0</v>
      </c>
      <c r="V69" s="19">
        <f t="shared" ca="1" si="16"/>
        <v>0</v>
      </c>
      <c r="W69" s="19">
        <f t="shared" ca="1" si="16"/>
        <v>2</v>
      </c>
      <c r="X69" s="19">
        <f t="shared" ca="1" si="16"/>
        <v>0</v>
      </c>
      <c r="Y69" s="19">
        <f t="shared" ca="1" si="16"/>
        <v>0</v>
      </c>
      <c r="Z69" s="19">
        <f t="shared" ca="1" si="16"/>
        <v>0</v>
      </c>
      <c r="AA69" s="19">
        <f t="shared" ca="1" si="16"/>
        <v>38391.019999951124</v>
      </c>
      <c r="AB69" s="20">
        <f t="shared" ca="1" si="16"/>
        <v>-38389.020000100136</v>
      </c>
      <c r="AC69" s="20">
        <f t="shared" ca="1" si="16"/>
        <v>0</v>
      </c>
      <c r="AD69" s="16"/>
      <c r="AE69" s="30" t="s">
        <v>44</v>
      </c>
      <c r="AF69" s="31">
        <v>1360656217.2716997</v>
      </c>
      <c r="AG69" s="31">
        <v>79954589</v>
      </c>
      <c r="AH69" s="31">
        <v>1272661526.4599998</v>
      </c>
      <c r="AI69" s="31">
        <v>999158900</v>
      </c>
      <c r="AJ69" s="31">
        <v>271130831</v>
      </c>
      <c r="AK69" s="31">
        <v>2372081</v>
      </c>
      <c r="AL69" s="31">
        <v>8010101.8116998672</v>
      </c>
      <c r="AM69" s="31">
        <v>216499342.23000002</v>
      </c>
      <c r="AN69" s="32">
        <v>782659557.7700001</v>
      </c>
      <c r="AO69" s="32">
        <v>8040101.8116998672</v>
      </c>
    </row>
    <row r="70" spans="1:41" x14ac:dyDescent="0.25">
      <c r="A70" s="3">
        <f t="shared" ca="1" si="22"/>
        <v>45808</v>
      </c>
      <c r="B70" s="26" t="s">
        <v>45</v>
      </c>
      <c r="C70" s="27">
        <v>1623031286.7763</v>
      </c>
      <c r="D70" s="27">
        <v>79033925</v>
      </c>
      <c r="E70" s="27">
        <v>1519255069.0900025</v>
      </c>
      <c r="F70" s="27">
        <v>1227905435</v>
      </c>
      <c r="G70" s="27">
        <v>288050707</v>
      </c>
      <c r="H70" s="27">
        <v>3299225</v>
      </c>
      <c r="I70" s="27">
        <f t="shared" ca="1" si="21"/>
        <v>4488866.5862971395</v>
      </c>
      <c r="J70" s="19">
        <v>280550762.19000024</v>
      </c>
      <c r="K70" s="20">
        <v>947354672.80999947</v>
      </c>
      <c r="L70" s="20">
        <f t="shared" ca="1" si="15"/>
        <v>24742292.686297417</v>
      </c>
      <c r="M70" s="16"/>
      <c r="N70" s="16"/>
      <c r="O70" s="42"/>
      <c r="P70" s="42"/>
      <c r="S70" s="26" t="s">
        <v>45</v>
      </c>
      <c r="T70" s="27">
        <f t="shared" ca="1" si="16"/>
        <v>0</v>
      </c>
      <c r="U70" s="27">
        <f t="shared" ca="1" si="16"/>
        <v>0</v>
      </c>
      <c r="V70" s="27">
        <f t="shared" ca="1" si="16"/>
        <v>0</v>
      </c>
      <c r="W70" s="27">
        <f t="shared" ca="1" si="16"/>
        <v>99003</v>
      </c>
      <c r="X70" s="27">
        <f t="shared" ca="1" si="16"/>
        <v>-99008</v>
      </c>
      <c r="Y70" s="27">
        <f t="shared" ca="1" si="16"/>
        <v>0</v>
      </c>
      <c r="Z70" s="27">
        <f t="shared" ca="1" si="16"/>
        <v>-1003.2499998807907</v>
      </c>
      <c r="AA70" s="19">
        <f t="shared" ca="1" si="16"/>
        <v>7940</v>
      </c>
      <c r="AB70" s="20">
        <f t="shared" ca="1" si="16"/>
        <v>91062.999999880791</v>
      </c>
      <c r="AC70" s="20">
        <f t="shared" ca="1" si="16"/>
        <v>0</v>
      </c>
      <c r="AD70" s="16"/>
      <c r="AE70" s="26" t="s">
        <v>45</v>
      </c>
      <c r="AF70" s="27">
        <v>1623031286.7763</v>
      </c>
      <c r="AG70" s="27">
        <v>79033925</v>
      </c>
      <c r="AH70" s="27">
        <v>1519255069.0900025</v>
      </c>
      <c r="AI70" s="27">
        <v>1227806432</v>
      </c>
      <c r="AJ70" s="27">
        <v>288149715</v>
      </c>
      <c r="AK70" s="27">
        <v>3299225</v>
      </c>
      <c r="AL70" s="27">
        <v>4489869.8362970203</v>
      </c>
      <c r="AM70" s="19">
        <v>280542822.19000024</v>
      </c>
      <c r="AN70" s="20">
        <v>947263609.80999959</v>
      </c>
      <c r="AO70" s="20">
        <v>24742292.686297417</v>
      </c>
    </row>
    <row r="71" spans="1:41" x14ac:dyDescent="0.25">
      <c r="A71" s="3">
        <f t="shared" ca="1" si="22"/>
        <v>45838</v>
      </c>
      <c r="B71" s="30" t="s">
        <v>46</v>
      </c>
      <c r="C71" s="31">
        <v>1273263897.2305398</v>
      </c>
      <c r="D71" s="31">
        <v>68780924</v>
      </c>
      <c r="E71" s="31">
        <v>1193958774.5399992</v>
      </c>
      <c r="F71" s="31">
        <v>981452399</v>
      </c>
      <c r="G71" s="31">
        <v>208311689</v>
      </c>
      <c r="H71" s="31">
        <v>4195038</v>
      </c>
      <c r="I71" s="31">
        <f t="shared" ca="1" si="21"/>
        <v>3102040.5805406123</v>
      </c>
      <c r="J71" s="31">
        <v>227473648.45000005</v>
      </c>
      <c r="K71" s="32">
        <v>753978750.54999888</v>
      </c>
      <c r="L71" s="32">
        <f t="shared" ca="1" si="15"/>
        <v>10524198.690540552</v>
      </c>
      <c r="M71" s="16"/>
      <c r="N71" s="16"/>
      <c r="O71" s="43"/>
      <c r="P71" s="42"/>
      <c r="S71" s="33" t="s">
        <v>46</v>
      </c>
      <c r="T71" s="19">
        <f t="shared" ca="1" si="16"/>
        <v>0</v>
      </c>
      <c r="U71" s="19">
        <f t="shared" ca="1" si="16"/>
        <v>0</v>
      </c>
      <c r="V71" s="19">
        <f t="shared" ca="1" si="16"/>
        <v>0</v>
      </c>
      <c r="W71" s="19">
        <f t="shared" ca="1" si="16"/>
        <v>-2</v>
      </c>
      <c r="X71" s="19">
        <f t="shared" ca="1" si="16"/>
        <v>0</v>
      </c>
      <c r="Y71" s="19">
        <f t="shared" ca="1" si="16"/>
        <v>0</v>
      </c>
      <c r="Z71" s="19">
        <f t="shared" ca="1" si="16"/>
        <v>-3.0999997556209564</v>
      </c>
      <c r="AA71" s="19">
        <f t="shared" ca="1" si="16"/>
        <v>38489.460000008345</v>
      </c>
      <c r="AB71" s="20">
        <f t="shared" ca="1" si="16"/>
        <v>-38491.459999918938</v>
      </c>
      <c r="AC71" s="20">
        <f t="shared" ca="1" si="16"/>
        <v>0</v>
      </c>
      <c r="AD71" s="16"/>
      <c r="AE71" s="30" t="s">
        <v>46</v>
      </c>
      <c r="AF71" s="31">
        <v>1273263897.2305398</v>
      </c>
      <c r="AG71" s="31">
        <v>68780924</v>
      </c>
      <c r="AH71" s="31">
        <v>1193958774.5399992</v>
      </c>
      <c r="AI71" s="31">
        <v>981452401</v>
      </c>
      <c r="AJ71" s="31">
        <v>208311689</v>
      </c>
      <c r="AK71" s="31">
        <v>4195038</v>
      </c>
      <c r="AL71" s="31">
        <v>3102043.680540368</v>
      </c>
      <c r="AM71" s="31">
        <v>227435158.99000004</v>
      </c>
      <c r="AN71" s="32">
        <v>754017242.0099988</v>
      </c>
      <c r="AO71" s="32">
        <v>10524198.690540552</v>
      </c>
    </row>
    <row r="72" spans="1:41" x14ac:dyDescent="0.25">
      <c r="A72" s="3">
        <f t="shared" ca="1" si="22"/>
        <v>45869</v>
      </c>
      <c r="B72" s="26" t="s">
        <v>47</v>
      </c>
      <c r="C72" s="27">
        <v>1416007823.3425412</v>
      </c>
      <c r="D72" s="27">
        <v>70900193</v>
      </c>
      <c r="E72" s="27">
        <v>1330013488.3999987</v>
      </c>
      <c r="F72" s="27">
        <v>1111909117</v>
      </c>
      <c r="G72" s="27">
        <v>208232688</v>
      </c>
      <c r="H72" s="27">
        <v>9872005</v>
      </c>
      <c r="I72" s="27">
        <f t="shared" ca="1" si="21"/>
        <v>7256938.9325425588</v>
      </c>
      <c r="J72" s="19">
        <v>243547714.7400004</v>
      </c>
      <c r="K72" s="20">
        <v>868361402.26000106</v>
      </c>
      <c r="L72" s="20">
        <f t="shared" ca="1" si="15"/>
        <v>15094141.942542553</v>
      </c>
      <c r="M72" s="16"/>
      <c r="N72" s="16"/>
      <c r="O72" s="43"/>
      <c r="S72" s="26" t="s">
        <v>47</v>
      </c>
      <c r="T72" s="27">
        <f t="shared" ca="1" si="16"/>
        <v>0</v>
      </c>
      <c r="U72" s="27">
        <f t="shared" ca="1" si="16"/>
        <v>0</v>
      </c>
      <c r="V72" s="27">
        <f t="shared" ca="1" si="16"/>
        <v>0</v>
      </c>
      <c r="W72" s="27">
        <f t="shared" ca="1" si="16"/>
        <v>-2</v>
      </c>
      <c r="X72" s="27">
        <f t="shared" ca="1" si="16"/>
        <v>1</v>
      </c>
      <c r="Y72" s="27">
        <f t="shared" ca="1" si="16"/>
        <v>0</v>
      </c>
      <c r="Z72" s="27">
        <f t="shared" ca="1" si="16"/>
        <v>0</v>
      </c>
      <c r="AA72" s="19">
        <f t="shared" ca="1" si="16"/>
        <v>5057.1399999558926</v>
      </c>
      <c r="AB72" s="20">
        <f t="shared" ca="1" si="16"/>
        <v>-5059.1399998664856</v>
      </c>
      <c r="AC72" s="20">
        <f t="shared" ca="1" si="16"/>
        <v>0</v>
      </c>
      <c r="AD72" s="16"/>
      <c r="AE72" s="26" t="s">
        <v>47</v>
      </c>
      <c r="AF72" s="27">
        <v>1416007823.3425412</v>
      </c>
      <c r="AG72" s="27">
        <v>70900193</v>
      </c>
      <c r="AH72" s="27">
        <v>1330013488.3999987</v>
      </c>
      <c r="AI72" s="27">
        <v>1111909119</v>
      </c>
      <c r="AJ72" s="27">
        <v>208232687</v>
      </c>
      <c r="AK72" s="27">
        <v>9872005</v>
      </c>
      <c r="AL72" s="27">
        <v>7256938.9325425588</v>
      </c>
      <c r="AM72" s="19">
        <v>243542657.60000044</v>
      </c>
      <c r="AN72" s="20">
        <v>868366461.40000093</v>
      </c>
      <c r="AO72" s="20">
        <v>15094141.942542553</v>
      </c>
    </row>
    <row r="73" spans="1:41" x14ac:dyDescent="0.25">
      <c r="A73" s="3">
        <f t="shared" ca="1" si="22"/>
        <v>45900</v>
      </c>
      <c r="B73" s="30" t="s">
        <v>48</v>
      </c>
      <c r="C73" s="31">
        <v>1205906652.0531569</v>
      </c>
      <c r="D73" s="31">
        <v>61803640</v>
      </c>
      <c r="E73" s="31">
        <v>1125052194.2899995</v>
      </c>
      <c r="F73" s="31">
        <v>935826823</v>
      </c>
      <c r="G73" s="31">
        <v>184312099</v>
      </c>
      <c r="H73" s="31">
        <v>4913565</v>
      </c>
      <c r="I73" s="31">
        <f t="shared" ca="1" si="21"/>
        <v>10642379.543157369</v>
      </c>
      <c r="J73" s="31">
        <v>289128367.22000009</v>
      </c>
      <c r="K73" s="32">
        <v>646698455.77999866</v>
      </c>
      <c r="L73" s="32">
        <f t="shared" ca="1" si="15"/>
        <v>19050817.763157368</v>
      </c>
      <c r="M73" s="16"/>
      <c r="N73" s="16"/>
      <c r="O73" s="16"/>
      <c r="P73" s="42"/>
      <c r="S73" s="33" t="s">
        <v>48</v>
      </c>
      <c r="T73" s="19">
        <f t="shared" ca="1" si="16"/>
        <v>0</v>
      </c>
      <c r="U73" s="19">
        <f t="shared" ca="1" si="16"/>
        <v>0</v>
      </c>
      <c r="V73" s="19">
        <f t="shared" ca="1" si="16"/>
        <v>0</v>
      </c>
      <c r="W73" s="19">
        <f t="shared" ca="1" si="16"/>
        <v>-2990</v>
      </c>
      <c r="X73" s="19">
        <f t="shared" ca="1" si="16"/>
        <v>-3</v>
      </c>
      <c r="Y73" s="19">
        <f t="shared" ref="Y73:AC109" ca="1" si="23">H73-AK73</f>
        <v>3000</v>
      </c>
      <c r="Z73" s="19">
        <f t="shared" ca="1" si="23"/>
        <v>0</v>
      </c>
      <c r="AA73" s="19">
        <f t="shared" ca="1" si="23"/>
        <v>32049.399999976158</v>
      </c>
      <c r="AB73" s="20">
        <f t="shared" ca="1" si="23"/>
        <v>-35039.399999856949</v>
      </c>
      <c r="AC73" s="20">
        <f t="shared" ca="1" si="23"/>
        <v>0</v>
      </c>
      <c r="AD73" s="16"/>
      <c r="AE73" s="30" t="s">
        <v>48</v>
      </c>
      <c r="AF73" s="31">
        <v>1205906652.0531569</v>
      </c>
      <c r="AG73" s="31">
        <v>61803640</v>
      </c>
      <c r="AH73" s="31">
        <v>1125052194.2899995</v>
      </c>
      <c r="AI73" s="31">
        <v>935829813</v>
      </c>
      <c r="AJ73" s="31">
        <v>184312102</v>
      </c>
      <c r="AK73" s="31">
        <v>4910565</v>
      </c>
      <c r="AL73" s="31">
        <v>10642379.543157369</v>
      </c>
      <c r="AM73" s="31">
        <v>289096317.82000011</v>
      </c>
      <c r="AN73" s="32">
        <v>646733495.17999852</v>
      </c>
      <c r="AO73" s="32">
        <v>19050817.763157368</v>
      </c>
    </row>
    <row r="74" spans="1:41" x14ac:dyDescent="0.25">
      <c r="A74" s="3">
        <f t="shared" ca="1" si="22"/>
        <v>45930</v>
      </c>
      <c r="B74" s="26" t="s">
        <v>49</v>
      </c>
      <c r="C74" s="27">
        <v>1198805579.7490854</v>
      </c>
      <c r="D74" s="27">
        <v>67497164</v>
      </c>
      <c r="E74" s="27">
        <v>1114991212.6799994</v>
      </c>
      <c r="F74" s="27">
        <v>882390304</v>
      </c>
      <c r="G74" s="27">
        <v>229195990</v>
      </c>
      <c r="H74" s="27">
        <v>3405240</v>
      </c>
      <c r="I74" s="27">
        <f t="shared" ca="1" si="21"/>
        <v>11759855.569086071</v>
      </c>
      <c r="J74" s="19">
        <v>224223774.88999981</v>
      </c>
      <c r="K74" s="20">
        <v>658166529.11000013</v>
      </c>
      <c r="L74" s="20">
        <f t="shared" ca="1" si="15"/>
        <v>16317203.069086075</v>
      </c>
      <c r="M74" s="16"/>
      <c r="N74" s="16"/>
      <c r="O74" s="43"/>
      <c r="S74" s="26" t="s">
        <v>49</v>
      </c>
      <c r="T74" s="27">
        <f t="shared" ref="T74:AC110" ca="1" si="24">C74-AF74</f>
        <v>0</v>
      </c>
      <c r="U74" s="27">
        <f t="shared" ca="1" si="24"/>
        <v>0</v>
      </c>
      <c r="V74" s="27">
        <f t="shared" ca="1" si="24"/>
        <v>0</v>
      </c>
      <c r="W74" s="27">
        <f t="shared" ca="1" si="24"/>
        <v>25293</v>
      </c>
      <c r="X74" s="27">
        <f t="shared" ca="1" si="24"/>
        <v>-25297</v>
      </c>
      <c r="Y74" s="27">
        <f t="shared" ca="1" si="23"/>
        <v>0</v>
      </c>
      <c r="Z74" s="27">
        <f t="shared" ca="1" si="23"/>
        <v>0</v>
      </c>
      <c r="AA74" s="19">
        <f t="shared" ca="1" si="23"/>
        <v>40996.379999995232</v>
      </c>
      <c r="AB74" s="20">
        <f t="shared" ca="1" si="23"/>
        <v>-15703.380000114441</v>
      </c>
      <c r="AC74" s="20">
        <f t="shared" ca="1" si="23"/>
        <v>0</v>
      </c>
      <c r="AD74" s="16"/>
      <c r="AE74" s="26" t="s">
        <v>49</v>
      </c>
      <c r="AF74" s="27">
        <v>1198805579.7490854</v>
      </c>
      <c r="AG74" s="27">
        <v>67497164</v>
      </c>
      <c r="AH74" s="27">
        <v>1114991212.6799994</v>
      </c>
      <c r="AI74" s="27">
        <v>882365011</v>
      </c>
      <c r="AJ74" s="27">
        <v>229221287</v>
      </c>
      <c r="AK74" s="27">
        <v>3405240</v>
      </c>
      <c r="AL74" s="27">
        <v>11759855.569086071</v>
      </c>
      <c r="AM74" s="19">
        <v>224182778.50999981</v>
      </c>
      <c r="AN74" s="20">
        <v>658182232.49000025</v>
      </c>
      <c r="AO74" s="20">
        <v>16317203.069086075</v>
      </c>
    </row>
    <row r="75" spans="1:41" x14ac:dyDescent="0.25">
      <c r="A75" s="3">
        <f t="shared" ca="1" si="22"/>
        <v>45961</v>
      </c>
      <c r="B75" s="30" t="s">
        <v>50</v>
      </c>
      <c r="C75" s="31">
        <v>1341226774.3587663</v>
      </c>
      <c r="D75" s="31">
        <v>67826211</v>
      </c>
      <c r="E75" s="31">
        <v>1253219400.7800021</v>
      </c>
      <c r="F75" s="31">
        <v>1038038750</v>
      </c>
      <c r="G75" s="31">
        <v>211811729</v>
      </c>
      <c r="H75" s="31">
        <v>3369309</v>
      </c>
      <c r="I75" s="31">
        <f t="shared" ca="1" si="21"/>
        <v>11168298.678764205</v>
      </c>
      <c r="J75" s="31">
        <v>297784681.55000001</v>
      </c>
      <c r="K75" s="32">
        <v>740254068.45000148</v>
      </c>
      <c r="L75" s="32">
        <f t="shared" ca="1" si="15"/>
        <v>20181162.5787642</v>
      </c>
      <c r="M75" s="16"/>
      <c r="N75" s="16"/>
      <c r="P75" s="42"/>
      <c r="S75" s="33" t="s">
        <v>50</v>
      </c>
      <c r="T75" s="19">
        <f t="shared" ca="1" si="24"/>
        <v>0</v>
      </c>
      <c r="U75" s="19">
        <f t="shared" ca="1" si="24"/>
        <v>0</v>
      </c>
      <c r="V75" s="19">
        <f t="shared" ca="1" si="24"/>
        <v>206040</v>
      </c>
      <c r="W75" s="19">
        <f t="shared" ca="1" si="24"/>
        <v>208748</v>
      </c>
      <c r="X75" s="19">
        <f t="shared" ca="1" si="24"/>
        <v>-2708</v>
      </c>
      <c r="Y75" s="19">
        <f t="shared" ca="1" si="23"/>
        <v>0</v>
      </c>
      <c r="Z75" s="19">
        <f t="shared" ca="1" si="23"/>
        <v>-577313.8200000003</v>
      </c>
      <c r="AA75" s="19">
        <f t="shared" ca="1" si="23"/>
        <v>80505.510000050068</v>
      </c>
      <c r="AB75" s="20">
        <f t="shared" ca="1" si="23"/>
        <v>128242.48999989033</v>
      </c>
      <c r="AC75" s="20">
        <f t="shared" ca="1" si="23"/>
        <v>-206040</v>
      </c>
      <c r="AD75" s="16"/>
      <c r="AE75" s="30" t="s">
        <v>50</v>
      </c>
      <c r="AF75" s="31">
        <v>1341226774.3587663</v>
      </c>
      <c r="AG75" s="31">
        <v>67826211</v>
      </c>
      <c r="AH75" s="31">
        <v>1253013360.7800021</v>
      </c>
      <c r="AI75" s="31">
        <v>1037830002</v>
      </c>
      <c r="AJ75" s="31">
        <v>211814437</v>
      </c>
      <c r="AK75" s="31">
        <v>3369309</v>
      </c>
      <c r="AL75" s="31">
        <v>11745612.498764206</v>
      </c>
      <c r="AM75" s="31">
        <v>297704176.03999996</v>
      </c>
      <c r="AN75" s="32">
        <v>740125825.96000159</v>
      </c>
      <c r="AO75" s="32">
        <v>20387202.5787642</v>
      </c>
    </row>
    <row r="76" spans="1:41" x14ac:dyDescent="0.25">
      <c r="A76" s="3">
        <f ca="1">EOMONTH(A75+1,0)</f>
        <v>45991</v>
      </c>
      <c r="B76" s="26" t="s">
        <v>51</v>
      </c>
      <c r="C76" s="27">
        <v>1152893499.6400001</v>
      </c>
      <c r="D76" s="27">
        <v>52463720</v>
      </c>
      <c r="E76" s="27">
        <v>1075691508.9700003</v>
      </c>
      <c r="F76" s="27">
        <v>891883195</v>
      </c>
      <c r="G76" s="27">
        <v>181461838</v>
      </c>
      <c r="H76" s="27">
        <v>2346805</v>
      </c>
      <c r="I76" s="27">
        <f t="shared" ca="1" si="21"/>
        <v>15951811.599999838</v>
      </c>
      <c r="J76" s="19">
        <v>259833268.76999998</v>
      </c>
      <c r="K76" s="20">
        <v>632049926.2299974</v>
      </c>
      <c r="L76" s="20">
        <f t="shared" ca="1" si="15"/>
        <v>24738270.669999838</v>
      </c>
      <c r="M76" s="16"/>
      <c r="N76" s="16"/>
      <c r="O76" s="43"/>
      <c r="S76" s="26" t="s">
        <v>51</v>
      </c>
      <c r="T76" s="27">
        <f t="shared" ca="1" si="24"/>
        <v>0</v>
      </c>
      <c r="U76" s="27">
        <f t="shared" ca="1" si="24"/>
        <v>0</v>
      </c>
      <c r="V76" s="27">
        <f t="shared" ca="1" si="24"/>
        <v>3000</v>
      </c>
      <c r="W76" s="27">
        <f t="shared" ca="1" si="24"/>
        <v>3001</v>
      </c>
      <c r="X76" s="27">
        <f t="shared" ca="1" si="24"/>
        <v>-1</v>
      </c>
      <c r="Y76" s="27">
        <f t="shared" ca="1" si="23"/>
        <v>0</v>
      </c>
      <c r="Z76" s="27">
        <f t="shared" ca="1" si="23"/>
        <v>-3000</v>
      </c>
      <c r="AA76" s="19">
        <f t="shared" ca="1" si="23"/>
        <v>-97020.199999988079</v>
      </c>
      <c r="AB76" s="20">
        <f t="shared" ca="1" si="23"/>
        <v>100021.20000004768</v>
      </c>
      <c r="AC76" s="20">
        <f t="shared" ca="1" si="23"/>
        <v>-3000</v>
      </c>
      <c r="AD76" s="16"/>
      <c r="AE76" s="26" t="s">
        <v>51</v>
      </c>
      <c r="AF76" s="27">
        <v>1152893499.6400001</v>
      </c>
      <c r="AG76" s="27">
        <v>52463720</v>
      </c>
      <c r="AH76" s="27">
        <v>1075688508.9700003</v>
      </c>
      <c r="AI76" s="27">
        <v>891880194</v>
      </c>
      <c r="AJ76" s="27">
        <v>181461839</v>
      </c>
      <c r="AK76" s="27">
        <v>2346805</v>
      </c>
      <c r="AL76" s="27">
        <v>15954811.599999838</v>
      </c>
      <c r="AM76" s="19">
        <v>259930288.96999997</v>
      </c>
      <c r="AN76" s="20">
        <v>631949905.02999735</v>
      </c>
      <c r="AO76" s="20">
        <v>24741270.669999838</v>
      </c>
    </row>
    <row r="77" spans="1:41" x14ac:dyDescent="0.25">
      <c r="A77" s="3">
        <f ca="1">EOMONTH(A76+1,0)</f>
        <v>46022</v>
      </c>
      <c r="B77" s="30" t="s">
        <v>52</v>
      </c>
      <c r="C77" s="31">
        <v>1269268952.3761184</v>
      </c>
      <c r="D77" s="31">
        <v>64881016</v>
      </c>
      <c r="E77" s="31">
        <v>1170734972.7900007</v>
      </c>
      <c r="F77" s="31">
        <v>948251380</v>
      </c>
      <c r="G77" s="31">
        <v>220156651</v>
      </c>
      <c r="H77" s="31">
        <v>2327234</v>
      </c>
      <c r="I77" s="31">
        <f t="shared" ca="1" si="21"/>
        <v>26502403.946117736</v>
      </c>
      <c r="J77" s="31">
        <v>366334799.20999998</v>
      </c>
      <c r="K77" s="32">
        <v>581916580.78999853</v>
      </c>
      <c r="L77" s="32">
        <f t="shared" ca="1" si="15"/>
        <v>33652963.586117744</v>
      </c>
      <c r="M77" s="16"/>
      <c r="N77" s="16"/>
      <c r="P77" s="42"/>
      <c r="S77" s="33" t="s">
        <v>52</v>
      </c>
      <c r="T77" s="19">
        <f t="shared" ca="1" si="24"/>
        <v>0</v>
      </c>
      <c r="U77" s="19">
        <f t="shared" ca="1" si="24"/>
        <v>-1000775</v>
      </c>
      <c r="V77" s="19">
        <f t="shared" ca="1" si="24"/>
        <v>1000775.8800001144</v>
      </c>
      <c r="W77" s="19">
        <f t="shared" ca="1" si="24"/>
        <v>1000774</v>
      </c>
      <c r="X77" s="19">
        <f t="shared" ca="1" si="24"/>
        <v>0</v>
      </c>
      <c r="Y77" s="19">
        <f t="shared" ca="1" si="23"/>
        <v>0</v>
      </c>
      <c r="Z77" s="19">
        <f t="shared" ca="1" si="23"/>
        <v>-0.88000011444091797</v>
      </c>
      <c r="AA77" s="19">
        <f t="shared" ca="1" si="23"/>
        <v>1055457.4700001478</v>
      </c>
      <c r="AB77" s="20">
        <f t="shared" ca="1" si="23"/>
        <v>-54683.47000002861</v>
      </c>
      <c r="AC77" s="20">
        <f t="shared" ca="1" si="23"/>
        <v>-0.88000011444091797</v>
      </c>
      <c r="AD77" s="16"/>
      <c r="AE77" s="30" t="s">
        <v>52</v>
      </c>
      <c r="AF77" s="31">
        <v>1269268952.3761184</v>
      </c>
      <c r="AG77" s="31">
        <v>65881791</v>
      </c>
      <c r="AH77" s="31">
        <v>1169734196.9100006</v>
      </c>
      <c r="AI77" s="31">
        <v>947250606</v>
      </c>
      <c r="AJ77" s="31">
        <v>220156651</v>
      </c>
      <c r="AK77" s="31">
        <v>2327234</v>
      </c>
      <c r="AL77" s="31">
        <v>26502404.826117851</v>
      </c>
      <c r="AM77" s="31">
        <v>365279341.73999983</v>
      </c>
      <c r="AN77" s="32">
        <v>581971264.25999856</v>
      </c>
      <c r="AO77" s="32">
        <v>33652964.466117859</v>
      </c>
    </row>
    <row r="78" spans="1:41" x14ac:dyDescent="0.25">
      <c r="A78" s="3">
        <f ca="1">A77</f>
        <v>46022</v>
      </c>
      <c r="B78" s="13" t="s">
        <v>53</v>
      </c>
      <c r="C78" s="14">
        <f t="shared" ref="C78:L78" ca="1" si="25">SUM(C79:C83)</f>
        <v>4310319380.3693094</v>
      </c>
      <c r="D78" s="14">
        <f t="shared" ca="1" si="25"/>
        <v>160197490</v>
      </c>
      <c r="E78" s="14">
        <f t="shared" ca="1" si="25"/>
        <v>3838751595.1399946</v>
      </c>
      <c r="F78" s="14">
        <f t="shared" ca="1" si="25"/>
        <v>3308264455</v>
      </c>
      <c r="G78" s="14">
        <f t="shared" ca="1" si="25"/>
        <v>518783077</v>
      </c>
      <c r="H78" s="14">
        <f t="shared" ca="1" si="25"/>
        <v>11705626</v>
      </c>
      <c r="I78" s="14">
        <f t="shared" ca="1" si="25"/>
        <v>263958810.98931471</v>
      </c>
      <c r="J78" s="14">
        <f t="shared" ca="1" si="25"/>
        <v>958240673.67999899</v>
      </c>
      <c r="K78" s="15">
        <f t="shared" ca="1" si="25"/>
        <v>2350023781.3200002</v>
      </c>
      <c r="L78" s="15">
        <f t="shared" ca="1" si="25"/>
        <v>311370295.22931492</v>
      </c>
      <c r="N78" s="16"/>
      <c r="O78" s="43"/>
      <c r="S78" s="18" t="s">
        <v>53</v>
      </c>
      <c r="T78" s="19">
        <f t="shared" ca="1" si="24"/>
        <v>57633464.639530182</v>
      </c>
      <c r="U78" s="19">
        <f t="shared" ca="1" si="24"/>
        <v>505317</v>
      </c>
      <c r="V78" s="19">
        <f t="shared" ca="1" si="24"/>
        <v>56981170.000000954</v>
      </c>
      <c r="W78" s="19">
        <f t="shared" ca="1" si="24"/>
        <v>55647733</v>
      </c>
      <c r="X78" s="19">
        <f t="shared" ca="1" si="24"/>
        <v>1131708</v>
      </c>
      <c r="Y78" s="19">
        <f t="shared" ca="1" si="23"/>
        <v>201754</v>
      </c>
      <c r="Z78" s="19">
        <f t="shared" ca="1" si="23"/>
        <v>-1458973.3204702437</v>
      </c>
      <c r="AA78" s="19">
        <f t="shared" ca="1" si="23"/>
        <v>13925950.159999967</v>
      </c>
      <c r="AB78" s="20">
        <f t="shared" ca="1" si="23"/>
        <v>41721782.840001106</v>
      </c>
      <c r="AC78" s="20">
        <f t="shared" ca="1" si="23"/>
        <v>146977.63952970505</v>
      </c>
      <c r="AE78" s="13" t="s">
        <v>53</v>
      </c>
      <c r="AF78" s="14">
        <v>4252685915.7297792</v>
      </c>
      <c r="AG78" s="14">
        <v>159692173</v>
      </c>
      <c r="AH78" s="14">
        <v>3781770425.1399937</v>
      </c>
      <c r="AI78" s="14">
        <v>3252616722</v>
      </c>
      <c r="AJ78" s="14">
        <v>517651369</v>
      </c>
      <c r="AK78" s="14">
        <v>11503872</v>
      </c>
      <c r="AL78" s="14">
        <v>265417784.30978495</v>
      </c>
      <c r="AM78" s="14">
        <v>944314723.51999903</v>
      </c>
      <c r="AN78" s="15">
        <v>2308301998.4799991</v>
      </c>
      <c r="AO78" s="15">
        <v>311223317.58978522</v>
      </c>
    </row>
    <row r="79" spans="1:41" x14ac:dyDescent="0.25">
      <c r="A79" s="3">
        <f ca="1">EOMONTH(A77+1,0)</f>
        <v>46053</v>
      </c>
      <c r="B79" s="26" t="s">
        <v>54</v>
      </c>
      <c r="C79" s="27">
        <v>1192785012.5294888</v>
      </c>
      <c r="D79" s="27">
        <v>60504936</v>
      </c>
      <c r="E79" s="27">
        <v>1099887643.7499981</v>
      </c>
      <c r="F79" s="27">
        <v>904933142</v>
      </c>
      <c r="G79" s="27">
        <v>192967436</v>
      </c>
      <c r="H79" s="27">
        <v>1987427</v>
      </c>
      <c r="I79" s="27">
        <f ca="1">(C79-E79-D79)+IF(L121&lt;0,L121,0)+IF(L162&lt;0,L162,0)</f>
        <v>23421400.859490559</v>
      </c>
      <c r="J79" s="19">
        <v>264911360.13999957</v>
      </c>
      <c r="K79" s="20">
        <v>640021781.86000001</v>
      </c>
      <c r="L79" s="20">
        <f t="shared" ca="1" si="15"/>
        <v>32392432.779490709</v>
      </c>
      <c r="M79" s="16"/>
      <c r="N79" s="16"/>
      <c r="S79" s="26" t="s">
        <v>54</v>
      </c>
      <c r="T79" s="27">
        <f t="shared" ca="1" si="24"/>
        <v>0</v>
      </c>
      <c r="U79" s="27">
        <f t="shared" ca="1" si="24"/>
        <v>0</v>
      </c>
      <c r="V79" s="27">
        <f t="shared" ca="1" si="24"/>
        <v>12000</v>
      </c>
      <c r="W79" s="27">
        <f t="shared" ca="1" si="24"/>
        <v>11996</v>
      </c>
      <c r="X79" s="27">
        <f t="shared" ca="1" si="24"/>
        <v>1</v>
      </c>
      <c r="Y79" s="27">
        <f t="shared" ca="1" si="23"/>
        <v>0</v>
      </c>
      <c r="Z79" s="27">
        <f t="shared" ca="1" si="23"/>
        <v>-14000.95999994874</v>
      </c>
      <c r="AA79" s="19">
        <f t="shared" ca="1" si="23"/>
        <v>32350.839999973774</v>
      </c>
      <c r="AB79" s="20">
        <f t="shared" ca="1" si="23"/>
        <v>-20354.83999979496</v>
      </c>
      <c r="AC79" s="20">
        <f t="shared" ca="1" si="23"/>
        <v>-12000</v>
      </c>
      <c r="AD79" s="16"/>
      <c r="AE79" s="26" t="s">
        <v>54</v>
      </c>
      <c r="AF79" s="27">
        <v>1192785012.5294888</v>
      </c>
      <c r="AG79" s="27">
        <v>60504936</v>
      </c>
      <c r="AH79" s="27">
        <v>1099875643.7499981</v>
      </c>
      <c r="AI79" s="27">
        <v>904921146</v>
      </c>
      <c r="AJ79" s="27">
        <v>192967435</v>
      </c>
      <c r="AK79" s="27">
        <v>1987427</v>
      </c>
      <c r="AL79" s="27">
        <v>23435401.819490507</v>
      </c>
      <c r="AM79" s="19">
        <v>264879009.29999959</v>
      </c>
      <c r="AN79" s="20">
        <v>640042136.69999981</v>
      </c>
      <c r="AO79" s="20">
        <v>32404432.779490709</v>
      </c>
    </row>
    <row r="80" spans="1:41" x14ac:dyDescent="0.25">
      <c r="A80" s="3">
        <f ca="1">EOMONTH(A79+1,0)</f>
        <v>46081</v>
      </c>
      <c r="B80" s="30" t="s">
        <v>55</v>
      </c>
      <c r="C80" s="31">
        <v>1109678502</v>
      </c>
      <c r="D80" s="31">
        <v>58065532</v>
      </c>
      <c r="E80" s="31">
        <v>1024681537.6399984</v>
      </c>
      <c r="F80" s="31">
        <v>808300917</v>
      </c>
      <c r="G80" s="31">
        <v>214141693</v>
      </c>
      <c r="H80" s="31">
        <v>2239360</v>
      </c>
      <c r="I80" s="31">
        <f ca="1">(C80-E80-D80)+IF(L122&lt;0,L122,0)+IF(L163&lt;0,L163,0)</f>
        <v>20149679.350001562</v>
      </c>
      <c r="J80" s="31">
        <v>264402039.77999976</v>
      </c>
      <c r="K80" s="32">
        <v>543898877.21999979</v>
      </c>
      <c r="L80" s="32">
        <f t="shared" ca="1" si="15"/>
        <v>26931432.360001564</v>
      </c>
      <c r="M80" s="16"/>
      <c r="N80" s="16"/>
      <c r="S80" s="33" t="s">
        <v>55</v>
      </c>
      <c r="T80" s="19">
        <f t="shared" ca="1" si="24"/>
        <v>0</v>
      </c>
      <c r="U80" s="19">
        <f t="shared" ca="1" si="24"/>
        <v>0</v>
      </c>
      <c r="V80" s="19">
        <f t="shared" ca="1" si="24"/>
        <v>744665.05000007153</v>
      </c>
      <c r="W80" s="19">
        <f t="shared" ca="1" si="24"/>
        <v>746634</v>
      </c>
      <c r="X80" s="19">
        <f t="shared" ca="1" si="24"/>
        <v>-1967</v>
      </c>
      <c r="Y80" s="19">
        <f t="shared" ca="1" si="24"/>
        <v>0</v>
      </c>
      <c r="Z80" s="19">
        <f t="shared" ca="1" si="24"/>
        <v>-744665.05000007153</v>
      </c>
      <c r="AA80" s="19">
        <f t="shared" ca="1" si="24"/>
        <v>346074.43000006676</v>
      </c>
      <c r="AB80" s="20">
        <f t="shared" ca="1" si="24"/>
        <v>400559.57000005245</v>
      </c>
      <c r="AC80" s="20">
        <f t="shared" ca="1" si="24"/>
        <v>-744665.05000007153</v>
      </c>
      <c r="AD80" s="16"/>
      <c r="AE80" s="30" t="s">
        <v>55</v>
      </c>
      <c r="AF80" s="31">
        <v>1109678502</v>
      </c>
      <c r="AG80" s="31">
        <v>58065532</v>
      </c>
      <c r="AH80" s="31">
        <v>1023936872.5899984</v>
      </c>
      <c r="AI80" s="31">
        <v>807554283</v>
      </c>
      <c r="AJ80" s="31">
        <v>214143660</v>
      </c>
      <c r="AK80" s="31">
        <v>2239360</v>
      </c>
      <c r="AL80" s="31">
        <v>20894344.400001634</v>
      </c>
      <c r="AM80" s="31">
        <v>264055965.3499997</v>
      </c>
      <c r="AN80" s="32">
        <v>543498317.64999974</v>
      </c>
      <c r="AO80" s="32">
        <v>27676097.410001636</v>
      </c>
    </row>
    <row r="81" spans="1:41" x14ac:dyDescent="0.25">
      <c r="A81" s="3">
        <f ca="1">EOMONTH(A80+1,0)</f>
        <v>46112</v>
      </c>
      <c r="B81" s="26" t="s">
        <v>56</v>
      </c>
      <c r="C81" s="27">
        <v>783864982.23959959</v>
      </c>
      <c r="D81" s="27">
        <v>25634088</v>
      </c>
      <c r="E81" s="27">
        <v>722110454.31999958</v>
      </c>
      <c r="F81" s="27">
        <v>660532924</v>
      </c>
      <c r="G81" s="27">
        <v>60335028</v>
      </c>
      <c r="H81" s="27">
        <v>1242906</v>
      </c>
      <c r="I81" s="27">
        <f ca="1">(C81-E81-D81)+IF(L123&lt;0,L123,0)+IF(L164&lt;0,L164,0)</f>
        <v>31717973.449600007</v>
      </c>
      <c r="J81" s="19">
        <v>175850102.76000005</v>
      </c>
      <c r="K81" s="20">
        <v>484682821.24000007</v>
      </c>
      <c r="L81" s="20">
        <f t="shared" ca="1" si="15"/>
        <v>36120439.91960001</v>
      </c>
      <c r="M81" s="16"/>
      <c r="N81" s="16"/>
      <c r="P81" s="16">
        <v>0</v>
      </c>
      <c r="S81" s="33" t="s">
        <v>56</v>
      </c>
      <c r="T81" s="19">
        <f t="shared" ca="1" si="24"/>
        <v>0</v>
      </c>
      <c r="U81" s="19">
        <f t="shared" ca="1" si="24"/>
        <v>351</v>
      </c>
      <c r="V81" s="19">
        <f t="shared" ca="1" si="24"/>
        <v>193113.97999989986</v>
      </c>
      <c r="W81" s="19">
        <f t="shared" ca="1" si="24"/>
        <v>172040</v>
      </c>
      <c r="X81" s="19">
        <f t="shared" ca="1" si="24"/>
        <v>0</v>
      </c>
      <c r="Y81" s="19">
        <f t="shared" ca="1" si="24"/>
        <v>21075</v>
      </c>
      <c r="Z81" s="19">
        <f t="shared" ca="1" si="24"/>
        <v>-195434.97999989986</v>
      </c>
      <c r="AA81" s="19">
        <f t="shared" ca="1" si="24"/>
        <v>213899.30000001192</v>
      </c>
      <c r="AB81" s="20">
        <f t="shared" ca="1" si="24"/>
        <v>-41859.299999952316</v>
      </c>
      <c r="AC81" s="20">
        <f t="shared" ca="1" si="24"/>
        <v>-193464.97999989986</v>
      </c>
      <c r="AD81" s="16"/>
      <c r="AE81" s="26" t="s">
        <v>56</v>
      </c>
      <c r="AF81" s="27">
        <v>783864982.23959959</v>
      </c>
      <c r="AG81" s="27">
        <v>25633737</v>
      </c>
      <c r="AH81" s="27">
        <v>721917340.33999968</v>
      </c>
      <c r="AI81" s="27">
        <v>660360884</v>
      </c>
      <c r="AJ81" s="27">
        <v>60335028</v>
      </c>
      <c r="AK81" s="27">
        <v>1221831</v>
      </c>
      <c r="AL81" s="27">
        <v>31913408.429599907</v>
      </c>
      <c r="AM81" s="19">
        <v>175636203.46000004</v>
      </c>
      <c r="AN81" s="20">
        <v>484724680.54000002</v>
      </c>
      <c r="AO81" s="20">
        <v>36313904.89959991</v>
      </c>
    </row>
    <row r="82" spans="1:41" x14ac:dyDescent="0.25">
      <c r="A82" s="3">
        <f ca="1">EOMONTH(A81+1,0)</f>
        <v>46142</v>
      </c>
      <c r="B82" s="30" t="s">
        <v>57</v>
      </c>
      <c r="C82" s="31">
        <v>993014185.51394069</v>
      </c>
      <c r="D82" s="31">
        <v>13494810</v>
      </c>
      <c r="E82" s="31">
        <v>840558469.10999811</v>
      </c>
      <c r="F82" s="31">
        <v>790468768</v>
      </c>
      <c r="G82" s="31">
        <v>44495129</v>
      </c>
      <c r="H82" s="31">
        <v>5594901</v>
      </c>
      <c r="I82" s="31">
        <f ca="1">(C82-E82-D82)+IF(L124&lt;0,L124,0)+IF(L165&lt;0,L165,0)+IF(L206&lt;0,L206,0)</f>
        <v>111704673.56394255</v>
      </c>
      <c r="J82" s="31">
        <v>215092656.00999975</v>
      </c>
      <c r="K82" s="32">
        <v>575376111.98999989</v>
      </c>
      <c r="L82" s="32">
        <f t="shared" ca="1" si="15"/>
        <v>138960906.40394258</v>
      </c>
      <c r="M82" s="16"/>
      <c r="N82" s="16"/>
      <c r="O82" s="44"/>
      <c r="S82" s="33" t="s">
        <v>57</v>
      </c>
      <c r="T82" s="19">
        <f t="shared" ca="1" si="24"/>
        <v>0</v>
      </c>
      <c r="U82" s="19">
        <f t="shared" ca="1" si="24"/>
        <v>6531</v>
      </c>
      <c r="V82" s="19">
        <f t="shared" ca="1" si="24"/>
        <v>8338330.1300003529</v>
      </c>
      <c r="W82" s="19">
        <f t="shared" ca="1" si="24"/>
        <v>7955409</v>
      </c>
      <c r="X82" s="19">
        <f t="shared" ca="1" si="24"/>
        <v>275669</v>
      </c>
      <c r="Y82" s="19">
        <f t="shared" ca="1" si="24"/>
        <v>107265</v>
      </c>
      <c r="Z82" s="19">
        <f t="shared" ca="1" si="24"/>
        <v>-9946841.1300003529</v>
      </c>
      <c r="AA82" s="19">
        <f t="shared" ca="1" si="24"/>
        <v>881056.21000003815</v>
      </c>
      <c r="AB82" s="20">
        <f t="shared" ca="1" si="24"/>
        <v>7074352.7900002003</v>
      </c>
      <c r="AC82" s="20">
        <f t="shared" ca="1" si="24"/>
        <v>-8344861.1300003529</v>
      </c>
      <c r="AD82" s="16"/>
      <c r="AE82" s="30" t="s">
        <v>57</v>
      </c>
      <c r="AF82" s="31">
        <v>993014185.51394069</v>
      </c>
      <c r="AG82" s="31">
        <v>13488279</v>
      </c>
      <c r="AH82" s="31">
        <v>832220138.97999775</v>
      </c>
      <c r="AI82" s="31">
        <v>782513359</v>
      </c>
      <c r="AJ82" s="31">
        <v>44219460</v>
      </c>
      <c r="AK82" s="31">
        <v>5487636</v>
      </c>
      <c r="AL82" s="31">
        <v>121651514.6939429</v>
      </c>
      <c r="AM82" s="31">
        <v>214211599.79999971</v>
      </c>
      <c r="AN82" s="32">
        <v>568301759.19999969</v>
      </c>
      <c r="AO82" s="32">
        <v>147305767.53394294</v>
      </c>
    </row>
    <row r="83" spans="1:41" ht="15.75" thickBot="1" x14ac:dyDescent="0.3">
      <c r="A83" s="3">
        <f ca="1">EOMONTH(A82+1,0)</f>
        <v>46173</v>
      </c>
      <c r="B83" s="26" t="s">
        <v>58</v>
      </c>
      <c r="C83" s="27">
        <f ca="1">O8</f>
        <v>230976698.08628002</v>
      </c>
      <c r="D83" s="27">
        <v>2498124</v>
      </c>
      <c r="E83" s="27">
        <v>151513490.31999999</v>
      </c>
      <c r="F83" s="27">
        <v>144028704</v>
      </c>
      <c r="G83" s="27">
        <v>6843791</v>
      </c>
      <c r="H83" s="27">
        <v>641032</v>
      </c>
      <c r="I83" s="27">
        <f ca="1">(C83-E83-D83)+IF(L125&lt;0,L125,0)+IF(L166&lt;0,L166,0)+IF(L207&lt;0,L207,0)</f>
        <v>76965083.766280025</v>
      </c>
      <c r="J83" s="19">
        <v>37984514.989999935</v>
      </c>
      <c r="K83" s="20">
        <v>106044189.01000002</v>
      </c>
      <c r="L83" s="20">
        <f ca="1">C83-E83-D83</f>
        <v>76965083.766280025</v>
      </c>
      <c r="M83" s="16"/>
      <c r="N83" s="16"/>
      <c r="P83" s="16"/>
      <c r="S83" s="33" t="s">
        <v>58</v>
      </c>
      <c r="T83" s="19">
        <f t="shared" ca="1" si="24"/>
        <v>57633464.639530003</v>
      </c>
      <c r="U83" s="19">
        <f t="shared" ca="1" si="24"/>
        <v>498435</v>
      </c>
      <c r="V83" s="19">
        <f t="shared" ca="1" si="24"/>
        <v>47693060.839999989</v>
      </c>
      <c r="W83" s="19">
        <f t="shared" ca="1" si="24"/>
        <v>46761654</v>
      </c>
      <c r="X83" s="19">
        <f t="shared" ca="1" si="24"/>
        <v>858005</v>
      </c>
      <c r="Y83" s="19">
        <f t="shared" ca="1" si="24"/>
        <v>73414</v>
      </c>
      <c r="Z83" s="19">
        <f t="shared" ca="1" si="24"/>
        <v>9441968.7995300144</v>
      </c>
      <c r="AA83" s="19">
        <f t="shared" ca="1" si="24"/>
        <v>12452569.379999962</v>
      </c>
      <c r="AB83" s="20">
        <f t="shared" ca="1" si="24"/>
        <v>34309084.62000002</v>
      </c>
      <c r="AC83" s="20">
        <f t="shared" ca="1" si="24"/>
        <v>9441968.7995300144</v>
      </c>
      <c r="AD83" s="16"/>
      <c r="AE83" s="26" t="s">
        <v>58</v>
      </c>
      <c r="AF83" s="27">
        <v>173343233.44675002</v>
      </c>
      <c r="AG83" s="27">
        <v>1999689</v>
      </c>
      <c r="AH83" s="27">
        <v>103820429.48</v>
      </c>
      <c r="AI83" s="27">
        <v>97267050</v>
      </c>
      <c r="AJ83" s="27">
        <v>5985786</v>
      </c>
      <c r="AK83" s="27">
        <v>567618</v>
      </c>
      <c r="AL83" s="27">
        <v>67523114.966750011</v>
      </c>
      <c r="AM83" s="19">
        <v>25531945.609999973</v>
      </c>
      <c r="AN83" s="20">
        <v>71735104.390000001</v>
      </c>
      <c r="AO83" s="20">
        <v>67523114.966750011</v>
      </c>
    </row>
    <row r="84" spans="1:41" ht="15.75" thickBot="1" x14ac:dyDescent="0.3">
      <c r="B84" s="36" t="s">
        <v>59</v>
      </c>
      <c r="C84" s="37">
        <f ca="1">SUM(C48:C52)+C65+C78</f>
        <v>45090208092.186417</v>
      </c>
      <c r="D84" s="37">
        <f t="shared" ref="D84:K84" ca="1" si="26">SUM(D48:D52)+D65+D78</f>
        <v>2851345359</v>
      </c>
      <c r="E84" s="37">
        <f t="shared" ca="1" si="26"/>
        <v>41660163683.43</v>
      </c>
      <c r="F84" s="37">
        <f t="shared" ca="1" si="26"/>
        <v>30697119329</v>
      </c>
      <c r="G84" s="37">
        <f t="shared" ca="1" si="26"/>
        <v>10868294967</v>
      </c>
      <c r="H84" s="37">
        <f t="shared" ca="1" si="26"/>
        <v>92767140</v>
      </c>
      <c r="I84" s="37">
        <f t="shared" ca="1" si="26"/>
        <v>448028328.97662294</v>
      </c>
      <c r="J84" s="37">
        <f t="shared" ca="1" si="26"/>
        <v>7577236243.4399986</v>
      </c>
      <c r="K84" s="37">
        <f t="shared" ca="1" si="26"/>
        <v>23119883085.560005</v>
      </c>
      <c r="L84" s="38">
        <f t="shared" ca="1" si="15"/>
        <v>578699049.75641632</v>
      </c>
      <c r="N84" s="16"/>
      <c r="P84" s="42"/>
      <c r="S84" s="39" t="s">
        <v>59</v>
      </c>
      <c r="T84" s="40">
        <f t="shared" ca="1" si="24"/>
        <v>57633464.639526367</v>
      </c>
      <c r="U84" s="40">
        <f t="shared" ca="1" si="24"/>
        <v>-495458</v>
      </c>
      <c r="V84" s="40">
        <f t="shared" ca="1" si="24"/>
        <v>58246663.25</v>
      </c>
      <c r="W84" s="40">
        <f t="shared" ca="1" si="24"/>
        <v>56745395</v>
      </c>
      <c r="X84" s="40">
        <f t="shared" ca="1" si="24"/>
        <v>1286782</v>
      </c>
      <c r="Y84" s="40">
        <f t="shared" ca="1" si="23"/>
        <v>214553</v>
      </c>
      <c r="Z84" s="40">
        <f t="shared" ca="1" si="23"/>
        <v>-2095977.370470345</v>
      </c>
      <c r="AA84" s="40">
        <f t="shared" ca="1" si="23"/>
        <v>15438874.570001602</v>
      </c>
      <c r="AB84" s="40">
        <f t="shared" ca="1" si="23"/>
        <v>41306520.430000305</v>
      </c>
      <c r="AC84" s="41">
        <f t="shared" ca="1" si="23"/>
        <v>-117740.61047363281</v>
      </c>
      <c r="AE84" s="36" t="s">
        <v>59</v>
      </c>
      <c r="AF84" s="37">
        <v>45032574627.54689</v>
      </c>
      <c r="AG84" s="37">
        <v>2851840817</v>
      </c>
      <c r="AH84" s="37">
        <v>41601917020.18</v>
      </c>
      <c r="AI84" s="37">
        <v>30640373934</v>
      </c>
      <c r="AJ84" s="37">
        <v>10867008185</v>
      </c>
      <c r="AK84" s="37">
        <v>92552587</v>
      </c>
      <c r="AL84" s="37">
        <v>450124306.34709328</v>
      </c>
      <c r="AM84" s="37">
        <v>7561797368.869997</v>
      </c>
      <c r="AN84" s="37">
        <v>23078576565.130005</v>
      </c>
      <c r="AO84" s="38">
        <v>578816790.36688995</v>
      </c>
    </row>
    <row r="85" spans="1:41" x14ac:dyDescent="0.25">
      <c r="C85" s="16"/>
      <c r="D85" s="16"/>
      <c r="I85" s="35"/>
      <c r="J85" s="35"/>
      <c r="N85" s="16"/>
      <c r="O85" s="42"/>
      <c r="P85" s="42"/>
      <c r="T85" s="16"/>
      <c r="U85" s="16"/>
      <c r="AA85" s="35"/>
      <c r="AF85" s="16"/>
      <c r="AG85" s="16"/>
      <c r="AM85" s="35"/>
    </row>
    <row r="86" spans="1:41" x14ac:dyDescent="0.25">
      <c r="I86" s="45"/>
      <c r="J86" s="45"/>
      <c r="N86" s="42"/>
      <c r="O86" s="42"/>
      <c r="P86" s="42"/>
      <c r="AA86" s="45"/>
      <c r="AM86" s="45"/>
    </row>
    <row r="87" spans="1:41" x14ac:dyDescent="0.25">
      <c r="N87" s="42"/>
      <c r="O87" s="42"/>
      <c r="P87" s="42"/>
    </row>
    <row r="88" spans="1:41" ht="21.75" thickBot="1" x14ac:dyDescent="0.4">
      <c r="B88" s="5" t="str">
        <f ca="1">_xlfn.CONCAT("Siniya Summary as on-",TEXT(N2,"DD/MM/YYYY"))</f>
        <v>Siniya Summary as on-06/05/2026</v>
      </c>
      <c r="C88" s="6"/>
      <c r="D88" s="6"/>
      <c r="E88" s="6"/>
      <c r="F88" s="6"/>
      <c r="G88" s="6"/>
      <c r="H88" s="6"/>
      <c r="I88" s="6"/>
      <c r="J88" s="6"/>
      <c r="K88" s="6"/>
      <c r="L88" s="6"/>
      <c r="N88" s="42"/>
      <c r="O88" s="42"/>
      <c r="P88" s="42"/>
      <c r="S88" s="5" t="str">
        <f ca="1">B88</f>
        <v>Siniya Summary as on-06/05/2026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E88" s="5" t="str">
        <f ca="1">CONCATENATE("Siniya Summary as on-",TEXT(TODAY()-3,"dd/mm/yyyy"))</f>
        <v>Siniya Summary as on-05/05/2026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30" x14ac:dyDescent="0.25">
      <c r="B89" s="7" t="s">
        <v>6</v>
      </c>
      <c r="C89" s="8" t="s">
        <v>7</v>
      </c>
      <c r="D89" s="8" t="s">
        <v>8</v>
      </c>
      <c r="E89" s="8" t="s">
        <v>9</v>
      </c>
      <c r="F89" s="9" t="s">
        <v>10</v>
      </c>
      <c r="G89" s="8" t="s">
        <v>11</v>
      </c>
      <c r="H89" s="8" t="s">
        <v>12</v>
      </c>
      <c r="I89" s="8" t="s">
        <v>13</v>
      </c>
      <c r="J89" s="10" t="s">
        <v>62</v>
      </c>
      <c r="K89" s="11" t="s">
        <v>63</v>
      </c>
      <c r="L89" s="12" t="s">
        <v>16</v>
      </c>
      <c r="N89" s="42"/>
      <c r="O89" s="42"/>
      <c r="S89" s="7" t="s">
        <v>6</v>
      </c>
      <c r="T89" s="8" t="s">
        <v>7</v>
      </c>
      <c r="U89" s="8" t="s">
        <v>8</v>
      </c>
      <c r="V89" s="8" t="s">
        <v>9</v>
      </c>
      <c r="W89" s="9" t="s">
        <v>10</v>
      </c>
      <c r="X89" s="8" t="s">
        <v>11</v>
      </c>
      <c r="Y89" s="8" t="s">
        <v>12</v>
      </c>
      <c r="Z89" s="8" t="s">
        <v>13</v>
      </c>
      <c r="AA89" s="10" t="s">
        <v>62</v>
      </c>
      <c r="AB89" s="11" t="s">
        <v>63</v>
      </c>
      <c r="AC89" s="12" t="s">
        <v>16</v>
      </c>
      <c r="AE89" s="7" t="s">
        <v>6</v>
      </c>
      <c r="AF89" s="8" t="s">
        <v>7</v>
      </c>
      <c r="AG89" s="8" t="s">
        <v>8</v>
      </c>
      <c r="AH89" s="8" t="s">
        <v>9</v>
      </c>
      <c r="AI89" s="9" t="s">
        <v>10</v>
      </c>
      <c r="AJ89" s="8" t="s">
        <v>11</v>
      </c>
      <c r="AK89" s="8" t="s">
        <v>12</v>
      </c>
      <c r="AL89" s="8" t="s">
        <v>13</v>
      </c>
      <c r="AM89" s="10" t="s">
        <v>62</v>
      </c>
      <c r="AN89" s="11" t="s">
        <v>63</v>
      </c>
      <c r="AO89" s="12" t="s">
        <v>16</v>
      </c>
    </row>
    <row r="90" spans="1:41" x14ac:dyDescent="0.25">
      <c r="A90" s="3">
        <v>44196</v>
      </c>
      <c r="B90" s="13" t="s">
        <v>17</v>
      </c>
      <c r="C90" s="14"/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f ca="1">C90-E90-D90</f>
        <v>0</v>
      </c>
      <c r="J90" s="14">
        <v>0</v>
      </c>
      <c r="K90" s="15">
        <v>0</v>
      </c>
      <c r="L90" s="15">
        <f t="shared" ref="L90:L126" ca="1" si="27">C90-E90-D90</f>
        <v>0</v>
      </c>
      <c r="S90" s="18" t="s">
        <v>17</v>
      </c>
      <c r="T90" s="19">
        <f t="shared" ref="T90:AC126" ca="1" si="28">C90-AF90</f>
        <v>0</v>
      </c>
      <c r="U90" s="19">
        <f t="shared" ca="1" si="28"/>
        <v>0</v>
      </c>
      <c r="V90" s="19">
        <f t="shared" ca="1" si="28"/>
        <v>0</v>
      </c>
      <c r="W90" s="19">
        <f t="shared" ca="1" si="28"/>
        <v>0</v>
      </c>
      <c r="X90" s="19">
        <f t="shared" ca="1" si="28"/>
        <v>0</v>
      </c>
      <c r="Y90" s="19">
        <f t="shared" ca="1" si="28"/>
        <v>0</v>
      </c>
      <c r="Z90" s="19">
        <f t="shared" ca="1" si="28"/>
        <v>0</v>
      </c>
      <c r="AA90" s="19">
        <f t="shared" ca="1" si="28"/>
        <v>0</v>
      </c>
      <c r="AB90" s="20">
        <f t="shared" ca="1" si="28"/>
        <v>0</v>
      </c>
      <c r="AC90" s="20">
        <f t="shared" ca="1" si="28"/>
        <v>0</v>
      </c>
      <c r="AE90" s="13" t="s">
        <v>17</v>
      </c>
      <c r="AF90" s="14"/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5">
        <v>0</v>
      </c>
      <c r="AO90" s="15">
        <v>0</v>
      </c>
    </row>
    <row r="91" spans="1:41" x14ac:dyDescent="0.25">
      <c r="A91" s="3">
        <v>44561</v>
      </c>
      <c r="B91" s="13" t="s">
        <v>18</v>
      </c>
      <c r="C91" s="14"/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f ca="1">C91-E91-D91</f>
        <v>0</v>
      </c>
      <c r="J91" s="14">
        <v>0</v>
      </c>
      <c r="K91" s="15">
        <v>0</v>
      </c>
      <c r="L91" s="15">
        <f t="shared" ca="1" si="27"/>
        <v>0</v>
      </c>
      <c r="S91" s="18" t="s">
        <v>18</v>
      </c>
      <c r="T91" s="19">
        <f t="shared" ca="1" si="28"/>
        <v>0</v>
      </c>
      <c r="U91" s="19">
        <f t="shared" ca="1" si="28"/>
        <v>0</v>
      </c>
      <c r="V91" s="19">
        <f t="shared" ca="1" si="28"/>
        <v>0</v>
      </c>
      <c r="W91" s="19">
        <f t="shared" ca="1" si="28"/>
        <v>0</v>
      </c>
      <c r="X91" s="19">
        <f t="shared" ca="1" si="28"/>
        <v>0</v>
      </c>
      <c r="Y91" s="19">
        <f t="shared" ca="1" si="28"/>
        <v>0</v>
      </c>
      <c r="Z91" s="19">
        <f t="shared" ca="1" si="28"/>
        <v>0</v>
      </c>
      <c r="AA91" s="19">
        <f t="shared" ca="1" si="28"/>
        <v>0</v>
      </c>
      <c r="AB91" s="20">
        <f t="shared" ca="1" si="28"/>
        <v>0</v>
      </c>
      <c r="AC91" s="20">
        <f t="shared" ca="1" si="28"/>
        <v>0</v>
      </c>
      <c r="AE91" s="13" t="s">
        <v>18</v>
      </c>
      <c r="AF91" s="14"/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5">
        <v>0</v>
      </c>
      <c r="AO91" s="15">
        <v>0</v>
      </c>
    </row>
    <row r="92" spans="1:41" x14ac:dyDescent="0.25">
      <c r="A92" s="3">
        <f ca="1">EOMONTH(A91,12)</f>
        <v>44926</v>
      </c>
      <c r="B92" s="13" t="s">
        <v>20</v>
      </c>
      <c r="C92" s="14"/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f ca="1">C92-E92-D92</f>
        <v>0</v>
      </c>
      <c r="J92" s="14">
        <v>0</v>
      </c>
      <c r="K92" s="15">
        <v>0</v>
      </c>
      <c r="L92" s="15">
        <f t="shared" ca="1" si="27"/>
        <v>0</v>
      </c>
      <c r="S92" s="18" t="s">
        <v>20</v>
      </c>
      <c r="T92" s="19">
        <f t="shared" ca="1" si="28"/>
        <v>0</v>
      </c>
      <c r="U92" s="19">
        <f t="shared" ca="1" si="28"/>
        <v>0</v>
      </c>
      <c r="V92" s="19">
        <f t="shared" ca="1" si="28"/>
        <v>0</v>
      </c>
      <c r="W92" s="19">
        <f t="shared" ca="1" si="28"/>
        <v>0</v>
      </c>
      <c r="X92" s="19">
        <f t="shared" ca="1" si="28"/>
        <v>0</v>
      </c>
      <c r="Y92" s="19">
        <f t="shared" ca="1" si="28"/>
        <v>0</v>
      </c>
      <c r="Z92" s="19">
        <f t="shared" ca="1" si="28"/>
        <v>0</v>
      </c>
      <c r="AA92" s="19">
        <f t="shared" ca="1" si="28"/>
        <v>0</v>
      </c>
      <c r="AB92" s="20">
        <f t="shared" ca="1" si="28"/>
        <v>0</v>
      </c>
      <c r="AC92" s="20">
        <f t="shared" ca="1" si="28"/>
        <v>0</v>
      </c>
      <c r="AE92" s="13" t="s">
        <v>20</v>
      </c>
      <c r="AF92" s="14"/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5">
        <v>0</v>
      </c>
      <c r="AO92" s="15">
        <v>0</v>
      </c>
    </row>
    <row r="93" spans="1:41" x14ac:dyDescent="0.25">
      <c r="A93" s="3">
        <f ca="1">EOMONTH(A92,12)</f>
        <v>45291</v>
      </c>
      <c r="B93" s="13" t="s">
        <v>22</v>
      </c>
      <c r="C93" s="14"/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f ca="1">C93-E93-D93</f>
        <v>0</v>
      </c>
      <c r="J93" s="14">
        <v>0</v>
      </c>
      <c r="K93" s="15">
        <v>0</v>
      </c>
      <c r="L93" s="15">
        <f t="shared" ca="1" si="27"/>
        <v>0</v>
      </c>
      <c r="S93" s="18" t="s">
        <v>22</v>
      </c>
      <c r="T93" s="19">
        <f t="shared" ca="1" si="28"/>
        <v>0</v>
      </c>
      <c r="U93" s="19">
        <f t="shared" ca="1" si="28"/>
        <v>0</v>
      </c>
      <c r="V93" s="19">
        <f t="shared" ca="1" si="28"/>
        <v>0</v>
      </c>
      <c r="W93" s="19">
        <f t="shared" ca="1" si="28"/>
        <v>0</v>
      </c>
      <c r="X93" s="19">
        <f t="shared" ca="1" si="28"/>
        <v>0</v>
      </c>
      <c r="Y93" s="19">
        <f t="shared" ca="1" si="28"/>
        <v>0</v>
      </c>
      <c r="Z93" s="19">
        <f t="shared" ca="1" si="28"/>
        <v>0</v>
      </c>
      <c r="AA93" s="19">
        <f t="shared" ca="1" si="28"/>
        <v>0</v>
      </c>
      <c r="AB93" s="20">
        <f t="shared" ca="1" si="28"/>
        <v>0</v>
      </c>
      <c r="AC93" s="20">
        <f t="shared" ca="1" si="28"/>
        <v>0</v>
      </c>
      <c r="AE93" s="13" t="s">
        <v>22</v>
      </c>
      <c r="AF93" s="14"/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5">
        <v>0</v>
      </c>
      <c r="AO93" s="15">
        <v>0</v>
      </c>
    </row>
    <row r="94" spans="1:41" x14ac:dyDescent="0.25">
      <c r="A94" s="3">
        <v>45291</v>
      </c>
      <c r="B94" s="13" t="s">
        <v>24</v>
      </c>
      <c r="C94" s="14">
        <f t="shared" ref="C94:K94" ca="1" si="29">SUM(C95:C106)</f>
        <v>683865888.36715996</v>
      </c>
      <c r="D94" s="14">
        <f t="shared" ca="1" si="29"/>
        <v>12</v>
      </c>
      <c r="E94" s="14">
        <f t="shared" ca="1" si="29"/>
        <v>689996717.43000007</v>
      </c>
      <c r="F94" s="14">
        <f t="shared" ca="1" si="29"/>
        <v>123702503</v>
      </c>
      <c r="G94" s="14">
        <f t="shared" ca="1" si="29"/>
        <v>566269115</v>
      </c>
      <c r="H94" s="14">
        <f t="shared" ca="1" si="29"/>
        <v>24991</v>
      </c>
      <c r="I94" s="14">
        <f ca="1">SUM(I95:I106)</f>
        <v>1829445.9271600768</v>
      </c>
      <c r="J94" s="14">
        <f t="shared" ca="1" si="29"/>
        <v>33908997.18</v>
      </c>
      <c r="K94" s="15">
        <f t="shared" ca="1" si="29"/>
        <v>89793505.819999978</v>
      </c>
      <c r="L94" s="15">
        <f t="shared" ca="1" si="27"/>
        <v>-6130841.0628401041</v>
      </c>
      <c r="S94" s="18" t="s">
        <v>24</v>
      </c>
      <c r="T94" s="19">
        <f t="shared" ca="1" si="28"/>
        <v>0</v>
      </c>
      <c r="U94" s="19">
        <f t="shared" ca="1" si="28"/>
        <v>0</v>
      </c>
      <c r="V94" s="19">
        <f t="shared" ca="1" si="28"/>
        <v>17475.189999938011</v>
      </c>
      <c r="W94" s="19">
        <f t="shared" ca="1" si="28"/>
        <v>17452</v>
      </c>
      <c r="X94" s="19">
        <f t="shared" ca="1" si="28"/>
        <v>16</v>
      </c>
      <c r="Y94" s="19">
        <f t="shared" ca="1" si="28"/>
        <v>0</v>
      </c>
      <c r="Z94" s="19">
        <f t="shared" ca="1" si="28"/>
        <v>-17473.119999859482</v>
      </c>
      <c r="AA94" s="19">
        <f t="shared" ca="1" si="28"/>
        <v>-15.660000003874302</v>
      </c>
      <c r="AB94" s="20">
        <f t="shared" ca="1" si="28"/>
        <v>17467.65999995172</v>
      </c>
      <c r="AC94" s="20">
        <f t="shared" ca="1" si="28"/>
        <v>-17475.189999938011</v>
      </c>
      <c r="AE94" s="13" t="s">
        <v>24</v>
      </c>
      <c r="AF94" s="14">
        <v>683865888.36715996</v>
      </c>
      <c r="AG94" s="14">
        <v>12</v>
      </c>
      <c r="AH94" s="14">
        <v>689979242.24000013</v>
      </c>
      <c r="AI94" s="14">
        <v>123685051</v>
      </c>
      <c r="AJ94" s="14">
        <v>566269099</v>
      </c>
      <c r="AK94" s="14">
        <v>24991</v>
      </c>
      <c r="AL94" s="14">
        <v>1846919.0471599363</v>
      </c>
      <c r="AM94" s="14">
        <v>33909012.840000004</v>
      </c>
      <c r="AN94" s="15">
        <v>89776038.160000026</v>
      </c>
      <c r="AO94" s="15">
        <v>-6113365.8728401661</v>
      </c>
    </row>
    <row r="95" spans="1:41" x14ac:dyDescent="0.25">
      <c r="A95" s="3">
        <v>45322</v>
      </c>
      <c r="B95" s="26" t="s">
        <v>26</v>
      </c>
      <c r="C95" s="27"/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f ca="1">C95-E95-D95</f>
        <v>0</v>
      </c>
      <c r="J95" s="27">
        <v>0</v>
      </c>
      <c r="K95" s="28">
        <v>0</v>
      </c>
      <c r="L95" s="28">
        <f t="shared" ca="1" si="27"/>
        <v>0</v>
      </c>
      <c r="S95" s="26" t="s">
        <v>26</v>
      </c>
      <c r="T95" s="27">
        <f t="shared" ca="1" si="28"/>
        <v>0</v>
      </c>
      <c r="U95" s="27">
        <f t="shared" ca="1" si="28"/>
        <v>0</v>
      </c>
      <c r="V95" s="27">
        <f t="shared" ca="1" si="28"/>
        <v>0</v>
      </c>
      <c r="W95" s="27">
        <f t="shared" ca="1" si="28"/>
        <v>0</v>
      </c>
      <c r="X95" s="27">
        <f t="shared" ca="1" si="28"/>
        <v>0</v>
      </c>
      <c r="Y95" s="27">
        <f t="shared" ca="1" si="28"/>
        <v>0</v>
      </c>
      <c r="Z95" s="27">
        <f t="shared" ca="1" si="28"/>
        <v>0</v>
      </c>
      <c r="AA95" s="27">
        <f t="shared" ca="1" si="28"/>
        <v>0</v>
      </c>
      <c r="AB95" s="28">
        <f t="shared" ca="1" si="28"/>
        <v>0</v>
      </c>
      <c r="AC95" s="28">
        <f t="shared" ca="1" si="28"/>
        <v>0</v>
      </c>
      <c r="AE95" s="26" t="s">
        <v>26</v>
      </c>
      <c r="AF95" s="27"/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8">
        <v>0</v>
      </c>
      <c r="AO95" s="28">
        <v>0</v>
      </c>
    </row>
    <row r="96" spans="1:41" x14ac:dyDescent="0.25">
      <c r="A96" s="3">
        <f ca="1">EOMONTH(A95+1,0)</f>
        <v>45351</v>
      </c>
      <c r="B96" s="30" t="s">
        <v>28</v>
      </c>
      <c r="C96" s="31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f t="shared" ref="I96:I101" ca="1" si="30">C96-E96-D96</f>
        <v>0</v>
      </c>
      <c r="J96" s="31">
        <v>0</v>
      </c>
      <c r="K96" s="32">
        <v>0</v>
      </c>
      <c r="L96" s="32">
        <f t="shared" ca="1" si="27"/>
        <v>0</v>
      </c>
      <c r="S96" s="33" t="s">
        <v>28</v>
      </c>
      <c r="T96" s="19">
        <f t="shared" ca="1" si="28"/>
        <v>0</v>
      </c>
      <c r="U96" s="19">
        <f t="shared" ca="1" si="28"/>
        <v>0</v>
      </c>
      <c r="V96" s="19">
        <f t="shared" ca="1" si="28"/>
        <v>0</v>
      </c>
      <c r="W96" s="19">
        <f t="shared" ca="1" si="28"/>
        <v>0</v>
      </c>
      <c r="X96" s="19">
        <f t="shared" ca="1" si="28"/>
        <v>0</v>
      </c>
      <c r="Y96" s="19">
        <f t="shared" ca="1" si="28"/>
        <v>0</v>
      </c>
      <c r="Z96" s="19">
        <f t="shared" ca="1" si="28"/>
        <v>0</v>
      </c>
      <c r="AA96" s="19">
        <f t="shared" ca="1" si="28"/>
        <v>0</v>
      </c>
      <c r="AB96" s="20">
        <f t="shared" ca="1" si="28"/>
        <v>0</v>
      </c>
      <c r="AC96" s="20">
        <f t="shared" ca="1" si="28"/>
        <v>0</v>
      </c>
      <c r="AE96" s="30" t="s">
        <v>28</v>
      </c>
      <c r="AF96" s="31"/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2">
        <v>0</v>
      </c>
      <c r="AO96" s="32">
        <v>0</v>
      </c>
    </row>
    <row r="97" spans="1:41" x14ac:dyDescent="0.25">
      <c r="A97" s="3">
        <f t="shared" ref="A97:A106" ca="1" si="31">EOMONTH(A96+1,0)</f>
        <v>45382</v>
      </c>
      <c r="B97" s="26" t="s">
        <v>29</v>
      </c>
      <c r="C97" s="27"/>
      <c r="D97" s="27">
        <v>0</v>
      </c>
      <c r="E97" s="27">
        <v>87596</v>
      </c>
      <c r="F97" s="27">
        <v>0</v>
      </c>
      <c r="G97" s="27">
        <v>87596</v>
      </c>
      <c r="H97" s="27">
        <v>0</v>
      </c>
      <c r="I97" s="27">
        <f ca="1">IF(L97&lt;0,0,L97)</f>
        <v>0</v>
      </c>
      <c r="J97" s="19">
        <v>0</v>
      </c>
      <c r="K97" s="20">
        <v>0</v>
      </c>
      <c r="L97" s="20">
        <f t="shared" ca="1" si="27"/>
        <v>-87596</v>
      </c>
      <c r="S97" s="26" t="s">
        <v>29</v>
      </c>
      <c r="T97" s="27">
        <f t="shared" ca="1" si="28"/>
        <v>0</v>
      </c>
      <c r="U97" s="27">
        <f t="shared" ca="1" si="28"/>
        <v>0</v>
      </c>
      <c r="V97" s="27">
        <f t="shared" ca="1" si="28"/>
        <v>0</v>
      </c>
      <c r="W97" s="27">
        <f t="shared" ca="1" si="28"/>
        <v>0</v>
      </c>
      <c r="X97" s="27">
        <f t="shared" ca="1" si="28"/>
        <v>0</v>
      </c>
      <c r="Y97" s="27">
        <f t="shared" ca="1" si="28"/>
        <v>0</v>
      </c>
      <c r="Z97" s="27">
        <f t="shared" ca="1" si="28"/>
        <v>0</v>
      </c>
      <c r="AA97" s="19">
        <f t="shared" ca="1" si="28"/>
        <v>0</v>
      </c>
      <c r="AB97" s="20">
        <f t="shared" ca="1" si="28"/>
        <v>0</v>
      </c>
      <c r="AC97" s="20">
        <f t="shared" ca="1" si="28"/>
        <v>0</v>
      </c>
      <c r="AE97" s="26" t="s">
        <v>29</v>
      </c>
      <c r="AF97" s="27"/>
      <c r="AG97" s="27">
        <v>0</v>
      </c>
      <c r="AH97" s="27">
        <v>87596</v>
      </c>
      <c r="AI97" s="27">
        <v>0</v>
      </c>
      <c r="AJ97" s="27">
        <v>87596</v>
      </c>
      <c r="AK97" s="27">
        <v>0</v>
      </c>
      <c r="AL97" s="46">
        <v>0</v>
      </c>
      <c r="AM97" s="19">
        <v>0</v>
      </c>
      <c r="AN97" s="20">
        <v>0</v>
      </c>
      <c r="AO97" s="20">
        <v>-87596</v>
      </c>
    </row>
    <row r="98" spans="1:41" x14ac:dyDescent="0.25">
      <c r="A98" s="3">
        <f t="shared" ca="1" si="31"/>
        <v>45412</v>
      </c>
      <c r="B98" s="30" t="s">
        <v>30</v>
      </c>
      <c r="C98" s="31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f t="shared" ca="1" si="30"/>
        <v>0</v>
      </c>
      <c r="J98" s="31">
        <v>0</v>
      </c>
      <c r="K98" s="32">
        <v>0</v>
      </c>
      <c r="L98" s="32">
        <f t="shared" ca="1" si="27"/>
        <v>0</v>
      </c>
      <c r="S98" s="33" t="s">
        <v>30</v>
      </c>
      <c r="T98" s="19">
        <f t="shared" ca="1" si="28"/>
        <v>0</v>
      </c>
      <c r="U98" s="19">
        <f t="shared" ca="1" si="28"/>
        <v>0</v>
      </c>
      <c r="V98" s="19">
        <f t="shared" ca="1" si="28"/>
        <v>0</v>
      </c>
      <c r="W98" s="19">
        <f t="shared" ca="1" si="28"/>
        <v>0</v>
      </c>
      <c r="X98" s="19">
        <f t="shared" ca="1" si="28"/>
        <v>0</v>
      </c>
      <c r="Y98" s="19">
        <f t="shared" ca="1" si="28"/>
        <v>0</v>
      </c>
      <c r="Z98" s="19">
        <f t="shared" ca="1" si="28"/>
        <v>0</v>
      </c>
      <c r="AA98" s="19">
        <f t="shared" ca="1" si="28"/>
        <v>0</v>
      </c>
      <c r="AB98" s="20">
        <f t="shared" ca="1" si="28"/>
        <v>0</v>
      </c>
      <c r="AC98" s="20">
        <f t="shared" ca="1" si="28"/>
        <v>0</v>
      </c>
      <c r="AE98" s="30" t="s">
        <v>30</v>
      </c>
      <c r="AF98" s="31"/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2">
        <v>0</v>
      </c>
      <c r="AO98" s="32">
        <v>0</v>
      </c>
    </row>
    <row r="99" spans="1:41" x14ac:dyDescent="0.25">
      <c r="A99" s="3">
        <f t="shared" ca="1" si="31"/>
        <v>45443</v>
      </c>
      <c r="B99" s="26" t="s">
        <v>31</v>
      </c>
      <c r="C99" s="27"/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f t="shared" ca="1" si="30"/>
        <v>0</v>
      </c>
      <c r="J99" s="19">
        <v>0</v>
      </c>
      <c r="K99" s="20">
        <v>0</v>
      </c>
      <c r="L99" s="20">
        <f t="shared" ca="1" si="27"/>
        <v>0</v>
      </c>
      <c r="S99" s="26" t="s">
        <v>31</v>
      </c>
      <c r="T99" s="27">
        <f t="shared" ca="1" si="28"/>
        <v>0</v>
      </c>
      <c r="U99" s="27">
        <f t="shared" ca="1" si="28"/>
        <v>0</v>
      </c>
      <c r="V99" s="27">
        <f t="shared" ca="1" si="28"/>
        <v>0</v>
      </c>
      <c r="W99" s="27">
        <f t="shared" ca="1" si="28"/>
        <v>0</v>
      </c>
      <c r="X99" s="27">
        <f t="shared" ca="1" si="28"/>
        <v>0</v>
      </c>
      <c r="Y99" s="27">
        <f t="shared" ca="1" si="28"/>
        <v>0</v>
      </c>
      <c r="Z99" s="27">
        <f t="shared" ca="1" si="28"/>
        <v>0</v>
      </c>
      <c r="AA99" s="19">
        <f t="shared" ca="1" si="28"/>
        <v>0</v>
      </c>
      <c r="AB99" s="20">
        <f t="shared" ca="1" si="28"/>
        <v>0</v>
      </c>
      <c r="AC99" s="20">
        <f t="shared" ca="1" si="28"/>
        <v>0</v>
      </c>
      <c r="AE99" s="26" t="s">
        <v>31</v>
      </c>
      <c r="AF99" s="27"/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19">
        <v>0</v>
      </c>
      <c r="AN99" s="20">
        <v>0</v>
      </c>
      <c r="AO99" s="20">
        <v>0</v>
      </c>
    </row>
    <row r="100" spans="1:41" x14ac:dyDescent="0.25">
      <c r="A100" s="3">
        <f t="shared" ca="1" si="31"/>
        <v>45473</v>
      </c>
      <c r="B100" s="30" t="s">
        <v>33</v>
      </c>
      <c r="C100" s="31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1">
        <f t="shared" ca="1" si="30"/>
        <v>0</v>
      </c>
      <c r="J100" s="31">
        <v>0</v>
      </c>
      <c r="K100" s="32">
        <v>0</v>
      </c>
      <c r="L100" s="32">
        <f t="shared" ca="1" si="27"/>
        <v>0</v>
      </c>
      <c r="S100" s="33" t="s">
        <v>33</v>
      </c>
      <c r="T100" s="19">
        <f t="shared" ca="1" si="28"/>
        <v>0</v>
      </c>
      <c r="U100" s="19">
        <f t="shared" ca="1" si="28"/>
        <v>0</v>
      </c>
      <c r="V100" s="19">
        <f t="shared" ca="1" si="28"/>
        <v>0</v>
      </c>
      <c r="W100" s="19">
        <f t="shared" ca="1" si="28"/>
        <v>0</v>
      </c>
      <c r="X100" s="19">
        <f t="shared" ca="1" si="28"/>
        <v>0</v>
      </c>
      <c r="Y100" s="19">
        <f t="shared" ca="1" si="28"/>
        <v>0</v>
      </c>
      <c r="Z100" s="19">
        <f t="shared" ca="1" si="28"/>
        <v>0</v>
      </c>
      <c r="AA100" s="19">
        <f t="shared" ca="1" si="28"/>
        <v>0</v>
      </c>
      <c r="AB100" s="20">
        <f t="shared" ca="1" si="28"/>
        <v>0</v>
      </c>
      <c r="AC100" s="20">
        <f t="shared" ca="1" si="28"/>
        <v>0</v>
      </c>
      <c r="AE100" s="30" t="s">
        <v>33</v>
      </c>
      <c r="AF100" s="31"/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2">
        <v>0</v>
      </c>
      <c r="AO100" s="32">
        <v>0</v>
      </c>
    </row>
    <row r="101" spans="1:41" x14ac:dyDescent="0.25">
      <c r="A101" s="3">
        <f t="shared" ca="1" si="31"/>
        <v>45504</v>
      </c>
      <c r="B101" s="26" t="s">
        <v>34</v>
      </c>
      <c r="C101" s="27">
        <v>28055470.849999994</v>
      </c>
      <c r="D101" s="27">
        <v>0</v>
      </c>
      <c r="E101" s="27">
        <v>27460571.199999996</v>
      </c>
      <c r="F101" s="27">
        <v>1200256</v>
      </c>
      <c r="G101" s="27">
        <v>26260313</v>
      </c>
      <c r="H101" s="27">
        <v>0</v>
      </c>
      <c r="I101" s="27">
        <f t="shared" ca="1" si="30"/>
        <v>594899.64999999851</v>
      </c>
      <c r="J101" s="19">
        <v>1200256</v>
      </c>
      <c r="K101" s="20">
        <v>0</v>
      </c>
      <c r="L101" s="20">
        <f t="shared" ca="1" si="27"/>
        <v>594899.64999999851</v>
      </c>
      <c r="S101" s="26" t="s">
        <v>34</v>
      </c>
      <c r="T101" s="27">
        <f t="shared" ca="1" si="28"/>
        <v>0</v>
      </c>
      <c r="U101" s="27">
        <f t="shared" ca="1" si="28"/>
        <v>0</v>
      </c>
      <c r="V101" s="27">
        <f t="shared" ca="1" si="28"/>
        <v>0.34999999776482582</v>
      </c>
      <c r="W101" s="27">
        <f t="shared" ca="1" si="28"/>
        <v>0</v>
      </c>
      <c r="X101" s="27">
        <f t="shared" ca="1" si="28"/>
        <v>0</v>
      </c>
      <c r="Y101" s="27">
        <f t="shared" ca="1" si="28"/>
        <v>0</v>
      </c>
      <c r="Z101" s="27">
        <f t="shared" ca="1" si="28"/>
        <v>-0.34999999776482582</v>
      </c>
      <c r="AA101" s="19">
        <f t="shared" ca="1" si="28"/>
        <v>0.15000000013969839</v>
      </c>
      <c r="AB101" s="20">
        <f t="shared" ca="1" si="28"/>
        <v>-0.15000000013969839</v>
      </c>
      <c r="AC101" s="20">
        <f t="shared" ca="1" si="28"/>
        <v>-0.34999999776482582</v>
      </c>
      <c r="AE101" s="26" t="s">
        <v>34</v>
      </c>
      <c r="AF101" s="27">
        <v>28055470.849999994</v>
      </c>
      <c r="AG101" s="27">
        <v>0</v>
      </c>
      <c r="AH101" s="27">
        <v>27460570.849999998</v>
      </c>
      <c r="AI101" s="27">
        <v>1200256</v>
      </c>
      <c r="AJ101" s="27">
        <v>26260313</v>
      </c>
      <c r="AK101" s="27">
        <v>0</v>
      </c>
      <c r="AL101" s="27">
        <v>594899.99999999627</v>
      </c>
      <c r="AM101" s="19">
        <v>1200255.8499999999</v>
      </c>
      <c r="AN101" s="20">
        <v>0.15000000013969839</v>
      </c>
      <c r="AO101" s="20">
        <v>594899.99999999627</v>
      </c>
    </row>
    <row r="102" spans="1:41" x14ac:dyDescent="0.25">
      <c r="A102" s="3">
        <f t="shared" ca="1" si="31"/>
        <v>45535</v>
      </c>
      <c r="B102" s="30" t="s">
        <v>35</v>
      </c>
      <c r="C102" s="31">
        <v>85837642.38000001</v>
      </c>
      <c r="D102" s="31">
        <v>0</v>
      </c>
      <c r="E102" s="31">
        <v>90674289.089999989</v>
      </c>
      <c r="F102" s="31">
        <v>6192869</v>
      </c>
      <c r="G102" s="31">
        <v>84480405</v>
      </c>
      <c r="H102" s="31">
        <v>1000</v>
      </c>
      <c r="I102" s="31">
        <f ca="1">IF(L102&lt;0,0,L102)</f>
        <v>0</v>
      </c>
      <c r="J102" s="31">
        <v>5758693.2999999998</v>
      </c>
      <c r="K102" s="32">
        <v>434175.70000000013</v>
      </c>
      <c r="L102" s="32">
        <f t="shared" ca="1" si="27"/>
        <v>-4836646.7099999785</v>
      </c>
      <c r="S102" s="33" t="s">
        <v>35</v>
      </c>
      <c r="T102" s="19">
        <f t="shared" ca="1" si="28"/>
        <v>0</v>
      </c>
      <c r="U102" s="19">
        <f t="shared" ca="1" si="28"/>
        <v>0</v>
      </c>
      <c r="V102" s="19">
        <f t="shared" ca="1" si="28"/>
        <v>-4.0000006556510925E-2</v>
      </c>
      <c r="W102" s="19">
        <f t="shared" ca="1" si="28"/>
        <v>7</v>
      </c>
      <c r="X102" s="19">
        <f t="shared" ca="1" si="28"/>
        <v>-3</v>
      </c>
      <c r="Y102" s="19">
        <f t="shared" ca="1" si="28"/>
        <v>0</v>
      </c>
      <c r="Z102" s="19">
        <f t="shared" ca="1" si="28"/>
        <v>0</v>
      </c>
      <c r="AA102" s="19">
        <f t="shared" ca="1" si="28"/>
        <v>6.7000000001862645</v>
      </c>
      <c r="AB102" s="20">
        <f t="shared" ca="1" si="28"/>
        <v>0.29999999987194315</v>
      </c>
      <c r="AC102" s="20">
        <f t="shared" ca="1" si="28"/>
        <v>4.0000006556510925E-2</v>
      </c>
      <c r="AE102" s="30" t="s">
        <v>35</v>
      </c>
      <c r="AF102" s="31">
        <v>85837642.38000001</v>
      </c>
      <c r="AG102" s="31">
        <v>0</v>
      </c>
      <c r="AH102" s="31">
        <v>90674289.129999995</v>
      </c>
      <c r="AI102" s="31">
        <v>6192862</v>
      </c>
      <c r="AJ102" s="31">
        <v>84480408</v>
      </c>
      <c r="AK102" s="31">
        <v>1000</v>
      </c>
      <c r="AL102" s="46">
        <v>0</v>
      </c>
      <c r="AM102" s="31">
        <v>5758686.5999999996</v>
      </c>
      <c r="AN102" s="32">
        <v>434175.40000000026</v>
      </c>
      <c r="AO102" s="32">
        <v>-4836646.7499999851</v>
      </c>
    </row>
    <row r="103" spans="1:41" x14ac:dyDescent="0.25">
      <c r="A103" s="3">
        <f t="shared" ca="1" si="31"/>
        <v>45565</v>
      </c>
      <c r="B103" s="26" t="s">
        <v>36</v>
      </c>
      <c r="C103" s="27">
        <v>92750112.409999937</v>
      </c>
      <c r="D103" s="27">
        <v>0</v>
      </c>
      <c r="E103" s="27">
        <v>94073383.459999993</v>
      </c>
      <c r="F103" s="27">
        <v>7944855</v>
      </c>
      <c r="G103" s="27">
        <v>86117497</v>
      </c>
      <c r="H103" s="27">
        <v>11000</v>
      </c>
      <c r="I103" s="27">
        <f t="shared" ref="I103:I118" ca="1" si="32">IF(L103&lt;0,0,L103)</f>
        <v>0</v>
      </c>
      <c r="J103" s="19">
        <v>5078987.62</v>
      </c>
      <c r="K103" s="20">
        <v>2865867.3799999994</v>
      </c>
      <c r="L103" s="20">
        <f t="shared" ca="1" si="27"/>
        <v>-1323271.0500000566</v>
      </c>
      <c r="S103" s="26" t="s">
        <v>36</v>
      </c>
      <c r="T103" s="27">
        <f t="shared" ca="1" si="28"/>
        <v>0</v>
      </c>
      <c r="U103" s="27">
        <f t="shared" ca="1" si="28"/>
        <v>0</v>
      </c>
      <c r="V103" s="27">
        <f t="shared" ca="1" si="28"/>
        <v>0.92000003159046173</v>
      </c>
      <c r="W103" s="27">
        <f t="shared" ca="1" si="28"/>
        <v>2</v>
      </c>
      <c r="X103" s="27">
        <f t="shared" ca="1" si="28"/>
        <v>-2</v>
      </c>
      <c r="Y103" s="27">
        <f t="shared" ca="1" si="28"/>
        <v>0</v>
      </c>
      <c r="Z103" s="27">
        <f t="shared" ca="1" si="28"/>
        <v>0</v>
      </c>
      <c r="AA103" s="19">
        <f t="shared" ca="1" si="28"/>
        <v>0.83000000007450581</v>
      </c>
      <c r="AB103" s="20">
        <f t="shared" ca="1" si="28"/>
        <v>1.1699999994598329</v>
      </c>
      <c r="AC103" s="20">
        <f t="shared" ca="1" si="28"/>
        <v>-0.92000003159046173</v>
      </c>
      <c r="AE103" s="26" t="s">
        <v>36</v>
      </c>
      <c r="AF103" s="27">
        <v>92750112.409999937</v>
      </c>
      <c r="AG103" s="27">
        <v>0</v>
      </c>
      <c r="AH103" s="27">
        <v>94073382.539999962</v>
      </c>
      <c r="AI103" s="27">
        <v>7944853</v>
      </c>
      <c r="AJ103" s="27">
        <v>86117499</v>
      </c>
      <c r="AK103" s="27">
        <v>11000</v>
      </c>
      <c r="AL103" s="47">
        <v>0</v>
      </c>
      <c r="AM103" s="19">
        <v>5078986.79</v>
      </c>
      <c r="AN103" s="20">
        <v>2865866.21</v>
      </c>
      <c r="AO103" s="20">
        <v>-1323270.130000025</v>
      </c>
    </row>
    <row r="104" spans="1:41" x14ac:dyDescent="0.25">
      <c r="A104" s="3">
        <f t="shared" ca="1" si="31"/>
        <v>45596</v>
      </c>
      <c r="B104" s="30" t="s">
        <v>37</v>
      </c>
      <c r="C104" s="31">
        <v>157065570.9877001</v>
      </c>
      <c r="D104" s="31">
        <v>0</v>
      </c>
      <c r="E104" s="31">
        <v>156514387.74000001</v>
      </c>
      <c r="F104" s="31">
        <v>33409010</v>
      </c>
      <c r="G104" s="31">
        <v>123103346</v>
      </c>
      <c r="H104" s="31">
        <v>2000</v>
      </c>
      <c r="I104" s="31">
        <f t="shared" ca="1" si="32"/>
        <v>551183.24770009518</v>
      </c>
      <c r="J104" s="31">
        <v>7473146.2600000016</v>
      </c>
      <c r="K104" s="32">
        <v>25935863.740000002</v>
      </c>
      <c r="L104" s="32">
        <f t="shared" ca="1" si="27"/>
        <v>551183.24770009518</v>
      </c>
      <c r="S104" s="33" t="s">
        <v>37</v>
      </c>
      <c r="T104" s="19">
        <f t="shared" ca="1" si="28"/>
        <v>0</v>
      </c>
      <c r="U104" s="19">
        <f t="shared" ca="1" si="28"/>
        <v>0</v>
      </c>
      <c r="V104" s="19">
        <f t="shared" ca="1" si="28"/>
        <v>2.4299999475479126</v>
      </c>
      <c r="W104" s="19">
        <f t="shared" ca="1" si="28"/>
        <v>-13</v>
      </c>
      <c r="X104" s="19">
        <f t="shared" ca="1" si="28"/>
        <v>11</v>
      </c>
      <c r="Y104" s="19">
        <f t="shared" ca="1" si="28"/>
        <v>0</v>
      </c>
      <c r="Z104" s="19">
        <f t="shared" ca="1" si="28"/>
        <v>-2.4299999475479126</v>
      </c>
      <c r="AA104" s="19">
        <f t="shared" ca="1" si="28"/>
        <v>-11.769999999552965</v>
      </c>
      <c r="AB104" s="20">
        <f t="shared" ca="1" si="28"/>
        <v>-1.2299999967217445</v>
      </c>
      <c r="AC104" s="20">
        <f t="shared" ca="1" si="28"/>
        <v>-2.4299999475479126</v>
      </c>
      <c r="AE104" s="30" t="s">
        <v>37</v>
      </c>
      <c r="AF104" s="31">
        <v>157065570.9877001</v>
      </c>
      <c r="AG104" s="31">
        <v>0</v>
      </c>
      <c r="AH104" s="31">
        <v>156514385.31000006</v>
      </c>
      <c r="AI104" s="31">
        <v>33409023</v>
      </c>
      <c r="AJ104" s="31">
        <v>123103335</v>
      </c>
      <c r="AK104" s="31">
        <v>2000</v>
      </c>
      <c r="AL104" s="31">
        <v>551185.67770004272</v>
      </c>
      <c r="AM104" s="31">
        <v>7473158.0300000012</v>
      </c>
      <c r="AN104" s="32">
        <v>25935864.969999999</v>
      </c>
      <c r="AO104" s="32">
        <v>551185.67770004272</v>
      </c>
    </row>
    <row r="105" spans="1:41" x14ac:dyDescent="0.25">
      <c r="A105" s="3">
        <f t="shared" ca="1" si="31"/>
        <v>45626</v>
      </c>
      <c r="B105" s="26" t="s">
        <v>38</v>
      </c>
      <c r="C105" s="27">
        <v>159898358.29945996</v>
      </c>
      <c r="D105" s="27">
        <v>0</v>
      </c>
      <c r="E105" s="27">
        <v>159214995.26999998</v>
      </c>
      <c r="F105" s="27">
        <v>42234724</v>
      </c>
      <c r="G105" s="27">
        <v>116979243</v>
      </c>
      <c r="H105" s="27">
        <v>1000</v>
      </c>
      <c r="I105" s="27">
        <f t="shared" ca="1" si="32"/>
        <v>683363.02945998311</v>
      </c>
      <c r="J105" s="19">
        <v>7198207.1600000039</v>
      </c>
      <c r="K105" s="20">
        <v>35036516.839999989</v>
      </c>
      <c r="L105" s="20">
        <f t="shared" ca="1" si="27"/>
        <v>683363.02945998311</v>
      </c>
      <c r="S105" s="26" t="s">
        <v>38</v>
      </c>
      <c r="T105" s="27">
        <f t="shared" ca="1" si="28"/>
        <v>0</v>
      </c>
      <c r="U105" s="27">
        <f t="shared" ca="1" si="28"/>
        <v>0</v>
      </c>
      <c r="V105" s="27">
        <f t="shared" ca="1" si="28"/>
        <v>17470.339999914169</v>
      </c>
      <c r="W105" s="27">
        <f t="shared" ca="1" si="28"/>
        <v>17454</v>
      </c>
      <c r="X105" s="27">
        <f t="shared" ca="1" si="28"/>
        <v>12</v>
      </c>
      <c r="Y105" s="27">
        <f t="shared" ca="1" si="28"/>
        <v>0</v>
      </c>
      <c r="Z105" s="27">
        <f t="shared" ca="1" si="28"/>
        <v>-17470.339999914169</v>
      </c>
      <c r="AA105" s="19">
        <f t="shared" ca="1" si="28"/>
        <v>-11.199999997392297</v>
      </c>
      <c r="AB105" s="20">
        <f t="shared" ca="1" si="28"/>
        <v>17465.199999965727</v>
      </c>
      <c r="AC105" s="20">
        <f t="shared" ca="1" si="28"/>
        <v>-17470.339999914169</v>
      </c>
      <c r="AE105" s="26" t="s">
        <v>38</v>
      </c>
      <c r="AF105" s="27">
        <v>159898358.29945996</v>
      </c>
      <c r="AG105" s="27">
        <v>0</v>
      </c>
      <c r="AH105" s="27">
        <v>159197524.93000007</v>
      </c>
      <c r="AI105" s="27">
        <v>42217270</v>
      </c>
      <c r="AJ105" s="27">
        <v>116979231</v>
      </c>
      <c r="AK105" s="27">
        <v>1000</v>
      </c>
      <c r="AL105" s="27">
        <v>700833.36945989728</v>
      </c>
      <c r="AM105" s="19">
        <v>7198218.3600000013</v>
      </c>
      <c r="AN105" s="20">
        <v>35019051.640000023</v>
      </c>
      <c r="AO105" s="20">
        <v>700833.36945989728</v>
      </c>
    </row>
    <row r="106" spans="1:41" x14ac:dyDescent="0.25">
      <c r="A106" s="3">
        <f t="shared" ca="1" si="31"/>
        <v>45657</v>
      </c>
      <c r="B106" s="30" t="s">
        <v>39</v>
      </c>
      <c r="C106" s="31">
        <v>160258733.43999997</v>
      </c>
      <c r="D106" s="31">
        <v>12</v>
      </c>
      <c r="E106" s="31">
        <v>161971494.67000008</v>
      </c>
      <c r="F106" s="31">
        <v>32720789</v>
      </c>
      <c r="G106" s="31">
        <v>129240715</v>
      </c>
      <c r="H106" s="31">
        <v>9991</v>
      </c>
      <c r="I106" s="31">
        <f t="shared" ca="1" si="32"/>
        <v>0</v>
      </c>
      <c r="J106" s="31">
        <v>7199706.8399999933</v>
      </c>
      <c r="K106" s="32">
        <v>25521082.159999993</v>
      </c>
      <c r="L106" s="32">
        <f t="shared" ca="1" si="27"/>
        <v>-1712773.2300001085</v>
      </c>
      <c r="S106" s="33" t="s">
        <v>39</v>
      </c>
      <c r="T106" s="19">
        <f t="shared" ca="1" si="28"/>
        <v>0</v>
      </c>
      <c r="U106" s="19">
        <f t="shared" ca="1" si="28"/>
        <v>0</v>
      </c>
      <c r="V106" s="19">
        <f t="shared" ca="1" si="28"/>
        <v>1.190000057220459</v>
      </c>
      <c r="W106" s="19">
        <f t="shared" ca="1" si="28"/>
        <v>2</v>
      </c>
      <c r="X106" s="19">
        <f t="shared" ca="1" si="28"/>
        <v>-2</v>
      </c>
      <c r="Y106" s="19">
        <f t="shared" ca="1" si="28"/>
        <v>0</v>
      </c>
      <c r="Z106" s="19">
        <f t="shared" ca="1" si="28"/>
        <v>0</v>
      </c>
      <c r="AA106" s="19">
        <f t="shared" ca="1" si="28"/>
        <v>-0.37000000383704901</v>
      </c>
      <c r="AB106" s="20">
        <f t="shared" ca="1" si="28"/>
        <v>2.3699999861419201</v>
      </c>
      <c r="AC106" s="20">
        <f t="shared" ca="1" si="28"/>
        <v>-1.190000057220459</v>
      </c>
      <c r="AE106" s="30" t="s">
        <v>39</v>
      </c>
      <c r="AF106" s="31">
        <v>160258733.43999997</v>
      </c>
      <c r="AG106" s="31">
        <v>12</v>
      </c>
      <c r="AH106" s="31">
        <v>161971493.48000002</v>
      </c>
      <c r="AI106" s="31">
        <v>32720787</v>
      </c>
      <c r="AJ106" s="31">
        <v>129240717</v>
      </c>
      <c r="AK106" s="31">
        <v>9991</v>
      </c>
      <c r="AL106" s="46">
        <v>0</v>
      </c>
      <c r="AM106" s="31">
        <v>7199707.2099999972</v>
      </c>
      <c r="AN106" s="32">
        <v>25521079.790000007</v>
      </c>
      <c r="AO106" s="32">
        <v>-1712772.0400000513</v>
      </c>
    </row>
    <row r="107" spans="1:41" x14ac:dyDescent="0.25">
      <c r="A107" s="3">
        <f ca="1">A106</f>
        <v>45657</v>
      </c>
      <c r="B107" s="13" t="s">
        <v>40</v>
      </c>
      <c r="C107" s="14">
        <f ca="1">SUM(C108:C119)</f>
        <v>2506879636.1202002</v>
      </c>
      <c r="D107" s="14">
        <f t="shared" ref="D107:K107" ca="1" si="33">SUM(D108:D119)</f>
        <v>29811</v>
      </c>
      <c r="E107" s="14">
        <f t="shared" ca="1" si="33"/>
        <v>2502723309.1200008</v>
      </c>
      <c r="F107" s="14">
        <f t="shared" ca="1" si="33"/>
        <v>1568601391</v>
      </c>
      <c r="G107" s="14">
        <f t="shared" ca="1" si="33"/>
        <v>930383474</v>
      </c>
      <c r="H107" s="14">
        <f t="shared" ca="1" si="33"/>
        <v>3739203</v>
      </c>
      <c r="I107" s="14">
        <f ca="1">SUM(I108:I119)</f>
        <v>6797384.5099999905</v>
      </c>
      <c r="J107" s="14">
        <f t="shared" ca="1" si="33"/>
        <v>371080086.23999995</v>
      </c>
      <c r="K107" s="15">
        <f t="shared" ca="1" si="33"/>
        <v>1197521304.7600002</v>
      </c>
      <c r="L107" s="15">
        <f t="shared" ca="1" si="27"/>
        <v>4126516.0001993179</v>
      </c>
      <c r="S107" s="18" t="s">
        <v>40</v>
      </c>
      <c r="T107" s="19">
        <f t="shared" ca="1" si="28"/>
        <v>0</v>
      </c>
      <c r="U107" s="19">
        <f t="shared" ca="1" si="28"/>
        <v>0</v>
      </c>
      <c r="V107" s="19">
        <f t="shared" ca="1" si="28"/>
        <v>151995.07999992371</v>
      </c>
      <c r="W107" s="19">
        <f t="shared" ca="1" si="28"/>
        <v>149919</v>
      </c>
      <c r="X107" s="19">
        <f t="shared" ca="1" si="28"/>
        <v>-25</v>
      </c>
      <c r="Y107" s="19">
        <f t="shared" ca="1" si="28"/>
        <v>2000</v>
      </c>
      <c r="Z107" s="19">
        <f t="shared" ca="1" si="28"/>
        <v>-150985.16999980807</v>
      </c>
      <c r="AA107" s="19">
        <f t="shared" ca="1" si="28"/>
        <v>9.8799999356269836</v>
      </c>
      <c r="AB107" s="20">
        <f t="shared" ca="1" si="28"/>
        <v>149909.12000060081</v>
      </c>
      <c r="AC107" s="20">
        <f t="shared" ca="1" si="28"/>
        <v>-151995.07999992371</v>
      </c>
      <c r="AE107" s="13" t="s">
        <v>40</v>
      </c>
      <c r="AF107" s="14">
        <v>2506879636.1202002</v>
      </c>
      <c r="AG107" s="14">
        <v>29811</v>
      </c>
      <c r="AH107" s="14">
        <v>2502571314.0400009</v>
      </c>
      <c r="AI107" s="14">
        <v>1568451472</v>
      </c>
      <c r="AJ107" s="14">
        <v>930383499</v>
      </c>
      <c r="AK107" s="14">
        <v>3737203</v>
      </c>
      <c r="AL107" s="14">
        <v>6948369.6799997985</v>
      </c>
      <c r="AM107" s="14">
        <v>371080076.36000001</v>
      </c>
      <c r="AN107" s="15">
        <v>1197371395.6399996</v>
      </c>
      <c r="AO107" s="15">
        <v>4278511.0801992416</v>
      </c>
    </row>
    <row r="108" spans="1:41" x14ac:dyDescent="0.25">
      <c r="A108" s="3">
        <f ca="1">EOMONTH(A106+1,0)</f>
        <v>45688</v>
      </c>
      <c r="B108" s="26" t="s">
        <v>41</v>
      </c>
      <c r="C108" s="27">
        <v>187489167.10000011</v>
      </c>
      <c r="D108" s="27">
        <v>28788</v>
      </c>
      <c r="E108" s="27">
        <v>189080575.90000021</v>
      </c>
      <c r="F108" s="27">
        <v>72925503</v>
      </c>
      <c r="G108" s="27">
        <v>116146073</v>
      </c>
      <c r="H108" s="27">
        <v>9000</v>
      </c>
      <c r="I108" s="31">
        <f t="shared" ca="1" si="32"/>
        <v>0</v>
      </c>
      <c r="J108" s="19">
        <v>11186398.840000002</v>
      </c>
      <c r="K108" s="20">
        <v>61739104.160000004</v>
      </c>
      <c r="L108" s="20">
        <f t="shared" ca="1" si="27"/>
        <v>-1620196.8000001013</v>
      </c>
      <c r="M108" s="16"/>
      <c r="S108" s="26" t="s">
        <v>41</v>
      </c>
      <c r="T108" s="27">
        <f t="shared" ca="1" si="28"/>
        <v>0</v>
      </c>
      <c r="U108" s="27">
        <f t="shared" ca="1" si="28"/>
        <v>0</v>
      </c>
      <c r="V108" s="27">
        <f t="shared" ca="1" si="28"/>
        <v>1.4699999392032623</v>
      </c>
      <c r="W108" s="27">
        <f t="shared" ca="1" si="28"/>
        <v>0</v>
      </c>
      <c r="X108" s="27">
        <f t="shared" ca="1" si="28"/>
        <v>-5</v>
      </c>
      <c r="Y108" s="27">
        <f t="shared" ca="1" si="28"/>
        <v>0</v>
      </c>
      <c r="Z108" s="27">
        <f t="shared" ca="1" si="28"/>
        <v>0</v>
      </c>
      <c r="AA108" s="19">
        <f t="shared" ca="1" si="28"/>
        <v>2.9900000039488077</v>
      </c>
      <c r="AB108" s="20">
        <f t="shared" ca="1" si="28"/>
        <v>-2.9899999871850014</v>
      </c>
      <c r="AC108" s="20">
        <f t="shared" ca="1" si="28"/>
        <v>-1.4699999392032623</v>
      </c>
      <c r="AD108" s="16"/>
      <c r="AE108" s="26" t="s">
        <v>41</v>
      </c>
      <c r="AF108" s="27">
        <v>187489167.10000011</v>
      </c>
      <c r="AG108" s="27">
        <v>28788</v>
      </c>
      <c r="AH108" s="27">
        <v>189080574.43000028</v>
      </c>
      <c r="AI108" s="27">
        <v>72925503</v>
      </c>
      <c r="AJ108" s="27">
        <v>116146078</v>
      </c>
      <c r="AK108" s="27">
        <v>9000</v>
      </c>
      <c r="AL108" s="46">
        <v>0</v>
      </c>
      <c r="AM108" s="19">
        <v>11186395.849999998</v>
      </c>
      <c r="AN108" s="20">
        <v>61739107.149999991</v>
      </c>
      <c r="AO108" s="20">
        <v>-1620195.3300001621</v>
      </c>
    </row>
    <row r="109" spans="1:41" x14ac:dyDescent="0.25">
      <c r="A109" s="3">
        <f t="shared" ref="A109:A117" ca="1" si="34">EOMONTH(A108+1,0)</f>
        <v>45716</v>
      </c>
      <c r="B109" s="30" t="s">
        <v>42</v>
      </c>
      <c r="C109" s="31">
        <v>214851181.34019995</v>
      </c>
      <c r="D109" s="31">
        <v>0</v>
      </c>
      <c r="E109" s="31">
        <v>215071478.54000014</v>
      </c>
      <c r="F109" s="31">
        <v>82601616</v>
      </c>
      <c r="G109" s="31">
        <v>132445842</v>
      </c>
      <c r="H109" s="31">
        <v>24035</v>
      </c>
      <c r="I109" s="27">
        <f t="shared" ca="1" si="32"/>
        <v>0</v>
      </c>
      <c r="J109" s="31">
        <v>16113641.150000008</v>
      </c>
      <c r="K109" s="32">
        <v>66487974.849999994</v>
      </c>
      <c r="L109" s="32">
        <f t="shared" ca="1" si="27"/>
        <v>-220297.19980019331</v>
      </c>
      <c r="M109" s="16"/>
      <c r="S109" s="33" t="s">
        <v>42</v>
      </c>
      <c r="T109" s="19">
        <f t="shared" ca="1" si="28"/>
        <v>0</v>
      </c>
      <c r="U109" s="19">
        <f t="shared" ca="1" si="28"/>
        <v>0</v>
      </c>
      <c r="V109" s="19">
        <f t="shared" ca="1" si="28"/>
        <v>2.0900002121925354</v>
      </c>
      <c r="W109" s="19">
        <f t="shared" ca="1" si="28"/>
        <v>-10</v>
      </c>
      <c r="X109" s="19">
        <f t="shared" ca="1" si="28"/>
        <v>1</v>
      </c>
      <c r="Y109" s="19">
        <f t="shared" ca="1" si="28"/>
        <v>0</v>
      </c>
      <c r="Z109" s="19">
        <f t="shared" ca="1" si="28"/>
        <v>0</v>
      </c>
      <c r="AA109" s="19">
        <f t="shared" ca="1" si="28"/>
        <v>-8.5099999904632568</v>
      </c>
      <c r="AB109" s="20">
        <f t="shared" ca="1" si="28"/>
        <v>-1.4899999797344208</v>
      </c>
      <c r="AC109" s="20">
        <f t="shared" ca="1" si="28"/>
        <v>-2.0900002121925354</v>
      </c>
      <c r="AD109" s="16"/>
      <c r="AE109" s="30" t="s">
        <v>42</v>
      </c>
      <c r="AF109" s="31">
        <v>214851181.34019995</v>
      </c>
      <c r="AG109" s="31">
        <v>0</v>
      </c>
      <c r="AH109" s="31">
        <v>215071476.44999993</v>
      </c>
      <c r="AI109" s="31">
        <v>82601626</v>
      </c>
      <c r="AJ109" s="31">
        <v>132445841</v>
      </c>
      <c r="AK109" s="31">
        <v>24035</v>
      </c>
      <c r="AL109" s="31">
        <v>0</v>
      </c>
      <c r="AM109" s="31">
        <v>16113649.659999998</v>
      </c>
      <c r="AN109" s="32">
        <v>66487976.339999974</v>
      </c>
      <c r="AO109" s="32">
        <v>-220295.10979998112</v>
      </c>
    </row>
    <row r="110" spans="1:41" x14ac:dyDescent="0.25">
      <c r="A110" s="3">
        <f t="shared" ca="1" si="34"/>
        <v>45747</v>
      </c>
      <c r="B110" s="26" t="s">
        <v>43</v>
      </c>
      <c r="C110" s="27">
        <v>200794301.42000008</v>
      </c>
      <c r="D110" s="27">
        <v>23</v>
      </c>
      <c r="E110" s="27">
        <v>200043337.98000008</v>
      </c>
      <c r="F110" s="27">
        <v>92478265</v>
      </c>
      <c r="G110" s="27">
        <v>107530606</v>
      </c>
      <c r="H110" s="27">
        <v>34504</v>
      </c>
      <c r="I110" s="27">
        <f t="shared" ca="1" si="32"/>
        <v>750940.43999999762</v>
      </c>
      <c r="J110" s="19">
        <v>21692316.259999998</v>
      </c>
      <c r="K110" s="20">
        <v>70785948.740000039</v>
      </c>
      <c r="L110" s="20">
        <f t="shared" ca="1" si="27"/>
        <v>750940.43999999762</v>
      </c>
      <c r="M110" s="16"/>
      <c r="S110" s="26" t="s">
        <v>43</v>
      </c>
      <c r="T110" s="27">
        <f t="shared" ca="1" si="28"/>
        <v>0</v>
      </c>
      <c r="U110" s="27">
        <f t="shared" ca="1" si="28"/>
        <v>0</v>
      </c>
      <c r="V110" s="27">
        <f t="shared" ca="1" si="28"/>
        <v>1.2199999988079071</v>
      </c>
      <c r="W110" s="27">
        <f t="shared" ca="1" si="28"/>
        <v>-4</v>
      </c>
      <c r="X110" s="27">
        <f t="shared" ca="1" si="28"/>
        <v>-3</v>
      </c>
      <c r="Y110" s="27">
        <f t="shared" ca="1" si="28"/>
        <v>0</v>
      </c>
      <c r="Z110" s="27">
        <f t="shared" ca="1" si="28"/>
        <v>-1.2199999988079071</v>
      </c>
      <c r="AA110" s="19">
        <f t="shared" ca="1" si="28"/>
        <v>3.5300000086426735</v>
      </c>
      <c r="AB110" s="20">
        <f t="shared" ca="1" si="28"/>
        <v>-7.5299999415874481</v>
      </c>
      <c r="AC110" s="20">
        <f t="shared" ca="1" si="28"/>
        <v>-1.2199999988079071</v>
      </c>
      <c r="AD110" s="16"/>
      <c r="AE110" s="26" t="s">
        <v>43</v>
      </c>
      <c r="AF110" s="27">
        <v>200794301.42000008</v>
      </c>
      <c r="AG110" s="27">
        <v>23</v>
      </c>
      <c r="AH110" s="27">
        <v>200043336.76000008</v>
      </c>
      <c r="AI110" s="27">
        <v>92478269</v>
      </c>
      <c r="AJ110" s="27">
        <v>107530609</v>
      </c>
      <c r="AK110" s="27">
        <v>34504</v>
      </c>
      <c r="AL110" s="27">
        <v>750941.65999999642</v>
      </c>
      <c r="AM110" s="19">
        <v>21692312.729999989</v>
      </c>
      <c r="AN110" s="20">
        <v>70785956.269999981</v>
      </c>
      <c r="AO110" s="20">
        <v>750941.65999999642</v>
      </c>
    </row>
    <row r="111" spans="1:41" x14ac:dyDescent="0.25">
      <c r="A111" s="3">
        <f t="shared" ca="1" si="34"/>
        <v>45777</v>
      </c>
      <c r="B111" s="30" t="s">
        <v>44</v>
      </c>
      <c r="C111" s="31">
        <v>237532793.2899999</v>
      </c>
      <c r="D111" s="31">
        <v>0</v>
      </c>
      <c r="E111" s="31">
        <v>237517407.43000001</v>
      </c>
      <c r="F111" s="31">
        <v>141486752</v>
      </c>
      <c r="G111" s="31">
        <v>95961165</v>
      </c>
      <c r="H111" s="31">
        <v>69556</v>
      </c>
      <c r="I111" s="31">
        <f t="shared" ca="1" si="32"/>
        <v>15385.859999895096</v>
      </c>
      <c r="J111" s="31">
        <v>49729431.11999999</v>
      </c>
      <c r="K111" s="32">
        <v>91757320.879999936</v>
      </c>
      <c r="L111" s="32">
        <f t="shared" ca="1" si="27"/>
        <v>15385.859999895096</v>
      </c>
      <c r="M111" s="16"/>
      <c r="S111" s="33" t="s">
        <v>44</v>
      </c>
      <c r="T111" s="19">
        <f t="shared" ca="1" si="28"/>
        <v>0</v>
      </c>
      <c r="U111" s="19">
        <f t="shared" ca="1" si="28"/>
        <v>0</v>
      </c>
      <c r="V111" s="19">
        <f t="shared" ca="1" si="28"/>
        <v>1.8500001430511475</v>
      </c>
      <c r="W111" s="19">
        <f t="shared" ca="1" si="28"/>
        <v>-7</v>
      </c>
      <c r="X111" s="19">
        <f t="shared" ca="1" si="28"/>
        <v>0</v>
      </c>
      <c r="Y111" s="19">
        <f t="shared" ca="1" si="28"/>
        <v>0</v>
      </c>
      <c r="Z111" s="19">
        <f t="shared" ca="1" si="28"/>
        <v>-1.8500001430511475</v>
      </c>
      <c r="AA111" s="19">
        <f t="shared" ca="1" si="28"/>
        <v>3.2999999895691872</v>
      </c>
      <c r="AB111" s="20">
        <f t="shared" ca="1" si="28"/>
        <v>-10.300000101327896</v>
      </c>
      <c r="AC111" s="20">
        <f t="shared" ca="1" si="28"/>
        <v>-1.8500001430511475</v>
      </c>
      <c r="AD111" s="16"/>
      <c r="AE111" s="30" t="s">
        <v>44</v>
      </c>
      <c r="AF111" s="31">
        <v>237532793.2899999</v>
      </c>
      <c r="AG111" s="31">
        <v>0</v>
      </c>
      <c r="AH111" s="31">
        <v>237517405.57999986</v>
      </c>
      <c r="AI111" s="31">
        <v>141486759</v>
      </c>
      <c r="AJ111" s="31">
        <v>95961165</v>
      </c>
      <c r="AK111" s="31">
        <v>69556</v>
      </c>
      <c r="AL111" s="31">
        <v>15387.710000038147</v>
      </c>
      <c r="AM111" s="31">
        <v>49729427.82</v>
      </c>
      <c r="AN111" s="32">
        <v>91757331.180000037</v>
      </c>
      <c r="AO111" s="32">
        <v>15387.710000038147</v>
      </c>
    </row>
    <row r="112" spans="1:41" x14ac:dyDescent="0.25">
      <c r="A112" s="3">
        <f t="shared" ca="1" si="34"/>
        <v>45808</v>
      </c>
      <c r="B112" s="26" t="s">
        <v>45</v>
      </c>
      <c r="C112" s="27">
        <v>273664187.50999975</v>
      </c>
      <c r="D112" s="27">
        <v>0</v>
      </c>
      <c r="E112" s="27">
        <v>274140970.15000004</v>
      </c>
      <c r="F112" s="27">
        <v>140297082</v>
      </c>
      <c r="G112" s="27">
        <v>132799702</v>
      </c>
      <c r="H112" s="27">
        <v>1044200</v>
      </c>
      <c r="I112" s="27">
        <f t="shared" ca="1" si="32"/>
        <v>0</v>
      </c>
      <c r="J112" s="19">
        <v>48145649.609999962</v>
      </c>
      <c r="K112" s="20">
        <v>92151432.389999956</v>
      </c>
      <c r="L112" s="20">
        <f t="shared" ca="1" si="27"/>
        <v>-476782.64000028372</v>
      </c>
      <c r="M112" s="16"/>
      <c r="S112" s="26" t="s">
        <v>45</v>
      </c>
      <c r="T112" s="27">
        <f t="shared" ca="1" si="28"/>
        <v>0</v>
      </c>
      <c r="U112" s="27">
        <f t="shared" ca="1" si="28"/>
        <v>0</v>
      </c>
      <c r="V112" s="27">
        <f t="shared" ca="1" si="28"/>
        <v>1003.2499998807907</v>
      </c>
      <c r="W112" s="27">
        <f t="shared" ca="1" si="28"/>
        <v>-8</v>
      </c>
      <c r="X112" s="27">
        <f t="shared" ca="1" si="28"/>
        <v>-1</v>
      </c>
      <c r="Y112" s="27">
        <f t="shared" ca="1" si="28"/>
        <v>1000</v>
      </c>
      <c r="Z112" s="27">
        <f t="shared" ca="1" si="28"/>
        <v>0</v>
      </c>
      <c r="AA112" s="19">
        <f t="shared" ca="1" si="28"/>
        <v>-0.90000000596046448</v>
      </c>
      <c r="AB112" s="20">
        <f t="shared" ca="1" si="28"/>
        <v>-7.0999999493360519</v>
      </c>
      <c r="AC112" s="20">
        <f t="shared" ca="1" si="28"/>
        <v>-1003.2499998807907</v>
      </c>
      <c r="AD112" s="16"/>
      <c r="AE112" s="26" t="s">
        <v>45</v>
      </c>
      <c r="AF112" s="27">
        <v>273664187.50999975</v>
      </c>
      <c r="AG112" s="27">
        <v>0</v>
      </c>
      <c r="AH112" s="27">
        <v>274139966.90000015</v>
      </c>
      <c r="AI112" s="27">
        <v>140297090</v>
      </c>
      <c r="AJ112" s="27">
        <v>132799703</v>
      </c>
      <c r="AK112" s="27">
        <v>1043200</v>
      </c>
      <c r="AL112" s="27">
        <v>0</v>
      </c>
      <c r="AM112" s="19">
        <v>48145650.509999968</v>
      </c>
      <c r="AN112" s="20">
        <v>92151439.489999905</v>
      </c>
      <c r="AO112" s="20">
        <v>-475779.39000040293</v>
      </c>
    </row>
    <row r="113" spans="1:41" x14ac:dyDescent="0.25">
      <c r="A113" s="3">
        <f t="shared" ca="1" si="34"/>
        <v>45838</v>
      </c>
      <c r="B113" s="30" t="s">
        <v>46</v>
      </c>
      <c r="C113" s="31">
        <v>182015591.55000001</v>
      </c>
      <c r="D113" s="31">
        <v>0</v>
      </c>
      <c r="E113" s="31">
        <v>182369183.41999996</v>
      </c>
      <c r="F113" s="31">
        <v>110533742</v>
      </c>
      <c r="G113" s="31">
        <v>71368164</v>
      </c>
      <c r="H113" s="31">
        <v>467331</v>
      </c>
      <c r="I113" s="31">
        <f t="shared" ca="1" si="32"/>
        <v>0</v>
      </c>
      <c r="J113" s="31">
        <v>30008261.440000013</v>
      </c>
      <c r="K113" s="32">
        <v>80525480.559999987</v>
      </c>
      <c r="L113" s="32">
        <f t="shared" ca="1" si="27"/>
        <v>-353591.86999994516</v>
      </c>
      <c r="M113" s="16"/>
      <c r="S113" s="33" t="s">
        <v>46</v>
      </c>
      <c r="T113" s="19">
        <f t="shared" ca="1" si="28"/>
        <v>0</v>
      </c>
      <c r="U113" s="19">
        <f t="shared" ca="1" si="28"/>
        <v>0</v>
      </c>
      <c r="V113" s="19">
        <f t="shared" ca="1" si="28"/>
        <v>3.0999997556209564</v>
      </c>
      <c r="W113" s="19">
        <f t="shared" ca="1" si="28"/>
        <v>-5</v>
      </c>
      <c r="X113" s="19">
        <f t="shared" ca="1" si="28"/>
        <v>0</v>
      </c>
      <c r="Y113" s="19">
        <f t="shared" ca="1" si="28"/>
        <v>0</v>
      </c>
      <c r="Z113" s="19">
        <f t="shared" ca="1" si="28"/>
        <v>0</v>
      </c>
      <c r="AA113" s="19">
        <f t="shared" ca="1" si="28"/>
        <v>-8.3200000002980232</v>
      </c>
      <c r="AB113" s="20">
        <f t="shared" ca="1" si="28"/>
        <v>3.320000022649765</v>
      </c>
      <c r="AC113" s="20">
        <f t="shared" ca="1" si="28"/>
        <v>-3.0999997556209564</v>
      </c>
      <c r="AD113" s="16"/>
      <c r="AE113" s="30" t="s">
        <v>46</v>
      </c>
      <c r="AF113" s="31">
        <v>182015591.55000001</v>
      </c>
      <c r="AG113" s="31">
        <v>0</v>
      </c>
      <c r="AH113" s="31">
        <v>182369180.3200002</v>
      </c>
      <c r="AI113" s="31">
        <v>110533747</v>
      </c>
      <c r="AJ113" s="31">
        <v>71368164</v>
      </c>
      <c r="AK113" s="31">
        <v>467331</v>
      </c>
      <c r="AL113" s="31">
        <v>0</v>
      </c>
      <c r="AM113" s="31">
        <v>30008269.760000013</v>
      </c>
      <c r="AN113" s="32">
        <v>80525477.239999965</v>
      </c>
      <c r="AO113" s="32">
        <v>-353588.77000018954</v>
      </c>
    </row>
    <row r="114" spans="1:41" x14ac:dyDescent="0.25">
      <c r="A114" s="3">
        <f t="shared" ca="1" si="34"/>
        <v>45869</v>
      </c>
      <c r="B114" s="26" t="s">
        <v>47</v>
      </c>
      <c r="C114" s="27">
        <v>193022797.21000004</v>
      </c>
      <c r="D114" s="27">
        <v>0</v>
      </c>
      <c r="E114" s="27">
        <v>192950047.2800003</v>
      </c>
      <c r="F114" s="27">
        <v>149419111</v>
      </c>
      <c r="G114" s="27">
        <v>43227378</v>
      </c>
      <c r="H114" s="27">
        <v>303646</v>
      </c>
      <c r="I114" s="27">
        <f t="shared" ca="1" si="32"/>
        <v>72749.929999738932</v>
      </c>
      <c r="J114" s="19">
        <v>28052843.069999974</v>
      </c>
      <c r="K114" s="20">
        <v>121366267.92999992</v>
      </c>
      <c r="L114" s="20">
        <f t="shared" ca="1" si="27"/>
        <v>72749.929999738932</v>
      </c>
      <c r="M114" s="16"/>
      <c r="S114" s="26" t="s">
        <v>47</v>
      </c>
      <c r="T114" s="27">
        <f t="shared" ca="1" si="28"/>
        <v>0</v>
      </c>
      <c r="U114" s="27">
        <f t="shared" ca="1" si="28"/>
        <v>0</v>
      </c>
      <c r="V114" s="27">
        <f t="shared" ca="1" si="28"/>
        <v>1.9400002360343933</v>
      </c>
      <c r="W114" s="27">
        <f t="shared" ca="1" si="28"/>
        <v>-9</v>
      </c>
      <c r="X114" s="27">
        <f t="shared" ca="1" si="28"/>
        <v>1</v>
      </c>
      <c r="Y114" s="27">
        <f t="shared" ca="1" si="28"/>
        <v>0</v>
      </c>
      <c r="Z114" s="27">
        <f t="shared" ca="1" si="28"/>
        <v>-1.9400002360343933</v>
      </c>
      <c r="AA114" s="19">
        <f t="shared" ca="1" si="28"/>
        <v>-1.8100000135600567</v>
      </c>
      <c r="AB114" s="20">
        <f t="shared" ca="1" si="28"/>
        <v>-7.1899999529123306</v>
      </c>
      <c r="AC114" s="20">
        <f t="shared" ca="1" si="28"/>
        <v>-1.9400002360343933</v>
      </c>
      <c r="AD114" s="16"/>
      <c r="AE114" s="26" t="s">
        <v>47</v>
      </c>
      <c r="AF114" s="27">
        <v>193022797.21000004</v>
      </c>
      <c r="AG114" s="27">
        <v>0</v>
      </c>
      <c r="AH114" s="27">
        <v>192950045.34000006</v>
      </c>
      <c r="AI114" s="27">
        <v>149419120</v>
      </c>
      <c r="AJ114" s="27">
        <v>43227377</v>
      </c>
      <c r="AK114" s="27">
        <v>303646</v>
      </c>
      <c r="AL114" s="27">
        <v>72751.869999974966</v>
      </c>
      <c r="AM114" s="19">
        <v>28052844.879999988</v>
      </c>
      <c r="AN114" s="20">
        <v>121366275.11999987</v>
      </c>
      <c r="AO114" s="20">
        <v>72751.869999974966</v>
      </c>
    </row>
    <row r="115" spans="1:41" x14ac:dyDescent="0.25">
      <c r="A115" s="3">
        <f t="shared" ca="1" si="34"/>
        <v>45900</v>
      </c>
      <c r="B115" s="30" t="s">
        <v>48</v>
      </c>
      <c r="C115" s="31">
        <v>183941538.25999999</v>
      </c>
      <c r="D115" s="31">
        <v>0</v>
      </c>
      <c r="E115" s="31">
        <v>183269173.49000001</v>
      </c>
      <c r="F115" s="31">
        <v>152103727</v>
      </c>
      <c r="G115" s="31">
        <v>30709521</v>
      </c>
      <c r="H115" s="31">
        <v>456006</v>
      </c>
      <c r="I115" s="31">
        <f t="shared" ca="1" si="32"/>
        <v>672364.76999998093</v>
      </c>
      <c r="J115" s="31">
        <v>27481636.45999999</v>
      </c>
      <c r="K115" s="32">
        <v>124622090.53999996</v>
      </c>
      <c r="L115" s="32">
        <f t="shared" ca="1" si="27"/>
        <v>672364.76999998093</v>
      </c>
      <c r="M115" s="16"/>
      <c r="S115" s="33" t="s">
        <v>48</v>
      </c>
      <c r="T115" s="19">
        <f t="shared" ca="1" si="28"/>
        <v>0</v>
      </c>
      <c r="U115" s="19">
        <f t="shared" ca="1" si="28"/>
        <v>0</v>
      </c>
      <c r="V115" s="19">
        <f t="shared" ca="1" si="28"/>
        <v>1.479999840259552</v>
      </c>
      <c r="W115" s="19">
        <f t="shared" ca="1" si="28"/>
        <v>-4</v>
      </c>
      <c r="X115" s="19">
        <f t="shared" ca="1" si="28"/>
        <v>0</v>
      </c>
      <c r="Y115" s="19">
        <f t="shared" ref="Y115:AC151" ca="1" si="35">H115-AK115</f>
        <v>0</v>
      </c>
      <c r="Z115" s="19">
        <f t="shared" ca="1" si="35"/>
        <v>-1.479999840259552</v>
      </c>
      <c r="AA115" s="19">
        <f t="shared" ca="1" si="35"/>
        <v>6.0199999921023846</v>
      </c>
      <c r="AB115" s="20">
        <f t="shared" ca="1" si="35"/>
        <v>-10.019999995827675</v>
      </c>
      <c r="AC115" s="20">
        <f t="shared" ca="1" si="35"/>
        <v>-1.479999840259552</v>
      </c>
      <c r="AD115" s="16"/>
      <c r="AE115" s="30" t="s">
        <v>48</v>
      </c>
      <c r="AF115" s="31">
        <v>183941538.25999999</v>
      </c>
      <c r="AG115" s="31">
        <v>0</v>
      </c>
      <c r="AH115" s="31">
        <v>183269172.01000017</v>
      </c>
      <c r="AI115" s="31">
        <v>152103731</v>
      </c>
      <c r="AJ115" s="31">
        <v>30709521</v>
      </c>
      <c r="AK115" s="31">
        <v>456006</v>
      </c>
      <c r="AL115" s="31">
        <v>672366.24999982119</v>
      </c>
      <c r="AM115" s="31">
        <v>27481630.439999998</v>
      </c>
      <c r="AN115" s="32">
        <v>124622100.55999996</v>
      </c>
      <c r="AO115" s="32">
        <v>672366.24999982119</v>
      </c>
    </row>
    <row r="116" spans="1:41" x14ac:dyDescent="0.25">
      <c r="A116" s="3">
        <f t="shared" ca="1" si="34"/>
        <v>45930</v>
      </c>
      <c r="B116" s="26" t="s">
        <v>49</v>
      </c>
      <c r="C116" s="27">
        <v>218229716.00999999</v>
      </c>
      <c r="D116" s="27">
        <v>0</v>
      </c>
      <c r="E116" s="27">
        <v>218175481.87000006</v>
      </c>
      <c r="F116" s="27">
        <v>168462043</v>
      </c>
      <c r="G116" s="27">
        <v>49200814</v>
      </c>
      <c r="H116" s="27">
        <v>512734</v>
      </c>
      <c r="I116" s="27">
        <f t="shared" ca="1" si="32"/>
        <v>54234.13999992609</v>
      </c>
      <c r="J116" s="19">
        <v>36648489.029999994</v>
      </c>
      <c r="K116" s="20">
        <v>131813553.97</v>
      </c>
      <c r="L116" s="20">
        <f t="shared" ca="1" si="27"/>
        <v>54234.13999992609</v>
      </c>
      <c r="M116" s="16"/>
      <c r="S116" s="26" t="s">
        <v>49</v>
      </c>
      <c r="T116" s="27">
        <f t="shared" ref="T116:AC152" ca="1" si="36">C116-AF116</f>
        <v>0</v>
      </c>
      <c r="U116" s="27">
        <f t="shared" ca="1" si="36"/>
        <v>0</v>
      </c>
      <c r="V116" s="27">
        <f t="shared" ca="1" si="36"/>
        <v>149973.67999991775</v>
      </c>
      <c r="W116" s="27">
        <f t="shared" ca="1" si="36"/>
        <v>149965</v>
      </c>
      <c r="X116" s="27">
        <f t="shared" ca="1" si="36"/>
        <v>-2</v>
      </c>
      <c r="Y116" s="27">
        <f t="shared" ca="1" si="35"/>
        <v>0</v>
      </c>
      <c r="Z116" s="27">
        <f t="shared" ca="1" si="35"/>
        <v>-149973.67999991775</v>
      </c>
      <c r="AA116" s="19">
        <f t="shared" ca="1" si="35"/>
        <v>5.1799999549984932</v>
      </c>
      <c r="AB116" s="20">
        <f t="shared" ca="1" si="35"/>
        <v>149959.82000002265</v>
      </c>
      <c r="AC116" s="20">
        <f t="shared" ca="1" si="35"/>
        <v>-149973.67999991775</v>
      </c>
      <c r="AD116" s="16"/>
      <c r="AE116" s="26" t="s">
        <v>49</v>
      </c>
      <c r="AF116" s="27">
        <v>218229716.00999999</v>
      </c>
      <c r="AG116" s="27">
        <v>0</v>
      </c>
      <c r="AH116" s="27">
        <v>218025508.19000015</v>
      </c>
      <c r="AI116" s="27">
        <v>168312078</v>
      </c>
      <c r="AJ116" s="27">
        <v>49200816</v>
      </c>
      <c r="AK116" s="27">
        <v>512734</v>
      </c>
      <c r="AL116" s="27">
        <v>204207.81999984384</v>
      </c>
      <c r="AM116" s="19">
        <v>36648483.850000039</v>
      </c>
      <c r="AN116" s="20">
        <v>131663594.14999998</v>
      </c>
      <c r="AO116" s="20">
        <v>204207.81999984384</v>
      </c>
    </row>
    <row r="117" spans="1:41" x14ac:dyDescent="0.25">
      <c r="A117" s="3">
        <f t="shared" ca="1" si="34"/>
        <v>45961</v>
      </c>
      <c r="B117" s="30" t="s">
        <v>50</v>
      </c>
      <c r="C117" s="31">
        <v>232582385.56000012</v>
      </c>
      <c r="D117" s="31">
        <v>0</v>
      </c>
      <c r="E117" s="31">
        <v>230761724.66999966</v>
      </c>
      <c r="F117" s="31">
        <v>173336703</v>
      </c>
      <c r="G117" s="31">
        <v>57239187</v>
      </c>
      <c r="H117" s="31">
        <v>185950</v>
      </c>
      <c r="I117" s="31">
        <f t="shared" ca="1" si="32"/>
        <v>1820660.8900004625</v>
      </c>
      <c r="J117" s="31">
        <v>31395941.489999987</v>
      </c>
      <c r="K117" s="32">
        <v>141940761.51000011</v>
      </c>
      <c r="L117" s="32">
        <f t="shared" ca="1" si="27"/>
        <v>1820660.8900004625</v>
      </c>
      <c r="M117" s="16"/>
      <c r="S117" s="33" t="s">
        <v>50</v>
      </c>
      <c r="T117" s="19">
        <f t="shared" ca="1" si="36"/>
        <v>0</v>
      </c>
      <c r="U117" s="19">
        <f t="shared" ca="1" si="36"/>
        <v>0</v>
      </c>
      <c r="V117" s="19">
        <f t="shared" ca="1" si="36"/>
        <v>2.0799996554851532</v>
      </c>
      <c r="W117" s="19">
        <f t="shared" ca="1" si="36"/>
        <v>-5</v>
      </c>
      <c r="X117" s="19">
        <f t="shared" ca="1" si="36"/>
        <v>0</v>
      </c>
      <c r="Y117" s="19">
        <f t="shared" ca="1" si="35"/>
        <v>0</v>
      </c>
      <c r="Z117" s="19">
        <f t="shared" ca="1" si="35"/>
        <v>-2.0799996554851532</v>
      </c>
      <c r="AA117" s="19">
        <f t="shared" ca="1" si="35"/>
        <v>3.9500000067055225</v>
      </c>
      <c r="AB117" s="20">
        <f t="shared" ca="1" si="35"/>
        <v>-8.9499998688697815</v>
      </c>
      <c r="AC117" s="20">
        <f t="shared" ca="1" si="35"/>
        <v>-2.0799996554851532</v>
      </c>
      <c r="AD117" s="16"/>
      <c r="AE117" s="30" t="s">
        <v>50</v>
      </c>
      <c r="AF117" s="31">
        <v>232582385.56000012</v>
      </c>
      <c r="AG117" s="31">
        <v>0</v>
      </c>
      <c r="AH117" s="31">
        <v>230761722.59</v>
      </c>
      <c r="AI117" s="31">
        <v>173336708</v>
      </c>
      <c r="AJ117" s="31">
        <v>57239187</v>
      </c>
      <c r="AK117" s="31">
        <v>185950</v>
      </c>
      <c r="AL117" s="31">
        <v>1820662.970000118</v>
      </c>
      <c r="AM117" s="31">
        <v>31395937.53999998</v>
      </c>
      <c r="AN117" s="32">
        <v>141940770.45999998</v>
      </c>
      <c r="AO117" s="32">
        <v>1820662.970000118</v>
      </c>
    </row>
    <row r="118" spans="1:41" x14ac:dyDescent="0.25">
      <c r="A118" s="3">
        <f ca="1">EOMONTH(A117+1,0)</f>
        <v>45991</v>
      </c>
      <c r="B118" s="26" t="s">
        <v>51</v>
      </c>
      <c r="C118" s="27">
        <v>188532705.69999999</v>
      </c>
      <c r="D118" s="27">
        <v>1000</v>
      </c>
      <c r="E118" s="27">
        <v>186494211.03000009</v>
      </c>
      <c r="F118" s="27">
        <v>141983007</v>
      </c>
      <c r="G118" s="27">
        <v>44101033</v>
      </c>
      <c r="H118" s="27">
        <v>410257</v>
      </c>
      <c r="I118" s="27">
        <f t="shared" ca="1" si="32"/>
        <v>2037494.6699998975</v>
      </c>
      <c r="J118" s="19">
        <v>32072136.910000015</v>
      </c>
      <c r="K118" s="20">
        <v>109910870.09000005</v>
      </c>
      <c r="L118" s="20">
        <f t="shared" ca="1" si="27"/>
        <v>2037494.6699998975</v>
      </c>
      <c r="M118" s="16"/>
      <c r="S118" s="26" t="s">
        <v>51</v>
      </c>
      <c r="T118" s="27">
        <f t="shared" ca="1" si="36"/>
        <v>0</v>
      </c>
      <c r="U118" s="27">
        <f t="shared" ca="1" si="36"/>
        <v>0</v>
      </c>
      <c r="V118" s="27">
        <f t="shared" ca="1" si="36"/>
        <v>1001.1000000536442</v>
      </c>
      <c r="W118" s="27">
        <f t="shared" ca="1" si="36"/>
        <v>3</v>
      </c>
      <c r="X118" s="27">
        <f t="shared" ca="1" si="36"/>
        <v>-11</v>
      </c>
      <c r="Y118" s="27">
        <f t="shared" ca="1" si="35"/>
        <v>1000</v>
      </c>
      <c r="Z118" s="27">
        <f t="shared" ca="1" si="35"/>
        <v>-1001.1000000536442</v>
      </c>
      <c r="AA118" s="19">
        <f t="shared" ca="1" si="35"/>
        <v>1.2900000102818012</v>
      </c>
      <c r="AB118" s="20">
        <f t="shared" ca="1" si="35"/>
        <v>1.7100000083446503</v>
      </c>
      <c r="AC118" s="20">
        <f t="shared" ca="1" si="35"/>
        <v>-1001.1000000536442</v>
      </c>
      <c r="AD118" s="16"/>
      <c r="AE118" s="26" t="s">
        <v>51</v>
      </c>
      <c r="AF118" s="27">
        <v>188532705.69999999</v>
      </c>
      <c r="AG118" s="27">
        <v>1000</v>
      </c>
      <c r="AH118" s="27">
        <v>186493209.93000004</v>
      </c>
      <c r="AI118" s="27">
        <v>141983004</v>
      </c>
      <c r="AJ118" s="27">
        <v>44101044</v>
      </c>
      <c r="AK118" s="27">
        <v>409257</v>
      </c>
      <c r="AL118" s="27">
        <v>2038495.7699999511</v>
      </c>
      <c r="AM118" s="19">
        <v>32072135.620000005</v>
      </c>
      <c r="AN118" s="20">
        <v>109910868.38000004</v>
      </c>
      <c r="AO118" s="20">
        <v>2038495.7699999511</v>
      </c>
    </row>
    <row r="119" spans="1:41" x14ac:dyDescent="0.25">
      <c r="A119" s="3">
        <f ca="1">EOMONTH(A118+1,0)</f>
        <v>46022</v>
      </c>
      <c r="B119" s="30" t="s">
        <v>52</v>
      </c>
      <c r="C119" s="31">
        <v>194223271.17000005</v>
      </c>
      <c r="D119" s="31">
        <v>0</v>
      </c>
      <c r="E119" s="31">
        <v>192849717.35999995</v>
      </c>
      <c r="F119" s="31">
        <v>142973840</v>
      </c>
      <c r="G119" s="31">
        <v>49653989</v>
      </c>
      <c r="H119" s="31">
        <v>221984</v>
      </c>
      <c r="I119" s="31">
        <f ca="1">IF(L119&lt;0,0,L119)</f>
        <v>1373553.8100000918</v>
      </c>
      <c r="J119" s="31">
        <v>38553340.860000007</v>
      </c>
      <c r="K119" s="32">
        <v>104420499.14000006</v>
      </c>
      <c r="L119" s="32">
        <f t="shared" ca="1" si="27"/>
        <v>1373553.8100000918</v>
      </c>
      <c r="M119" s="16"/>
      <c r="S119" s="33" t="s">
        <v>52</v>
      </c>
      <c r="T119" s="19">
        <f t="shared" ca="1" si="36"/>
        <v>0</v>
      </c>
      <c r="U119" s="19">
        <f t="shared" ca="1" si="36"/>
        <v>0</v>
      </c>
      <c r="V119" s="19">
        <f t="shared" ca="1" si="36"/>
        <v>1.8199999630451202</v>
      </c>
      <c r="W119" s="19">
        <f t="shared" ca="1" si="36"/>
        <v>3</v>
      </c>
      <c r="X119" s="19">
        <f t="shared" ca="1" si="36"/>
        <v>-5</v>
      </c>
      <c r="Y119" s="19">
        <f t="shared" ca="1" si="35"/>
        <v>0</v>
      </c>
      <c r="Z119" s="19">
        <f t="shared" ca="1" si="35"/>
        <v>-1.8199999630451202</v>
      </c>
      <c r="AA119" s="19">
        <f t="shared" ca="1" si="35"/>
        <v>3.1599999740719795</v>
      </c>
      <c r="AB119" s="20">
        <f t="shared" ca="1" si="35"/>
        <v>-0.15999996662139893</v>
      </c>
      <c r="AC119" s="20">
        <f t="shared" ca="1" si="35"/>
        <v>-1.8199999630451202</v>
      </c>
      <c r="AD119" s="16"/>
      <c r="AE119" s="30" t="s">
        <v>52</v>
      </c>
      <c r="AF119" s="31">
        <v>194223271.17000005</v>
      </c>
      <c r="AG119" s="31">
        <v>0</v>
      </c>
      <c r="AH119" s="31">
        <v>192849715.53999999</v>
      </c>
      <c r="AI119" s="31">
        <v>142973837</v>
      </c>
      <c r="AJ119" s="31">
        <v>49653994</v>
      </c>
      <c r="AK119" s="31">
        <v>221984</v>
      </c>
      <c r="AL119" s="31">
        <v>1373555.6300000548</v>
      </c>
      <c r="AM119" s="31">
        <v>38553337.700000033</v>
      </c>
      <c r="AN119" s="32">
        <v>104420499.30000003</v>
      </c>
      <c r="AO119" s="32">
        <v>1373555.6300000548</v>
      </c>
    </row>
    <row r="120" spans="1:41" x14ac:dyDescent="0.25">
      <c r="A120" s="3">
        <f ca="1">A119</f>
        <v>46022</v>
      </c>
      <c r="B120" s="13" t="s">
        <v>53</v>
      </c>
      <c r="C120" s="14">
        <f t="shared" ref="C120:L120" ca="1" si="37">SUM(C121:C125)</f>
        <v>710581363.31999981</v>
      </c>
      <c r="D120" s="14">
        <f t="shared" ca="1" si="37"/>
        <v>2000</v>
      </c>
      <c r="E120" s="14">
        <f t="shared" ca="1" si="37"/>
        <v>688730387.17999995</v>
      </c>
      <c r="F120" s="14">
        <f t="shared" ca="1" si="37"/>
        <v>611554629</v>
      </c>
      <c r="G120" s="14">
        <f t="shared" ca="1" si="37"/>
        <v>76152480</v>
      </c>
      <c r="H120" s="14">
        <f t="shared" ca="1" si="37"/>
        <v>1023694</v>
      </c>
      <c r="I120" s="14">
        <f t="shared" ca="1" si="37"/>
        <v>22059466.360000145</v>
      </c>
      <c r="J120" s="14">
        <f t="shared" ca="1" si="37"/>
        <v>124890728.09999999</v>
      </c>
      <c r="K120" s="15">
        <f t="shared" ca="1" si="37"/>
        <v>486663900.89999998</v>
      </c>
      <c r="L120" s="15">
        <f t="shared" ca="1" si="37"/>
        <v>21848976.139999997</v>
      </c>
      <c r="S120" s="18" t="s">
        <v>53</v>
      </c>
      <c r="T120" s="19">
        <f t="shared" ca="1" si="36"/>
        <v>4197733.2099999189</v>
      </c>
      <c r="U120" s="19">
        <f t="shared" ca="1" si="36"/>
        <v>0</v>
      </c>
      <c r="V120" s="19">
        <f t="shared" ca="1" si="36"/>
        <v>7125811.8099998236</v>
      </c>
      <c r="W120" s="19">
        <f t="shared" ca="1" si="36"/>
        <v>6972573</v>
      </c>
      <c r="X120" s="19">
        <f t="shared" ca="1" si="36"/>
        <v>113758</v>
      </c>
      <c r="Y120" s="19">
        <f t="shared" ca="1" si="35"/>
        <v>39453</v>
      </c>
      <c r="Z120" s="19">
        <f t="shared" ca="1" si="35"/>
        <v>-2926077.6399998777</v>
      </c>
      <c r="AA120" s="19">
        <f t="shared" ca="1" si="35"/>
        <v>634071.47999997437</v>
      </c>
      <c r="AB120" s="20">
        <f t="shared" ca="1" si="35"/>
        <v>6338501.5199999213</v>
      </c>
      <c r="AC120" s="20">
        <f t="shared" ca="1" si="35"/>
        <v>-2928078.5999998264</v>
      </c>
      <c r="AE120" s="13" t="s">
        <v>53</v>
      </c>
      <c r="AF120" s="14">
        <v>706383630.1099999</v>
      </c>
      <c r="AG120" s="14">
        <v>2000</v>
      </c>
      <c r="AH120" s="14">
        <v>681604575.37000012</v>
      </c>
      <c r="AI120" s="14">
        <v>604582056</v>
      </c>
      <c r="AJ120" s="14">
        <v>76038722</v>
      </c>
      <c r="AK120" s="14">
        <v>984241</v>
      </c>
      <c r="AL120" s="14">
        <v>24985544.000000022</v>
      </c>
      <c r="AM120" s="14">
        <v>124256656.62000002</v>
      </c>
      <c r="AN120" s="15">
        <v>480325399.38000005</v>
      </c>
      <c r="AO120" s="15">
        <v>24777054.739999823</v>
      </c>
    </row>
    <row r="121" spans="1:41" x14ac:dyDescent="0.25">
      <c r="A121" s="3">
        <f ca="1">EOMONTH(A119+1,0)</f>
        <v>46053</v>
      </c>
      <c r="B121" s="26" t="s">
        <v>54</v>
      </c>
      <c r="C121" s="27">
        <v>193756278.99999991</v>
      </c>
      <c r="D121" s="27">
        <v>0</v>
      </c>
      <c r="E121" s="27">
        <v>193966769.22000006</v>
      </c>
      <c r="F121" s="27">
        <v>163262025</v>
      </c>
      <c r="G121" s="27">
        <v>30462306</v>
      </c>
      <c r="H121" s="27">
        <v>242544</v>
      </c>
      <c r="I121" s="27">
        <f ca="1">IF(L121&lt;0,0,L121)</f>
        <v>0</v>
      </c>
      <c r="J121" s="19">
        <v>33015404.509999994</v>
      </c>
      <c r="K121" s="20">
        <v>130246620.48999998</v>
      </c>
      <c r="L121" s="20">
        <f t="shared" ca="1" si="27"/>
        <v>-210490.22000014782</v>
      </c>
      <c r="M121" s="16"/>
      <c r="S121" s="26" t="s">
        <v>54</v>
      </c>
      <c r="T121" s="27">
        <f t="shared" ca="1" si="36"/>
        <v>0</v>
      </c>
      <c r="U121" s="27">
        <f t="shared" ca="1" si="36"/>
        <v>0</v>
      </c>
      <c r="V121" s="27">
        <f t="shared" ca="1" si="36"/>
        <v>2000.95999994874</v>
      </c>
      <c r="W121" s="27">
        <f t="shared" ca="1" si="36"/>
        <v>-6</v>
      </c>
      <c r="X121" s="27">
        <f t="shared" ca="1" si="36"/>
        <v>-4</v>
      </c>
      <c r="Y121" s="27">
        <f t="shared" ca="1" si="35"/>
        <v>2000</v>
      </c>
      <c r="Z121" s="27">
        <f t="shared" ca="1" si="35"/>
        <v>0</v>
      </c>
      <c r="AA121" s="19">
        <f t="shared" ca="1" si="35"/>
        <v>-1.2299999929964542</v>
      </c>
      <c r="AB121" s="20">
        <f t="shared" ca="1" si="35"/>
        <v>-4.7699999958276749</v>
      </c>
      <c r="AC121" s="20">
        <f t="shared" ca="1" si="35"/>
        <v>-2000.95999994874</v>
      </c>
      <c r="AD121" s="16"/>
      <c r="AE121" s="26" t="s">
        <v>54</v>
      </c>
      <c r="AF121" s="27">
        <v>193756278.99999991</v>
      </c>
      <c r="AG121" s="27">
        <v>0</v>
      </c>
      <c r="AH121" s="27">
        <v>193964768.26000011</v>
      </c>
      <c r="AI121" s="27">
        <v>163262031</v>
      </c>
      <c r="AJ121" s="27">
        <v>30462310</v>
      </c>
      <c r="AK121" s="27">
        <v>240544</v>
      </c>
      <c r="AL121" s="27">
        <v>0</v>
      </c>
      <c r="AM121" s="19">
        <v>33015405.739999987</v>
      </c>
      <c r="AN121" s="20">
        <v>130246625.25999998</v>
      </c>
      <c r="AO121" s="20">
        <v>-208489.26000019908</v>
      </c>
    </row>
    <row r="122" spans="1:41" x14ac:dyDescent="0.25">
      <c r="A122" s="3">
        <f ca="1">EOMONTH(A121+1,0)</f>
        <v>46081</v>
      </c>
      <c r="B122" s="30" t="s">
        <v>55</v>
      </c>
      <c r="C122" s="31">
        <v>195507751</v>
      </c>
      <c r="D122" s="31">
        <v>0</v>
      </c>
      <c r="E122" s="31">
        <v>194691404.15999991</v>
      </c>
      <c r="F122" s="31">
        <v>165339643</v>
      </c>
      <c r="G122" s="31">
        <v>29110679</v>
      </c>
      <c r="H122" s="31">
        <v>241188</v>
      </c>
      <c r="I122" s="31">
        <f ca="1">IF(L122&lt;0,0,L122)</f>
        <v>816346.84000009298</v>
      </c>
      <c r="J122" s="31">
        <v>39522665.519999973</v>
      </c>
      <c r="K122" s="32">
        <v>125816977.48000003</v>
      </c>
      <c r="L122" s="32">
        <f t="shared" ca="1" si="27"/>
        <v>816346.84000009298</v>
      </c>
      <c r="M122" s="16"/>
      <c r="S122" s="33" t="s">
        <v>55</v>
      </c>
      <c r="T122" s="19">
        <f t="shared" ca="1" si="36"/>
        <v>0</v>
      </c>
      <c r="U122" s="19">
        <f t="shared" ca="1" si="36"/>
        <v>0</v>
      </c>
      <c r="V122" s="19">
        <f t="shared" ca="1" si="36"/>
        <v>1.8199999332427979</v>
      </c>
      <c r="W122" s="19">
        <f t="shared" ca="1" si="36"/>
        <v>-2</v>
      </c>
      <c r="X122" s="19">
        <f t="shared" ca="1" si="36"/>
        <v>-2</v>
      </c>
      <c r="Y122" s="19">
        <f t="shared" ca="1" si="36"/>
        <v>0</v>
      </c>
      <c r="Z122" s="19">
        <f t="shared" ca="1" si="36"/>
        <v>-1.8199999332427979</v>
      </c>
      <c r="AA122" s="19">
        <f t="shared" ca="1" si="36"/>
        <v>3.8899999558925629</v>
      </c>
      <c r="AB122" s="20">
        <f t="shared" ca="1" si="36"/>
        <v>-5.8900000005960464</v>
      </c>
      <c r="AC122" s="20">
        <f t="shared" ca="1" si="36"/>
        <v>-1.8199999332427979</v>
      </c>
      <c r="AD122" s="16"/>
      <c r="AE122" s="30" t="s">
        <v>55</v>
      </c>
      <c r="AF122" s="31">
        <v>195507751</v>
      </c>
      <c r="AG122" s="31">
        <v>0</v>
      </c>
      <c r="AH122" s="31">
        <v>194691402.33999997</v>
      </c>
      <c r="AI122" s="31">
        <v>165339645</v>
      </c>
      <c r="AJ122" s="31">
        <v>29110681</v>
      </c>
      <c r="AK122" s="31">
        <v>241188</v>
      </c>
      <c r="AL122" s="31">
        <v>816348.66000002623</v>
      </c>
      <c r="AM122" s="31">
        <v>39522661.630000018</v>
      </c>
      <c r="AN122" s="32">
        <v>125816983.37000003</v>
      </c>
      <c r="AO122" s="32">
        <v>816348.66000002623</v>
      </c>
    </row>
    <row r="123" spans="1:41" x14ac:dyDescent="0.25">
      <c r="A123" s="3">
        <f ca="1">EOMONTH(A122+1,0)</f>
        <v>46112</v>
      </c>
      <c r="B123" s="26" t="s">
        <v>56</v>
      </c>
      <c r="C123" s="27">
        <v>135008920.91</v>
      </c>
      <c r="D123" s="27">
        <v>0</v>
      </c>
      <c r="E123" s="27">
        <v>133502736.01000005</v>
      </c>
      <c r="F123" s="27">
        <v>122731005</v>
      </c>
      <c r="G123" s="27">
        <v>10551429</v>
      </c>
      <c r="H123" s="27">
        <v>220397</v>
      </c>
      <c r="I123" s="27">
        <f ca="1">IF(L123&lt;0,0,L123)</f>
        <v>1506184.8999999464</v>
      </c>
      <c r="J123" s="19">
        <v>19025797.100000024</v>
      </c>
      <c r="K123" s="20">
        <v>103705207.89999999</v>
      </c>
      <c r="L123" s="20">
        <f t="shared" ca="1" si="27"/>
        <v>1506184.8999999464</v>
      </c>
      <c r="M123" s="16"/>
      <c r="S123" s="26" t="s">
        <v>56</v>
      </c>
      <c r="T123" s="27">
        <f t="shared" ca="1" si="36"/>
        <v>0</v>
      </c>
      <c r="U123" s="27">
        <f t="shared" ca="1" si="36"/>
        <v>0</v>
      </c>
      <c r="V123" s="27">
        <f t="shared" ca="1" si="36"/>
        <v>1.0700000077486038</v>
      </c>
      <c r="W123" s="27">
        <f t="shared" ca="1" si="36"/>
        <v>0</v>
      </c>
      <c r="X123" s="27">
        <f t="shared" ca="1" si="36"/>
        <v>-4</v>
      </c>
      <c r="Y123" s="27">
        <f t="shared" ca="1" si="36"/>
        <v>0</v>
      </c>
      <c r="Z123" s="27">
        <f t="shared" ca="1" si="36"/>
        <v>-1.0700000077486038</v>
      </c>
      <c r="AA123" s="19">
        <f t="shared" ca="1" si="36"/>
        <v>4.5600000210106373</v>
      </c>
      <c r="AB123" s="20">
        <f t="shared" ca="1" si="36"/>
        <v>-4.5600000321865082</v>
      </c>
      <c r="AC123" s="20">
        <f t="shared" ca="1" si="36"/>
        <v>-1.0700000077486038</v>
      </c>
      <c r="AD123" s="16"/>
      <c r="AE123" s="26" t="s">
        <v>56</v>
      </c>
      <c r="AF123" s="27">
        <v>135008920.91</v>
      </c>
      <c r="AG123" s="27">
        <v>0</v>
      </c>
      <c r="AH123" s="27">
        <v>133502734.94000004</v>
      </c>
      <c r="AI123" s="27">
        <v>122731005</v>
      </c>
      <c r="AJ123" s="27">
        <v>10551433</v>
      </c>
      <c r="AK123" s="27">
        <v>220397</v>
      </c>
      <c r="AL123" s="27">
        <v>1506185.9699999541</v>
      </c>
      <c r="AM123" s="19">
        <v>19025792.540000003</v>
      </c>
      <c r="AN123" s="20">
        <v>103705212.46000002</v>
      </c>
      <c r="AO123" s="20">
        <v>1506185.9699999541</v>
      </c>
    </row>
    <row r="124" spans="1:41" x14ac:dyDescent="0.25">
      <c r="A124" s="3">
        <f ca="1">EOMONTH(A123+1,0)</f>
        <v>46142</v>
      </c>
      <c r="B124" s="30" t="s">
        <v>57</v>
      </c>
      <c r="C124" s="31">
        <v>157439744.75</v>
      </c>
      <c r="D124" s="31">
        <v>0</v>
      </c>
      <c r="E124" s="31">
        <v>147231930.01999989</v>
      </c>
      <c r="F124" s="31">
        <v>141295620</v>
      </c>
      <c r="G124" s="31">
        <v>5661364</v>
      </c>
      <c r="H124" s="31">
        <v>275042</v>
      </c>
      <c r="I124" s="31">
        <f ca="1">IF(L124&lt;0,0,L124)</f>
        <v>10207814.730000108</v>
      </c>
      <c r="J124" s="31">
        <v>31506930.660000004</v>
      </c>
      <c r="K124" s="32">
        <v>109788689.33999997</v>
      </c>
      <c r="L124" s="32">
        <f ca="1">C124-E124-D124</f>
        <v>10207814.730000108</v>
      </c>
      <c r="M124" s="16"/>
      <c r="S124" s="26" t="s">
        <v>57</v>
      </c>
      <c r="T124" s="27">
        <f t="shared" ca="1" si="36"/>
        <v>0</v>
      </c>
      <c r="U124" s="27">
        <f t="shared" ca="1" si="36"/>
        <v>0</v>
      </c>
      <c r="V124" s="27">
        <f t="shared" ca="1" si="36"/>
        <v>898318.65999993682</v>
      </c>
      <c r="W124" s="27">
        <f t="shared" ca="1" si="36"/>
        <v>864412</v>
      </c>
      <c r="X124" s="27">
        <f t="shared" ca="1" si="36"/>
        <v>9998</v>
      </c>
      <c r="Y124" s="27">
        <f t="shared" ca="1" si="36"/>
        <v>23900</v>
      </c>
      <c r="Z124" s="27">
        <f t="shared" ca="1" si="36"/>
        <v>-898318.65999993682</v>
      </c>
      <c r="AA124" s="19">
        <f t="shared" ca="1" si="36"/>
        <v>2226.4600000008941</v>
      </c>
      <c r="AB124" s="20">
        <f t="shared" ca="1" si="36"/>
        <v>862185.53999997675</v>
      </c>
      <c r="AC124" s="20">
        <f t="shared" ca="1" si="36"/>
        <v>-898318.65999993682</v>
      </c>
      <c r="AD124" s="16"/>
      <c r="AE124" s="30" t="s">
        <v>57</v>
      </c>
      <c r="AF124" s="31">
        <v>157439744.75</v>
      </c>
      <c r="AG124" s="31">
        <v>0</v>
      </c>
      <c r="AH124" s="31">
        <v>146333611.35999995</v>
      </c>
      <c r="AI124" s="31">
        <v>140431208</v>
      </c>
      <c r="AJ124" s="31">
        <v>5651366</v>
      </c>
      <c r="AK124" s="31">
        <v>251142</v>
      </c>
      <c r="AL124" s="31">
        <v>11106133.390000045</v>
      </c>
      <c r="AM124" s="31">
        <v>31504704.200000003</v>
      </c>
      <c r="AN124" s="32">
        <v>108926503.8</v>
      </c>
      <c r="AO124" s="32">
        <v>11106133.390000045</v>
      </c>
    </row>
    <row r="125" spans="1:41" ht="15.75" thickBot="1" x14ac:dyDescent="0.3">
      <c r="A125" s="3">
        <f ca="1">EOMONTH(A124+1,0)</f>
        <v>46173</v>
      </c>
      <c r="B125" s="26" t="s">
        <v>58</v>
      </c>
      <c r="C125" s="27">
        <f ca="1">O9</f>
        <v>28868667.659999996</v>
      </c>
      <c r="D125" s="27">
        <v>2000</v>
      </c>
      <c r="E125" s="27">
        <v>19337547.77</v>
      </c>
      <c r="F125" s="27">
        <v>18926336</v>
      </c>
      <c r="G125" s="27">
        <v>366702</v>
      </c>
      <c r="H125" s="27">
        <v>44523</v>
      </c>
      <c r="I125" s="27">
        <f ca="1">IF(L125&lt;0,0,L125)</f>
        <v>9529119.8899999969</v>
      </c>
      <c r="J125" s="19">
        <v>1819930.3100000003</v>
      </c>
      <c r="K125" s="20">
        <v>17106405.690000005</v>
      </c>
      <c r="L125" s="20">
        <f ca="1">C125-E125-D125</f>
        <v>9529119.8899999969</v>
      </c>
      <c r="M125" s="16"/>
      <c r="S125" s="26" t="s">
        <v>58</v>
      </c>
      <c r="T125" s="27">
        <f t="shared" ca="1" si="36"/>
        <v>4197733.2099999972</v>
      </c>
      <c r="U125" s="27">
        <f t="shared" ca="1" si="36"/>
        <v>0</v>
      </c>
      <c r="V125" s="27">
        <f t="shared" ca="1" si="36"/>
        <v>6225489.2999999989</v>
      </c>
      <c r="W125" s="27">
        <f t="shared" ca="1" si="36"/>
        <v>6108169</v>
      </c>
      <c r="X125" s="27">
        <f t="shared" ca="1" si="36"/>
        <v>103770</v>
      </c>
      <c r="Y125" s="27">
        <f t="shared" ca="1" si="36"/>
        <v>13553</v>
      </c>
      <c r="Z125" s="27">
        <f t="shared" ca="1" si="36"/>
        <v>-2027756.0900000017</v>
      </c>
      <c r="AA125" s="19">
        <f t="shared" ca="1" si="36"/>
        <v>631837.80000000028</v>
      </c>
      <c r="AB125" s="20">
        <f t="shared" ca="1" si="36"/>
        <v>5476331.2000000048</v>
      </c>
      <c r="AC125" s="20">
        <f t="shared" ca="1" si="36"/>
        <v>-2027756.0900000017</v>
      </c>
      <c r="AD125" s="16"/>
      <c r="AE125" s="26" t="s">
        <v>58</v>
      </c>
      <c r="AF125" s="27">
        <v>24670934.449999999</v>
      </c>
      <c r="AG125" s="27">
        <v>2000</v>
      </c>
      <c r="AH125" s="27">
        <v>13112058.470000001</v>
      </c>
      <c r="AI125" s="27">
        <v>12818167</v>
      </c>
      <c r="AJ125" s="27">
        <v>262932</v>
      </c>
      <c r="AK125" s="27">
        <v>30970</v>
      </c>
      <c r="AL125" s="27">
        <v>11556875.979999999</v>
      </c>
      <c r="AM125" s="19">
        <v>1188092.51</v>
      </c>
      <c r="AN125" s="20">
        <v>11630074.49</v>
      </c>
      <c r="AO125" s="20">
        <v>11556875.979999999</v>
      </c>
    </row>
    <row r="126" spans="1:41" ht="15.75" thickBot="1" x14ac:dyDescent="0.3">
      <c r="B126" s="36" t="s">
        <v>59</v>
      </c>
      <c r="C126" s="37">
        <f t="shared" ref="C126:K126" ca="1" si="38">SUM(C90:C94)+C107+C120</f>
        <v>3901326887.8073597</v>
      </c>
      <c r="D126" s="37">
        <f t="shared" ca="1" si="38"/>
        <v>31823</v>
      </c>
      <c r="E126" s="37">
        <f t="shared" ca="1" si="38"/>
        <v>3881450413.730001</v>
      </c>
      <c r="F126" s="37">
        <f t="shared" ca="1" si="38"/>
        <v>2303858523</v>
      </c>
      <c r="G126" s="37">
        <f t="shared" ca="1" si="38"/>
        <v>1572805069</v>
      </c>
      <c r="H126" s="37">
        <f t="shared" ca="1" si="38"/>
        <v>4787888</v>
      </c>
      <c r="I126" s="37">
        <f t="shared" ca="1" si="38"/>
        <v>30686296.797160212</v>
      </c>
      <c r="J126" s="37">
        <f t="shared" ca="1" si="38"/>
        <v>529879811.51999998</v>
      </c>
      <c r="K126" s="37">
        <f t="shared" ca="1" si="38"/>
        <v>1773978711.48</v>
      </c>
      <c r="L126" s="38">
        <f t="shared" ca="1" si="27"/>
        <v>19844651.077358723</v>
      </c>
      <c r="S126" s="39" t="s">
        <v>59</v>
      </c>
      <c r="T126" s="40">
        <f t="shared" ca="1" si="36"/>
        <v>4197733.2100000381</v>
      </c>
      <c r="U126" s="40">
        <f t="shared" ca="1" si="36"/>
        <v>0</v>
      </c>
      <c r="V126" s="40">
        <f t="shared" ca="1" si="36"/>
        <v>7295282.0799994469</v>
      </c>
      <c r="W126" s="40">
        <f t="shared" ca="1" si="36"/>
        <v>7139944</v>
      </c>
      <c r="X126" s="40">
        <f t="shared" ca="1" si="36"/>
        <v>113749</v>
      </c>
      <c r="Y126" s="40">
        <f t="shared" ca="1" si="35"/>
        <v>41453</v>
      </c>
      <c r="Z126" s="40">
        <f t="shared" ca="1" si="35"/>
        <v>-3094535.9299995415</v>
      </c>
      <c r="AA126" s="40">
        <f t="shared" ca="1" si="35"/>
        <v>634065.69999992847</v>
      </c>
      <c r="AB126" s="40">
        <f t="shared" ca="1" si="35"/>
        <v>6505878.3000001907</v>
      </c>
      <c r="AC126" s="41">
        <f t="shared" ca="1" si="35"/>
        <v>-3097548.8699994087</v>
      </c>
      <c r="AE126" s="36" t="s">
        <v>59</v>
      </c>
      <c r="AF126" s="37">
        <v>3897129154.5973597</v>
      </c>
      <c r="AG126" s="37">
        <v>31823</v>
      </c>
      <c r="AH126" s="37">
        <v>3874155131.6500015</v>
      </c>
      <c r="AI126" s="37">
        <v>2296718579</v>
      </c>
      <c r="AJ126" s="37">
        <v>1572691320</v>
      </c>
      <c r="AK126" s="37">
        <v>4746435</v>
      </c>
      <c r="AL126" s="37">
        <v>33780832.727159753</v>
      </c>
      <c r="AM126" s="37">
        <v>529245745.82000005</v>
      </c>
      <c r="AN126" s="37">
        <v>1767472833.1799998</v>
      </c>
      <c r="AO126" s="38">
        <v>22942199.947358131</v>
      </c>
    </row>
    <row r="127" spans="1:41" x14ac:dyDescent="0.25">
      <c r="E127" s="16"/>
      <c r="V127" s="16"/>
      <c r="AH127" s="16"/>
    </row>
    <row r="128" spans="1:41" x14ac:dyDescent="0.25">
      <c r="I128" s="45"/>
    </row>
    <row r="129" spans="1:41" ht="21.75" thickBot="1" x14ac:dyDescent="0.4">
      <c r="B129" s="5" t="str">
        <f ca="1">_xlfn.CONCAT("Down Town Summary as on-",TEXT(N2,"DD/MM/YYYY"))</f>
        <v>Down Town Summary as on-06/05/2026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48"/>
      <c r="S129" s="5" t="str">
        <f ca="1">B129</f>
        <v>Down Town Summary as on-06/05/2026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E129" s="5" t="str">
        <f ca="1">CONCATENATE("Down Town Summary as on-",TEXT(TODAY()-3,"dd/mm/yyyy"))</f>
        <v>Down Town Summary as on-05/05/2026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40.15" customHeight="1" x14ac:dyDescent="0.25">
      <c r="B130" s="7" t="s">
        <v>6</v>
      </c>
      <c r="C130" s="8" t="s">
        <v>7</v>
      </c>
      <c r="D130" s="8" t="s">
        <v>8</v>
      </c>
      <c r="E130" s="8" t="s">
        <v>9</v>
      </c>
      <c r="F130" s="9" t="s">
        <v>10</v>
      </c>
      <c r="G130" s="8" t="s">
        <v>11</v>
      </c>
      <c r="H130" s="8" t="s">
        <v>12</v>
      </c>
      <c r="I130" s="8" t="s">
        <v>13</v>
      </c>
      <c r="J130" s="49" t="s">
        <v>64</v>
      </c>
      <c r="K130" s="50" t="s">
        <v>65</v>
      </c>
      <c r="L130" s="12" t="s">
        <v>16</v>
      </c>
      <c r="S130" s="7" t="s">
        <v>6</v>
      </c>
      <c r="T130" s="8" t="s">
        <v>7</v>
      </c>
      <c r="U130" s="8" t="s">
        <v>8</v>
      </c>
      <c r="V130" s="8" t="s">
        <v>9</v>
      </c>
      <c r="W130" s="9" t="s">
        <v>10</v>
      </c>
      <c r="X130" s="8" t="s">
        <v>11</v>
      </c>
      <c r="Y130" s="8" t="s">
        <v>12</v>
      </c>
      <c r="Z130" s="8" t="s">
        <v>13</v>
      </c>
      <c r="AA130" s="49" t="s">
        <v>64</v>
      </c>
      <c r="AB130" s="50" t="s">
        <v>65</v>
      </c>
      <c r="AC130" s="12" t="s">
        <v>16</v>
      </c>
      <c r="AE130" s="7" t="s">
        <v>6</v>
      </c>
      <c r="AF130" s="8" t="s">
        <v>7</v>
      </c>
      <c r="AG130" s="8" t="s">
        <v>8</v>
      </c>
      <c r="AH130" s="8" t="s">
        <v>9</v>
      </c>
      <c r="AI130" s="9" t="s">
        <v>10</v>
      </c>
      <c r="AJ130" s="8" t="s">
        <v>11</v>
      </c>
      <c r="AK130" s="8" t="s">
        <v>12</v>
      </c>
      <c r="AL130" s="8" t="s">
        <v>13</v>
      </c>
      <c r="AM130" s="49" t="s">
        <v>64</v>
      </c>
      <c r="AN130" s="50" t="s">
        <v>65</v>
      </c>
      <c r="AO130" s="12" t="s">
        <v>16</v>
      </c>
    </row>
    <row r="131" spans="1:41" x14ac:dyDescent="0.25">
      <c r="A131" s="3">
        <v>44196</v>
      </c>
      <c r="B131" s="13" t="s">
        <v>17</v>
      </c>
      <c r="C131" s="14"/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f ca="1">C131-E131-D131</f>
        <v>0</v>
      </c>
      <c r="J131" s="14">
        <v>0</v>
      </c>
      <c r="K131" s="15">
        <v>0</v>
      </c>
      <c r="L131" s="15">
        <f t="shared" ref="L131:L167" ca="1" si="39">C131-E131-D131</f>
        <v>0</v>
      </c>
      <c r="N131" t="s">
        <v>66</v>
      </c>
      <c r="S131" s="18" t="s">
        <v>17</v>
      </c>
      <c r="T131" s="19">
        <f t="shared" ref="T131:AC167" ca="1" si="40">C131-AF131</f>
        <v>0</v>
      </c>
      <c r="U131" s="19">
        <f t="shared" ca="1" si="40"/>
        <v>0</v>
      </c>
      <c r="V131" s="19">
        <f t="shared" ca="1" si="40"/>
        <v>0</v>
      </c>
      <c r="W131" s="19">
        <f t="shared" ca="1" si="40"/>
        <v>0</v>
      </c>
      <c r="X131" s="19">
        <f t="shared" ca="1" si="40"/>
        <v>0</v>
      </c>
      <c r="Y131" s="19">
        <f t="shared" ca="1" si="40"/>
        <v>0</v>
      </c>
      <c r="Z131" s="19">
        <f t="shared" ca="1" si="40"/>
        <v>0</v>
      </c>
      <c r="AA131" s="19">
        <f t="shared" ca="1" si="40"/>
        <v>0</v>
      </c>
      <c r="AB131" s="20">
        <f t="shared" ca="1" si="40"/>
        <v>0</v>
      </c>
      <c r="AC131" s="20">
        <f t="shared" ca="1" si="40"/>
        <v>0</v>
      </c>
      <c r="AE131" s="13" t="s">
        <v>17</v>
      </c>
      <c r="AF131" s="14"/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5">
        <v>0</v>
      </c>
      <c r="AO131" s="15">
        <v>0</v>
      </c>
    </row>
    <row r="132" spans="1:41" x14ac:dyDescent="0.25">
      <c r="A132" s="3">
        <v>44561</v>
      </c>
      <c r="B132" s="13" t="s">
        <v>18</v>
      </c>
      <c r="C132" s="14"/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f ca="1">C132-E132-D132</f>
        <v>0</v>
      </c>
      <c r="J132" s="14">
        <v>0</v>
      </c>
      <c r="K132" s="15">
        <v>0</v>
      </c>
      <c r="L132" s="15">
        <f t="shared" ca="1" si="39"/>
        <v>0</v>
      </c>
      <c r="S132" s="18" t="s">
        <v>18</v>
      </c>
      <c r="T132" s="19">
        <f t="shared" ca="1" si="40"/>
        <v>0</v>
      </c>
      <c r="U132" s="19">
        <f t="shared" ca="1" si="40"/>
        <v>0</v>
      </c>
      <c r="V132" s="19">
        <f t="shared" ca="1" si="40"/>
        <v>0</v>
      </c>
      <c r="W132" s="19">
        <f t="shared" ca="1" si="40"/>
        <v>0</v>
      </c>
      <c r="X132" s="19">
        <f t="shared" ca="1" si="40"/>
        <v>0</v>
      </c>
      <c r="Y132" s="19">
        <f t="shared" ca="1" si="40"/>
        <v>0</v>
      </c>
      <c r="Z132" s="19">
        <f t="shared" ca="1" si="40"/>
        <v>0</v>
      </c>
      <c r="AA132" s="19">
        <f t="shared" ca="1" si="40"/>
        <v>0</v>
      </c>
      <c r="AB132" s="20">
        <f t="shared" ca="1" si="40"/>
        <v>0</v>
      </c>
      <c r="AC132" s="20">
        <f t="shared" ca="1" si="40"/>
        <v>0</v>
      </c>
      <c r="AE132" s="13" t="s">
        <v>18</v>
      </c>
      <c r="AF132" s="14"/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5">
        <v>0</v>
      </c>
      <c r="AO132" s="15">
        <v>0</v>
      </c>
    </row>
    <row r="133" spans="1:41" x14ac:dyDescent="0.25">
      <c r="A133" s="3">
        <f ca="1">EOMONTH(A132,12)</f>
        <v>44926</v>
      </c>
      <c r="B133" s="13" t="s">
        <v>20</v>
      </c>
      <c r="C133" s="14"/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f ca="1">C133-E133-D133</f>
        <v>0</v>
      </c>
      <c r="J133" s="14">
        <v>0</v>
      </c>
      <c r="K133" s="15">
        <v>0</v>
      </c>
      <c r="L133" s="15">
        <f t="shared" ca="1" si="39"/>
        <v>0</v>
      </c>
      <c r="S133" s="18" t="s">
        <v>20</v>
      </c>
      <c r="T133" s="19">
        <f t="shared" ca="1" si="40"/>
        <v>0</v>
      </c>
      <c r="U133" s="19">
        <f t="shared" ca="1" si="40"/>
        <v>0</v>
      </c>
      <c r="V133" s="19">
        <f t="shared" ca="1" si="40"/>
        <v>0</v>
      </c>
      <c r="W133" s="19">
        <f t="shared" ca="1" si="40"/>
        <v>0</v>
      </c>
      <c r="X133" s="19">
        <f t="shared" ca="1" si="40"/>
        <v>0</v>
      </c>
      <c r="Y133" s="19">
        <f t="shared" ca="1" si="40"/>
        <v>0</v>
      </c>
      <c r="Z133" s="19">
        <f t="shared" ca="1" si="40"/>
        <v>0</v>
      </c>
      <c r="AA133" s="19">
        <f t="shared" ca="1" si="40"/>
        <v>0</v>
      </c>
      <c r="AB133" s="20">
        <f t="shared" ca="1" si="40"/>
        <v>0</v>
      </c>
      <c r="AC133" s="20">
        <f t="shared" ca="1" si="40"/>
        <v>0</v>
      </c>
      <c r="AE133" s="13" t="s">
        <v>20</v>
      </c>
      <c r="AF133" s="14"/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5">
        <v>0</v>
      </c>
      <c r="AO133" s="15">
        <v>0</v>
      </c>
    </row>
    <row r="134" spans="1:41" x14ac:dyDescent="0.25">
      <c r="A134" s="3">
        <f ca="1">EOMONTH(A133,12)</f>
        <v>45291</v>
      </c>
      <c r="B134" s="13" t="s">
        <v>22</v>
      </c>
      <c r="C134" s="14"/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f ca="1">C134-E134-D134</f>
        <v>0</v>
      </c>
      <c r="J134" s="14">
        <v>0</v>
      </c>
      <c r="K134" s="15">
        <v>0</v>
      </c>
      <c r="L134" s="15">
        <f t="shared" ca="1" si="39"/>
        <v>0</v>
      </c>
      <c r="S134" s="18" t="s">
        <v>22</v>
      </c>
      <c r="T134" s="19">
        <f t="shared" ca="1" si="40"/>
        <v>0</v>
      </c>
      <c r="U134" s="19">
        <f t="shared" ca="1" si="40"/>
        <v>0</v>
      </c>
      <c r="V134" s="19">
        <f t="shared" ca="1" si="40"/>
        <v>0</v>
      </c>
      <c r="W134" s="19">
        <f t="shared" ca="1" si="40"/>
        <v>0</v>
      </c>
      <c r="X134" s="19">
        <f t="shared" ca="1" si="40"/>
        <v>0</v>
      </c>
      <c r="Y134" s="19">
        <f t="shared" ca="1" si="40"/>
        <v>0</v>
      </c>
      <c r="Z134" s="19">
        <f t="shared" ca="1" si="40"/>
        <v>0</v>
      </c>
      <c r="AA134" s="19">
        <f t="shared" ca="1" si="40"/>
        <v>0</v>
      </c>
      <c r="AB134" s="20">
        <f t="shared" ca="1" si="40"/>
        <v>0</v>
      </c>
      <c r="AC134" s="20">
        <f t="shared" ca="1" si="40"/>
        <v>0</v>
      </c>
      <c r="AE134" s="13" t="s">
        <v>22</v>
      </c>
      <c r="AF134" s="14"/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5">
        <v>0</v>
      </c>
      <c r="AO134" s="15">
        <v>0</v>
      </c>
    </row>
    <row r="135" spans="1:41" x14ac:dyDescent="0.25">
      <c r="A135" s="3">
        <v>45291</v>
      </c>
      <c r="B135" s="13" t="s">
        <v>24</v>
      </c>
      <c r="C135" s="14">
        <f t="shared" ref="C135:H135" ca="1" si="41">SUM(C136:C147)</f>
        <v>0</v>
      </c>
      <c r="D135" s="14">
        <f t="shared" ca="1" si="41"/>
        <v>0</v>
      </c>
      <c r="E135" s="14">
        <f t="shared" ca="1" si="41"/>
        <v>0</v>
      </c>
      <c r="F135" s="14">
        <f t="shared" ca="1" si="41"/>
        <v>0</v>
      </c>
      <c r="G135" s="14">
        <f t="shared" ca="1" si="41"/>
        <v>0</v>
      </c>
      <c r="H135" s="14">
        <f t="shared" ca="1" si="41"/>
        <v>0</v>
      </c>
      <c r="I135" s="14">
        <f ca="1">SUM(I136:I147)</f>
        <v>0</v>
      </c>
      <c r="J135" s="14">
        <f ca="1">SUM(J136:J147)</f>
        <v>0</v>
      </c>
      <c r="K135" s="15">
        <f ca="1">SUM(K136:K147)</f>
        <v>0</v>
      </c>
      <c r="L135" s="15">
        <f t="shared" ca="1" si="39"/>
        <v>0</v>
      </c>
      <c r="S135" s="18" t="s">
        <v>24</v>
      </c>
      <c r="T135" s="19">
        <f t="shared" ca="1" si="40"/>
        <v>0</v>
      </c>
      <c r="U135" s="19">
        <f t="shared" ca="1" si="40"/>
        <v>0</v>
      </c>
      <c r="V135" s="19">
        <f t="shared" ca="1" si="40"/>
        <v>0</v>
      </c>
      <c r="W135" s="19">
        <f t="shared" ca="1" si="40"/>
        <v>0</v>
      </c>
      <c r="X135" s="19">
        <f t="shared" ca="1" si="40"/>
        <v>0</v>
      </c>
      <c r="Y135" s="19">
        <f t="shared" ca="1" si="40"/>
        <v>0</v>
      </c>
      <c r="Z135" s="19">
        <f t="shared" ca="1" si="40"/>
        <v>0</v>
      </c>
      <c r="AA135" s="19">
        <f t="shared" ca="1" si="40"/>
        <v>0</v>
      </c>
      <c r="AB135" s="20">
        <f t="shared" ca="1" si="40"/>
        <v>0</v>
      </c>
      <c r="AC135" s="20">
        <f t="shared" ca="1" si="40"/>
        <v>0</v>
      </c>
      <c r="AE135" s="13" t="s">
        <v>24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5">
        <v>0</v>
      </c>
      <c r="AO135" s="15">
        <v>0</v>
      </c>
    </row>
    <row r="136" spans="1:41" x14ac:dyDescent="0.25">
      <c r="A136" s="3">
        <v>45322</v>
      </c>
      <c r="B136" s="26" t="s">
        <v>26</v>
      </c>
      <c r="C136" s="27"/>
      <c r="D136" s="27"/>
      <c r="E136" s="27"/>
      <c r="F136" s="27"/>
      <c r="G136" s="27"/>
      <c r="H136" s="27"/>
      <c r="I136" s="27"/>
      <c r="J136" s="27"/>
      <c r="K136" s="28"/>
      <c r="L136" s="28">
        <f t="shared" ca="1" si="39"/>
        <v>0</v>
      </c>
      <c r="S136" s="26" t="s">
        <v>26</v>
      </c>
      <c r="T136" s="27">
        <f t="shared" ca="1" si="40"/>
        <v>0</v>
      </c>
      <c r="U136" s="27">
        <f t="shared" ca="1" si="40"/>
        <v>0</v>
      </c>
      <c r="V136" s="27">
        <f t="shared" ca="1" si="40"/>
        <v>0</v>
      </c>
      <c r="W136" s="27">
        <f t="shared" ca="1" si="40"/>
        <v>0</v>
      </c>
      <c r="X136" s="27">
        <f t="shared" ca="1" si="40"/>
        <v>0</v>
      </c>
      <c r="Y136" s="27">
        <f t="shared" ca="1" si="40"/>
        <v>0</v>
      </c>
      <c r="Z136" s="27">
        <f t="shared" ca="1" si="40"/>
        <v>0</v>
      </c>
      <c r="AA136" s="27">
        <f t="shared" ca="1" si="40"/>
        <v>0</v>
      </c>
      <c r="AB136" s="28">
        <f t="shared" ca="1" si="40"/>
        <v>0</v>
      </c>
      <c r="AC136" s="28">
        <f t="shared" ca="1" si="40"/>
        <v>0</v>
      </c>
      <c r="AE136" s="26" t="s">
        <v>26</v>
      </c>
      <c r="AF136" s="27"/>
      <c r="AG136" s="27"/>
      <c r="AH136" s="27"/>
      <c r="AI136" s="27"/>
      <c r="AJ136" s="27"/>
      <c r="AK136" s="27"/>
      <c r="AL136" s="27"/>
      <c r="AM136" s="27"/>
      <c r="AN136" s="28"/>
      <c r="AO136" s="28">
        <v>0</v>
      </c>
    </row>
    <row r="137" spans="1:41" x14ac:dyDescent="0.25">
      <c r="A137" s="3">
        <f ca="1">EOMONTH(A136+1,0)</f>
        <v>45351</v>
      </c>
      <c r="B137" s="30" t="s">
        <v>28</v>
      </c>
      <c r="C137" s="31"/>
      <c r="D137" s="31"/>
      <c r="E137" s="31"/>
      <c r="F137" s="31"/>
      <c r="G137" s="31"/>
      <c r="H137" s="31"/>
      <c r="I137" s="31"/>
      <c r="J137" s="31"/>
      <c r="K137" s="32"/>
      <c r="L137" s="32">
        <f t="shared" ca="1" si="39"/>
        <v>0</v>
      </c>
      <c r="S137" s="33" t="s">
        <v>28</v>
      </c>
      <c r="T137" s="19">
        <f t="shared" ca="1" si="40"/>
        <v>0</v>
      </c>
      <c r="U137" s="19">
        <f t="shared" ca="1" si="40"/>
        <v>0</v>
      </c>
      <c r="V137" s="19">
        <f t="shared" ca="1" si="40"/>
        <v>0</v>
      </c>
      <c r="W137" s="19">
        <f t="shared" ca="1" si="40"/>
        <v>0</v>
      </c>
      <c r="X137" s="19">
        <f t="shared" ca="1" si="40"/>
        <v>0</v>
      </c>
      <c r="Y137" s="19">
        <f t="shared" ca="1" si="40"/>
        <v>0</v>
      </c>
      <c r="Z137" s="19">
        <f t="shared" ca="1" si="40"/>
        <v>0</v>
      </c>
      <c r="AA137" s="19">
        <f t="shared" ca="1" si="40"/>
        <v>0</v>
      </c>
      <c r="AB137" s="20">
        <f t="shared" ca="1" si="40"/>
        <v>0</v>
      </c>
      <c r="AC137" s="20">
        <f t="shared" ca="1" si="40"/>
        <v>0</v>
      </c>
      <c r="AE137" s="30" t="s">
        <v>28</v>
      </c>
      <c r="AF137" s="31"/>
      <c r="AG137" s="31"/>
      <c r="AH137" s="31"/>
      <c r="AI137" s="31"/>
      <c r="AJ137" s="31"/>
      <c r="AK137" s="31"/>
      <c r="AL137" s="31"/>
      <c r="AM137" s="31"/>
      <c r="AN137" s="32"/>
      <c r="AO137" s="32">
        <v>0</v>
      </c>
    </row>
    <row r="138" spans="1:41" x14ac:dyDescent="0.25">
      <c r="A138" s="3">
        <f t="shared" ref="A138:A147" ca="1" si="42">EOMONTH(A137+1,0)</f>
        <v>45382</v>
      </c>
      <c r="B138" s="26" t="s">
        <v>29</v>
      </c>
      <c r="C138" s="27"/>
      <c r="D138" s="27"/>
      <c r="E138" s="27"/>
      <c r="F138" s="27"/>
      <c r="G138" s="27"/>
      <c r="H138" s="27"/>
      <c r="I138" s="27"/>
      <c r="J138" s="19"/>
      <c r="K138" s="20"/>
      <c r="L138" s="20">
        <f t="shared" ca="1" si="39"/>
        <v>0</v>
      </c>
      <c r="S138" s="26" t="s">
        <v>29</v>
      </c>
      <c r="T138" s="27">
        <f t="shared" ca="1" si="40"/>
        <v>0</v>
      </c>
      <c r="U138" s="27">
        <f t="shared" ca="1" si="40"/>
        <v>0</v>
      </c>
      <c r="V138" s="27">
        <f t="shared" ca="1" si="40"/>
        <v>0</v>
      </c>
      <c r="W138" s="27">
        <f t="shared" ca="1" si="40"/>
        <v>0</v>
      </c>
      <c r="X138" s="27">
        <f t="shared" ca="1" si="40"/>
        <v>0</v>
      </c>
      <c r="Y138" s="27">
        <f t="shared" ca="1" si="40"/>
        <v>0</v>
      </c>
      <c r="Z138" s="27">
        <f t="shared" ca="1" si="40"/>
        <v>0</v>
      </c>
      <c r="AA138" s="19">
        <f t="shared" ca="1" si="40"/>
        <v>0</v>
      </c>
      <c r="AB138" s="20">
        <f t="shared" ca="1" si="40"/>
        <v>0</v>
      </c>
      <c r="AC138" s="20">
        <f t="shared" ca="1" si="40"/>
        <v>0</v>
      </c>
      <c r="AE138" s="26" t="s">
        <v>29</v>
      </c>
      <c r="AF138" s="27"/>
      <c r="AG138" s="27"/>
      <c r="AH138" s="27"/>
      <c r="AI138" s="27"/>
      <c r="AJ138" s="27"/>
      <c r="AK138" s="27"/>
      <c r="AL138" s="27"/>
      <c r="AM138" s="19"/>
      <c r="AN138" s="20"/>
      <c r="AO138" s="20">
        <v>0</v>
      </c>
    </row>
    <row r="139" spans="1:41" x14ac:dyDescent="0.25">
      <c r="A139" s="3">
        <f t="shared" ca="1" si="42"/>
        <v>45412</v>
      </c>
      <c r="B139" s="30" t="s">
        <v>30</v>
      </c>
      <c r="C139" s="31"/>
      <c r="D139" s="31"/>
      <c r="E139" s="31"/>
      <c r="F139" s="31"/>
      <c r="G139" s="31"/>
      <c r="H139" s="31"/>
      <c r="I139" s="31"/>
      <c r="J139" s="31"/>
      <c r="K139" s="32"/>
      <c r="L139" s="32">
        <f t="shared" ca="1" si="39"/>
        <v>0</v>
      </c>
      <c r="S139" s="33" t="s">
        <v>30</v>
      </c>
      <c r="T139" s="19">
        <f t="shared" ca="1" si="40"/>
        <v>0</v>
      </c>
      <c r="U139" s="19">
        <f t="shared" ca="1" si="40"/>
        <v>0</v>
      </c>
      <c r="V139" s="19">
        <f t="shared" ca="1" si="40"/>
        <v>0</v>
      </c>
      <c r="W139" s="19">
        <f t="shared" ca="1" si="40"/>
        <v>0</v>
      </c>
      <c r="X139" s="19">
        <f t="shared" ca="1" si="40"/>
        <v>0</v>
      </c>
      <c r="Y139" s="19">
        <f t="shared" ca="1" si="40"/>
        <v>0</v>
      </c>
      <c r="Z139" s="19">
        <f t="shared" ca="1" si="40"/>
        <v>0</v>
      </c>
      <c r="AA139" s="19">
        <f t="shared" ca="1" si="40"/>
        <v>0</v>
      </c>
      <c r="AB139" s="20">
        <f t="shared" ca="1" si="40"/>
        <v>0</v>
      </c>
      <c r="AC139" s="20">
        <f t="shared" ca="1" si="40"/>
        <v>0</v>
      </c>
      <c r="AE139" s="30" t="s">
        <v>30</v>
      </c>
      <c r="AF139" s="31"/>
      <c r="AG139" s="31"/>
      <c r="AH139" s="31"/>
      <c r="AI139" s="31"/>
      <c r="AJ139" s="31"/>
      <c r="AK139" s="31"/>
      <c r="AL139" s="31"/>
      <c r="AM139" s="31"/>
      <c r="AN139" s="32"/>
      <c r="AO139" s="32">
        <v>0</v>
      </c>
    </row>
    <row r="140" spans="1:41" x14ac:dyDescent="0.25">
      <c r="A140" s="3">
        <f t="shared" ca="1" si="42"/>
        <v>45443</v>
      </c>
      <c r="B140" s="26" t="s">
        <v>31</v>
      </c>
      <c r="C140" s="27"/>
      <c r="D140" s="27"/>
      <c r="E140" s="27"/>
      <c r="F140" s="27"/>
      <c r="G140" s="27"/>
      <c r="H140" s="27"/>
      <c r="I140" s="27"/>
      <c r="J140" s="19"/>
      <c r="K140" s="20"/>
      <c r="L140" s="20">
        <f t="shared" ca="1" si="39"/>
        <v>0</v>
      </c>
      <c r="S140" s="26" t="s">
        <v>31</v>
      </c>
      <c r="T140" s="27">
        <f t="shared" ca="1" si="40"/>
        <v>0</v>
      </c>
      <c r="U140" s="27">
        <f t="shared" ca="1" si="40"/>
        <v>0</v>
      </c>
      <c r="V140" s="27">
        <f t="shared" ca="1" si="40"/>
        <v>0</v>
      </c>
      <c r="W140" s="27">
        <f t="shared" ca="1" si="40"/>
        <v>0</v>
      </c>
      <c r="X140" s="27">
        <f t="shared" ca="1" si="40"/>
        <v>0</v>
      </c>
      <c r="Y140" s="27">
        <f t="shared" ca="1" si="40"/>
        <v>0</v>
      </c>
      <c r="Z140" s="27">
        <f t="shared" ca="1" si="40"/>
        <v>0</v>
      </c>
      <c r="AA140" s="19">
        <f t="shared" ca="1" si="40"/>
        <v>0</v>
      </c>
      <c r="AB140" s="20">
        <f t="shared" ca="1" si="40"/>
        <v>0</v>
      </c>
      <c r="AC140" s="20">
        <f t="shared" ca="1" si="40"/>
        <v>0</v>
      </c>
      <c r="AE140" s="26" t="s">
        <v>31</v>
      </c>
      <c r="AF140" s="27"/>
      <c r="AG140" s="27"/>
      <c r="AH140" s="27"/>
      <c r="AI140" s="27"/>
      <c r="AJ140" s="27"/>
      <c r="AK140" s="27"/>
      <c r="AL140" s="27"/>
      <c r="AM140" s="19"/>
      <c r="AN140" s="20"/>
      <c r="AO140" s="20">
        <v>0</v>
      </c>
    </row>
    <row r="141" spans="1:41" x14ac:dyDescent="0.25">
      <c r="A141" s="3">
        <f t="shared" ca="1" si="42"/>
        <v>45473</v>
      </c>
      <c r="B141" s="30" t="s">
        <v>33</v>
      </c>
      <c r="C141" s="31"/>
      <c r="D141" s="31"/>
      <c r="E141" s="31"/>
      <c r="F141" s="31"/>
      <c r="G141" s="31"/>
      <c r="H141" s="31"/>
      <c r="I141" s="31"/>
      <c r="J141" s="31"/>
      <c r="K141" s="32"/>
      <c r="L141" s="32">
        <f t="shared" ca="1" si="39"/>
        <v>0</v>
      </c>
      <c r="S141" s="33" t="s">
        <v>33</v>
      </c>
      <c r="T141" s="19">
        <f t="shared" ca="1" si="40"/>
        <v>0</v>
      </c>
      <c r="U141" s="19">
        <f t="shared" ca="1" si="40"/>
        <v>0</v>
      </c>
      <c r="V141" s="19">
        <f t="shared" ca="1" si="40"/>
        <v>0</v>
      </c>
      <c r="W141" s="19">
        <f t="shared" ca="1" si="40"/>
        <v>0</v>
      </c>
      <c r="X141" s="19">
        <f t="shared" ca="1" si="40"/>
        <v>0</v>
      </c>
      <c r="Y141" s="19">
        <f t="shared" ca="1" si="40"/>
        <v>0</v>
      </c>
      <c r="Z141" s="19">
        <f t="shared" ca="1" si="40"/>
        <v>0</v>
      </c>
      <c r="AA141" s="19">
        <f t="shared" ca="1" si="40"/>
        <v>0</v>
      </c>
      <c r="AB141" s="20">
        <f t="shared" ca="1" si="40"/>
        <v>0</v>
      </c>
      <c r="AC141" s="20">
        <f t="shared" ca="1" si="40"/>
        <v>0</v>
      </c>
      <c r="AE141" s="30" t="s">
        <v>33</v>
      </c>
      <c r="AF141" s="31"/>
      <c r="AG141" s="31"/>
      <c r="AH141" s="31"/>
      <c r="AI141" s="31"/>
      <c r="AJ141" s="31"/>
      <c r="AK141" s="31"/>
      <c r="AL141" s="31"/>
      <c r="AM141" s="31"/>
      <c r="AN141" s="32"/>
      <c r="AO141" s="32">
        <v>0</v>
      </c>
    </row>
    <row r="142" spans="1:41" x14ac:dyDescent="0.25">
      <c r="A142" s="3">
        <f t="shared" ca="1" si="42"/>
        <v>45504</v>
      </c>
      <c r="B142" s="26" t="s">
        <v>34</v>
      </c>
      <c r="C142" s="27"/>
      <c r="D142" s="27"/>
      <c r="E142" s="27"/>
      <c r="F142" s="27" t="s">
        <v>32</v>
      </c>
      <c r="G142" s="27"/>
      <c r="H142" s="27"/>
      <c r="I142" s="27"/>
      <c r="J142" s="19"/>
      <c r="K142" s="20"/>
      <c r="L142" s="20">
        <f t="shared" ca="1" si="39"/>
        <v>0</v>
      </c>
      <c r="S142" s="26" t="s">
        <v>34</v>
      </c>
      <c r="T142" s="27">
        <f t="shared" ca="1" si="40"/>
        <v>0</v>
      </c>
      <c r="U142" s="27">
        <f t="shared" ca="1" si="40"/>
        <v>0</v>
      </c>
      <c r="V142" s="27">
        <f t="shared" ca="1" si="40"/>
        <v>0</v>
      </c>
      <c r="W142" s="27" t="e">
        <f ca="1">F142-AI142</f>
        <v>#VALUE!</v>
      </c>
      <c r="X142" s="27">
        <f t="shared" ca="1" si="40"/>
        <v>0</v>
      </c>
      <c r="Y142" s="27">
        <f t="shared" ca="1" si="40"/>
        <v>0</v>
      </c>
      <c r="Z142" s="27">
        <f t="shared" ca="1" si="40"/>
        <v>0</v>
      </c>
      <c r="AA142" s="19">
        <f t="shared" ca="1" si="40"/>
        <v>0</v>
      </c>
      <c r="AB142" s="20">
        <f t="shared" ca="1" si="40"/>
        <v>0</v>
      </c>
      <c r="AC142" s="20">
        <f t="shared" ca="1" si="40"/>
        <v>0</v>
      </c>
      <c r="AE142" s="26" t="s">
        <v>34</v>
      </c>
      <c r="AF142" s="27"/>
      <c r="AG142" s="27"/>
      <c r="AH142" s="27"/>
      <c r="AI142" s="27" t="s">
        <v>32</v>
      </c>
      <c r="AJ142" s="27"/>
      <c r="AK142" s="27"/>
      <c r="AL142" s="27"/>
      <c r="AM142" s="19"/>
      <c r="AN142" s="20"/>
      <c r="AO142" s="20">
        <v>0</v>
      </c>
    </row>
    <row r="143" spans="1:41" x14ac:dyDescent="0.25">
      <c r="A143" s="3">
        <f t="shared" ca="1" si="42"/>
        <v>45535</v>
      </c>
      <c r="B143" s="30" t="s">
        <v>35</v>
      </c>
      <c r="C143" s="31"/>
      <c r="D143" s="31"/>
      <c r="E143" s="31"/>
      <c r="F143" s="31"/>
      <c r="G143" s="31"/>
      <c r="H143" s="31"/>
      <c r="I143" s="31"/>
      <c r="J143" s="31"/>
      <c r="K143" s="32"/>
      <c r="L143" s="32">
        <f t="shared" ca="1" si="39"/>
        <v>0</v>
      </c>
      <c r="S143" s="33" t="s">
        <v>35</v>
      </c>
      <c r="T143" s="19">
        <f t="shared" ca="1" si="40"/>
        <v>0</v>
      </c>
      <c r="U143" s="19">
        <f t="shared" ca="1" si="40"/>
        <v>0</v>
      </c>
      <c r="V143" s="19">
        <f t="shared" ca="1" si="40"/>
        <v>0</v>
      </c>
      <c r="W143" s="19">
        <f t="shared" ca="1" si="40"/>
        <v>0</v>
      </c>
      <c r="X143" s="19">
        <f t="shared" ca="1" si="40"/>
        <v>0</v>
      </c>
      <c r="Y143" s="19">
        <f t="shared" ca="1" si="40"/>
        <v>0</v>
      </c>
      <c r="Z143" s="19">
        <f t="shared" ca="1" si="40"/>
        <v>0</v>
      </c>
      <c r="AA143" s="19">
        <f t="shared" ca="1" si="40"/>
        <v>0</v>
      </c>
      <c r="AB143" s="20">
        <f t="shared" ca="1" si="40"/>
        <v>0</v>
      </c>
      <c r="AC143" s="20">
        <f t="shared" ca="1" si="40"/>
        <v>0</v>
      </c>
      <c r="AE143" s="30" t="s">
        <v>35</v>
      </c>
      <c r="AF143" s="31"/>
      <c r="AG143" s="31"/>
      <c r="AH143" s="31"/>
      <c r="AI143" s="31"/>
      <c r="AJ143" s="31"/>
      <c r="AK143" s="31"/>
      <c r="AL143" s="31"/>
      <c r="AM143" s="31"/>
      <c r="AN143" s="32"/>
      <c r="AO143" s="32">
        <v>0</v>
      </c>
    </row>
    <row r="144" spans="1:41" x14ac:dyDescent="0.25">
      <c r="A144" s="3">
        <f t="shared" ca="1" si="42"/>
        <v>45565</v>
      </c>
      <c r="B144" s="26" t="s">
        <v>36</v>
      </c>
      <c r="C144" s="27"/>
      <c r="D144" s="27"/>
      <c r="E144" s="27"/>
      <c r="F144" s="27"/>
      <c r="G144" s="27"/>
      <c r="H144" s="27"/>
      <c r="I144" s="27"/>
      <c r="J144" s="19"/>
      <c r="K144" s="20"/>
      <c r="L144" s="20">
        <f t="shared" ca="1" si="39"/>
        <v>0</v>
      </c>
      <c r="S144" s="26" t="s">
        <v>36</v>
      </c>
      <c r="T144" s="27">
        <f t="shared" ca="1" si="40"/>
        <v>0</v>
      </c>
      <c r="U144" s="27">
        <f t="shared" ca="1" si="40"/>
        <v>0</v>
      </c>
      <c r="V144" s="27">
        <f t="shared" ca="1" si="40"/>
        <v>0</v>
      </c>
      <c r="W144" s="27">
        <f t="shared" ca="1" si="40"/>
        <v>0</v>
      </c>
      <c r="X144" s="27">
        <f t="shared" ca="1" si="40"/>
        <v>0</v>
      </c>
      <c r="Y144" s="27">
        <f t="shared" ca="1" si="40"/>
        <v>0</v>
      </c>
      <c r="Z144" s="27">
        <f t="shared" ca="1" si="40"/>
        <v>0</v>
      </c>
      <c r="AA144" s="19">
        <f t="shared" ca="1" si="40"/>
        <v>0</v>
      </c>
      <c r="AB144" s="20">
        <f t="shared" ca="1" si="40"/>
        <v>0</v>
      </c>
      <c r="AC144" s="20">
        <f t="shared" ca="1" si="40"/>
        <v>0</v>
      </c>
      <c r="AE144" s="26" t="s">
        <v>36</v>
      </c>
      <c r="AF144" s="27"/>
      <c r="AG144" s="27"/>
      <c r="AH144" s="27"/>
      <c r="AI144" s="27"/>
      <c r="AJ144" s="27"/>
      <c r="AK144" s="27"/>
      <c r="AL144" s="27"/>
      <c r="AM144" s="19"/>
      <c r="AN144" s="20"/>
      <c r="AO144" s="20">
        <v>0</v>
      </c>
    </row>
    <row r="145" spans="1:41" x14ac:dyDescent="0.25">
      <c r="A145" s="3">
        <f t="shared" ca="1" si="42"/>
        <v>45596</v>
      </c>
      <c r="B145" s="30" t="s">
        <v>37</v>
      </c>
      <c r="C145" s="31"/>
      <c r="D145" s="31"/>
      <c r="E145" s="31"/>
      <c r="F145" s="31"/>
      <c r="G145" s="31"/>
      <c r="H145" s="31"/>
      <c r="I145" s="31"/>
      <c r="J145" s="31"/>
      <c r="K145" s="32"/>
      <c r="L145" s="32">
        <f t="shared" ca="1" si="39"/>
        <v>0</v>
      </c>
      <c r="S145" s="33" t="s">
        <v>37</v>
      </c>
      <c r="T145" s="19">
        <f t="shared" ca="1" si="40"/>
        <v>0</v>
      </c>
      <c r="U145" s="19">
        <f t="shared" ca="1" si="40"/>
        <v>0</v>
      </c>
      <c r="V145" s="19">
        <f t="shared" ca="1" si="40"/>
        <v>0</v>
      </c>
      <c r="W145" s="19">
        <f t="shared" ca="1" si="40"/>
        <v>0</v>
      </c>
      <c r="X145" s="19">
        <f t="shared" ca="1" si="40"/>
        <v>0</v>
      </c>
      <c r="Y145" s="19">
        <f t="shared" ca="1" si="40"/>
        <v>0</v>
      </c>
      <c r="Z145" s="19">
        <f t="shared" ca="1" si="40"/>
        <v>0</v>
      </c>
      <c r="AA145" s="19">
        <f t="shared" ca="1" si="40"/>
        <v>0</v>
      </c>
      <c r="AB145" s="20">
        <f t="shared" ca="1" si="40"/>
        <v>0</v>
      </c>
      <c r="AC145" s="20">
        <f t="shared" ca="1" si="40"/>
        <v>0</v>
      </c>
      <c r="AE145" s="30" t="s">
        <v>37</v>
      </c>
      <c r="AF145" s="31"/>
      <c r="AG145" s="31"/>
      <c r="AH145" s="31"/>
      <c r="AI145" s="31"/>
      <c r="AJ145" s="31"/>
      <c r="AK145" s="31"/>
      <c r="AL145" s="31"/>
      <c r="AM145" s="31"/>
      <c r="AN145" s="32"/>
      <c r="AO145" s="32">
        <v>0</v>
      </c>
    </row>
    <row r="146" spans="1:41" x14ac:dyDescent="0.25">
      <c r="A146" s="3">
        <f t="shared" ca="1" si="42"/>
        <v>45626</v>
      </c>
      <c r="B146" s="26" t="s">
        <v>38</v>
      </c>
      <c r="C146" s="27"/>
      <c r="D146" s="27"/>
      <c r="E146" s="27"/>
      <c r="F146" s="27"/>
      <c r="G146" s="27"/>
      <c r="H146" s="27"/>
      <c r="I146" s="27"/>
      <c r="J146" s="19"/>
      <c r="K146" s="20"/>
      <c r="L146" s="20">
        <f t="shared" ca="1" si="39"/>
        <v>0</v>
      </c>
      <c r="S146" s="26" t="s">
        <v>38</v>
      </c>
      <c r="T146" s="27">
        <f t="shared" ca="1" si="40"/>
        <v>0</v>
      </c>
      <c r="U146" s="27">
        <f t="shared" ca="1" si="40"/>
        <v>0</v>
      </c>
      <c r="V146" s="27">
        <f t="shared" ca="1" si="40"/>
        <v>0</v>
      </c>
      <c r="W146" s="27">
        <f t="shared" ca="1" si="40"/>
        <v>0</v>
      </c>
      <c r="X146" s="27">
        <f t="shared" ca="1" si="40"/>
        <v>0</v>
      </c>
      <c r="Y146" s="27">
        <f t="shared" ca="1" si="40"/>
        <v>0</v>
      </c>
      <c r="Z146" s="27">
        <f t="shared" ca="1" si="40"/>
        <v>0</v>
      </c>
      <c r="AA146" s="19">
        <f t="shared" ca="1" si="40"/>
        <v>0</v>
      </c>
      <c r="AB146" s="20">
        <f t="shared" ca="1" si="40"/>
        <v>0</v>
      </c>
      <c r="AC146" s="20">
        <f t="shared" ca="1" si="40"/>
        <v>0</v>
      </c>
      <c r="AE146" s="26" t="s">
        <v>38</v>
      </c>
      <c r="AF146" s="27"/>
      <c r="AG146" s="27"/>
      <c r="AH146" s="27"/>
      <c r="AI146" s="27"/>
      <c r="AJ146" s="27"/>
      <c r="AK146" s="27"/>
      <c r="AL146" s="27"/>
      <c r="AM146" s="19"/>
      <c r="AN146" s="20"/>
      <c r="AO146" s="20">
        <v>0</v>
      </c>
    </row>
    <row r="147" spans="1:41" x14ac:dyDescent="0.25">
      <c r="A147" s="3">
        <f t="shared" ca="1" si="42"/>
        <v>45657</v>
      </c>
      <c r="B147" s="30" t="s">
        <v>39</v>
      </c>
      <c r="C147" s="31"/>
      <c r="D147" s="31"/>
      <c r="E147" s="31"/>
      <c r="F147" s="31"/>
      <c r="G147" s="31"/>
      <c r="H147" s="31"/>
      <c r="I147" s="31"/>
      <c r="J147" s="31"/>
      <c r="K147" s="32"/>
      <c r="L147" s="32">
        <f t="shared" ca="1" si="39"/>
        <v>0</v>
      </c>
      <c r="S147" s="33" t="s">
        <v>39</v>
      </c>
      <c r="T147" s="19">
        <f t="shared" ca="1" si="40"/>
        <v>0</v>
      </c>
      <c r="U147" s="19">
        <f t="shared" ca="1" si="40"/>
        <v>0</v>
      </c>
      <c r="V147" s="19">
        <f t="shared" ca="1" si="40"/>
        <v>0</v>
      </c>
      <c r="W147" s="19">
        <f t="shared" ca="1" si="40"/>
        <v>0</v>
      </c>
      <c r="X147" s="19">
        <f t="shared" ca="1" si="40"/>
        <v>0</v>
      </c>
      <c r="Y147" s="19">
        <f t="shared" ca="1" si="40"/>
        <v>0</v>
      </c>
      <c r="Z147" s="19">
        <f t="shared" ca="1" si="40"/>
        <v>0</v>
      </c>
      <c r="AA147" s="19">
        <f t="shared" ca="1" si="40"/>
        <v>0</v>
      </c>
      <c r="AB147" s="20">
        <f t="shared" ca="1" si="40"/>
        <v>0</v>
      </c>
      <c r="AC147" s="20">
        <f t="shared" ca="1" si="40"/>
        <v>0</v>
      </c>
      <c r="AE147" s="30" t="s">
        <v>39</v>
      </c>
      <c r="AF147" s="31"/>
      <c r="AG147" s="31"/>
      <c r="AH147" s="31"/>
      <c r="AI147" s="31"/>
      <c r="AJ147" s="31"/>
      <c r="AK147" s="31"/>
      <c r="AL147" s="31"/>
      <c r="AM147" s="31"/>
      <c r="AN147" s="32"/>
      <c r="AO147" s="32">
        <v>0</v>
      </c>
    </row>
    <row r="148" spans="1:41" x14ac:dyDescent="0.25">
      <c r="A148" s="3">
        <f ca="1">A147</f>
        <v>45657</v>
      </c>
      <c r="B148" s="13" t="s">
        <v>40</v>
      </c>
      <c r="C148" s="14">
        <f ca="1">SUM(C149:C160)</f>
        <v>178019272.94</v>
      </c>
      <c r="D148" s="14">
        <f t="shared" ref="D148:K148" ca="1" si="43">SUM(D149:D160)</f>
        <v>49350</v>
      </c>
      <c r="E148" s="14">
        <f t="shared" ca="1" si="43"/>
        <v>250598003.97999999</v>
      </c>
      <c r="F148" s="14">
        <f t="shared" ca="1" si="43"/>
        <v>104245167</v>
      </c>
      <c r="G148" s="14">
        <f t="shared" ca="1" si="43"/>
        <v>146043406</v>
      </c>
      <c r="H148" s="14">
        <f t="shared" ca="1" si="43"/>
        <v>309457</v>
      </c>
      <c r="I148" s="14">
        <f t="shared" ca="1" si="43"/>
        <v>0</v>
      </c>
      <c r="J148" s="14">
        <f t="shared" ca="1" si="43"/>
        <v>26435034.530000001</v>
      </c>
      <c r="K148" s="15">
        <f t="shared" ca="1" si="43"/>
        <v>77810132.469999999</v>
      </c>
      <c r="L148" s="15">
        <f t="shared" ca="1" si="39"/>
        <v>-72628081.039999992</v>
      </c>
      <c r="S148" s="18" t="s">
        <v>40</v>
      </c>
      <c r="T148" s="19">
        <f t="shared" ca="1" si="40"/>
        <v>0</v>
      </c>
      <c r="U148" s="19">
        <f t="shared" ca="1" si="40"/>
        <v>0</v>
      </c>
      <c r="V148" s="19">
        <f t="shared" ca="1" si="40"/>
        <v>371273.81999999285</v>
      </c>
      <c r="W148" s="19">
        <f t="shared" ca="1" si="40"/>
        <v>371916</v>
      </c>
      <c r="X148" s="19">
        <f t="shared" ca="1" si="40"/>
        <v>-643</v>
      </c>
      <c r="Y148" s="19">
        <f t="shared" ca="1" si="40"/>
        <v>0</v>
      </c>
      <c r="Z148" s="19">
        <f t="shared" ca="1" si="40"/>
        <v>0</v>
      </c>
      <c r="AA148" s="19">
        <f t="shared" ca="1" si="40"/>
        <v>372419.08000000194</v>
      </c>
      <c r="AB148" s="20">
        <f t="shared" ca="1" si="40"/>
        <v>-503.07999999821186</v>
      </c>
      <c r="AC148" s="20">
        <f t="shared" ca="1" si="40"/>
        <v>-371273.81999999285</v>
      </c>
      <c r="AE148" s="13" t="s">
        <v>40</v>
      </c>
      <c r="AF148" s="14">
        <v>178019272.94</v>
      </c>
      <c r="AG148" s="14">
        <v>49350</v>
      </c>
      <c r="AH148" s="14">
        <v>250226730.16</v>
      </c>
      <c r="AI148" s="14">
        <v>103873251</v>
      </c>
      <c r="AJ148" s="14">
        <v>146044049</v>
      </c>
      <c r="AK148" s="14">
        <v>309457</v>
      </c>
      <c r="AL148" s="14">
        <v>0</v>
      </c>
      <c r="AM148" s="14">
        <v>26062615.449999999</v>
      </c>
      <c r="AN148" s="15">
        <v>77810635.549999997</v>
      </c>
      <c r="AO148" s="15">
        <v>-72256807.219999999</v>
      </c>
    </row>
    <row r="149" spans="1:41" x14ac:dyDescent="0.25">
      <c r="A149" s="3">
        <f ca="1">EOMONTH(A147+1,0)</f>
        <v>45688</v>
      </c>
      <c r="B149" s="26" t="s">
        <v>41</v>
      </c>
      <c r="C149" s="27"/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19">
        <f ca="1">IF(L149&lt;0,0,L149)</f>
        <v>0</v>
      </c>
      <c r="J149" s="19">
        <v>0</v>
      </c>
      <c r="K149" s="20">
        <v>0</v>
      </c>
      <c r="L149" s="20">
        <f t="shared" ca="1" si="39"/>
        <v>0</v>
      </c>
      <c r="M149" s="16"/>
      <c r="S149" s="26" t="s">
        <v>41</v>
      </c>
      <c r="T149" s="27">
        <f t="shared" ca="1" si="40"/>
        <v>0</v>
      </c>
      <c r="U149" s="27">
        <f t="shared" ca="1" si="40"/>
        <v>0</v>
      </c>
      <c r="V149" s="27">
        <f t="shared" ca="1" si="40"/>
        <v>0</v>
      </c>
      <c r="W149" s="27">
        <f t="shared" ca="1" si="40"/>
        <v>0</v>
      </c>
      <c r="X149" s="27">
        <f t="shared" ca="1" si="40"/>
        <v>0</v>
      </c>
      <c r="Y149" s="27">
        <f t="shared" ca="1" si="40"/>
        <v>0</v>
      </c>
      <c r="Z149" s="27">
        <f t="shared" ca="1" si="40"/>
        <v>0</v>
      </c>
      <c r="AA149" s="19">
        <f t="shared" ca="1" si="40"/>
        <v>0</v>
      </c>
      <c r="AB149" s="20">
        <f t="shared" ca="1" si="40"/>
        <v>0</v>
      </c>
      <c r="AC149" s="20">
        <f t="shared" ca="1" si="40"/>
        <v>0</v>
      </c>
      <c r="AD149" s="16"/>
      <c r="AE149" s="26" t="s">
        <v>41</v>
      </c>
      <c r="AF149" s="27"/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19">
        <v>0</v>
      </c>
      <c r="AM149" s="19">
        <v>0</v>
      </c>
      <c r="AN149" s="20">
        <v>0</v>
      </c>
      <c r="AO149" s="20">
        <v>0</v>
      </c>
    </row>
    <row r="150" spans="1:41" x14ac:dyDescent="0.25">
      <c r="A150" s="3">
        <f t="shared" ref="A150:A158" ca="1" si="44">EOMONTH(A149+1,0)</f>
        <v>45716</v>
      </c>
      <c r="B150" s="30" t="s">
        <v>42</v>
      </c>
      <c r="C150" s="31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1">
        <f t="shared" ref="I150:I160" ca="1" si="45">IF(L150&lt;0,0,L150)</f>
        <v>0</v>
      </c>
      <c r="J150" s="31">
        <v>0</v>
      </c>
      <c r="K150" s="32">
        <v>0</v>
      </c>
      <c r="L150" s="32">
        <f t="shared" ca="1" si="39"/>
        <v>0</v>
      </c>
      <c r="M150" s="16"/>
      <c r="S150" s="33" t="s">
        <v>42</v>
      </c>
      <c r="T150" s="19">
        <f t="shared" ca="1" si="40"/>
        <v>0</v>
      </c>
      <c r="U150" s="19">
        <f t="shared" ca="1" si="40"/>
        <v>0</v>
      </c>
      <c r="V150" s="19">
        <f t="shared" ca="1" si="40"/>
        <v>0</v>
      </c>
      <c r="W150" s="19">
        <f t="shared" ca="1" si="40"/>
        <v>0</v>
      </c>
      <c r="X150" s="19">
        <f t="shared" ca="1" si="40"/>
        <v>0</v>
      </c>
      <c r="Y150" s="19">
        <f t="shared" ca="1" si="40"/>
        <v>0</v>
      </c>
      <c r="Z150" s="19">
        <f t="shared" ca="1" si="40"/>
        <v>0</v>
      </c>
      <c r="AA150" s="19">
        <f t="shared" ca="1" si="40"/>
        <v>0</v>
      </c>
      <c r="AB150" s="20">
        <f t="shared" ca="1" si="40"/>
        <v>0</v>
      </c>
      <c r="AC150" s="20">
        <f t="shared" ca="1" si="40"/>
        <v>0</v>
      </c>
      <c r="AD150" s="16"/>
      <c r="AE150" s="30" t="s">
        <v>42</v>
      </c>
      <c r="AF150" s="31"/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0</v>
      </c>
      <c r="AM150" s="31">
        <v>0</v>
      </c>
      <c r="AN150" s="32">
        <v>0</v>
      </c>
      <c r="AO150" s="32">
        <v>0</v>
      </c>
    </row>
    <row r="151" spans="1:41" x14ac:dyDescent="0.25">
      <c r="A151" s="3">
        <f t="shared" ca="1" si="44"/>
        <v>45747</v>
      </c>
      <c r="B151" s="26" t="s">
        <v>43</v>
      </c>
      <c r="C151" s="27"/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19">
        <f t="shared" ca="1" si="45"/>
        <v>0</v>
      </c>
      <c r="J151" s="19">
        <v>0</v>
      </c>
      <c r="K151" s="20">
        <v>0</v>
      </c>
      <c r="L151" s="20">
        <f t="shared" ca="1" si="39"/>
        <v>0</v>
      </c>
      <c r="M151" s="16"/>
      <c r="S151" s="26" t="s">
        <v>43</v>
      </c>
      <c r="T151" s="27">
        <f t="shared" ca="1" si="40"/>
        <v>0</v>
      </c>
      <c r="U151" s="27">
        <f t="shared" ca="1" si="40"/>
        <v>0</v>
      </c>
      <c r="V151" s="27">
        <f t="shared" ca="1" si="40"/>
        <v>0</v>
      </c>
      <c r="W151" s="27">
        <f t="shared" ca="1" si="40"/>
        <v>0</v>
      </c>
      <c r="X151" s="27">
        <f t="shared" ca="1" si="40"/>
        <v>0</v>
      </c>
      <c r="Y151" s="27">
        <f t="shared" ca="1" si="40"/>
        <v>0</v>
      </c>
      <c r="Z151" s="27">
        <f t="shared" ca="1" si="40"/>
        <v>0</v>
      </c>
      <c r="AA151" s="19">
        <f t="shared" ca="1" si="40"/>
        <v>0</v>
      </c>
      <c r="AB151" s="20">
        <f t="shared" ca="1" si="40"/>
        <v>0</v>
      </c>
      <c r="AC151" s="20">
        <f t="shared" ca="1" si="40"/>
        <v>0</v>
      </c>
      <c r="AD151" s="16"/>
      <c r="AE151" s="26" t="s">
        <v>43</v>
      </c>
      <c r="AF151" s="27"/>
      <c r="AG151" s="27">
        <v>0</v>
      </c>
      <c r="AH151" s="27">
        <v>0</v>
      </c>
      <c r="AI151" s="27">
        <v>0</v>
      </c>
      <c r="AJ151" s="27">
        <v>0</v>
      </c>
      <c r="AK151" s="27">
        <v>0</v>
      </c>
      <c r="AL151" s="27">
        <v>0</v>
      </c>
      <c r="AM151" s="19">
        <v>0</v>
      </c>
      <c r="AN151" s="20">
        <v>0</v>
      </c>
      <c r="AO151" s="20">
        <v>0</v>
      </c>
    </row>
    <row r="152" spans="1:41" x14ac:dyDescent="0.25">
      <c r="A152" s="3">
        <f t="shared" ca="1" si="44"/>
        <v>45777</v>
      </c>
      <c r="B152" s="30" t="s">
        <v>44</v>
      </c>
      <c r="C152" s="31"/>
      <c r="D152" s="31">
        <v>0</v>
      </c>
      <c r="E152" s="31">
        <v>30000</v>
      </c>
      <c r="F152" s="31">
        <v>0</v>
      </c>
      <c r="G152" s="31">
        <v>30000</v>
      </c>
      <c r="H152" s="31">
        <v>0</v>
      </c>
      <c r="I152" s="31">
        <f ca="1">IF(L152&lt;0,0,L152)</f>
        <v>0</v>
      </c>
      <c r="J152" s="31">
        <v>0</v>
      </c>
      <c r="K152" s="32">
        <v>0</v>
      </c>
      <c r="L152" s="32">
        <f ca="1">C152-E152-D152</f>
        <v>-30000</v>
      </c>
      <c r="M152" s="16"/>
      <c r="S152" s="33" t="s">
        <v>44</v>
      </c>
      <c r="T152" s="19">
        <f t="shared" ca="1" si="40"/>
        <v>0</v>
      </c>
      <c r="U152" s="19">
        <f t="shared" ca="1" si="40"/>
        <v>0</v>
      </c>
      <c r="V152" s="19">
        <f t="shared" ca="1" si="40"/>
        <v>0</v>
      </c>
      <c r="W152" s="19">
        <f t="shared" ca="1" si="40"/>
        <v>0</v>
      </c>
      <c r="X152" s="19">
        <f t="shared" ca="1" si="40"/>
        <v>0</v>
      </c>
      <c r="Y152" s="19">
        <f t="shared" ca="1" si="40"/>
        <v>0</v>
      </c>
      <c r="Z152" s="19">
        <f t="shared" ca="1" si="40"/>
        <v>0</v>
      </c>
      <c r="AA152" s="19">
        <f t="shared" ca="1" si="40"/>
        <v>0</v>
      </c>
      <c r="AB152" s="20">
        <f t="shared" ca="1" si="40"/>
        <v>0</v>
      </c>
      <c r="AC152" s="20">
        <f t="shared" ca="1" si="40"/>
        <v>0</v>
      </c>
      <c r="AD152" s="16"/>
      <c r="AE152" s="30" t="s">
        <v>44</v>
      </c>
      <c r="AF152" s="31"/>
      <c r="AG152" s="31">
        <v>0</v>
      </c>
      <c r="AH152" s="31">
        <v>30000</v>
      </c>
      <c r="AI152" s="31">
        <v>0</v>
      </c>
      <c r="AJ152" s="31">
        <v>30000</v>
      </c>
      <c r="AK152" s="31">
        <v>0</v>
      </c>
      <c r="AL152" s="46">
        <v>0</v>
      </c>
      <c r="AM152" s="31">
        <v>0</v>
      </c>
      <c r="AN152" s="32">
        <v>0</v>
      </c>
      <c r="AO152" s="32">
        <v>-30000</v>
      </c>
    </row>
    <row r="153" spans="1:41" x14ac:dyDescent="0.25">
      <c r="A153" s="3">
        <f t="shared" ca="1" si="44"/>
        <v>45808</v>
      </c>
      <c r="B153" s="26" t="s">
        <v>45</v>
      </c>
      <c r="C153" s="27">
        <v>47753902.540000007</v>
      </c>
      <c r="D153" s="27">
        <v>0</v>
      </c>
      <c r="E153" s="27">
        <v>67530546</v>
      </c>
      <c r="F153" s="27">
        <v>2740915</v>
      </c>
      <c r="G153" s="27">
        <v>64784612</v>
      </c>
      <c r="H153" s="27">
        <v>5000</v>
      </c>
      <c r="I153" s="19">
        <f ca="1">IF(L153&lt;0,0,L153)</f>
        <v>0</v>
      </c>
      <c r="J153" s="19">
        <v>2293832.2099999995</v>
      </c>
      <c r="K153" s="20">
        <v>447082.79000000004</v>
      </c>
      <c r="L153" s="20">
        <f ca="1">C153-E153-D153</f>
        <v>-19776643.459999993</v>
      </c>
      <c r="M153" s="16"/>
      <c r="S153" s="26" t="s">
        <v>45</v>
      </c>
      <c r="T153" s="27">
        <f t="shared" ca="1" si="40"/>
        <v>0</v>
      </c>
      <c r="U153" s="27">
        <f t="shared" ca="1" si="40"/>
        <v>0</v>
      </c>
      <c r="V153" s="27">
        <f t="shared" ca="1" si="40"/>
        <v>0</v>
      </c>
      <c r="W153" s="27">
        <f t="shared" ca="1" si="40"/>
        <v>0</v>
      </c>
      <c r="X153" s="27">
        <f t="shared" ca="1" si="40"/>
        <v>-1</v>
      </c>
      <c r="Y153" s="27">
        <f t="shared" ca="1" si="40"/>
        <v>0</v>
      </c>
      <c r="Z153" s="27">
        <f t="shared" ca="1" si="40"/>
        <v>0</v>
      </c>
      <c r="AA153" s="19">
        <f t="shared" ca="1" si="40"/>
        <v>-0.17000000039115548</v>
      </c>
      <c r="AB153" s="20">
        <f t="shared" ca="1" si="40"/>
        <v>0.16999999992549419</v>
      </c>
      <c r="AC153" s="20">
        <f t="shared" ca="1" si="40"/>
        <v>0</v>
      </c>
      <c r="AD153" s="16"/>
      <c r="AE153" s="26" t="s">
        <v>45</v>
      </c>
      <c r="AF153" s="27">
        <v>47753902.540000007</v>
      </c>
      <c r="AG153" s="27">
        <v>0</v>
      </c>
      <c r="AH153" s="27">
        <v>67530546</v>
      </c>
      <c r="AI153" s="27">
        <v>2740915</v>
      </c>
      <c r="AJ153" s="27">
        <v>64784613</v>
      </c>
      <c r="AK153" s="27">
        <v>5000</v>
      </c>
      <c r="AL153" s="46">
        <v>0</v>
      </c>
      <c r="AM153" s="19">
        <v>2293832.38</v>
      </c>
      <c r="AN153" s="20">
        <v>447082.62000000011</v>
      </c>
      <c r="AO153" s="20">
        <v>-19776643.459999993</v>
      </c>
    </row>
    <row r="154" spans="1:41" x14ac:dyDescent="0.25">
      <c r="A154" s="3">
        <f t="shared" ca="1" si="44"/>
        <v>45838</v>
      </c>
      <c r="B154" s="30" t="s">
        <v>46</v>
      </c>
      <c r="C154" s="31">
        <v>16998834.420000002</v>
      </c>
      <c r="D154" s="31">
        <v>49350</v>
      </c>
      <c r="E154" s="31">
        <v>24018050.659999996</v>
      </c>
      <c r="F154" s="31">
        <v>7343674</v>
      </c>
      <c r="G154" s="31">
        <v>16673376</v>
      </c>
      <c r="H154" s="31">
        <v>1000</v>
      </c>
      <c r="I154" s="31">
        <f t="shared" ca="1" si="45"/>
        <v>0</v>
      </c>
      <c r="J154" s="31">
        <v>2686407.8200000003</v>
      </c>
      <c r="K154" s="32">
        <v>4657266.18</v>
      </c>
      <c r="L154" s="32">
        <f ca="1">C154-E154-D154</f>
        <v>-7068566.2399999946</v>
      </c>
      <c r="M154" s="16"/>
      <c r="S154" s="33" t="s">
        <v>46</v>
      </c>
      <c r="T154" s="19">
        <f t="shared" ca="1" si="40"/>
        <v>0</v>
      </c>
      <c r="U154" s="19">
        <f t="shared" ca="1" si="40"/>
        <v>0</v>
      </c>
      <c r="V154" s="19">
        <f t="shared" ca="1" si="40"/>
        <v>0</v>
      </c>
      <c r="W154" s="19">
        <f t="shared" ca="1" si="40"/>
        <v>1</v>
      </c>
      <c r="X154" s="19">
        <f t="shared" ca="1" si="40"/>
        <v>-1</v>
      </c>
      <c r="Y154" s="19">
        <f t="shared" ca="1" si="40"/>
        <v>0</v>
      </c>
      <c r="Z154" s="19">
        <f t="shared" ca="1" si="40"/>
        <v>0</v>
      </c>
      <c r="AA154" s="19">
        <f t="shared" ca="1" si="40"/>
        <v>0.69000000040978193</v>
      </c>
      <c r="AB154" s="20">
        <f t="shared" ca="1" si="40"/>
        <v>0.30999999959021807</v>
      </c>
      <c r="AC154" s="20">
        <f t="shared" ca="1" si="40"/>
        <v>0</v>
      </c>
      <c r="AD154" s="16"/>
      <c r="AE154" s="30" t="s">
        <v>46</v>
      </c>
      <c r="AF154" s="31">
        <v>16998834.420000002</v>
      </c>
      <c r="AG154" s="31">
        <v>49350</v>
      </c>
      <c r="AH154" s="31">
        <v>24018050.659999996</v>
      </c>
      <c r="AI154" s="31">
        <v>7343673</v>
      </c>
      <c r="AJ154" s="31">
        <v>16673377</v>
      </c>
      <c r="AK154" s="31">
        <v>1000</v>
      </c>
      <c r="AL154" s="46">
        <v>0</v>
      </c>
      <c r="AM154" s="31">
        <v>2686407.13</v>
      </c>
      <c r="AN154" s="32">
        <v>4657265.87</v>
      </c>
      <c r="AO154" s="32">
        <v>-7068566.2399999946</v>
      </c>
    </row>
    <row r="155" spans="1:41" x14ac:dyDescent="0.25">
      <c r="A155" s="3">
        <f t="shared" ca="1" si="44"/>
        <v>45869</v>
      </c>
      <c r="B155" s="26" t="s">
        <v>47</v>
      </c>
      <c r="C155" s="27">
        <v>16689744.610000003</v>
      </c>
      <c r="D155" s="27">
        <v>0</v>
      </c>
      <c r="E155" s="27">
        <v>24526947.619999997</v>
      </c>
      <c r="F155" s="27">
        <v>13214877</v>
      </c>
      <c r="G155" s="27">
        <v>11310067</v>
      </c>
      <c r="H155" s="27">
        <v>2000</v>
      </c>
      <c r="I155" s="27">
        <f t="shared" ca="1" si="45"/>
        <v>0</v>
      </c>
      <c r="J155" s="19">
        <v>2701832.0800000005</v>
      </c>
      <c r="K155" s="20">
        <v>10513044.920000006</v>
      </c>
      <c r="L155" s="20">
        <f ca="1">C155-E155-D155</f>
        <v>-7837203.0099999942</v>
      </c>
      <c r="M155" s="16"/>
      <c r="S155" s="26" t="s">
        <v>47</v>
      </c>
      <c r="T155" s="27">
        <f t="shared" ca="1" si="40"/>
        <v>0</v>
      </c>
      <c r="U155" s="27">
        <f t="shared" ca="1" si="40"/>
        <v>0</v>
      </c>
      <c r="V155" s="27">
        <f t="shared" ca="1" si="40"/>
        <v>0</v>
      </c>
      <c r="W155" s="27">
        <f t="shared" ca="1" si="40"/>
        <v>0</v>
      </c>
      <c r="X155" s="27">
        <f t="shared" ca="1" si="40"/>
        <v>0</v>
      </c>
      <c r="Y155" s="27">
        <f t="shared" ca="1" si="40"/>
        <v>0</v>
      </c>
      <c r="Z155" s="27">
        <f t="shared" ca="1" si="40"/>
        <v>0</v>
      </c>
      <c r="AA155" s="19">
        <f t="shared" ca="1" si="40"/>
        <v>1.2200000006705523</v>
      </c>
      <c r="AB155" s="20">
        <f t="shared" ca="1" si="40"/>
        <v>-1.2199999932199717</v>
      </c>
      <c r="AC155" s="20">
        <f t="shared" ca="1" si="40"/>
        <v>0</v>
      </c>
      <c r="AD155" s="16"/>
      <c r="AE155" s="26" t="s">
        <v>47</v>
      </c>
      <c r="AF155" s="27">
        <v>16689744.610000003</v>
      </c>
      <c r="AG155" s="27">
        <v>0</v>
      </c>
      <c r="AH155" s="27">
        <v>24526947.619999997</v>
      </c>
      <c r="AI155" s="27">
        <v>13214877</v>
      </c>
      <c r="AJ155" s="27">
        <v>11310067</v>
      </c>
      <c r="AK155" s="27">
        <v>2000</v>
      </c>
      <c r="AL155" s="27">
        <v>0</v>
      </c>
      <c r="AM155" s="19">
        <v>2701830.86</v>
      </c>
      <c r="AN155" s="20">
        <v>10513046.139999999</v>
      </c>
      <c r="AO155" s="20">
        <v>-7837203.0099999942</v>
      </c>
    </row>
    <row r="156" spans="1:41" x14ac:dyDescent="0.25">
      <c r="A156" s="3">
        <f t="shared" ca="1" si="44"/>
        <v>45900</v>
      </c>
      <c r="B156" s="30" t="s">
        <v>48</v>
      </c>
      <c r="C156" s="31">
        <v>16484638.350000001</v>
      </c>
      <c r="D156" s="31">
        <v>0</v>
      </c>
      <c r="E156" s="31">
        <v>24893076.57</v>
      </c>
      <c r="F156" s="31">
        <v>14764581</v>
      </c>
      <c r="G156" s="31">
        <v>9948102</v>
      </c>
      <c r="H156" s="31">
        <v>180398</v>
      </c>
      <c r="I156" s="31">
        <f t="shared" ca="1" si="45"/>
        <v>0</v>
      </c>
      <c r="J156" s="31">
        <v>2981701.9200000009</v>
      </c>
      <c r="K156" s="32">
        <v>11782879.079999998</v>
      </c>
      <c r="L156" s="32">
        <f ca="1">C156-E156-D156</f>
        <v>-8408438.2199999988</v>
      </c>
      <c r="M156" s="16"/>
      <c r="S156" s="33" t="s">
        <v>48</v>
      </c>
      <c r="T156" s="19">
        <f t="shared" ca="1" si="40"/>
        <v>0</v>
      </c>
      <c r="U156" s="19">
        <f t="shared" ca="1" si="40"/>
        <v>0</v>
      </c>
      <c r="V156" s="19">
        <f t="shared" ca="1" si="40"/>
        <v>0</v>
      </c>
      <c r="W156" s="19">
        <f t="shared" ca="1" si="40"/>
        <v>642</v>
      </c>
      <c r="X156" s="19">
        <f t="shared" ca="1" si="40"/>
        <v>-642</v>
      </c>
      <c r="Y156" s="19">
        <f t="shared" ca="1" si="40"/>
        <v>0</v>
      </c>
      <c r="Z156" s="19">
        <f t="shared" ref="Z156:AC192" ca="1" si="46">I156-AL156</f>
        <v>0</v>
      </c>
      <c r="AA156" s="19">
        <f t="shared" ca="1" si="46"/>
        <v>1140.7900000014342</v>
      </c>
      <c r="AB156" s="20">
        <f t="shared" ca="1" si="46"/>
        <v>-498.79000000096858</v>
      </c>
      <c r="AC156" s="20">
        <f t="shared" ca="1" si="46"/>
        <v>0</v>
      </c>
      <c r="AD156" s="16"/>
      <c r="AE156" s="30" t="s">
        <v>48</v>
      </c>
      <c r="AF156" s="31">
        <v>16484638.350000001</v>
      </c>
      <c r="AG156" s="31">
        <v>0</v>
      </c>
      <c r="AH156" s="31">
        <v>24893076.57</v>
      </c>
      <c r="AI156" s="31">
        <v>14763939</v>
      </c>
      <c r="AJ156" s="31">
        <v>9948744</v>
      </c>
      <c r="AK156" s="31">
        <v>180398</v>
      </c>
      <c r="AL156" s="31">
        <v>0</v>
      </c>
      <c r="AM156" s="31">
        <v>2980561.1299999994</v>
      </c>
      <c r="AN156" s="32">
        <v>11783377.869999999</v>
      </c>
      <c r="AO156" s="32">
        <v>-8408438.2199999988</v>
      </c>
    </row>
    <row r="157" spans="1:41" x14ac:dyDescent="0.25">
      <c r="A157" s="3">
        <f t="shared" ca="1" si="44"/>
        <v>45930</v>
      </c>
      <c r="B157" s="26" t="s">
        <v>49</v>
      </c>
      <c r="C157" s="27">
        <v>15444330.129999995</v>
      </c>
      <c r="D157" s="27">
        <v>0</v>
      </c>
      <c r="E157" s="27">
        <v>20001677.629999999</v>
      </c>
      <c r="F157" s="27">
        <v>10313000</v>
      </c>
      <c r="G157" s="27">
        <v>9623105</v>
      </c>
      <c r="H157" s="27">
        <v>65588</v>
      </c>
      <c r="I157" s="27">
        <f t="shared" ca="1" si="45"/>
        <v>0</v>
      </c>
      <c r="J157" s="19">
        <v>4054015.8699999992</v>
      </c>
      <c r="K157" s="20">
        <v>6258984.1299999999</v>
      </c>
      <c r="L157" s="20">
        <f t="shared" ca="1" si="39"/>
        <v>-4557347.5000000037</v>
      </c>
      <c r="M157" s="16"/>
      <c r="S157" s="26" t="s">
        <v>49</v>
      </c>
      <c r="T157" s="27">
        <f t="shared" ref="T157:AC193" ca="1" si="47">C157-AF157</f>
        <v>0</v>
      </c>
      <c r="U157" s="27">
        <f t="shared" ca="1" si="47"/>
        <v>0</v>
      </c>
      <c r="V157" s="27">
        <f t="shared" ca="1" si="47"/>
        <v>0</v>
      </c>
      <c r="W157" s="27">
        <f t="shared" ca="1" si="47"/>
        <v>-1</v>
      </c>
      <c r="X157" s="27">
        <f t="shared" ca="1" si="47"/>
        <v>1</v>
      </c>
      <c r="Y157" s="27">
        <f t="shared" ca="1" si="47"/>
        <v>0</v>
      </c>
      <c r="Z157" s="27">
        <f t="shared" ca="1" si="46"/>
        <v>0</v>
      </c>
      <c r="AA157" s="19">
        <f t="shared" ca="1" si="46"/>
        <v>-0.89000000106170774</v>
      </c>
      <c r="AB157" s="20">
        <f t="shared" ca="1" si="46"/>
        <v>-0.11000000033527613</v>
      </c>
      <c r="AC157" s="20">
        <f t="shared" ca="1" si="46"/>
        <v>0</v>
      </c>
      <c r="AD157" s="16"/>
      <c r="AE157" s="26" t="s">
        <v>49</v>
      </c>
      <c r="AF157" s="27">
        <v>15444330.129999995</v>
      </c>
      <c r="AG157" s="27">
        <v>0</v>
      </c>
      <c r="AH157" s="27">
        <v>20001677.629999999</v>
      </c>
      <c r="AI157" s="27">
        <v>10313001</v>
      </c>
      <c r="AJ157" s="27">
        <v>9623104</v>
      </c>
      <c r="AK157" s="27">
        <v>65588</v>
      </c>
      <c r="AL157" s="27">
        <v>0</v>
      </c>
      <c r="AM157" s="19">
        <v>4054016.7600000002</v>
      </c>
      <c r="AN157" s="20">
        <v>6258984.2400000002</v>
      </c>
      <c r="AO157" s="20">
        <v>-4557347.5000000037</v>
      </c>
    </row>
    <row r="158" spans="1:41" x14ac:dyDescent="0.25">
      <c r="A158" s="3">
        <f t="shared" ca="1" si="44"/>
        <v>45961</v>
      </c>
      <c r="B158" s="30" t="s">
        <v>50</v>
      </c>
      <c r="C158" s="31">
        <v>21884543.179999996</v>
      </c>
      <c r="D158" s="31">
        <v>0</v>
      </c>
      <c r="E158" s="31">
        <v>30897407.079999991</v>
      </c>
      <c r="F158" s="31">
        <v>19091424</v>
      </c>
      <c r="G158" s="31">
        <v>11791052</v>
      </c>
      <c r="H158" s="31">
        <v>14940</v>
      </c>
      <c r="I158" s="31">
        <f t="shared" ca="1" si="45"/>
        <v>0</v>
      </c>
      <c r="J158" s="31">
        <v>4948991.1800000006</v>
      </c>
      <c r="K158" s="32">
        <v>14142432.82</v>
      </c>
      <c r="L158" s="32">
        <f t="shared" ca="1" si="39"/>
        <v>-9012863.8999999948</v>
      </c>
      <c r="M158" s="16"/>
      <c r="S158" s="33" t="s">
        <v>50</v>
      </c>
      <c r="T158" s="19">
        <f t="shared" ca="1" si="47"/>
        <v>0</v>
      </c>
      <c r="U158" s="19">
        <f t="shared" ca="1" si="47"/>
        <v>0</v>
      </c>
      <c r="V158" s="19">
        <f t="shared" ca="1" si="47"/>
        <v>371273.8200000003</v>
      </c>
      <c r="W158" s="19">
        <f t="shared" ca="1" si="47"/>
        <v>371275</v>
      </c>
      <c r="X158" s="19">
        <f t="shared" ca="1" si="47"/>
        <v>-1</v>
      </c>
      <c r="Y158" s="19">
        <f t="shared" ca="1" si="47"/>
        <v>0</v>
      </c>
      <c r="Z158" s="19">
        <f t="shared" ca="1" si="46"/>
        <v>0</v>
      </c>
      <c r="AA158" s="19">
        <f t="shared" ca="1" si="46"/>
        <v>371276.19000000041</v>
      </c>
      <c r="AB158" s="20">
        <f t="shared" ca="1" si="46"/>
        <v>-1.1900000013411045</v>
      </c>
      <c r="AC158" s="20">
        <f t="shared" ca="1" si="46"/>
        <v>-371273.8200000003</v>
      </c>
      <c r="AD158" s="16"/>
      <c r="AE158" s="30" t="s">
        <v>50</v>
      </c>
      <c r="AF158" s="31">
        <v>21884543.179999996</v>
      </c>
      <c r="AG158" s="31">
        <v>0</v>
      </c>
      <c r="AH158" s="31">
        <v>30526133.25999999</v>
      </c>
      <c r="AI158" s="31">
        <v>18720149</v>
      </c>
      <c r="AJ158" s="31">
        <v>11791053</v>
      </c>
      <c r="AK158" s="31">
        <v>14940</v>
      </c>
      <c r="AL158" s="31">
        <v>0</v>
      </c>
      <c r="AM158" s="31">
        <v>4577714.99</v>
      </c>
      <c r="AN158" s="32">
        <v>14142434.010000002</v>
      </c>
      <c r="AO158" s="32">
        <v>-8641590.0799999945</v>
      </c>
    </row>
    <row r="159" spans="1:41" x14ac:dyDescent="0.25">
      <c r="A159" s="3">
        <f ca="1">EOMONTH(A158+1,0)</f>
        <v>45991</v>
      </c>
      <c r="B159" s="26" t="s">
        <v>51</v>
      </c>
      <c r="C159" s="27">
        <v>20652620.949999999</v>
      </c>
      <c r="D159" s="27">
        <v>0</v>
      </c>
      <c r="E159" s="27">
        <v>29439080.02</v>
      </c>
      <c r="F159" s="27">
        <v>19722683</v>
      </c>
      <c r="G159" s="27">
        <v>9691322</v>
      </c>
      <c r="H159" s="27">
        <v>25085</v>
      </c>
      <c r="I159" s="27">
        <f t="shared" ca="1" si="45"/>
        <v>0</v>
      </c>
      <c r="J159" s="19">
        <v>2430585.209999999</v>
      </c>
      <c r="K159" s="20">
        <v>17292097.790000007</v>
      </c>
      <c r="L159" s="20">
        <f t="shared" ca="1" si="39"/>
        <v>-8786459.0700000003</v>
      </c>
      <c r="M159" s="16"/>
      <c r="S159" s="26" t="s">
        <v>51</v>
      </c>
      <c r="T159" s="27">
        <f t="shared" ca="1" si="47"/>
        <v>0</v>
      </c>
      <c r="U159" s="27">
        <f t="shared" ca="1" si="47"/>
        <v>0</v>
      </c>
      <c r="V159" s="27">
        <f t="shared" ca="1" si="47"/>
        <v>0</v>
      </c>
      <c r="W159" s="27">
        <f t="shared" ca="1" si="47"/>
        <v>0</v>
      </c>
      <c r="X159" s="27">
        <f t="shared" ca="1" si="47"/>
        <v>0</v>
      </c>
      <c r="Y159" s="27">
        <f t="shared" ca="1" si="47"/>
        <v>0</v>
      </c>
      <c r="Z159" s="27">
        <f t="shared" ca="1" si="46"/>
        <v>0</v>
      </c>
      <c r="AA159" s="19">
        <f t="shared" ca="1" si="46"/>
        <v>1.599999999627471</v>
      </c>
      <c r="AB159" s="20">
        <f t="shared" ca="1" si="46"/>
        <v>-1.5999999865889549</v>
      </c>
      <c r="AC159" s="20">
        <f t="shared" ca="1" si="46"/>
        <v>0</v>
      </c>
      <c r="AD159" s="16"/>
      <c r="AE159" s="26" t="s">
        <v>51</v>
      </c>
      <c r="AF159" s="27">
        <v>20652620.949999999</v>
      </c>
      <c r="AG159" s="27">
        <v>0</v>
      </c>
      <c r="AH159" s="27">
        <v>29439080.02</v>
      </c>
      <c r="AI159" s="27">
        <v>19722683</v>
      </c>
      <c r="AJ159" s="27">
        <v>9691322</v>
      </c>
      <c r="AK159" s="27">
        <v>25085</v>
      </c>
      <c r="AL159" s="27">
        <v>0</v>
      </c>
      <c r="AM159" s="19">
        <v>2430583.6099999994</v>
      </c>
      <c r="AN159" s="20">
        <v>17292099.389999993</v>
      </c>
      <c r="AO159" s="20">
        <v>-8786459.0700000003</v>
      </c>
    </row>
    <row r="160" spans="1:41" x14ac:dyDescent="0.25">
      <c r="A160" s="3">
        <f ca="1">EOMONTH(A159+1,0)</f>
        <v>46022</v>
      </c>
      <c r="B160" s="30" t="s">
        <v>52</v>
      </c>
      <c r="C160" s="31">
        <v>22110658.759999994</v>
      </c>
      <c r="D160" s="31">
        <v>0</v>
      </c>
      <c r="E160" s="31">
        <v>29261218.400000002</v>
      </c>
      <c r="F160" s="31">
        <v>17054013</v>
      </c>
      <c r="G160" s="31">
        <v>12191770</v>
      </c>
      <c r="H160" s="31">
        <v>15446</v>
      </c>
      <c r="I160" s="31">
        <f t="shared" ca="1" si="45"/>
        <v>0</v>
      </c>
      <c r="J160" s="31">
        <v>4337668.24</v>
      </c>
      <c r="K160" s="32">
        <v>12716344.759999998</v>
      </c>
      <c r="L160" s="32">
        <f t="shared" ca="1" si="39"/>
        <v>-7150559.640000008</v>
      </c>
      <c r="M160" s="16"/>
      <c r="S160" s="33" t="s">
        <v>52</v>
      </c>
      <c r="T160" s="19">
        <f t="shared" ca="1" si="47"/>
        <v>0</v>
      </c>
      <c r="U160" s="19">
        <f t="shared" ca="1" si="47"/>
        <v>0</v>
      </c>
      <c r="V160" s="19">
        <f t="shared" ca="1" si="47"/>
        <v>0</v>
      </c>
      <c r="W160" s="19">
        <f t="shared" ca="1" si="47"/>
        <v>-1</v>
      </c>
      <c r="X160" s="19">
        <f t="shared" ca="1" si="47"/>
        <v>1</v>
      </c>
      <c r="Y160" s="19">
        <f t="shared" ca="1" si="47"/>
        <v>0</v>
      </c>
      <c r="Z160" s="19">
        <f t="shared" ca="1" si="46"/>
        <v>0</v>
      </c>
      <c r="AA160" s="19">
        <f t="shared" ca="1" si="46"/>
        <v>-0.34999999962747097</v>
      </c>
      <c r="AB160" s="20">
        <f t="shared" ca="1" si="46"/>
        <v>-0.65000000037252903</v>
      </c>
      <c r="AC160" s="20">
        <f t="shared" ca="1" si="46"/>
        <v>0</v>
      </c>
      <c r="AD160" s="16"/>
      <c r="AE160" s="30" t="s">
        <v>52</v>
      </c>
      <c r="AF160" s="31">
        <v>22110658.759999994</v>
      </c>
      <c r="AG160" s="31">
        <v>0</v>
      </c>
      <c r="AH160" s="31">
        <v>29261218.400000002</v>
      </c>
      <c r="AI160" s="31">
        <v>17054014</v>
      </c>
      <c r="AJ160" s="31">
        <v>12191769</v>
      </c>
      <c r="AK160" s="31">
        <v>15446</v>
      </c>
      <c r="AL160" s="31">
        <v>0</v>
      </c>
      <c r="AM160" s="31">
        <v>4337668.59</v>
      </c>
      <c r="AN160" s="32">
        <v>12716345.409999998</v>
      </c>
      <c r="AO160" s="32">
        <v>-7150559.640000008</v>
      </c>
    </row>
    <row r="161" spans="1:41" x14ac:dyDescent="0.25">
      <c r="A161" s="3">
        <f ca="1">A160</f>
        <v>46022</v>
      </c>
      <c r="B161" s="13" t="s">
        <v>53</v>
      </c>
      <c r="C161" s="14">
        <f t="shared" ref="C161:L161" ca="1" si="48">SUM(C162:C166)</f>
        <v>66409398.910000004</v>
      </c>
      <c r="D161" s="14">
        <f t="shared" ca="1" si="48"/>
        <v>1083</v>
      </c>
      <c r="E161" s="14">
        <f t="shared" ca="1" si="48"/>
        <v>83330772.170000002</v>
      </c>
      <c r="F161" s="14">
        <f t="shared" ca="1" si="48"/>
        <v>65319014</v>
      </c>
      <c r="G161" s="14">
        <f t="shared" ca="1" si="48"/>
        <v>17676573</v>
      </c>
      <c r="H161" s="14">
        <f t="shared" ca="1" si="48"/>
        <v>335220</v>
      </c>
      <c r="I161" s="14">
        <f t="shared" ca="1" si="48"/>
        <v>3022304.9200000083</v>
      </c>
      <c r="J161" s="14">
        <f t="shared" ca="1" si="48"/>
        <v>18636424.149999999</v>
      </c>
      <c r="K161" s="15">
        <f t="shared" ca="1" si="48"/>
        <v>46682589.850000001</v>
      </c>
      <c r="L161" s="15">
        <f t="shared" ca="1" si="48"/>
        <v>-16922456.259999998</v>
      </c>
      <c r="S161" s="18" t="s">
        <v>53</v>
      </c>
      <c r="T161" s="19">
        <f t="shared" ca="1" si="47"/>
        <v>2409676.5500000045</v>
      </c>
      <c r="U161" s="19">
        <f t="shared" ca="1" si="47"/>
        <v>0</v>
      </c>
      <c r="V161" s="19">
        <f t="shared" ca="1" si="47"/>
        <v>2947336.4200000018</v>
      </c>
      <c r="W161" s="19">
        <f t="shared" ca="1" si="47"/>
        <v>2937205</v>
      </c>
      <c r="X161" s="19">
        <f t="shared" ca="1" si="47"/>
        <v>2137</v>
      </c>
      <c r="Y161" s="19">
        <f t="shared" ca="1" si="47"/>
        <v>7997</v>
      </c>
      <c r="Z161" s="19">
        <f t="shared" ca="1" si="46"/>
        <v>-495181.66000000061</v>
      </c>
      <c r="AA161" s="19">
        <f t="shared" ca="1" si="46"/>
        <v>168588.53999999911</v>
      </c>
      <c r="AB161" s="20">
        <f t="shared" ca="1" si="46"/>
        <v>2768616.4599999934</v>
      </c>
      <c r="AC161" s="20">
        <f t="shared" ca="1" si="46"/>
        <v>-537659.87000000104</v>
      </c>
      <c r="AE161" s="13" t="s">
        <v>53</v>
      </c>
      <c r="AF161" s="14">
        <v>63999722.359999999</v>
      </c>
      <c r="AG161" s="14">
        <v>1083</v>
      </c>
      <c r="AH161" s="14">
        <v>80383435.75</v>
      </c>
      <c r="AI161" s="14">
        <v>62381809</v>
      </c>
      <c r="AJ161" s="14">
        <v>17674436</v>
      </c>
      <c r="AK161" s="14">
        <v>327223</v>
      </c>
      <c r="AL161" s="14">
        <v>3517486.5800000089</v>
      </c>
      <c r="AM161" s="14">
        <v>18467835.609999999</v>
      </c>
      <c r="AN161" s="15">
        <v>43913973.390000008</v>
      </c>
      <c r="AO161" s="15">
        <v>-16384796.389999997</v>
      </c>
    </row>
    <row r="162" spans="1:41" x14ac:dyDescent="0.25">
      <c r="A162" s="3">
        <f ca="1">EOMONTH(A160+1,0)</f>
        <v>46053</v>
      </c>
      <c r="B162" s="26" t="s">
        <v>54</v>
      </c>
      <c r="C162" s="27">
        <v>13915142.649999997</v>
      </c>
      <c r="D162" s="27">
        <v>0</v>
      </c>
      <c r="E162" s="27">
        <v>22675684.350000001</v>
      </c>
      <c r="F162" s="27">
        <v>15370043</v>
      </c>
      <c r="G162" s="27">
        <v>7190825</v>
      </c>
      <c r="H162" s="27">
        <v>114827</v>
      </c>
      <c r="I162" s="19">
        <f ca="1">IF(L162&lt;0,0,L162)</f>
        <v>0</v>
      </c>
      <c r="J162" s="19">
        <v>2554528.89</v>
      </c>
      <c r="K162" s="20">
        <v>12815514.109999999</v>
      </c>
      <c r="L162" s="20">
        <f t="shared" ca="1" si="39"/>
        <v>-8760541.7000000048</v>
      </c>
      <c r="M162" s="16"/>
      <c r="S162" s="26" t="s">
        <v>54</v>
      </c>
      <c r="T162" s="27">
        <f t="shared" ca="1" si="47"/>
        <v>0</v>
      </c>
      <c r="U162" s="27">
        <f t="shared" ca="1" si="47"/>
        <v>0</v>
      </c>
      <c r="V162" s="27">
        <f t="shared" ca="1" si="47"/>
        <v>0</v>
      </c>
      <c r="W162" s="27">
        <f t="shared" ca="1" si="47"/>
        <v>0</v>
      </c>
      <c r="X162" s="27">
        <f t="shared" ca="1" si="47"/>
        <v>0</v>
      </c>
      <c r="Y162" s="27">
        <f t="shared" ca="1" si="47"/>
        <v>0</v>
      </c>
      <c r="Z162" s="27">
        <f t="shared" ca="1" si="46"/>
        <v>0</v>
      </c>
      <c r="AA162" s="19">
        <f t="shared" ca="1" si="46"/>
        <v>743.91000000061467</v>
      </c>
      <c r="AB162" s="20">
        <f t="shared" ca="1" si="46"/>
        <v>-743.91000000201166</v>
      </c>
      <c r="AC162" s="20">
        <f t="shared" ca="1" si="46"/>
        <v>0</v>
      </c>
      <c r="AD162" s="16"/>
      <c r="AE162" s="26" t="s">
        <v>54</v>
      </c>
      <c r="AF162" s="27">
        <v>13915142.649999997</v>
      </c>
      <c r="AG162" s="27">
        <v>0</v>
      </c>
      <c r="AH162" s="27">
        <v>22675684.350000001</v>
      </c>
      <c r="AI162" s="27">
        <v>15370043</v>
      </c>
      <c r="AJ162" s="27">
        <v>7190825</v>
      </c>
      <c r="AK162" s="27">
        <v>114827</v>
      </c>
      <c r="AL162" s="19">
        <v>0</v>
      </c>
      <c r="AM162" s="19">
        <v>2553784.9799999995</v>
      </c>
      <c r="AN162" s="20">
        <v>12816258.020000001</v>
      </c>
      <c r="AO162" s="20">
        <v>-8760541.7000000048</v>
      </c>
    </row>
    <row r="163" spans="1:41" x14ac:dyDescent="0.25">
      <c r="A163" s="3">
        <f ca="1">EOMONTH(A162+1,0)</f>
        <v>46081</v>
      </c>
      <c r="B163" s="30" t="s">
        <v>55</v>
      </c>
      <c r="C163" s="31">
        <v>17625845</v>
      </c>
      <c r="D163" s="31">
        <v>0</v>
      </c>
      <c r="E163" s="31">
        <v>24407598.010000002</v>
      </c>
      <c r="F163" s="31">
        <v>16919522</v>
      </c>
      <c r="G163" s="31">
        <v>7367382</v>
      </c>
      <c r="H163" s="31">
        <v>120696</v>
      </c>
      <c r="I163" s="31">
        <f ca="1">IF(L163&lt;0,0,L163)</f>
        <v>0</v>
      </c>
      <c r="J163" s="31">
        <v>7236875.0000000009</v>
      </c>
      <c r="K163" s="32">
        <v>9682647.0000000019</v>
      </c>
      <c r="L163" s="32">
        <f t="shared" ca="1" si="39"/>
        <v>-6781753.0100000016</v>
      </c>
      <c r="M163" s="16"/>
      <c r="S163" s="33" t="s">
        <v>55</v>
      </c>
      <c r="T163" s="19">
        <f t="shared" ca="1" si="47"/>
        <v>0</v>
      </c>
      <c r="U163" s="19">
        <f t="shared" ca="1" si="47"/>
        <v>0</v>
      </c>
      <c r="V163" s="19">
        <f t="shared" ca="1" si="47"/>
        <v>0</v>
      </c>
      <c r="W163" s="19">
        <f t="shared" ca="1" si="47"/>
        <v>-139</v>
      </c>
      <c r="X163" s="19">
        <f t="shared" ca="1" si="47"/>
        <v>139</v>
      </c>
      <c r="Y163" s="19">
        <f t="shared" ca="1" si="47"/>
        <v>0</v>
      </c>
      <c r="Z163" s="19">
        <f t="shared" ca="1" si="47"/>
        <v>0</v>
      </c>
      <c r="AA163" s="19">
        <f t="shared" ca="1" si="47"/>
        <v>-138.09999999962747</v>
      </c>
      <c r="AB163" s="20">
        <f t="shared" ca="1" si="47"/>
        <v>-0.89999999850988388</v>
      </c>
      <c r="AC163" s="20">
        <f t="shared" ca="1" si="47"/>
        <v>0</v>
      </c>
      <c r="AD163" s="16"/>
      <c r="AE163" s="30" t="s">
        <v>55</v>
      </c>
      <c r="AF163" s="31">
        <v>17625845</v>
      </c>
      <c r="AG163" s="31">
        <v>0</v>
      </c>
      <c r="AH163" s="31">
        <v>24407598.010000002</v>
      </c>
      <c r="AI163" s="31">
        <v>16919661</v>
      </c>
      <c r="AJ163" s="31">
        <v>7367243</v>
      </c>
      <c r="AK163" s="31">
        <v>120696</v>
      </c>
      <c r="AL163" s="31">
        <v>0</v>
      </c>
      <c r="AM163" s="31">
        <v>7237013.1000000006</v>
      </c>
      <c r="AN163" s="32">
        <v>9682647.9000000004</v>
      </c>
      <c r="AO163" s="32">
        <v>-6781753.0100000016</v>
      </c>
    </row>
    <row r="164" spans="1:41" x14ac:dyDescent="0.25">
      <c r="A164" s="3">
        <f ca="1">EOMONTH(A163+1,0)</f>
        <v>46112</v>
      </c>
      <c r="B164" s="26" t="s">
        <v>56</v>
      </c>
      <c r="C164" s="27">
        <v>8939143.2899999991</v>
      </c>
      <c r="D164" s="27">
        <v>1000</v>
      </c>
      <c r="E164" s="27">
        <v>13340609.760000002</v>
      </c>
      <c r="F164" s="27">
        <v>10949590</v>
      </c>
      <c r="G164" s="27">
        <v>2346182</v>
      </c>
      <c r="H164" s="27">
        <v>44846</v>
      </c>
      <c r="I164" s="19">
        <f ca="1">IF(L164&lt;0,0,L164)</f>
        <v>0</v>
      </c>
      <c r="J164" s="19">
        <v>3717744.71</v>
      </c>
      <c r="K164" s="20">
        <v>7231845.2900000028</v>
      </c>
      <c r="L164" s="20">
        <f t="shared" ca="1" si="39"/>
        <v>-4402466.4700000025</v>
      </c>
      <c r="M164" s="16"/>
      <c r="S164" s="26" t="s">
        <v>56</v>
      </c>
      <c r="T164" s="27">
        <f t="shared" ca="1" si="47"/>
        <v>0</v>
      </c>
      <c r="U164" s="27">
        <f t="shared" ca="1" si="47"/>
        <v>0</v>
      </c>
      <c r="V164" s="27">
        <f t="shared" ca="1" si="47"/>
        <v>42478.210000000894</v>
      </c>
      <c r="W164" s="27">
        <f t="shared" ca="1" si="47"/>
        <v>39509</v>
      </c>
      <c r="X164" s="27">
        <f t="shared" ca="1" si="47"/>
        <v>0</v>
      </c>
      <c r="Y164" s="27">
        <f t="shared" ca="1" si="47"/>
        <v>2970</v>
      </c>
      <c r="Z164" s="27">
        <f t="shared" ca="1" si="47"/>
        <v>0</v>
      </c>
      <c r="AA164" s="19">
        <f t="shared" ca="1" si="47"/>
        <v>-4981.6299999998882</v>
      </c>
      <c r="AB164" s="20">
        <f t="shared" ca="1" si="47"/>
        <v>44490.630000001751</v>
      </c>
      <c r="AC164" s="20">
        <f t="shared" ca="1" si="47"/>
        <v>-42478.210000000894</v>
      </c>
      <c r="AD164" s="16"/>
      <c r="AE164" s="26" t="s">
        <v>56</v>
      </c>
      <c r="AF164" s="27">
        <v>8939143.2899999991</v>
      </c>
      <c r="AG164" s="27">
        <v>1000</v>
      </c>
      <c r="AH164" s="27">
        <v>13298131.550000001</v>
      </c>
      <c r="AI164" s="27">
        <v>10910081</v>
      </c>
      <c r="AJ164" s="27">
        <v>2346182</v>
      </c>
      <c r="AK164" s="27">
        <v>41876</v>
      </c>
      <c r="AL164" s="27">
        <v>0</v>
      </c>
      <c r="AM164" s="19">
        <v>3722726.34</v>
      </c>
      <c r="AN164" s="20">
        <v>7187354.6600000011</v>
      </c>
      <c r="AO164" s="20">
        <v>-4359988.2600000016</v>
      </c>
    </row>
    <row r="165" spans="1:41" x14ac:dyDescent="0.25">
      <c r="A165" s="3">
        <f ca="1">EOMONTH(A164+1,0)</f>
        <v>46142</v>
      </c>
      <c r="B165" s="30" t="s">
        <v>57</v>
      </c>
      <c r="C165" s="31">
        <v>20038063.980000004</v>
      </c>
      <c r="D165" s="31">
        <v>83</v>
      </c>
      <c r="E165" s="31">
        <v>18893558.429999996</v>
      </c>
      <c r="F165" s="31">
        <v>18077503</v>
      </c>
      <c r="G165" s="31">
        <v>770185</v>
      </c>
      <c r="H165" s="31">
        <v>45881</v>
      </c>
      <c r="I165" s="31">
        <f ca="1">IF(L165&lt;0,0,L165)</f>
        <v>1144422.5500000082</v>
      </c>
      <c r="J165" s="31">
        <v>4908763.1899999995</v>
      </c>
      <c r="K165" s="32">
        <v>13168739.810000001</v>
      </c>
      <c r="L165" s="32">
        <f t="shared" ca="1" si="39"/>
        <v>1144422.5500000082</v>
      </c>
      <c r="M165" s="16"/>
      <c r="S165" s="26" t="s">
        <v>57</v>
      </c>
      <c r="T165" s="27">
        <f t="shared" ca="1" si="47"/>
        <v>0</v>
      </c>
      <c r="U165" s="27">
        <f t="shared" ca="1" si="47"/>
        <v>0</v>
      </c>
      <c r="V165" s="27">
        <f t="shared" ca="1" si="47"/>
        <v>529134.8200000003</v>
      </c>
      <c r="W165" s="27">
        <f t="shared" ca="1" si="47"/>
        <v>526109</v>
      </c>
      <c r="X165" s="27">
        <f t="shared" ca="1" si="47"/>
        <v>-1</v>
      </c>
      <c r="Y165" s="27">
        <f t="shared" ca="1" si="47"/>
        <v>3027</v>
      </c>
      <c r="Z165" s="27">
        <f t="shared" ca="1" si="47"/>
        <v>-529134.8200000003</v>
      </c>
      <c r="AA165" s="19">
        <f t="shared" ca="1" si="47"/>
        <v>480.40999999921769</v>
      </c>
      <c r="AB165" s="20">
        <f t="shared" ca="1" si="47"/>
        <v>525628.58999999799</v>
      </c>
      <c r="AC165" s="20">
        <f t="shared" ca="1" si="47"/>
        <v>-529134.8200000003</v>
      </c>
      <c r="AD165" s="16"/>
      <c r="AE165" s="30" t="s">
        <v>57</v>
      </c>
      <c r="AF165" s="31">
        <v>20038063.980000004</v>
      </c>
      <c r="AG165" s="31">
        <v>83</v>
      </c>
      <c r="AH165" s="31">
        <v>18364423.609999996</v>
      </c>
      <c r="AI165" s="31">
        <v>17551394</v>
      </c>
      <c r="AJ165" s="31">
        <v>770186</v>
      </c>
      <c r="AK165" s="31">
        <v>42854</v>
      </c>
      <c r="AL165" s="31">
        <v>1673557.3700000085</v>
      </c>
      <c r="AM165" s="31">
        <v>4908282.78</v>
      </c>
      <c r="AN165" s="32">
        <v>12643111.220000003</v>
      </c>
      <c r="AO165" s="32">
        <v>1673557.3700000085</v>
      </c>
    </row>
    <row r="166" spans="1:41" ht="15.75" thickBot="1" x14ac:dyDescent="0.3">
      <c r="A166" s="3">
        <f ca="1">EOMONTH(A165+1,0)</f>
        <v>46173</v>
      </c>
      <c r="B166" s="26" t="s">
        <v>58</v>
      </c>
      <c r="C166" s="27">
        <f ca="1">O10</f>
        <v>5891203.9900000002</v>
      </c>
      <c r="D166" s="27">
        <v>0</v>
      </c>
      <c r="E166" s="27">
        <v>4013321.62</v>
      </c>
      <c r="F166" s="27">
        <v>4002356</v>
      </c>
      <c r="G166" s="27">
        <v>1999</v>
      </c>
      <c r="H166" s="27">
        <v>8970</v>
      </c>
      <c r="I166" s="19">
        <f ca="1">IF(L166&lt;0,0,L166)</f>
        <v>1877882.37</v>
      </c>
      <c r="J166" s="19">
        <v>218512.35999999996</v>
      </c>
      <c r="K166" s="20">
        <v>3783843.6399999997</v>
      </c>
      <c r="L166" s="20">
        <f ca="1">C166-E166-D166</f>
        <v>1877882.37</v>
      </c>
      <c r="M166" s="16"/>
      <c r="S166" s="26" t="s">
        <v>58</v>
      </c>
      <c r="T166" s="27">
        <f t="shared" ca="1" si="47"/>
        <v>2409676.5499999998</v>
      </c>
      <c r="U166" s="27">
        <f t="shared" ca="1" si="47"/>
        <v>0</v>
      </c>
      <c r="V166" s="27">
        <f t="shared" ca="1" si="47"/>
        <v>2375723.39</v>
      </c>
      <c r="W166" s="27">
        <f t="shared" ca="1" si="47"/>
        <v>2371726</v>
      </c>
      <c r="X166" s="27">
        <f t="shared" ca="1" si="47"/>
        <v>1999</v>
      </c>
      <c r="Y166" s="27">
        <f t="shared" ca="1" si="47"/>
        <v>2000</v>
      </c>
      <c r="Z166" s="27">
        <f t="shared" ca="1" si="47"/>
        <v>33953.159999999683</v>
      </c>
      <c r="AA166" s="19">
        <f t="shared" ca="1" si="47"/>
        <v>172483.94999999998</v>
      </c>
      <c r="AB166" s="20">
        <f t="shared" ca="1" si="47"/>
        <v>2199242.0499999998</v>
      </c>
      <c r="AC166" s="20">
        <f t="shared" ca="1" si="47"/>
        <v>33953.159999999683</v>
      </c>
      <c r="AD166" s="16"/>
      <c r="AE166" s="26" t="s">
        <v>58</v>
      </c>
      <c r="AF166" s="27">
        <v>3481527.4400000004</v>
      </c>
      <c r="AG166" s="27">
        <v>0</v>
      </c>
      <c r="AH166" s="27">
        <v>1637598.23</v>
      </c>
      <c r="AI166" s="27">
        <v>1630630</v>
      </c>
      <c r="AJ166" s="27">
        <v>0</v>
      </c>
      <c r="AK166" s="27">
        <v>6970</v>
      </c>
      <c r="AL166" s="27">
        <v>1843929.2100000004</v>
      </c>
      <c r="AM166" s="19">
        <v>46028.409999999974</v>
      </c>
      <c r="AN166" s="20">
        <v>1584601.59</v>
      </c>
      <c r="AO166" s="20">
        <v>1843929.2100000004</v>
      </c>
    </row>
    <row r="167" spans="1:41" ht="15.75" thickBot="1" x14ac:dyDescent="0.3">
      <c r="A167" s="3"/>
      <c r="B167" s="36" t="s">
        <v>59</v>
      </c>
      <c r="C167" s="37">
        <f ca="1">SUM(C131:C135)+C148+C161</f>
        <v>244428671.84999999</v>
      </c>
      <c r="D167" s="37">
        <f t="shared" ref="D167:K167" ca="1" si="49">SUM(D131:D135)+D148+D161</f>
        <v>50433</v>
      </c>
      <c r="E167" s="37">
        <f t="shared" ca="1" si="49"/>
        <v>333928776.14999998</v>
      </c>
      <c r="F167" s="37">
        <f t="shared" ca="1" si="49"/>
        <v>169564181</v>
      </c>
      <c r="G167" s="37">
        <f t="shared" ca="1" si="49"/>
        <v>163719979</v>
      </c>
      <c r="H167" s="37">
        <f t="shared" ca="1" si="49"/>
        <v>644677</v>
      </c>
      <c r="I167" s="37">
        <f t="shared" ca="1" si="49"/>
        <v>3022304.9200000083</v>
      </c>
      <c r="J167" s="37">
        <f t="shared" ca="1" si="49"/>
        <v>45071458.68</v>
      </c>
      <c r="K167" s="37">
        <f t="shared" ca="1" si="49"/>
        <v>124492722.31999999</v>
      </c>
      <c r="L167" s="38">
        <f t="shared" ca="1" si="39"/>
        <v>-89550537.299999982</v>
      </c>
      <c r="S167" s="39" t="s">
        <v>59</v>
      </c>
      <c r="T167" s="40">
        <f t="shared" ca="1" si="47"/>
        <v>2409676.5499999821</v>
      </c>
      <c r="U167" s="40">
        <f t="shared" ca="1" si="47"/>
        <v>0</v>
      </c>
      <c r="V167" s="40">
        <f t="shared" ca="1" si="47"/>
        <v>3318610.2400000095</v>
      </c>
      <c r="W167" s="40">
        <f t="shared" ca="1" si="47"/>
        <v>3309121</v>
      </c>
      <c r="X167" s="40">
        <f t="shared" ca="1" si="47"/>
        <v>1494</v>
      </c>
      <c r="Y167" s="40">
        <f t="shared" ca="1" si="47"/>
        <v>7997</v>
      </c>
      <c r="Z167" s="40">
        <f t="shared" ca="1" si="46"/>
        <v>-495181.66000000061</v>
      </c>
      <c r="AA167" s="40">
        <f t="shared" ca="1" si="46"/>
        <v>541007.61999999732</v>
      </c>
      <c r="AB167" s="40">
        <f t="shared" ca="1" si="46"/>
        <v>2768113.3799999952</v>
      </c>
      <c r="AC167" s="41">
        <f t="shared" ca="1" si="46"/>
        <v>-908933.69000002742</v>
      </c>
      <c r="AE167" s="36" t="s">
        <v>59</v>
      </c>
      <c r="AF167" s="37">
        <v>242018995.30000001</v>
      </c>
      <c r="AG167" s="37">
        <v>50433</v>
      </c>
      <c r="AH167" s="37">
        <v>330610165.90999997</v>
      </c>
      <c r="AI167" s="37">
        <v>166255060</v>
      </c>
      <c r="AJ167" s="37">
        <v>163718485</v>
      </c>
      <c r="AK167" s="37">
        <v>636680</v>
      </c>
      <c r="AL167" s="37">
        <v>3517486.5800000089</v>
      </c>
      <c r="AM167" s="37">
        <v>44530451.060000002</v>
      </c>
      <c r="AN167" s="37">
        <v>121724608.94</v>
      </c>
      <c r="AO167" s="38">
        <v>-88641603.609999955</v>
      </c>
    </row>
    <row r="170" spans="1:41" ht="21.75" thickBot="1" x14ac:dyDescent="0.4">
      <c r="B170" s="5" t="str">
        <f ca="1">_xlfn.CONCAT("Abu Dhabi Summary as on-",TEXT(N2,"DD/MM/YYYY"))</f>
        <v>Abu Dhabi Summary as on-06/05/2026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48"/>
      <c r="S170" s="5" t="str">
        <f ca="1">B170</f>
        <v>Abu Dhabi Summary as on-06/05/2026</v>
      </c>
      <c r="T170" s="6"/>
      <c r="U170" s="6"/>
      <c r="V170" s="6"/>
      <c r="W170" s="6"/>
      <c r="X170" s="6"/>
      <c r="Y170" s="6"/>
      <c r="Z170" s="6"/>
      <c r="AA170" s="6"/>
      <c r="AB170" s="6"/>
      <c r="AC170" s="6"/>
      <c r="AE170" s="5" t="str">
        <f ca="1">CONCATENATE("Abu Dhabi Summary as on-",TEXT(TODAY()-3,"dd/mm/yyyy"))</f>
        <v>Abu Dhabi Summary as on-05/05/2026</v>
      </c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40.15" customHeight="1" x14ac:dyDescent="0.25">
      <c r="B171" s="7" t="s">
        <v>6</v>
      </c>
      <c r="C171" s="8" t="s">
        <v>7</v>
      </c>
      <c r="D171" s="8" t="s">
        <v>8</v>
      </c>
      <c r="E171" s="8" t="s">
        <v>9</v>
      </c>
      <c r="F171" s="9" t="s">
        <v>10</v>
      </c>
      <c r="G171" s="8" t="s">
        <v>11</v>
      </c>
      <c r="H171" s="8" t="s">
        <v>12</v>
      </c>
      <c r="I171" s="8" t="s">
        <v>13</v>
      </c>
      <c r="J171" s="49" t="s">
        <v>64</v>
      </c>
      <c r="K171" s="50" t="s">
        <v>65</v>
      </c>
      <c r="L171" s="12" t="s">
        <v>16</v>
      </c>
      <c r="S171" s="7" t="s">
        <v>6</v>
      </c>
      <c r="T171" s="8" t="s">
        <v>7</v>
      </c>
      <c r="U171" s="8" t="s">
        <v>8</v>
      </c>
      <c r="V171" s="8" t="s">
        <v>9</v>
      </c>
      <c r="W171" s="9" t="s">
        <v>10</v>
      </c>
      <c r="X171" s="8" t="s">
        <v>11</v>
      </c>
      <c r="Y171" s="8" t="s">
        <v>12</v>
      </c>
      <c r="Z171" s="8" t="s">
        <v>13</v>
      </c>
      <c r="AA171" s="49" t="s">
        <v>64</v>
      </c>
      <c r="AB171" s="50" t="s">
        <v>65</v>
      </c>
      <c r="AC171" s="12" t="s">
        <v>16</v>
      </c>
      <c r="AE171" s="7" t="s">
        <v>6</v>
      </c>
      <c r="AF171" s="8" t="s">
        <v>7</v>
      </c>
      <c r="AG171" s="8" t="s">
        <v>8</v>
      </c>
      <c r="AH171" s="8" t="s">
        <v>9</v>
      </c>
      <c r="AI171" s="9" t="s">
        <v>10</v>
      </c>
      <c r="AJ171" s="8" t="s">
        <v>11</v>
      </c>
      <c r="AK171" s="8" t="s">
        <v>12</v>
      </c>
      <c r="AL171" s="8" t="s">
        <v>13</v>
      </c>
      <c r="AM171" s="49" t="s">
        <v>64</v>
      </c>
      <c r="AN171" s="50" t="s">
        <v>65</v>
      </c>
      <c r="AO171" s="12" t="s">
        <v>16</v>
      </c>
    </row>
    <row r="172" spans="1:41" x14ac:dyDescent="0.25">
      <c r="A172" s="3">
        <v>44196</v>
      </c>
      <c r="B172" s="13" t="s">
        <v>17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f ca="1">C172-E172-D172</f>
        <v>0</v>
      </c>
      <c r="J172" s="14">
        <v>0</v>
      </c>
      <c r="K172" s="15">
        <v>0</v>
      </c>
      <c r="L172" s="15">
        <f t="shared" ref="L172:L206" ca="1" si="50">C172-E172-D172</f>
        <v>0</v>
      </c>
      <c r="N172" t="s">
        <v>66</v>
      </c>
      <c r="S172" s="18" t="s">
        <v>17</v>
      </c>
      <c r="T172" s="19">
        <f t="shared" ref="T172:AC208" ca="1" si="51">C172-AF172</f>
        <v>0</v>
      </c>
      <c r="U172" s="19">
        <f t="shared" ca="1" si="51"/>
        <v>0</v>
      </c>
      <c r="V172" s="19">
        <f t="shared" ca="1" si="51"/>
        <v>0</v>
      </c>
      <c r="W172" s="19">
        <f t="shared" ca="1" si="51"/>
        <v>0</v>
      </c>
      <c r="X172" s="19">
        <f t="shared" ca="1" si="51"/>
        <v>0</v>
      </c>
      <c r="Y172" s="19">
        <f t="shared" ca="1" si="51"/>
        <v>0</v>
      </c>
      <c r="Z172" s="19">
        <f t="shared" ca="1" si="51"/>
        <v>0</v>
      </c>
      <c r="AA172" s="19">
        <f t="shared" ca="1" si="51"/>
        <v>0</v>
      </c>
      <c r="AB172" s="20">
        <f t="shared" ca="1" si="51"/>
        <v>0</v>
      </c>
      <c r="AC172" s="20">
        <f t="shared" ca="1" si="51"/>
        <v>0</v>
      </c>
      <c r="AE172" s="13" t="s">
        <v>17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5">
        <v>0</v>
      </c>
      <c r="AO172" s="15">
        <v>0</v>
      </c>
    </row>
    <row r="173" spans="1:41" x14ac:dyDescent="0.25">
      <c r="A173" s="3">
        <v>44561</v>
      </c>
      <c r="B173" s="13" t="s">
        <v>18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f ca="1">C173-E173-D173</f>
        <v>0</v>
      </c>
      <c r="J173" s="14">
        <v>0</v>
      </c>
      <c r="K173" s="15">
        <v>0</v>
      </c>
      <c r="L173" s="15">
        <f t="shared" ca="1" si="50"/>
        <v>0</v>
      </c>
      <c r="S173" s="18" t="s">
        <v>18</v>
      </c>
      <c r="T173" s="19">
        <f t="shared" ca="1" si="51"/>
        <v>0</v>
      </c>
      <c r="U173" s="19">
        <f t="shared" ca="1" si="51"/>
        <v>0</v>
      </c>
      <c r="V173" s="19">
        <f t="shared" ca="1" si="51"/>
        <v>0</v>
      </c>
      <c r="W173" s="19">
        <f t="shared" ca="1" si="51"/>
        <v>0</v>
      </c>
      <c r="X173" s="19">
        <f t="shared" ca="1" si="51"/>
        <v>0</v>
      </c>
      <c r="Y173" s="19">
        <f t="shared" ca="1" si="51"/>
        <v>0</v>
      </c>
      <c r="Z173" s="19">
        <f t="shared" ca="1" si="51"/>
        <v>0</v>
      </c>
      <c r="AA173" s="19">
        <f t="shared" ca="1" si="51"/>
        <v>0</v>
      </c>
      <c r="AB173" s="20">
        <f t="shared" ca="1" si="51"/>
        <v>0</v>
      </c>
      <c r="AC173" s="20">
        <f t="shared" ca="1" si="51"/>
        <v>0</v>
      </c>
      <c r="AE173" s="13" t="s">
        <v>18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5">
        <v>0</v>
      </c>
      <c r="AO173" s="15">
        <v>0</v>
      </c>
    </row>
    <row r="174" spans="1:41" x14ac:dyDescent="0.25">
      <c r="A174" s="3">
        <f ca="1">EOMONTH(A173,12)</f>
        <v>44926</v>
      </c>
      <c r="B174" s="13" t="s">
        <v>20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f ca="1">C174-E174-D174</f>
        <v>0</v>
      </c>
      <c r="J174" s="14">
        <v>0</v>
      </c>
      <c r="K174" s="15">
        <v>0</v>
      </c>
      <c r="L174" s="15">
        <f t="shared" ca="1" si="50"/>
        <v>0</v>
      </c>
      <c r="S174" s="18" t="s">
        <v>20</v>
      </c>
      <c r="T174" s="19">
        <f t="shared" ca="1" si="51"/>
        <v>0</v>
      </c>
      <c r="U174" s="19">
        <f t="shared" ca="1" si="51"/>
        <v>0</v>
      </c>
      <c r="V174" s="19">
        <f t="shared" ca="1" si="51"/>
        <v>0</v>
      </c>
      <c r="W174" s="19">
        <f t="shared" ca="1" si="51"/>
        <v>0</v>
      </c>
      <c r="X174" s="19">
        <f t="shared" ca="1" si="51"/>
        <v>0</v>
      </c>
      <c r="Y174" s="19">
        <f t="shared" ca="1" si="51"/>
        <v>0</v>
      </c>
      <c r="Z174" s="19">
        <f t="shared" ca="1" si="51"/>
        <v>0</v>
      </c>
      <c r="AA174" s="19">
        <f t="shared" ca="1" si="51"/>
        <v>0</v>
      </c>
      <c r="AB174" s="20">
        <f t="shared" ca="1" si="51"/>
        <v>0</v>
      </c>
      <c r="AC174" s="20">
        <f t="shared" ca="1" si="51"/>
        <v>0</v>
      </c>
      <c r="AE174" s="13" t="s">
        <v>20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5">
        <v>0</v>
      </c>
      <c r="AO174" s="15">
        <v>0</v>
      </c>
    </row>
    <row r="175" spans="1:41" x14ac:dyDescent="0.25">
      <c r="A175" s="3">
        <f ca="1">EOMONTH(A174,12)</f>
        <v>45291</v>
      </c>
      <c r="B175" s="13" t="s">
        <v>22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f ca="1">C175-E175-D175</f>
        <v>0</v>
      </c>
      <c r="J175" s="14">
        <v>0</v>
      </c>
      <c r="K175" s="15">
        <v>0</v>
      </c>
      <c r="L175" s="15">
        <f t="shared" ca="1" si="50"/>
        <v>0</v>
      </c>
      <c r="S175" s="18" t="s">
        <v>22</v>
      </c>
      <c r="T175" s="19">
        <f t="shared" ca="1" si="51"/>
        <v>0</v>
      </c>
      <c r="U175" s="19">
        <f t="shared" ca="1" si="51"/>
        <v>0</v>
      </c>
      <c r="V175" s="19">
        <f t="shared" ca="1" si="51"/>
        <v>0</v>
      </c>
      <c r="W175" s="19">
        <f t="shared" ca="1" si="51"/>
        <v>0</v>
      </c>
      <c r="X175" s="19">
        <f t="shared" ca="1" si="51"/>
        <v>0</v>
      </c>
      <c r="Y175" s="19">
        <f t="shared" ca="1" si="51"/>
        <v>0</v>
      </c>
      <c r="Z175" s="19">
        <f t="shared" ca="1" si="51"/>
        <v>0</v>
      </c>
      <c r="AA175" s="19">
        <f t="shared" ca="1" si="51"/>
        <v>0</v>
      </c>
      <c r="AB175" s="20">
        <f t="shared" ca="1" si="51"/>
        <v>0</v>
      </c>
      <c r="AC175" s="20">
        <f t="shared" ca="1" si="51"/>
        <v>0</v>
      </c>
      <c r="AE175" s="13" t="s">
        <v>22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5">
        <v>0</v>
      </c>
      <c r="AO175" s="15">
        <v>0</v>
      </c>
    </row>
    <row r="176" spans="1:41" x14ac:dyDescent="0.25">
      <c r="A176" s="3">
        <v>45291</v>
      </c>
      <c r="B176" s="13" t="s">
        <v>24</v>
      </c>
      <c r="C176" s="14">
        <f t="shared" ref="C176:H176" ca="1" si="52">SUM(C177:C188)</f>
        <v>0</v>
      </c>
      <c r="D176" s="14">
        <f t="shared" ca="1" si="52"/>
        <v>0</v>
      </c>
      <c r="E176" s="14">
        <f t="shared" ca="1" si="52"/>
        <v>0</v>
      </c>
      <c r="F176" s="14">
        <f t="shared" ca="1" si="52"/>
        <v>0</v>
      </c>
      <c r="G176" s="14">
        <f t="shared" ca="1" si="52"/>
        <v>0</v>
      </c>
      <c r="H176" s="14">
        <f t="shared" ca="1" si="52"/>
        <v>0</v>
      </c>
      <c r="I176" s="14">
        <f ca="1">SUM(I177:I188)</f>
        <v>0</v>
      </c>
      <c r="J176" s="14">
        <f ca="1">SUM(J177:J188)</f>
        <v>0</v>
      </c>
      <c r="K176" s="15">
        <f ca="1">SUM(K177:K188)</f>
        <v>0</v>
      </c>
      <c r="L176" s="15">
        <f t="shared" ca="1" si="50"/>
        <v>0</v>
      </c>
      <c r="S176" s="18" t="s">
        <v>24</v>
      </c>
      <c r="T176" s="19">
        <f t="shared" ca="1" si="51"/>
        <v>0</v>
      </c>
      <c r="U176" s="19">
        <f t="shared" ca="1" si="51"/>
        <v>0</v>
      </c>
      <c r="V176" s="19">
        <f t="shared" ca="1" si="51"/>
        <v>0</v>
      </c>
      <c r="W176" s="19">
        <f t="shared" ca="1" si="51"/>
        <v>0</v>
      </c>
      <c r="X176" s="19">
        <f t="shared" ca="1" si="51"/>
        <v>0</v>
      </c>
      <c r="Y176" s="19">
        <f t="shared" ca="1" si="51"/>
        <v>0</v>
      </c>
      <c r="Z176" s="19">
        <f t="shared" ca="1" si="51"/>
        <v>0</v>
      </c>
      <c r="AA176" s="19">
        <f t="shared" ca="1" si="51"/>
        <v>0</v>
      </c>
      <c r="AB176" s="20">
        <f t="shared" ca="1" si="51"/>
        <v>0</v>
      </c>
      <c r="AC176" s="20">
        <f t="shared" ca="1" si="51"/>
        <v>0</v>
      </c>
      <c r="AE176" s="13" t="s">
        <v>24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5">
        <v>0</v>
      </c>
      <c r="AO176" s="15">
        <v>0</v>
      </c>
    </row>
    <row r="177" spans="1:41" x14ac:dyDescent="0.25">
      <c r="A177" s="3">
        <v>45322</v>
      </c>
      <c r="B177" s="26" t="s">
        <v>26</v>
      </c>
      <c r="C177" s="27"/>
      <c r="D177" s="27"/>
      <c r="E177" s="27"/>
      <c r="F177" s="27"/>
      <c r="G177" s="27"/>
      <c r="H177" s="27"/>
      <c r="I177" s="27"/>
      <c r="J177" s="27"/>
      <c r="K177" s="28"/>
      <c r="L177" s="28">
        <f t="shared" ca="1" si="50"/>
        <v>0</v>
      </c>
      <c r="S177" s="26" t="s">
        <v>26</v>
      </c>
      <c r="T177" s="27">
        <f t="shared" ca="1" si="51"/>
        <v>0</v>
      </c>
      <c r="U177" s="27">
        <f t="shared" ca="1" si="51"/>
        <v>0</v>
      </c>
      <c r="V177" s="27">
        <f t="shared" ca="1" si="51"/>
        <v>0</v>
      </c>
      <c r="W177" s="27">
        <f t="shared" ca="1" si="51"/>
        <v>0</v>
      </c>
      <c r="X177" s="27">
        <f t="shared" ca="1" si="51"/>
        <v>0</v>
      </c>
      <c r="Y177" s="27">
        <f t="shared" ca="1" si="51"/>
        <v>0</v>
      </c>
      <c r="Z177" s="27">
        <f t="shared" ca="1" si="51"/>
        <v>0</v>
      </c>
      <c r="AA177" s="27">
        <f t="shared" ca="1" si="51"/>
        <v>0</v>
      </c>
      <c r="AB177" s="28">
        <f t="shared" ca="1" si="51"/>
        <v>0</v>
      </c>
      <c r="AC177" s="28">
        <f t="shared" ca="1" si="51"/>
        <v>0</v>
      </c>
      <c r="AE177" s="26" t="s">
        <v>26</v>
      </c>
      <c r="AF177" s="27"/>
      <c r="AG177" s="27"/>
      <c r="AH177" s="27"/>
      <c r="AI177" s="27"/>
      <c r="AJ177" s="27"/>
      <c r="AK177" s="27"/>
      <c r="AL177" s="27"/>
      <c r="AM177" s="27"/>
      <c r="AN177" s="28"/>
      <c r="AO177" s="28">
        <v>0</v>
      </c>
    </row>
    <row r="178" spans="1:41" x14ac:dyDescent="0.25">
      <c r="A178" s="3">
        <f ca="1">EOMONTH(A177+1,0)</f>
        <v>45351</v>
      </c>
      <c r="B178" s="30" t="s">
        <v>28</v>
      </c>
      <c r="C178" s="31"/>
      <c r="D178" s="31"/>
      <c r="E178" s="31"/>
      <c r="F178" s="31"/>
      <c r="G178" s="31"/>
      <c r="H178" s="31"/>
      <c r="I178" s="31"/>
      <c r="J178" s="31"/>
      <c r="K178" s="32"/>
      <c r="L178" s="32">
        <f t="shared" ca="1" si="50"/>
        <v>0</v>
      </c>
      <c r="S178" s="33" t="s">
        <v>28</v>
      </c>
      <c r="T178" s="19">
        <f t="shared" ca="1" si="51"/>
        <v>0</v>
      </c>
      <c r="U178" s="19">
        <f t="shared" ca="1" si="51"/>
        <v>0</v>
      </c>
      <c r="V178" s="19">
        <f t="shared" ca="1" si="51"/>
        <v>0</v>
      </c>
      <c r="W178" s="19">
        <f t="shared" ca="1" si="51"/>
        <v>0</v>
      </c>
      <c r="X178" s="19">
        <f t="shared" ca="1" si="51"/>
        <v>0</v>
      </c>
      <c r="Y178" s="19">
        <f t="shared" ca="1" si="51"/>
        <v>0</v>
      </c>
      <c r="Z178" s="19">
        <f t="shared" ca="1" si="51"/>
        <v>0</v>
      </c>
      <c r="AA178" s="19">
        <f t="shared" ca="1" si="51"/>
        <v>0</v>
      </c>
      <c r="AB178" s="20">
        <f t="shared" ca="1" si="51"/>
        <v>0</v>
      </c>
      <c r="AC178" s="20">
        <f t="shared" ca="1" si="51"/>
        <v>0</v>
      </c>
      <c r="AE178" s="30" t="s">
        <v>28</v>
      </c>
      <c r="AF178" s="31"/>
      <c r="AG178" s="31"/>
      <c r="AH178" s="31"/>
      <c r="AI178" s="31"/>
      <c r="AJ178" s="31"/>
      <c r="AK178" s="31"/>
      <c r="AL178" s="31"/>
      <c r="AM178" s="31"/>
      <c r="AN178" s="32"/>
      <c r="AO178" s="32">
        <v>0</v>
      </c>
    </row>
    <row r="179" spans="1:41" x14ac:dyDescent="0.25">
      <c r="A179" s="3">
        <f t="shared" ref="A179:A188" ca="1" si="53">EOMONTH(A178+1,0)</f>
        <v>45382</v>
      </c>
      <c r="B179" s="26" t="s">
        <v>29</v>
      </c>
      <c r="C179" s="27"/>
      <c r="D179" s="27"/>
      <c r="E179" s="27"/>
      <c r="F179" s="27"/>
      <c r="G179" s="27"/>
      <c r="H179" s="27"/>
      <c r="I179" s="27"/>
      <c r="J179" s="19"/>
      <c r="K179" s="20"/>
      <c r="L179" s="20">
        <f t="shared" ca="1" si="50"/>
        <v>0</v>
      </c>
      <c r="S179" s="26" t="s">
        <v>29</v>
      </c>
      <c r="T179" s="27">
        <f t="shared" ca="1" si="51"/>
        <v>0</v>
      </c>
      <c r="U179" s="27">
        <f t="shared" ca="1" si="51"/>
        <v>0</v>
      </c>
      <c r="V179" s="27">
        <f t="shared" ca="1" si="51"/>
        <v>0</v>
      </c>
      <c r="W179" s="27">
        <f t="shared" ca="1" si="51"/>
        <v>0</v>
      </c>
      <c r="X179" s="27">
        <f t="shared" ca="1" si="51"/>
        <v>0</v>
      </c>
      <c r="Y179" s="27">
        <f t="shared" ca="1" si="51"/>
        <v>0</v>
      </c>
      <c r="Z179" s="27">
        <f t="shared" ca="1" si="51"/>
        <v>0</v>
      </c>
      <c r="AA179" s="19">
        <f t="shared" ca="1" si="51"/>
        <v>0</v>
      </c>
      <c r="AB179" s="20">
        <f t="shared" ca="1" si="51"/>
        <v>0</v>
      </c>
      <c r="AC179" s="20">
        <f t="shared" ca="1" si="51"/>
        <v>0</v>
      </c>
      <c r="AE179" s="26" t="s">
        <v>29</v>
      </c>
      <c r="AF179" s="27"/>
      <c r="AG179" s="27"/>
      <c r="AH179" s="27"/>
      <c r="AI179" s="27"/>
      <c r="AJ179" s="27"/>
      <c r="AK179" s="27"/>
      <c r="AL179" s="27"/>
      <c r="AM179" s="19"/>
      <c r="AN179" s="20"/>
      <c r="AO179" s="20">
        <v>0</v>
      </c>
    </row>
    <row r="180" spans="1:41" x14ac:dyDescent="0.25">
      <c r="A180" s="3">
        <f t="shared" ca="1" si="53"/>
        <v>45412</v>
      </c>
      <c r="B180" s="30" t="s">
        <v>30</v>
      </c>
      <c r="C180" s="31"/>
      <c r="D180" s="31"/>
      <c r="E180" s="31"/>
      <c r="F180" s="31"/>
      <c r="G180" s="31"/>
      <c r="H180" s="31"/>
      <c r="I180" s="31"/>
      <c r="J180" s="31"/>
      <c r="K180" s="32"/>
      <c r="L180" s="32">
        <f t="shared" ca="1" si="50"/>
        <v>0</v>
      </c>
      <c r="S180" s="33" t="s">
        <v>30</v>
      </c>
      <c r="T180" s="19">
        <f t="shared" ca="1" si="51"/>
        <v>0</v>
      </c>
      <c r="U180" s="19">
        <f t="shared" ca="1" si="51"/>
        <v>0</v>
      </c>
      <c r="V180" s="19">
        <f t="shared" ca="1" si="51"/>
        <v>0</v>
      </c>
      <c r="W180" s="19">
        <f t="shared" ca="1" si="51"/>
        <v>0</v>
      </c>
      <c r="X180" s="19">
        <f t="shared" ca="1" si="51"/>
        <v>0</v>
      </c>
      <c r="Y180" s="19">
        <f t="shared" ca="1" si="51"/>
        <v>0</v>
      </c>
      <c r="Z180" s="19">
        <f t="shared" ca="1" si="51"/>
        <v>0</v>
      </c>
      <c r="AA180" s="19">
        <f t="shared" ca="1" si="51"/>
        <v>0</v>
      </c>
      <c r="AB180" s="20">
        <f t="shared" ca="1" si="51"/>
        <v>0</v>
      </c>
      <c r="AC180" s="20">
        <f t="shared" ca="1" si="51"/>
        <v>0</v>
      </c>
      <c r="AE180" s="30" t="s">
        <v>30</v>
      </c>
      <c r="AF180" s="31"/>
      <c r="AG180" s="31"/>
      <c r="AH180" s="31"/>
      <c r="AI180" s="31"/>
      <c r="AJ180" s="31"/>
      <c r="AK180" s="31"/>
      <c r="AL180" s="31"/>
      <c r="AM180" s="31"/>
      <c r="AN180" s="32"/>
      <c r="AO180" s="32">
        <v>0</v>
      </c>
    </row>
    <row r="181" spans="1:41" x14ac:dyDescent="0.25">
      <c r="A181" s="3">
        <f t="shared" ca="1" si="53"/>
        <v>45443</v>
      </c>
      <c r="B181" s="26" t="s">
        <v>31</v>
      </c>
      <c r="C181" s="27"/>
      <c r="D181" s="27"/>
      <c r="E181" s="27"/>
      <c r="F181" s="27"/>
      <c r="G181" s="27"/>
      <c r="H181" s="27"/>
      <c r="I181" s="27"/>
      <c r="J181" s="19"/>
      <c r="K181" s="20"/>
      <c r="L181" s="20">
        <f t="shared" ca="1" si="50"/>
        <v>0</v>
      </c>
      <c r="S181" s="26" t="s">
        <v>31</v>
      </c>
      <c r="T181" s="27">
        <f t="shared" ca="1" si="51"/>
        <v>0</v>
      </c>
      <c r="U181" s="27">
        <f t="shared" ca="1" si="51"/>
        <v>0</v>
      </c>
      <c r="V181" s="27">
        <f t="shared" ca="1" si="51"/>
        <v>0</v>
      </c>
      <c r="W181" s="27">
        <f t="shared" ca="1" si="51"/>
        <v>0</v>
      </c>
      <c r="X181" s="27">
        <f t="shared" ca="1" si="51"/>
        <v>0</v>
      </c>
      <c r="Y181" s="27">
        <f t="shared" ca="1" si="51"/>
        <v>0</v>
      </c>
      <c r="Z181" s="27">
        <f t="shared" ca="1" si="51"/>
        <v>0</v>
      </c>
      <c r="AA181" s="19">
        <f t="shared" ca="1" si="51"/>
        <v>0</v>
      </c>
      <c r="AB181" s="20">
        <f t="shared" ca="1" si="51"/>
        <v>0</v>
      </c>
      <c r="AC181" s="20">
        <f t="shared" ca="1" si="51"/>
        <v>0</v>
      </c>
      <c r="AE181" s="26" t="s">
        <v>31</v>
      </c>
      <c r="AF181" s="27"/>
      <c r="AG181" s="27"/>
      <c r="AH181" s="27"/>
      <c r="AI181" s="27"/>
      <c r="AJ181" s="27"/>
      <c r="AK181" s="27"/>
      <c r="AL181" s="27"/>
      <c r="AM181" s="19"/>
      <c r="AN181" s="20"/>
      <c r="AO181" s="20">
        <v>0</v>
      </c>
    </row>
    <row r="182" spans="1:41" x14ac:dyDescent="0.25">
      <c r="A182" s="3">
        <f t="shared" ca="1" si="53"/>
        <v>45473</v>
      </c>
      <c r="B182" s="30" t="s">
        <v>33</v>
      </c>
      <c r="C182" s="31"/>
      <c r="D182" s="31"/>
      <c r="E182" s="31"/>
      <c r="F182" s="31"/>
      <c r="G182" s="31"/>
      <c r="H182" s="31"/>
      <c r="I182" s="31"/>
      <c r="J182" s="31"/>
      <c r="K182" s="32"/>
      <c r="L182" s="32">
        <f t="shared" ca="1" si="50"/>
        <v>0</v>
      </c>
      <c r="S182" s="33" t="s">
        <v>33</v>
      </c>
      <c r="T182" s="19">
        <f t="shared" ca="1" si="51"/>
        <v>0</v>
      </c>
      <c r="U182" s="19">
        <f t="shared" ca="1" si="51"/>
        <v>0</v>
      </c>
      <c r="V182" s="19">
        <f t="shared" ca="1" si="51"/>
        <v>0</v>
      </c>
      <c r="W182" s="19">
        <f t="shared" ca="1" si="51"/>
        <v>0</v>
      </c>
      <c r="X182" s="19">
        <f t="shared" ca="1" si="51"/>
        <v>0</v>
      </c>
      <c r="Y182" s="19">
        <f t="shared" ca="1" si="51"/>
        <v>0</v>
      </c>
      <c r="Z182" s="19">
        <f t="shared" ca="1" si="51"/>
        <v>0</v>
      </c>
      <c r="AA182" s="19">
        <f t="shared" ca="1" si="51"/>
        <v>0</v>
      </c>
      <c r="AB182" s="20">
        <f t="shared" ca="1" si="51"/>
        <v>0</v>
      </c>
      <c r="AC182" s="20">
        <f t="shared" ca="1" si="51"/>
        <v>0</v>
      </c>
      <c r="AE182" s="30" t="s">
        <v>33</v>
      </c>
      <c r="AF182" s="31"/>
      <c r="AG182" s="31"/>
      <c r="AH182" s="31"/>
      <c r="AI182" s="31"/>
      <c r="AJ182" s="31"/>
      <c r="AK182" s="31"/>
      <c r="AL182" s="31"/>
      <c r="AM182" s="31"/>
      <c r="AN182" s="32"/>
      <c r="AO182" s="32">
        <v>0</v>
      </c>
    </row>
    <row r="183" spans="1:41" x14ac:dyDescent="0.25">
      <c r="A183" s="3">
        <f t="shared" ca="1" si="53"/>
        <v>45504</v>
      </c>
      <c r="B183" s="26" t="s">
        <v>34</v>
      </c>
      <c r="C183" s="27"/>
      <c r="D183" s="27"/>
      <c r="E183" s="27"/>
      <c r="F183" s="27" t="s">
        <v>32</v>
      </c>
      <c r="G183" s="27"/>
      <c r="H183" s="27"/>
      <c r="I183" s="27"/>
      <c r="J183" s="19"/>
      <c r="K183" s="20"/>
      <c r="L183" s="20">
        <f t="shared" ca="1" si="50"/>
        <v>0</v>
      </c>
      <c r="S183" s="26" t="s">
        <v>34</v>
      </c>
      <c r="T183" s="27">
        <f t="shared" ca="1" si="51"/>
        <v>0</v>
      </c>
      <c r="U183" s="27">
        <f t="shared" ca="1" si="51"/>
        <v>0</v>
      </c>
      <c r="V183" s="27">
        <f t="shared" ca="1" si="51"/>
        <v>0</v>
      </c>
      <c r="W183" s="27" t="e">
        <f ca="1">F183-AI183</f>
        <v>#VALUE!</v>
      </c>
      <c r="X183" s="27">
        <f t="shared" ca="1" si="51"/>
        <v>0</v>
      </c>
      <c r="Y183" s="27">
        <f t="shared" ca="1" si="51"/>
        <v>0</v>
      </c>
      <c r="Z183" s="27">
        <f t="shared" ca="1" si="51"/>
        <v>0</v>
      </c>
      <c r="AA183" s="19">
        <f t="shared" ca="1" si="51"/>
        <v>0</v>
      </c>
      <c r="AB183" s="20">
        <f t="shared" ca="1" si="51"/>
        <v>0</v>
      </c>
      <c r="AC183" s="20">
        <f t="shared" ca="1" si="51"/>
        <v>0</v>
      </c>
      <c r="AE183" s="26" t="s">
        <v>34</v>
      </c>
      <c r="AF183" s="27"/>
      <c r="AG183" s="27"/>
      <c r="AH183" s="27"/>
      <c r="AI183" s="27" t="s">
        <v>32</v>
      </c>
      <c r="AJ183" s="27"/>
      <c r="AK183" s="27"/>
      <c r="AL183" s="27"/>
      <c r="AM183" s="19"/>
      <c r="AN183" s="20"/>
      <c r="AO183" s="20">
        <v>0</v>
      </c>
    </row>
    <row r="184" spans="1:41" x14ac:dyDescent="0.25">
      <c r="A184" s="3">
        <f t="shared" ca="1" si="53"/>
        <v>45535</v>
      </c>
      <c r="B184" s="30" t="s">
        <v>35</v>
      </c>
      <c r="C184" s="31"/>
      <c r="D184" s="31"/>
      <c r="E184" s="31"/>
      <c r="F184" s="31"/>
      <c r="G184" s="31"/>
      <c r="H184" s="31"/>
      <c r="I184" s="31"/>
      <c r="J184" s="31"/>
      <c r="K184" s="32"/>
      <c r="L184" s="32">
        <f t="shared" ca="1" si="50"/>
        <v>0</v>
      </c>
      <c r="S184" s="33" t="s">
        <v>35</v>
      </c>
      <c r="T184" s="19">
        <f t="shared" ca="1" si="51"/>
        <v>0</v>
      </c>
      <c r="U184" s="19">
        <f t="shared" ca="1" si="51"/>
        <v>0</v>
      </c>
      <c r="V184" s="19">
        <f t="shared" ca="1" si="51"/>
        <v>0</v>
      </c>
      <c r="W184" s="19">
        <f t="shared" ca="1" si="51"/>
        <v>0</v>
      </c>
      <c r="X184" s="19">
        <f t="shared" ca="1" si="51"/>
        <v>0</v>
      </c>
      <c r="Y184" s="19">
        <f t="shared" ca="1" si="51"/>
        <v>0</v>
      </c>
      <c r="Z184" s="19">
        <f t="shared" ca="1" si="51"/>
        <v>0</v>
      </c>
      <c r="AA184" s="19">
        <f t="shared" ca="1" si="51"/>
        <v>0</v>
      </c>
      <c r="AB184" s="20">
        <f t="shared" ca="1" si="51"/>
        <v>0</v>
      </c>
      <c r="AC184" s="20">
        <f t="shared" ca="1" si="51"/>
        <v>0</v>
      </c>
      <c r="AE184" s="30" t="s">
        <v>35</v>
      </c>
      <c r="AF184" s="31"/>
      <c r="AG184" s="31"/>
      <c r="AH184" s="31"/>
      <c r="AI184" s="31"/>
      <c r="AJ184" s="31"/>
      <c r="AK184" s="31"/>
      <c r="AL184" s="31"/>
      <c r="AM184" s="31"/>
      <c r="AN184" s="32"/>
      <c r="AO184" s="32">
        <v>0</v>
      </c>
    </row>
    <row r="185" spans="1:41" x14ac:dyDescent="0.25">
      <c r="A185" s="3">
        <f t="shared" ca="1" si="53"/>
        <v>45565</v>
      </c>
      <c r="B185" s="26" t="s">
        <v>36</v>
      </c>
      <c r="C185" s="27"/>
      <c r="D185" s="27"/>
      <c r="E185" s="27"/>
      <c r="F185" s="27"/>
      <c r="G185" s="27"/>
      <c r="H185" s="27"/>
      <c r="I185" s="27"/>
      <c r="J185" s="19"/>
      <c r="K185" s="20"/>
      <c r="L185" s="20">
        <f t="shared" ca="1" si="50"/>
        <v>0</v>
      </c>
      <c r="S185" s="26" t="s">
        <v>36</v>
      </c>
      <c r="T185" s="27">
        <f t="shared" ca="1" si="51"/>
        <v>0</v>
      </c>
      <c r="U185" s="27">
        <f t="shared" ca="1" si="51"/>
        <v>0</v>
      </c>
      <c r="V185" s="27">
        <f t="shared" ca="1" si="51"/>
        <v>0</v>
      </c>
      <c r="W185" s="27">
        <f t="shared" ca="1" si="51"/>
        <v>0</v>
      </c>
      <c r="X185" s="27">
        <f t="shared" ca="1" si="51"/>
        <v>0</v>
      </c>
      <c r="Y185" s="27">
        <f t="shared" ca="1" si="51"/>
        <v>0</v>
      </c>
      <c r="Z185" s="27">
        <f t="shared" ca="1" si="51"/>
        <v>0</v>
      </c>
      <c r="AA185" s="19">
        <f t="shared" ca="1" si="51"/>
        <v>0</v>
      </c>
      <c r="AB185" s="20">
        <f t="shared" ca="1" si="51"/>
        <v>0</v>
      </c>
      <c r="AC185" s="20">
        <f t="shared" ca="1" si="51"/>
        <v>0</v>
      </c>
      <c r="AE185" s="26" t="s">
        <v>36</v>
      </c>
      <c r="AF185" s="27"/>
      <c r="AG185" s="27"/>
      <c r="AH185" s="27"/>
      <c r="AI185" s="27"/>
      <c r="AJ185" s="27"/>
      <c r="AK185" s="27"/>
      <c r="AL185" s="27"/>
      <c r="AM185" s="19"/>
      <c r="AN185" s="20"/>
      <c r="AO185" s="20">
        <v>0</v>
      </c>
    </row>
    <row r="186" spans="1:41" x14ac:dyDescent="0.25">
      <c r="A186" s="3">
        <f t="shared" ca="1" si="53"/>
        <v>45596</v>
      </c>
      <c r="B186" s="30" t="s">
        <v>37</v>
      </c>
      <c r="C186" s="31"/>
      <c r="D186" s="31"/>
      <c r="E186" s="31"/>
      <c r="F186" s="31"/>
      <c r="G186" s="31"/>
      <c r="H186" s="31"/>
      <c r="I186" s="31"/>
      <c r="J186" s="31"/>
      <c r="K186" s="32"/>
      <c r="L186" s="32">
        <f t="shared" ca="1" si="50"/>
        <v>0</v>
      </c>
      <c r="S186" s="33" t="s">
        <v>37</v>
      </c>
      <c r="T186" s="19">
        <f t="shared" ca="1" si="51"/>
        <v>0</v>
      </c>
      <c r="U186" s="19">
        <f t="shared" ca="1" si="51"/>
        <v>0</v>
      </c>
      <c r="V186" s="19">
        <f t="shared" ca="1" si="51"/>
        <v>0</v>
      </c>
      <c r="W186" s="19">
        <f t="shared" ca="1" si="51"/>
        <v>0</v>
      </c>
      <c r="X186" s="19">
        <f t="shared" ca="1" si="51"/>
        <v>0</v>
      </c>
      <c r="Y186" s="19">
        <f t="shared" ca="1" si="51"/>
        <v>0</v>
      </c>
      <c r="Z186" s="19">
        <f t="shared" ca="1" si="51"/>
        <v>0</v>
      </c>
      <c r="AA186" s="19">
        <f t="shared" ca="1" si="51"/>
        <v>0</v>
      </c>
      <c r="AB186" s="20">
        <f t="shared" ca="1" si="51"/>
        <v>0</v>
      </c>
      <c r="AC186" s="20">
        <f t="shared" ca="1" si="51"/>
        <v>0</v>
      </c>
      <c r="AE186" s="30" t="s">
        <v>37</v>
      </c>
      <c r="AF186" s="31"/>
      <c r="AG186" s="31"/>
      <c r="AH186" s="31"/>
      <c r="AI186" s="31"/>
      <c r="AJ186" s="31"/>
      <c r="AK186" s="31"/>
      <c r="AL186" s="31"/>
      <c r="AM186" s="31"/>
      <c r="AN186" s="32"/>
      <c r="AO186" s="32">
        <v>0</v>
      </c>
    </row>
    <row r="187" spans="1:41" x14ac:dyDescent="0.25">
      <c r="A187" s="3">
        <f t="shared" ca="1" si="53"/>
        <v>45626</v>
      </c>
      <c r="B187" s="26" t="s">
        <v>38</v>
      </c>
      <c r="C187" s="27"/>
      <c r="D187" s="27"/>
      <c r="E187" s="27"/>
      <c r="F187" s="27"/>
      <c r="G187" s="27"/>
      <c r="H187" s="27"/>
      <c r="I187" s="27"/>
      <c r="J187" s="19"/>
      <c r="K187" s="20"/>
      <c r="L187" s="20">
        <f t="shared" ca="1" si="50"/>
        <v>0</v>
      </c>
      <c r="S187" s="26" t="s">
        <v>38</v>
      </c>
      <c r="T187" s="27">
        <f t="shared" ca="1" si="51"/>
        <v>0</v>
      </c>
      <c r="U187" s="27">
        <f t="shared" ca="1" si="51"/>
        <v>0</v>
      </c>
      <c r="V187" s="27">
        <f t="shared" ca="1" si="51"/>
        <v>0</v>
      </c>
      <c r="W187" s="27">
        <f t="shared" ca="1" si="51"/>
        <v>0</v>
      </c>
      <c r="X187" s="27">
        <f t="shared" ca="1" si="51"/>
        <v>0</v>
      </c>
      <c r="Y187" s="27">
        <f t="shared" ca="1" si="51"/>
        <v>0</v>
      </c>
      <c r="Z187" s="27">
        <f t="shared" ca="1" si="51"/>
        <v>0</v>
      </c>
      <c r="AA187" s="19">
        <f t="shared" ca="1" si="51"/>
        <v>0</v>
      </c>
      <c r="AB187" s="20">
        <f t="shared" ca="1" si="51"/>
        <v>0</v>
      </c>
      <c r="AC187" s="20">
        <f t="shared" ca="1" si="51"/>
        <v>0</v>
      </c>
      <c r="AE187" s="26" t="s">
        <v>38</v>
      </c>
      <c r="AF187" s="27"/>
      <c r="AG187" s="27"/>
      <c r="AH187" s="27"/>
      <c r="AI187" s="27"/>
      <c r="AJ187" s="27"/>
      <c r="AK187" s="27"/>
      <c r="AL187" s="27"/>
      <c r="AM187" s="19"/>
      <c r="AN187" s="20"/>
      <c r="AO187" s="20">
        <v>0</v>
      </c>
    </row>
    <row r="188" spans="1:41" x14ac:dyDescent="0.25">
      <c r="A188" s="3">
        <f t="shared" ca="1" si="53"/>
        <v>45657</v>
      </c>
      <c r="B188" s="30" t="s">
        <v>39</v>
      </c>
      <c r="C188" s="31"/>
      <c r="D188" s="31"/>
      <c r="E188" s="31"/>
      <c r="F188" s="31"/>
      <c r="G188" s="31"/>
      <c r="H188" s="31"/>
      <c r="I188" s="31"/>
      <c r="J188" s="31"/>
      <c r="K188" s="32"/>
      <c r="L188" s="32">
        <f t="shared" ca="1" si="50"/>
        <v>0</v>
      </c>
      <c r="S188" s="33" t="s">
        <v>39</v>
      </c>
      <c r="T188" s="19">
        <f t="shared" ca="1" si="51"/>
        <v>0</v>
      </c>
      <c r="U188" s="19">
        <f t="shared" ca="1" si="51"/>
        <v>0</v>
      </c>
      <c r="V188" s="19">
        <f t="shared" ca="1" si="51"/>
        <v>0</v>
      </c>
      <c r="W188" s="19">
        <f t="shared" ca="1" si="51"/>
        <v>0</v>
      </c>
      <c r="X188" s="19">
        <f t="shared" ca="1" si="51"/>
        <v>0</v>
      </c>
      <c r="Y188" s="19">
        <f t="shared" ca="1" si="51"/>
        <v>0</v>
      </c>
      <c r="Z188" s="19">
        <f t="shared" ca="1" si="51"/>
        <v>0</v>
      </c>
      <c r="AA188" s="19">
        <f t="shared" ca="1" si="51"/>
        <v>0</v>
      </c>
      <c r="AB188" s="20">
        <f t="shared" ca="1" si="51"/>
        <v>0</v>
      </c>
      <c r="AC188" s="20">
        <f t="shared" ca="1" si="51"/>
        <v>0</v>
      </c>
      <c r="AE188" s="30" t="s">
        <v>39</v>
      </c>
      <c r="AF188" s="31"/>
      <c r="AG188" s="31"/>
      <c r="AH188" s="31"/>
      <c r="AI188" s="31"/>
      <c r="AJ188" s="31"/>
      <c r="AK188" s="31"/>
      <c r="AL188" s="31"/>
      <c r="AM188" s="31"/>
      <c r="AN188" s="32"/>
      <c r="AO188" s="32">
        <v>0</v>
      </c>
    </row>
    <row r="189" spans="1:41" x14ac:dyDescent="0.25">
      <c r="A189" s="3">
        <f ca="1">A188</f>
        <v>45657</v>
      </c>
      <c r="B189" s="13" t="s">
        <v>40</v>
      </c>
      <c r="C189" s="14">
        <f ca="1">SUM(C190:C201)</f>
        <v>0</v>
      </c>
      <c r="D189" s="14">
        <f t="shared" ref="D189:K189" ca="1" si="54">SUM(D190:D201)</f>
        <v>0</v>
      </c>
      <c r="E189" s="14">
        <f t="shared" ca="1" si="54"/>
        <v>0</v>
      </c>
      <c r="F189" s="14">
        <f t="shared" ca="1" si="54"/>
        <v>0</v>
      </c>
      <c r="G189" s="14">
        <f t="shared" ca="1" si="54"/>
        <v>0</v>
      </c>
      <c r="H189" s="14">
        <f t="shared" ca="1" si="54"/>
        <v>0</v>
      </c>
      <c r="I189" s="14">
        <f t="shared" ca="1" si="54"/>
        <v>0</v>
      </c>
      <c r="J189" s="14">
        <f t="shared" ca="1" si="54"/>
        <v>0</v>
      </c>
      <c r="K189" s="15">
        <f t="shared" ca="1" si="54"/>
        <v>0</v>
      </c>
      <c r="L189" s="15">
        <f t="shared" ca="1" si="50"/>
        <v>0</v>
      </c>
      <c r="S189" s="18" t="s">
        <v>40</v>
      </c>
      <c r="T189" s="19">
        <f t="shared" ca="1" si="51"/>
        <v>0</v>
      </c>
      <c r="U189" s="19">
        <f t="shared" ca="1" si="51"/>
        <v>0</v>
      </c>
      <c r="V189" s="19">
        <f t="shared" ca="1" si="51"/>
        <v>0</v>
      </c>
      <c r="W189" s="19">
        <f t="shared" ca="1" si="51"/>
        <v>0</v>
      </c>
      <c r="X189" s="19">
        <f t="shared" ca="1" si="51"/>
        <v>0</v>
      </c>
      <c r="Y189" s="19">
        <f t="shared" ca="1" si="51"/>
        <v>0</v>
      </c>
      <c r="Z189" s="19">
        <f t="shared" ca="1" si="51"/>
        <v>0</v>
      </c>
      <c r="AA189" s="19">
        <f t="shared" ca="1" si="51"/>
        <v>0</v>
      </c>
      <c r="AB189" s="20">
        <f t="shared" ca="1" si="51"/>
        <v>0</v>
      </c>
      <c r="AC189" s="20">
        <f t="shared" ca="1" si="51"/>
        <v>0</v>
      </c>
      <c r="AE189" s="13" t="s">
        <v>40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5">
        <v>0</v>
      </c>
      <c r="AO189" s="15">
        <v>0</v>
      </c>
    </row>
    <row r="190" spans="1:41" x14ac:dyDescent="0.25">
      <c r="A190" s="3">
        <f ca="1">EOMONTH(A188+1,0)</f>
        <v>45688</v>
      </c>
      <c r="B190" s="26" t="s">
        <v>41</v>
      </c>
      <c r="C190" s="27">
        <v>0</v>
      </c>
      <c r="D190" s="27">
        <v>0</v>
      </c>
      <c r="E190" s="27">
        <v>0</v>
      </c>
      <c r="F190" s="27">
        <v>0</v>
      </c>
      <c r="G190" s="27">
        <v>0</v>
      </c>
      <c r="H190" s="27">
        <v>0</v>
      </c>
      <c r="I190" s="19">
        <f ca="1">IF(L190&lt;0,0,L190)</f>
        <v>0</v>
      </c>
      <c r="J190" s="19">
        <v>0</v>
      </c>
      <c r="K190" s="20">
        <v>0</v>
      </c>
      <c r="L190" s="20">
        <f t="shared" ca="1" si="50"/>
        <v>0</v>
      </c>
      <c r="M190" s="16"/>
      <c r="S190" s="26" t="s">
        <v>41</v>
      </c>
      <c r="T190" s="27">
        <f t="shared" ca="1" si="51"/>
        <v>0</v>
      </c>
      <c r="U190" s="27">
        <f t="shared" ca="1" si="51"/>
        <v>0</v>
      </c>
      <c r="V190" s="27">
        <f t="shared" ca="1" si="51"/>
        <v>0</v>
      </c>
      <c r="W190" s="27">
        <f t="shared" ca="1" si="51"/>
        <v>0</v>
      </c>
      <c r="X190" s="27">
        <f t="shared" ca="1" si="51"/>
        <v>0</v>
      </c>
      <c r="Y190" s="27">
        <f t="shared" ca="1" si="51"/>
        <v>0</v>
      </c>
      <c r="Z190" s="27">
        <f t="shared" ca="1" si="51"/>
        <v>0</v>
      </c>
      <c r="AA190" s="19">
        <f t="shared" ca="1" si="51"/>
        <v>0</v>
      </c>
      <c r="AB190" s="20">
        <f t="shared" ca="1" si="51"/>
        <v>0</v>
      </c>
      <c r="AC190" s="20">
        <f t="shared" ca="1" si="51"/>
        <v>0</v>
      </c>
      <c r="AD190" s="16"/>
      <c r="AE190" s="26" t="s">
        <v>41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19">
        <v>0</v>
      </c>
      <c r="AM190" s="19">
        <v>0</v>
      </c>
      <c r="AN190" s="20">
        <v>0</v>
      </c>
      <c r="AO190" s="20">
        <v>0</v>
      </c>
    </row>
    <row r="191" spans="1:41" x14ac:dyDescent="0.25">
      <c r="A191" s="3">
        <f t="shared" ref="A191:A199" ca="1" si="55">EOMONTH(A190+1,0)</f>
        <v>45716</v>
      </c>
      <c r="B191" s="30" t="s">
        <v>42</v>
      </c>
      <c r="C191" s="31">
        <v>0</v>
      </c>
      <c r="D191" s="31">
        <v>0</v>
      </c>
      <c r="E191" s="31">
        <v>0</v>
      </c>
      <c r="F191" s="31">
        <v>0</v>
      </c>
      <c r="G191" s="31">
        <v>0</v>
      </c>
      <c r="H191" s="31">
        <v>0</v>
      </c>
      <c r="I191" s="31">
        <f ca="1">IF(L191&lt;0,0,L191)</f>
        <v>0</v>
      </c>
      <c r="J191" s="31">
        <v>0</v>
      </c>
      <c r="K191" s="32">
        <v>0</v>
      </c>
      <c r="L191" s="32">
        <f t="shared" ca="1" si="50"/>
        <v>0</v>
      </c>
      <c r="M191" s="16"/>
      <c r="S191" s="33" t="s">
        <v>42</v>
      </c>
      <c r="T191" s="19">
        <f t="shared" ca="1" si="51"/>
        <v>0</v>
      </c>
      <c r="U191" s="19">
        <f t="shared" ca="1" si="51"/>
        <v>0</v>
      </c>
      <c r="V191" s="19">
        <f t="shared" ca="1" si="51"/>
        <v>0</v>
      </c>
      <c r="W191" s="19">
        <f t="shared" ca="1" si="51"/>
        <v>0</v>
      </c>
      <c r="X191" s="19">
        <f t="shared" ca="1" si="51"/>
        <v>0</v>
      </c>
      <c r="Y191" s="19">
        <f t="shared" ca="1" si="51"/>
        <v>0</v>
      </c>
      <c r="Z191" s="19">
        <f t="shared" ca="1" si="51"/>
        <v>0</v>
      </c>
      <c r="AA191" s="19">
        <f t="shared" ca="1" si="51"/>
        <v>0</v>
      </c>
      <c r="AB191" s="20">
        <f t="shared" ca="1" si="51"/>
        <v>0</v>
      </c>
      <c r="AC191" s="20">
        <f t="shared" ca="1" si="51"/>
        <v>0</v>
      </c>
      <c r="AD191" s="16"/>
      <c r="AE191" s="30" t="s">
        <v>42</v>
      </c>
      <c r="AF191" s="31">
        <v>0</v>
      </c>
      <c r="AG191" s="31">
        <v>0</v>
      </c>
      <c r="AH191" s="31">
        <v>0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2">
        <v>0</v>
      </c>
      <c r="AO191" s="32">
        <v>0</v>
      </c>
    </row>
    <row r="192" spans="1:41" x14ac:dyDescent="0.25">
      <c r="A192" s="3">
        <f t="shared" ca="1" si="55"/>
        <v>45747</v>
      </c>
      <c r="B192" s="26" t="s">
        <v>43</v>
      </c>
      <c r="C192" s="27">
        <v>0</v>
      </c>
      <c r="D192" s="27">
        <v>0</v>
      </c>
      <c r="E192" s="27">
        <v>0</v>
      </c>
      <c r="F192" s="27">
        <v>0</v>
      </c>
      <c r="G192" s="27">
        <v>0</v>
      </c>
      <c r="H192" s="27">
        <v>0</v>
      </c>
      <c r="I192" s="27">
        <f ca="1">IF(L192&lt;0,0,L192)</f>
        <v>0</v>
      </c>
      <c r="J192" s="19">
        <v>0</v>
      </c>
      <c r="K192" s="20">
        <v>0</v>
      </c>
      <c r="L192" s="20">
        <f t="shared" ca="1" si="50"/>
        <v>0</v>
      </c>
      <c r="M192" s="16"/>
      <c r="S192" s="26" t="s">
        <v>43</v>
      </c>
      <c r="T192" s="27">
        <f t="shared" ca="1" si="51"/>
        <v>0</v>
      </c>
      <c r="U192" s="27">
        <f t="shared" ca="1" si="51"/>
        <v>0</v>
      </c>
      <c r="V192" s="27">
        <f t="shared" ca="1" si="51"/>
        <v>0</v>
      </c>
      <c r="W192" s="27">
        <f t="shared" ca="1" si="51"/>
        <v>0</v>
      </c>
      <c r="X192" s="27">
        <f t="shared" ca="1" si="51"/>
        <v>0</v>
      </c>
      <c r="Y192" s="27">
        <f t="shared" ca="1" si="51"/>
        <v>0</v>
      </c>
      <c r="Z192" s="27">
        <f t="shared" ca="1" si="51"/>
        <v>0</v>
      </c>
      <c r="AA192" s="19">
        <f t="shared" ca="1" si="51"/>
        <v>0</v>
      </c>
      <c r="AB192" s="20">
        <f t="shared" ca="1" si="51"/>
        <v>0</v>
      </c>
      <c r="AC192" s="20">
        <f t="shared" ca="1" si="51"/>
        <v>0</v>
      </c>
      <c r="AD192" s="16"/>
      <c r="AE192" s="26" t="s">
        <v>43</v>
      </c>
      <c r="AF192" s="27">
        <v>0</v>
      </c>
      <c r="AG192" s="27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19">
        <v>0</v>
      </c>
      <c r="AN192" s="20">
        <v>0</v>
      </c>
      <c r="AO192" s="20">
        <v>0</v>
      </c>
    </row>
    <row r="193" spans="1:41" x14ac:dyDescent="0.25">
      <c r="A193" s="3">
        <f t="shared" ca="1" si="55"/>
        <v>45777</v>
      </c>
      <c r="B193" s="30" t="s">
        <v>44</v>
      </c>
      <c r="C193" s="31">
        <v>0</v>
      </c>
      <c r="D193" s="31">
        <v>0</v>
      </c>
      <c r="E193" s="31">
        <v>0</v>
      </c>
      <c r="F193" s="31">
        <v>0</v>
      </c>
      <c r="G193" s="31">
        <v>0</v>
      </c>
      <c r="H193" s="31">
        <v>0</v>
      </c>
      <c r="I193" s="31">
        <f ca="1">IF(L193&lt;0,0,L193)</f>
        <v>0</v>
      </c>
      <c r="J193" s="31">
        <v>0</v>
      </c>
      <c r="K193" s="32">
        <v>0</v>
      </c>
      <c r="L193" s="32">
        <f t="shared" ca="1" si="50"/>
        <v>0</v>
      </c>
      <c r="M193" s="16"/>
      <c r="S193" s="33" t="s">
        <v>44</v>
      </c>
      <c r="T193" s="19">
        <f t="shared" ca="1" si="51"/>
        <v>0</v>
      </c>
      <c r="U193" s="19">
        <f t="shared" ca="1" si="51"/>
        <v>0</v>
      </c>
      <c r="V193" s="19">
        <f t="shared" ca="1" si="51"/>
        <v>0</v>
      </c>
      <c r="W193" s="19">
        <f t="shared" ca="1" si="51"/>
        <v>0</v>
      </c>
      <c r="X193" s="19">
        <f t="shared" ca="1" si="51"/>
        <v>0</v>
      </c>
      <c r="Y193" s="19">
        <f t="shared" ca="1" si="51"/>
        <v>0</v>
      </c>
      <c r="Z193" s="19">
        <f t="shared" ca="1" si="51"/>
        <v>0</v>
      </c>
      <c r="AA193" s="19">
        <f t="shared" ca="1" si="51"/>
        <v>0</v>
      </c>
      <c r="AB193" s="20">
        <f t="shared" ca="1" si="51"/>
        <v>0</v>
      </c>
      <c r="AC193" s="20">
        <f t="shared" ca="1" si="51"/>
        <v>0</v>
      </c>
      <c r="AD193" s="16"/>
      <c r="AE193" s="30" t="s">
        <v>44</v>
      </c>
      <c r="AF193" s="31">
        <v>0</v>
      </c>
      <c r="AG193" s="31">
        <v>0</v>
      </c>
      <c r="AH193" s="31">
        <v>0</v>
      </c>
      <c r="AI193" s="31">
        <v>0</v>
      </c>
      <c r="AJ193" s="31">
        <v>0</v>
      </c>
      <c r="AK193" s="31">
        <v>0</v>
      </c>
      <c r="AL193" s="46">
        <v>0</v>
      </c>
      <c r="AM193" s="31">
        <v>0</v>
      </c>
      <c r="AN193" s="32">
        <v>0</v>
      </c>
      <c r="AO193" s="32">
        <v>0</v>
      </c>
    </row>
    <row r="194" spans="1:41" x14ac:dyDescent="0.25">
      <c r="A194" s="3">
        <f t="shared" ca="1" si="55"/>
        <v>45808</v>
      </c>
      <c r="B194" s="26" t="s">
        <v>45</v>
      </c>
      <c r="C194" s="27">
        <v>0</v>
      </c>
      <c r="D194" s="27">
        <v>0</v>
      </c>
      <c r="E194" s="27">
        <v>0</v>
      </c>
      <c r="F194" s="27">
        <v>0</v>
      </c>
      <c r="G194" s="27">
        <v>0</v>
      </c>
      <c r="H194" s="27">
        <v>0</v>
      </c>
      <c r="I194" s="27">
        <f ca="1">IF(L194&lt;0,0,L194)</f>
        <v>0</v>
      </c>
      <c r="J194" s="19">
        <v>0</v>
      </c>
      <c r="K194" s="20">
        <v>0</v>
      </c>
      <c r="L194" s="20">
        <f t="shared" ca="1" si="50"/>
        <v>0</v>
      </c>
      <c r="M194" s="16"/>
      <c r="S194" s="26" t="s">
        <v>45</v>
      </c>
      <c r="T194" s="27">
        <f t="shared" ca="1" si="51"/>
        <v>0</v>
      </c>
      <c r="U194" s="27">
        <f t="shared" ca="1" si="51"/>
        <v>0</v>
      </c>
      <c r="V194" s="27">
        <f t="shared" ca="1" si="51"/>
        <v>0</v>
      </c>
      <c r="W194" s="27">
        <f t="shared" ca="1" si="51"/>
        <v>0</v>
      </c>
      <c r="X194" s="27">
        <f t="shared" ca="1" si="51"/>
        <v>0</v>
      </c>
      <c r="Y194" s="27">
        <f t="shared" ca="1" si="51"/>
        <v>0</v>
      </c>
      <c r="Z194" s="27">
        <f t="shared" ca="1" si="51"/>
        <v>0</v>
      </c>
      <c r="AA194" s="19">
        <f t="shared" ca="1" si="51"/>
        <v>0</v>
      </c>
      <c r="AB194" s="20">
        <f t="shared" ca="1" si="51"/>
        <v>0</v>
      </c>
      <c r="AC194" s="20">
        <f t="shared" ca="1" si="51"/>
        <v>0</v>
      </c>
      <c r="AD194" s="16"/>
      <c r="AE194" s="26" t="s">
        <v>45</v>
      </c>
      <c r="AF194" s="27">
        <v>0</v>
      </c>
      <c r="AG194" s="27">
        <v>0</v>
      </c>
      <c r="AH194" s="27">
        <v>0</v>
      </c>
      <c r="AI194" s="27">
        <v>0</v>
      </c>
      <c r="AJ194" s="27">
        <v>0</v>
      </c>
      <c r="AK194" s="27">
        <v>0</v>
      </c>
      <c r="AL194" s="46">
        <v>0</v>
      </c>
      <c r="AM194" s="19">
        <v>0</v>
      </c>
      <c r="AN194" s="20">
        <v>0</v>
      </c>
      <c r="AO194" s="20">
        <v>0</v>
      </c>
    </row>
    <row r="195" spans="1:41" x14ac:dyDescent="0.25">
      <c r="A195" s="3">
        <f t="shared" ca="1" si="55"/>
        <v>45838</v>
      </c>
      <c r="B195" s="30" t="s">
        <v>46</v>
      </c>
      <c r="C195" s="31">
        <v>0</v>
      </c>
      <c r="D195" s="31">
        <v>0</v>
      </c>
      <c r="E195" s="31">
        <v>0</v>
      </c>
      <c r="F195" s="31">
        <v>0</v>
      </c>
      <c r="G195" s="31">
        <v>0</v>
      </c>
      <c r="H195" s="31">
        <v>0</v>
      </c>
      <c r="I195" s="31">
        <f t="shared" ref="I195:I201" ca="1" si="56">IF(L195&lt;0,0,L195)</f>
        <v>0</v>
      </c>
      <c r="J195" s="31">
        <v>0</v>
      </c>
      <c r="K195" s="32">
        <v>0</v>
      </c>
      <c r="L195" s="32">
        <f t="shared" ca="1" si="50"/>
        <v>0</v>
      </c>
      <c r="M195" s="16"/>
      <c r="S195" s="33" t="s">
        <v>46</v>
      </c>
      <c r="T195" s="19">
        <f t="shared" ca="1" si="51"/>
        <v>0</v>
      </c>
      <c r="U195" s="19">
        <f t="shared" ca="1" si="51"/>
        <v>0</v>
      </c>
      <c r="V195" s="19">
        <f t="shared" ca="1" si="51"/>
        <v>0</v>
      </c>
      <c r="W195" s="19">
        <f t="shared" ca="1" si="51"/>
        <v>0</v>
      </c>
      <c r="X195" s="19">
        <f t="shared" ca="1" si="51"/>
        <v>0</v>
      </c>
      <c r="Y195" s="19">
        <f t="shared" ca="1" si="51"/>
        <v>0</v>
      </c>
      <c r="Z195" s="19">
        <f t="shared" ca="1" si="51"/>
        <v>0</v>
      </c>
      <c r="AA195" s="19">
        <f t="shared" ca="1" si="51"/>
        <v>0</v>
      </c>
      <c r="AB195" s="20">
        <f t="shared" ca="1" si="51"/>
        <v>0</v>
      </c>
      <c r="AC195" s="20">
        <f t="shared" ca="1" si="51"/>
        <v>0</v>
      </c>
      <c r="AD195" s="16"/>
      <c r="AE195" s="30" t="s">
        <v>46</v>
      </c>
      <c r="AF195" s="31">
        <v>0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46">
        <v>0</v>
      </c>
      <c r="AM195" s="31">
        <v>0</v>
      </c>
      <c r="AN195" s="32">
        <v>0</v>
      </c>
      <c r="AO195" s="32">
        <v>0</v>
      </c>
    </row>
    <row r="196" spans="1:41" x14ac:dyDescent="0.25">
      <c r="A196" s="3">
        <f t="shared" ca="1" si="55"/>
        <v>45869</v>
      </c>
      <c r="B196" s="26" t="s">
        <v>47</v>
      </c>
      <c r="C196" s="27">
        <v>0</v>
      </c>
      <c r="D196" s="27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f t="shared" ca="1" si="56"/>
        <v>0</v>
      </c>
      <c r="J196" s="19">
        <v>0</v>
      </c>
      <c r="K196" s="20">
        <v>0</v>
      </c>
      <c r="L196" s="20">
        <f t="shared" ca="1" si="50"/>
        <v>0</v>
      </c>
      <c r="M196" s="16"/>
      <c r="S196" s="26" t="s">
        <v>47</v>
      </c>
      <c r="T196" s="27">
        <f t="shared" ca="1" si="51"/>
        <v>0</v>
      </c>
      <c r="U196" s="27">
        <f t="shared" ca="1" si="51"/>
        <v>0</v>
      </c>
      <c r="V196" s="27">
        <f t="shared" ca="1" si="51"/>
        <v>0</v>
      </c>
      <c r="W196" s="27">
        <f t="shared" ca="1" si="51"/>
        <v>0</v>
      </c>
      <c r="X196" s="27">
        <f t="shared" ca="1" si="51"/>
        <v>0</v>
      </c>
      <c r="Y196" s="27">
        <f t="shared" ca="1" si="51"/>
        <v>0</v>
      </c>
      <c r="Z196" s="27">
        <f t="shared" ca="1" si="51"/>
        <v>0</v>
      </c>
      <c r="AA196" s="19">
        <f t="shared" ca="1" si="51"/>
        <v>0</v>
      </c>
      <c r="AB196" s="20">
        <f t="shared" ca="1" si="51"/>
        <v>0</v>
      </c>
      <c r="AC196" s="20">
        <f t="shared" ca="1" si="51"/>
        <v>0</v>
      </c>
      <c r="AD196" s="16"/>
      <c r="AE196" s="26" t="s">
        <v>47</v>
      </c>
      <c r="AF196" s="27">
        <v>0</v>
      </c>
      <c r="AG196" s="27">
        <v>0</v>
      </c>
      <c r="AH196" s="27">
        <v>0</v>
      </c>
      <c r="AI196" s="27">
        <v>0</v>
      </c>
      <c r="AJ196" s="27">
        <v>0</v>
      </c>
      <c r="AK196" s="27">
        <v>0</v>
      </c>
      <c r="AL196" s="27">
        <v>0</v>
      </c>
      <c r="AM196" s="19">
        <v>0</v>
      </c>
      <c r="AN196" s="20">
        <v>0</v>
      </c>
      <c r="AO196" s="20">
        <v>0</v>
      </c>
    </row>
    <row r="197" spans="1:41" x14ac:dyDescent="0.25">
      <c r="A197" s="3">
        <f t="shared" ca="1" si="55"/>
        <v>45900</v>
      </c>
      <c r="B197" s="30" t="s">
        <v>48</v>
      </c>
      <c r="C197" s="31">
        <v>0</v>
      </c>
      <c r="D197" s="31">
        <v>0</v>
      </c>
      <c r="E197" s="31">
        <v>0</v>
      </c>
      <c r="F197" s="31">
        <v>0</v>
      </c>
      <c r="G197" s="31">
        <v>0</v>
      </c>
      <c r="H197" s="31">
        <v>0</v>
      </c>
      <c r="I197" s="31">
        <f t="shared" ca="1" si="56"/>
        <v>0</v>
      </c>
      <c r="J197" s="31">
        <v>0</v>
      </c>
      <c r="K197" s="32">
        <v>0</v>
      </c>
      <c r="L197" s="32">
        <f t="shared" ca="1" si="50"/>
        <v>0</v>
      </c>
      <c r="M197" s="16"/>
      <c r="S197" s="33" t="s">
        <v>48</v>
      </c>
      <c r="T197" s="19">
        <f t="shared" ca="1" si="51"/>
        <v>0</v>
      </c>
      <c r="U197" s="19">
        <f t="shared" ca="1" si="51"/>
        <v>0</v>
      </c>
      <c r="V197" s="19">
        <f t="shared" ca="1" si="51"/>
        <v>0</v>
      </c>
      <c r="W197" s="19">
        <f t="shared" ca="1" si="51"/>
        <v>0</v>
      </c>
      <c r="X197" s="19">
        <f t="shared" ca="1" si="51"/>
        <v>0</v>
      </c>
      <c r="Y197" s="19">
        <f t="shared" ca="1" si="51"/>
        <v>0</v>
      </c>
      <c r="Z197" s="19">
        <f t="shared" ref="Z197:AC233" ca="1" si="57">I197-AL197</f>
        <v>0</v>
      </c>
      <c r="AA197" s="19">
        <f t="shared" ca="1" si="57"/>
        <v>0</v>
      </c>
      <c r="AB197" s="20">
        <f t="shared" ca="1" si="57"/>
        <v>0</v>
      </c>
      <c r="AC197" s="20">
        <f t="shared" ca="1" si="57"/>
        <v>0</v>
      </c>
      <c r="AD197" s="16"/>
      <c r="AE197" s="30" t="s">
        <v>48</v>
      </c>
      <c r="AF197" s="31">
        <v>0</v>
      </c>
      <c r="AG197" s="31">
        <v>0</v>
      </c>
      <c r="AH197" s="31">
        <v>0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2">
        <v>0</v>
      </c>
      <c r="AO197" s="32">
        <v>0</v>
      </c>
    </row>
    <row r="198" spans="1:41" x14ac:dyDescent="0.25">
      <c r="A198" s="3">
        <f t="shared" ca="1" si="55"/>
        <v>45930</v>
      </c>
      <c r="B198" s="26" t="s">
        <v>49</v>
      </c>
      <c r="C198" s="27">
        <v>0</v>
      </c>
      <c r="D198" s="27">
        <v>0</v>
      </c>
      <c r="E198" s="27">
        <v>0</v>
      </c>
      <c r="F198" s="27">
        <v>0</v>
      </c>
      <c r="G198" s="27">
        <v>0</v>
      </c>
      <c r="H198" s="27">
        <v>0</v>
      </c>
      <c r="I198" s="27">
        <f t="shared" ca="1" si="56"/>
        <v>0</v>
      </c>
      <c r="J198" s="19">
        <v>0</v>
      </c>
      <c r="K198" s="20">
        <v>0</v>
      </c>
      <c r="L198" s="20">
        <f t="shared" ca="1" si="50"/>
        <v>0</v>
      </c>
      <c r="M198" s="16"/>
      <c r="S198" s="26" t="s">
        <v>49</v>
      </c>
      <c r="T198" s="27">
        <f t="shared" ref="T198:AC234" ca="1" si="58">C198-AF198</f>
        <v>0</v>
      </c>
      <c r="U198" s="27">
        <f t="shared" ca="1" si="58"/>
        <v>0</v>
      </c>
      <c r="V198" s="27">
        <f t="shared" ca="1" si="58"/>
        <v>0</v>
      </c>
      <c r="W198" s="27">
        <f t="shared" ca="1" si="58"/>
        <v>0</v>
      </c>
      <c r="X198" s="27">
        <f t="shared" ca="1" si="58"/>
        <v>0</v>
      </c>
      <c r="Y198" s="27">
        <f t="shared" ca="1" si="58"/>
        <v>0</v>
      </c>
      <c r="Z198" s="27">
        <f t="shared" ca="1" si="57"/>
        <v>0</v>
      </c>
      <c r="AA198" s="19">
        <f t="shared" ca="1" si="57"/>
        <v>0</v>
      </c>
      <c r="AB198" s="20">
        <f t="shared" ca="1" si="57"/>
        <v>0</v>
      </c>
      <c r="AC198" s="20">
        <f t="shared" ca="1" si="57"/>
        <v>0</v>
      </c>
      <c r="AD198" s="16"/>
      <c r="AE198" s="26" t="s">
        <v>49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19">
        <v>0</v>
      </c>
      <c r="AN198" s="20">
        <v>0</v>
      </c>
      <c r="AO198" s="20">
        <v>0</v>
      </c>
    </row>
    <row r="199" spans="1:41" x14ac:dyDescent="0.25">
      <c r="A199" s="3">
        <f t="shared" ca="1" si="55"/>
        <v>45961</v>
      </c>
      <c r="B199" s="30" t="s">
        <v>50</v>
      </c>
      <c r="C199" s="31">
        <v>0</v>
      </c>
      <c r="D199" s="31">
        <v>0</v>
      </c>
      <c r="E199" s="31">
        <v>0</v>
      </c>
      <c r="F199" s="31">
        <v>0</v>
      </c>
      <c r="G199" s="31">
        <v>0</v>
      </c>
      <c r="H199" s="31">
        <v>0</v>
      </c>
      <c r="I199" s="31">
        <f t="shared" ca="1" si="56"/>
        <v>0</v>
      </c>
      <c r="J199" s="31">
        <v>0</v>
      </c>
      <c r="K199" s="32">
        <v>0</v>
      </c>
      <c r="L199" s="32">
        <f t="shared" ca="1" si="50"/>
        <v>0</v>
      </c>
      <c r="M199" s="16"/>
      <c r="S199" s="33" t="s">
        <v>50</v>
      </c>
      <c r="T199" s="19">
        <f t="shared" ca="1" si="58"/>
        <v>0</v>
      </c>
      <c r="U199" s="19">
        <f t="shared" ca="1" si="58"/>
        <v>0</v>
      </c>
      <c r="V199" s="19">
        <f t="shared" ca="1" si="58"/>
        <v>0</v>
      </c>
      <c r="W199" s="19">
        <f t="shared" ca="1" si="58"/>
        <v>0</v>
      </c>
      <c r="X199" s="19">
        <f t="shared" ca="1" si="58"/>
        <v>0</v>
      </c>
      <c r="Y199" s="19">
        <f t="shared" ca="1" si="58"/>
        <v>0</v>
      </c>
      <c r="Z199" s="19">
        <f t="shared" ca="1" si="57"/>
        <v>0</v>
      </c>
      <c r="AA199" s="19">
        <f t="shared" ca="1" si="57"/>
        <v>0</v>
      </c>
      <c r="AB199" s="20">
        <f t="shared" ca="1" si="57"/>
        <v>0</v>
      </c>
      <c r="AC199" s="20">
        <f t="shared" ca="1" si="57"/>
        <v>0</v>
      </c>
      <c r="AD199" s="16"/>
      <c r="AE199" s="30" t="s">
        <v>50</v>
      </c>
      <c r="AF199" s="31">
        <v>0</v>
      </c>
      <c r="AG199" s="31">
        <v>0</v>
      </c>
      <c r="AH199" s="31">
        <v>0</v>
      </c>
      <c r="AI199" s="31">
        <v>0</v>
      </c>
      <c r="AJ199" s="31">
        <v>0</v>
      </c>
      <c r="AK199" s="31">
        <v>0</v>
      </c>
      <c r="AL199" s="31">
        <v>0</v>
      </c>
      <c r="AM199" s="31">
        <v>0</v>
      </c>
      <c r="AN199" s="32">
        <v>0</v>
      </c>
      <c r="AO199" s="32">
        <v>0</v>
      </c>
    </row>
    <row r="200" spans="1:41" x14ac:dyDescent="0.25">
      <c r="A200" s="3">
        <f ca="1">EOMONTH(A199+1,0)</f>
        <v>45991</v>
      </c>
      <c r="B200" s="26" t="s">
        <v>51</v>
      </c>
      <c r="C200" s="27">
        <v>0</v>
      </c>
      <c r="D200" s="27">
        <v>0</v>
      </c>
      <c r="E200" s="27">
        <v>0</v>
      </c>
      <c r="F200" s="27">
        <v>0</v>
      </c>
      <c r="G200" s="27">
        <v>0</v>
      </c>
      <c r="H200" s="27">
        <v>0</v>
      </c>
      <c r="I200" s="27">
        <f t="shared" ca="1" si="56"/>
        <v>0</v>
      </c>
      <c r="J200" s="19">
        <v>0</v>
      </c>
      <c r="K200" s="20">
        <v>0</v>
      </c>
      <c r="L200" s="20">
        <f t="shared" ca="1" si="50"/>
        <v>0</v>
      </c>
      <c r="M200" s="16"/>
      <c r="S200" s="26" t="s">
        <v>51</v>
      </c>
      <c r="T200" s="27">
        <f t="shared" ca="1" si="58"/>
        <v>0</v>
      </c>
      <c r="U200" s="27">
        <f t="shared" ca="1" si="58"/>
        <v>0</v>
      </c>
      <c r="V200" s="27">
        <f t="shared" ca="1" si="58"/>
        <v>0</v>
      </c>
      <c r="W200" s="27">
        <f t="shared" ca="1" si="58"/>
        <v>0</v>
      </c>
      <c r="X200" s="27">
        <f t="shared" ca="1" si="58"/>
        <v>0</v>
      </c>
      <c r="Y200" s="27">
        <f t="shared" ca="1" si="58"/>
        <v>0</v>
      </c>
      <c r="Z200" s="27">
        <f t="shared" ca="1" si="57"/>
        <v>0</v>
      </c>
      <c r="AA200" s="19">
        <f t="shared" ca="1" si="57"/>
        <v>0</v>
      </c>
      <c r="AB200" s="20">
        <f t="shared" ca="1" si="57"/>
        <v>0</v>
      </c>
      <c r="AC200" s="20">
        <f t="shared" ca="1" si="57"/>
        <v>0</v>
      </c>
      <c r="AD200" s="16"/>
      <c r="AE200" s="26" t="s">
        <v>51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19">
        <v>0</v>
      </c>
      <c r="AN200" s="20">
        <v>0</v>
      </c>
      <c r="AO200" s="20">
        <v>0</v>
      </c>
    </row>
    <row r="201" spans="1:41" x14ac:dyDescent="0.25">
      <c r="A201" s="3">
        <f ca="1">EOMONTH(A200+1,0)</f>
        <v>46022</v>
      </c>
      <c r="B201" s="30" t="s">
        <v>52</v>
      </c>
      <c r="C201" s="31">
        <v>0</v>
      </c>
      <c r="D201" s="31">
        <v>0</v>
      </c>
      <c r="E201" s="31">
        <v>0</v>
      </c>
      <c r="F201" s="31">
        <v>0</v>
      </c>
      <c r="G201" s="31">
        <v>0</v>
      </c>
      <c r="H201" s="31">
        <v>0</v>
      </c>
      <c r="I201" s="31">
        <f t="shared" ca="1" si="56"/>
        <v>0</v>
      </c>
      <c r="J201" s="31">
        <v>0</v>
      </c>
      <c r="K201" s="32">
        <v>0</v>
      </c>
      <c r="L201" s="32">
        <f t="shared" ca="1" si="50"/>
        <v>0</v>
      </c>
      <c r="M201" s="16"/>
      <c r="S201" s="33" t="s">
        <v>52</v>
      </c>
      <c r="T201" s="19">
        <f t="shared" ca="1" si="58"/>
        <v>0</v>
      </c>
      <c r="U201" s="19">
        <f t="shared" ca="1" si="58"/>
        <v>0</v>
      </c>
      <c r="V201" s="19">
        <f t="shared" ca="1" si="58"/>
        <v>0</v>
      </c>
      <c r="W201" s="19">
        <f t="shared" ca="1" si="58"/>
        <v>0</v>
      </c>
      <c r="X201" s="19">
        <f t="shared" ca="1" si="58"/>
        <v>0</v>
      </c>
      <c r="Y201" s="19">
        <f t="shared" ca="1" si="58"/>
        <v>0</v>
      </c>
      <c r="Z201" s="19">
        <f t="shared" ca="1" si="57"/>
        <v>0</v>
      </c>
      <c r="AA201" s="19">
        <f t="shared" ca="1" si="57"/>
        <v>0</v>
      </c>
      <c r="AB201" s="20">
        <f t="shared" ca="1" si="57"/>
        <v>0</v>
      </c>
      <c r="AC201" s="20">
        <f t="shared" ca="1" si="57"/>
        <v>0</v>
      </c>
      <c r="AD201" s="16"/>
      <c r="AE201" s="30" t="s">
        <v>52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2">
        <v>0</v>
      </c>
      <c r="AO201" s="32">
        <v>0</v>
      </c>
    </row>
    <row r="202" spans="1:41" x14ac:dyDescent="0.25">
      <c r="A202" s="3">
        <f ca="1">A201</f>
        <v>46022</v>
      </c>
      <c r="B202" s="13" t="s">
        <v>53</v>
      </c>
      <c r="C202" s="14">
        <f t="shared" ref="C202:L202" ca="1" si="59">SUM(C203:C207)</f>
        <v>72341711.499999985</v>
      </c>
      <c r="D202" s="14">
        <f t="shared" ca="1" si="59"/>
        <v>6612423</v>
      </c>
      <c r="E202" s="14">
        <f t="shared" ca="1" si="59"/>
        <v>93988315.850000024</v>
      </c>
      <c r="F202" s="14">
        <f t="shared" ca="1" si="59"/>
        <v>4328377</v>
      </c>
      <c r="G202" s="14">
        <f t="shared" ca="1" si="59"/>
        <v>89654919</v>
      </c>
      <c r="H202" s="14">
        <f t="shared" ca="1" si="59"/>
        <v>5000</v>
      </c>
      <c r="I202" s="14">
        <f t="shared" ca="1" si="59"/>
        <v>522396.24999999814</v>
      </c>
      <c r="J202" s="14">
        <f t="shared" ca="1" si="59"/>
        <v>2788910.12</v>
      </c>
      <c r="K202" s="15">
        <f t="shared" ca="1" si="59"/>
        <v>1539466.8800000001</v>
      </c>
      <c r="L202" s="15">
        <f t="shared" ca="1" si="59"/>
        <v>-28259027.350000039</v>
      </c>
      <c r="S202" s="18" t="s">
        <v>53</v>
      </c>
      <c r="T202" s="19">
        <f t="shared" ca="1" si="58"/>
        <v>2636157.9200000018</v>
      </c>
      <c r="U202" s="19">
        <f t="shared" ca="1" si="58"/>
        <v>679169</v>
      </c>
      <c r="V202" s="19">
        <f t="shared" ca="1" si="58"/>
        <v>3969980.099999994</v>
      </c>
      <c r="W202" s="19">
        <f t="shared" ca="1" si="58"/>
        <v>746</v>
      </c>
      <c r="X202" s="19">
        <f t="shared" ca="1" si="58"/>
        <v>3969232</v>
      </c>
      <c r="Y202" s="19">
        <f t="shared" ca="1" si="58"/>
        <v>0</v>
      </c>
      <c r="Z202" s="19">
        <f t="shared" ca="1" si="57"/>
        <v>-411011.18000000343</v>
      </c>
      <c r="AA202" s="19">
        <f t="shared" ca="1" si="57"/>
        <v>746</v>
      </c>
      <c r="AB202" s="20">
        <f t="shared" ca="1" si="57"/>
        <v>0</v>
      </c>
      <c r="AC202" s="20">
        <f t="shared" ca="1" si="57"/>
        <v>-2012991.1800000072</v>
      </c>
      <c r="AE202" s="13" t="s">
        <v>53</v>
      </c>
      <c r="AF202" s="14">
        <v>69705553.579999983</v>
      </c>
      <c r="AG202" s="14">
        <v>5933254</v>
      </c>
      <c r="AH202" s="14">
        <v>90018335.75000003</v>
      </c>
      <c r="AI202" s="14">
        <v>4327631</v>
      </c>
      <c r="AJ202" s="14">
        <v>85685687</v>
      </c>
      <c r="AK202" s="14">
        <v>5000</v>
      </c>
      <c r="AL202" s="14">
        <v>933407.43000000156</v>
      </c>
      <c r="AM202" s="14">
        <v>2788164.12</v>
      </c>
      <c r="AN202" s="15">
        <v>1539466.8800000001</v>
      </c>
      <c r="AO202" s="15">
        <v>-26246036.170000032</v>
      </c>
    </row>
    <row r="203" spans="1:41" x14ac:dyDescent="0.25">
      <c r="A203" s="3">
        <f ca="1">EOMONTH(A201+1,0)</f>
        <v>46053</v>
      </c>
      <c r="B203" s="26" t="s">
        <v>54</v>
      </c>
      <c r="C203" s="27">
        <v>0</v>
      </c>
      <c r="D203" s="27">
        <v>79282</v>
      </c>
      <c r="E203" s="27">
        <v>834233.28</v>
      </c>
      <c r="F203" s="27">
        <v>-1</v>
      </c>
      <c r="G203" s="27">
        <v>834234</v>
      </c>
      <c r="H203" s="27">
        <v>0</v>
      </c>
      <c r="I203" s="19">
        <f ca="1">IF(L203&lt;0,0,L203)</f>
        <v>0</v>
      </c>
      <c r="J203" s="19">
        <v>-1</v>
      </c>
      <c r="K203" s="20">
        <v>0</v>
      </c>
      <c r="L203" s="20">
        <f t="shared" ca="1" si="50"/>
        <v>-913515.28</v>
      </c>
      <c r="M203" s="16"/>
      <c r="S203" s="26" t="s">
        <v>54</v>
      </c>
      <c r="T203" s="27">
        <f t="shared" ca="1" si="58"/>
        <v>0</v>
      </c>
      <c r="U203" s="27">
        <f t="shared" ca="1" si="58"/>
        <v>0</v>
      </c>
      <c r="V203" s="27">
        <f t="shared" ca="1" si="58"/>
        <v>0</v>
      </c>
      <c r="W203" s="27">
        <f t="shared" ca="1" si="58"/>
        <v>0</v>
      </c>
      <c r="X203" s="27">
        <f t="shared" ca="1" si="58"/>
        <v>0</v>
      </c>
      <c r="Y203" s="27">
        <f t="shared" ca="1" si="58"/>
        <v>0</v>
      </c>
      <c r="Z203" s="27">
        <f t="shared" ca="1" si="57"/>
        <v>0</v>
      </c>
      <c r="AA203" s="19">
        <f t="shared" ca="1" si="57"/>
        <v>0</v>
      </c>
      <c r="AB203" s="20">
        <f t="shared" ca="1" si="57"/>
        <v>0</v>
      </c>
      <c r="AC203" s="20">
        <f t="shared" ca="1" si="57"/>
        <v>0</v>
      </c>
      <c r="AD203" s="16"/>
      <c r="AE203" s="26" t="s">
        <v>54</v>
      </c>
      <c r="AF203" s="27">
        <v>0</v>
      </c>
      <c r="AG203" s="27">
        <v>79282</v>
      </c>
      <c r="AH203" s="27">
        <v>834233.28</v>
      </c>
      <c r="AI203" s="27">
        <v>-1</v>
      </c>
      <c r="AJ203" s="27">
        <v>834234</v>
      </c>
      <c r="AK203" s="27">
        <v>0</v>
      </c>
      <c r="AL203" s="19">
        <v>0</v>
      </c>
      <c r="AM203" s="19">
        <v>-1</v>
      </c>
      <c r="AN203" s="20">
        <v>0</v>
      </c>
      <c r="AO203" s="20">
        <v>-913515.28</v>
      </c>
    </row>
    <row r="204" spans="1:41" x14ac:dyDescent="0.25">
      <c r="A204" s="3">
        <f ca="1">EOMONTH(A203+1,0)</f>
        <v>46081</v>
      </c>
      <c r="B204" s="30" t="s">
        <v>55</v>
      </c>
      <c r="C204" s="31">
        <v>0</v>
      </c>
      <c r="D204" s="31">
        <v>0</v>
      </c>
      <c r="E204" s="31">
        <v>560260.48</v>
      </c>
      <c r="F204" s="31">
        <v>-1</v>
      </c>
      <c r="G204" s="31">
        <v>560261</v>
      </c>
      <c r="H204" s="31">
        <v>0</v>
      </c>
      <c r="I204" s="31">
        <f ca="1">IF(L204&lt;0,0,L204)</f>
        <v>0</v>
      </c>
      <c r="J204" s="31">
        <v>-1</v>
      </c>
      <c r="K204" s="32">
        <v>0</v>
      </c>
      <c r="L204" s="32">
        <f t="shared" ca="1" si="50"/>
        <v>-560260.48</v>
      </c>
      <c r="M204" s="16"/>
      <c r="S204" s="33" t="s">
        <v>55</v>
      </c>
      <c r="T204" s="19">
        <f t="shared" ca="1" si="58"/>
        <v>0</v>
      </c>
      <c r="U204" s="19">
        <f t="shared" ca="1" si="58"/>
        <v>0</v>
      </c>
      <c r="V204" s="19">
        <f t="shared" ca="1" si="58"/>
        <v>0</v>
      </c>
      <c r="W204" s="19">
        <f t="shared" ca="1" si="58"/>
        <v>0</v>
      </c>
      <c r="X204" s="19">
        <f t="shared" ca="1" si="58"/>
        <v>0</v>
      </c>
      <c r="Y204" s="19">
        <f t="shared" ca="1" si="58"/>
        <v>0</v>
      </c>
      <c r="Z204" s="19">
        <f t="shared" ca="1" si="57"/>
        <v>0</v>
      </c>
      <c r="AA204" s="19">
        <f t="shared" ca="1" si="57"/>
        <v>0</v>
      </c>
      <c r="AB204" s="20">
        <f t="shared" ca="1" si="57"/>
        <v>0</v>
      </c>
      <c r="AC204" s="20">
        <f t="shared" ca="1" si="57"/>
        <v>0</v>
      </c>
      <c r="AD204" s="16"/>
      <c r="AE204" s="30" t="s">
        <v>55</v>
      </c>
      <c r="AF204" s="31">
        <v>0</v>
      </c>
      <c r="AG204" s="31">
        <v>0</v>
      </c>
      <c r="AH204" s="31">
        <v>560260.48</v>
      </c>
      <c r="AI204" s="31">
        <v>-1</v>
      </c>
      <c r="AJ204" s="31">
        <v>560261</v>
      </c>
      <c r="AK204" s="31">
        <v>0</v>
      </c>
      <c r="AL204" s="31">
        <v>0</v>
      </c>
      <c r="AM204" s="31">
        <v>-1</v>
      </c>
      <c r="AN204" s="32">
        <v>0</v>
      </c>
      <c r="AO204" s="32">
        <v>-560260.48</v>
      </c>
    </row>
    <row r="205" spans="1:41" x14ac:dyDescent="0.25">
      <c r="A205" s="3">
        <f ca="1">EOMONTH(A204+1,0)</f>
        <v>46112</v>
      </c>
      <c r="B205" s="26" t="s">
        <v>56</v>
      </c>
      <c r="C205" s="27">
        <v>0</v>
      </c>
      <c r="D205" s="27">
        <v>0</v>
      </c>
      <c r="E205" s="27">
        <v>51415</v>
      </c>
      <c r="F205" s="27">
        <v>0</v>
      </c>
      <c r="G205" s="27">
        <v>51415</v>
      </c>
      <c r="H205" s="27">
        <v>0</v>
      </c>
      <c r="I205" s="19">
        <f ca="1">IF(L205&lt;0,0,L205)</f>
        <v>0</v>
      </c>
      <c r="J205" s="19">
        <v>0</v>
      </c>
      <c r="K205" s="20">
        <v>0</v>
      </c>
      <c r="L205" s="20">
        <f t="shared" ca="1" si="50"/>
        <v>-51415</v>
      </c>
      <c r="M205" s="16"/>
      <c r="S205" s="26" t="s">
        <v>56</v>
      </c>
      <c r="T205" s="27">
        <f t="shared" ca="1" si="58"/>
        <v>0</v>
      </c>
      <c r="U205" s="27">
        <f t="shared" ca="1" si="58"/>
        <v>0</v>
      </c>
      <c r="V205" s="27">
        <f t="shared" ca="1" si="58"/>
        <v>0</v>
      </c>
      <c r="W205" s="27">
        <f t="shared" ca="1" si="58"/>
        <v>0</v>
      </c>
      <c r="X205" s="27">
        <f t="shared" ca="1" si="58"/>
        <v>0</v>
      </c>
      <c r="Y205" s="27">
        <f t="shared" ca="1" si="58"/>
        <v>0</v>
      </c>
      <c r="Z205" s="27">
        <f t="shared" ca="1" si="57"/>
        <v>0</v>
      </c>
      <c r="AA205" s="19">
        <f t="shared" ca="1" si="57"/>
        <v>0</v>
      </c>
      <c r="AB205" s="20">
        <f t="shared" ca="1" si="57"/>
        <v>0</v>
      </c>
      <c r="AC205" s="20">
        <f t="shared" ca="1" si="57"/>
        <v>0</v>
      </c>
      <c r="AD205" s="16"/>
      <c r="AE205" s="26" t="s">
        <v>56</v>
      </c>
      <c r="AF205" s="27">
        <v>0</v>
      </c>
      <c r="AG205" s="27">
        <v>0</v>
      </c>
      <c r="AH205" s="27">
        <v>51415</v>
      </c>
      <c r="AI205" s="27">
        <v>0</v>
      </c>
      <c r="AJ205" s="27">
        <v>51415</v>
      </c>
      <c r="AK205" s="27">
        <v>0</v>
      </c>
      <c r="AL205" s="27">
        <v>0</v>
      </c>
      <c r="AM205" s="19">
        <v>0</v>
      </c>
      <c r="AN205" s="20">
        <v>0</v>
      </c>
      <c r="AO205" s="20">
        <v>-51415</v>
      </c>
    </row>
    <row r="206" spans="1:41" x14ac:dyDescent="0.25">
      <c r="A206" s="3">
        <f ca="1">EOMONTH(A205+1,0)</f>
        <v>46142</v>
      </c>
      <c r="B206" s="30" t="s">
        <v>57</v>
      </c>
      <c r="C206" s="31">
        <v>53892240.75999999</v>
      </c>
      <c r="D206" s="31">
        <v>4599241</v>
      </c>
      <c r="E206" s="31">
        <v>76549232.600000024</v>
      </c>
      <c r="F206" s="31">
        <v>3940579</v>
      </c>
      <c r="G206" s="31">
        <v>72605639</v>
      </c>
      <c r="H206" s="31">
        <v>3000</v>
      </c>
      <c r="I206" s="31">
        <f ca="1">IF(L206&lt;0,0,L206)</f>
        <v>0</v>
      </c>
      <c r="J206" s="31">
        <v>2401112.42</v>
      </c>
      <c r="K206" s="32">
        <v>1539466.58</v>
      </c>
      <c r="L206" s="32">
        <f t="shared" ca="1" si="50"/>
        <v>-27256232.840000033</v>
      </c>
      <c r="M206" s="16"/>
      <c r="S206" s="26" t="s">
        <v>57</v>
      </c>
      <c r="T206" s="27">
        <f t="shared" ca="1" si="58"/>
        <v>0</v>
      </c>
      <c r="U206" s="27">
        <f t="shared" ca="1" si="58"/>
        <v>75653</v>
      </c>
      <c r="V206" s="27">
        <f t="shared" ca="1" si="58"/>
        <v>1526327</v>
      </c>
      <c r="W206" s="27">
        <f t="shared" ca="1" si="58"/>
        <v>147</v>
      </c>
      <c r="X206" s="27">
        <f t="shared" ca="1" si="58"/>
        <v>1526180</v>
      </c>
      <c r="Y206" s="27">
        <f t="shared" ca="1" si="58"/>
        <v>0</v>
      </c>
      <c r="Z206" s="27">
        <f t="shared" ca="1" si="57"/>
        <v>0</v>
      </c>
      <c r="AA206" s="19">
        <f t="shared" ca="1" si="57"/>
        <v>147</v>
      </c>
      <c r="AB206" s="20">
        <f t="shared" ca="1" si="57"/>
        <v>0</v>
      </c>
      <c r="AC206" s="20">
        <f t="shared" ca="1" si="57"/>
        <v>-1601980</v>
      </c>
      <c r="AD206" s="16"/>
      <c r="AE206" s="30" t="s">
        <v>57</v>
      </c>
      <c r="AF206" s="31">
        <v>53892240.75999999</v>
      </c>
      <c r="AG206" s="31">
        <v>4523588</v>
      </c>
      <c r="AH206" s="31">
        <v>75022905.600000024</v>
      </c>
      <c r="AI206" s="31">
        <v>3940432</v>
      </c>
      <c r="AJ206" s="31">
        <v>71079459</v>
      </c>
      <c r="AK206" s="31">
        <v>3000</v>
      </c>
      <c r="AL206" s="31">
        <v>0</v>
      </c>
      <c r="AM206" s="31">
        <v>2400965.42</v>
      </c>
      <c r="AN206" s="32">
        <v>1539466.58</v>
      </c>
      <c r="AO206" s="32">
        <v>-25654252.840000033</v>
      </c>
    </row>
    <row r="207" spans="1:41" ht="15.75" thickBot="1" x14ac:dyDescent="0.3">
      <c r="A207" s="3">
        <f ca="1">EOMONTH(A206+1,0)</f>
        <v>46173</v>
      </c>
      <c r="B207" s="26" t="s">
        <v>58</v>
      </c>
      <c r="C207" s="27">
        <f ca="1">O11</f>
        <v>18449470.739999998</v>
      </c>
      <c r="D207" s="27">
        <v>1933900</v>
      </c>
      <c r="E207" s="27">
        <v>15993174.49</v>
      </c>
      <c r="F207" s="27">
        <v>387800</v>
      </c>
      <c r="G207" s="27">
        <v>15603370</v>
      </c>
      <c r="H207" s="27">
        <v>2000</v>
      </c>
      <c r="I207" s="19">
        <f ca="1">IF(L207&lt;0,0,L207)</f>
        <v>522396.24999999814</v>
      </c>
      <c r="J207" s="19">
        <v>387799.69999999995</v>
      </c>
      <c r="K207" s="20">
        <v>0.30000000004656613</v>
      </c>
      <c r="L207" s="20">
        <f ca="1">C207-E207-D207</f>
        <v>522396.24999999814</v>
      </c>
      <c r="M207" s="16"/>
      <c r="S207" s="26" t="s">
        <v>58</v>
      </c>
      <c r="T207" s="27">
        <f t="shared" ca="1" si="58"/>
        <v>2636157.9199999981</v>
      </c>
      <c r="U207" s="27">
        <f t="shared" ca="1" si="58"/>
        <v>603516</v>
      </c>
      <c r="V207" s="27">
        <f t="shared" ca="1" si="58"/>
        <v>2443653.1000000015</v>
      </c>
      <c r="W207" s="27">
        <f t="shared" ca="1" si="58"/>
        <v>599</v>
      </c>
      <c r="X207" s="27">
        <f t="shared" ca="1" si="58"/>
        <v>2443052</v>
      </c>
      <c r="Y207" s="27">
        <f t="shared" ca="1" si="58"/>
        <v>0</v>
      </c>
      <c r="Z207" s="27">
        <f t="shared" ca="1" si="58"/>
        <v>-411011.18000000343</v>
      </c>
      <c r="AA207" s="19">
        <f t="shared" ca="1" si="58"/>
        <v>599</v>
      </c>
      <c r="AB207" s="20">
        <f t="shared" ca="1" si="58"/>
        <v>0</v>
      </c>
      <c r="AC207" s="20">
        <f t="shared" ca="1" si="58"/>
        <v>-411011.18000000343</v>
      </c>
      <c r="AD207" s="16"/>
      <c r="AE207" s="26" t="s">
        <v>58</v>
      </c>
      <c r="AF207" s="27">
        <v>15813312.82</v>
      </c>
      <c r="AG207" s="27">
        <v>1330384</v>
      </c>
      <c r="AH207" s="27">
        <v>13549521.389999999</v>
      </c>
      <c r="AI207" s="27">
        <v>387201</v>
      </c>
      <c r="AJ207" s="27">
        <v>13160318</v>
      </c>
      <c r="AK207" s="27">
        <v>2000</v>
      </c>
      <c r="AL207" s="27">
        <v>933407.43000000156</v>
      </c>
      <c r="AM207" s="19">
        <v>387200.69999999995</v>
      </c>
      <c r="AN207" s="20">
        <v>0.30000000004656613</v>
      </c>
      <c r="AO207" s="20">
        <v>933407.43000000156</v>
      </c>
    </row>
    <row r="208" spans="1:41" ht="15.75" thickBot="1" x14ac:dyDescent="0.3">
      <c r="A208" s="3"/>
      <c r="B208" s="36" t="s">
        <v>59</v>
      </c>
      <c r="C208" s="37">
        <f ca="1">SUM(C172:C176)+C189+C202</f>
        <v>72341711.499999985</v>
      </c>
      <c r="D208" s="37">
        <f t="shared" ref="D208:K208" ca="1" si="60">SUM(D172:D176)+D189+D202</f>
        <v>6612423</v>
      </c>
      <c r="E208" s="37">
        <f t="shared" ca="1" si="60"/>
        <v>93988315.850000024</v>
      </c>
      <c r="F208" s="37">
        <f t="shared" ca="1" si="60"/>
        <v>4328377</v>
      </c>
      <c r="G208" s="37">
        <f t="shared" ca="1" si="60"/>
        <v>89654919</v>
      </c>
      <c r="H208" s="37">
        <f t="shared" ca="1" si="60"/>
        <v>5000</v>
      </c>
      <c r="I208" s="37">
        <f t="shared" ca="1" si="60"/>
        <v>522396.24999999814</v>
      </c>
      <c r="J208" s="37">
        <f t="shared" ca="1" si="60"/>
        <v>2788910.12</v>
      </c>
      <c r="K208" s="37">
        <f t="shared" ca="1" si="60"/>
        <v>1539466.8800000001</v>
      </c>
      <c r="L208" s="38">
        <f ca="1">C208-E208-D208</f>
        <v>-28259027.350000039</v>
      </c>
      <c r="S208" s="39" t="s">
        <v>59</v>
      </c>
      <c r="T208" s="40">
        <f t="shared" ca="1" si="58"/>
        <v>2636157.9200000018</v>
      </c>
      <c r="U208" s="40">
        <f t="shared" ca="1" si="58"/>
        <v>679169</v>
      </c>
      <c r="V208" s="40">
        <f t="shared" ca="1" si="58"/>
        <v>3969980.099999994</v>
      </c>
      <c r="W208" s="40">
        <f t="shared" ca="1" si="58"/>
        <v>746</v>
      </c>
      <c r="X208" s="40">
        <f t="shared" ca="1" si="58"/>
        <v>3969232</v>
      </c>
      <c r="Y208" s="40">
        <f t="shared" ca="1" si="58"/>
        <v>0</v>
      </c>
      <c r="Z208" s="40">
        <f t="shared" ca="1" si="57"/>
        <v>-411011.18000000343</v>
      </c>
      <c r="AA208" s="40">
        <f t="shared" ca="1" si="57"/>
        <v>746</v>
      </c>
      <c r="AB208" s="40">
        <f t="shared" ca="1" si="57"/>
        <v>0</v>
      </c>
      <c r="AC208" s="41">
        <f t="shared" ca="1" si="57"/>
        <v>-2012991.1799999923</v>
      </c>
      <c r="AE208" s="36" t="s">
        <v>59</v>
      </c>
      <c r="AF208" s="37">
        <v>69705553.579999983</v>
      </c>
      <c r="AG208" s="37">
        <v>5933254</v>
      </c>
      <c r="AH208" s="37">
        <v>90018335.75000003</v>
      </c>
      <c r="AI208" s="37">
        <v>4327631</v>
      </c>
      <c r="AJ208" s="37">
        <v>85685687</v>
      </c>
      <c r="AK208" s="37">
        <v>5000</v>
      </c>
      <c r="AL208" s="37">
        <v>933407.43000000156</v>
      </c>
      <c r="AM208" s="37">
        <v>2788164.12</v>
      </c>
      <c r="AN208" s="37">
        <v>1539466.8800000001</v>
      </c>
      <c r="AO208" s="38">
        <v>-26246036.170000046</v>
      </c>
    </row>
  </sheetData>
  <mergeCells count="18">
    <mergeCell ref="B129:L129"/>
    <mergeCell ref="S129:AC129"/>
    <mergeCell ref="AE129:AO129"/>
    <mergeCell ref="B170:L170"/>
    <mergeCell ref="S170:AC170"/>
    <mergeCell ref="AE170:AO170"/>
    <mergeCell ref="B46:L46"/>
    <mergeCell ref="S46:AC46"/>
    <mergeCell ref="AE46:AO46"/>
    <mergeCell ref="B88:L88"/>
    <mergeCell ref="S88:AC88"/>
    <mergeCell ref="AE88:AO88"/>
    <mergeCell ref="S4:AC4"/>
    <mergeCell ref="AE4:AO4"/>
    <mergeCell ref="B5:L5"/>
    <mergeCell ref="S5:AC5"/>
    <mergeCell ref="AE5:AO5"/>
    <mergeCell ref="N7:O7"/>
  </mergeCells>
  <conditionalFormatting sqref="B1:L4 B5 B6:L43 B44:J44 M44 B45:L45 B46 B47:L84 B85:H85 K85 L85:L87 B86:K87 B88 B89:L128 B129 B130:L169 B170 B171:L1048576">
    <cfRule type="cellIs" dxfId="12" priority="13" operator="lessThan">
      <formula>0</formula>
    </cfRule>
  </conditionalFormatting>
  <conditionalFormatting sqref="S6:AC43 S47:AC84 S89:AC128 S130:AC167 S4:S5 AE4:AE5 S44:AA44 AD44:AM44 S45:AC45 AE45:AO45 S46 AE46 S85:Z85 AB85 AE85:AL85 AN85 AC85:AC87 AO85:AO87 S86:AB87 AE86:AN87 S88 AE88 S129 AE129">
    <cfRule type="cellIs" dxfId="11" priority="12" operator="lessThan">
      <formula>0</formula>
    </cfRule>
  </conditionalFormatting>
  <conditionalFormatting sqref="S171:AC208 S170 AE170">
    <cfRule type="cellIs" dxfId="10" priority="3" operator="lessThan">
      <formula>0</formula>
    </cfRule>
  </conditionalFormatting>
  <conditionalFormatting sqref="T7:AC43">
    <cfRule type="cellIs" dxfId="9" priority="11" operator="lessThan">
      <formula>0</formula>
    </cfRule>
  </conditionalFormatting>
  <conditionalFormatting sqref="T48:AC84">
    <cfRule type="cellIs" dxfId="8" priority="10" operator="lessThan">
      <formula>0</formula>
    </cfRule>
  </conditionalFormatting>
  <conditionalFormatting sqref="T90:AC126">
    <cfRule type="cellIs" dxfId="7" priority="9" operator="lessThan">
      <formula>0</formula>
    </cfRule>
  </conditionalFormatting>
  <conditionalFormatting sqref="T131:AC167">
    <cfRule type="cellIs" dxfId="6" priority="8" operator="lessThan">
      <formula>0</formula>
    </cfRule>
  </conditionalFormatting>
  <conditionalFormatting sqref="T172:AC208">
    <cfRule type="cellIs" dxfId="5" priority="2" operator="lessThan">
      <formula>0</formula>
    </cfRule>
  </conditionalFormatting>
  <conditionalFormatting sqref="AE6:AO43">
    <cfRule type="cellIs" dxfId="4" priority="7" operator="lessThan">
      <formula>0</formula>
    </cfRule>
  </conditionalFormatting>
  <conditionalFormatting sqref="AE47:AO84">
    <cfRule type="cellIs" dxfId="3" priority="6" operator="lessThan">
      <formula>0</formula>
    </cfRule>
  </conditionalFormatting>
  <conditionalFormatting sqref="AE89:AO128">
    <cfRule type="cellIs" dxfId="2" priority="5" operator="lessThan">
      <formula>0</formula>
    </cfRule>
  </conditionalFormatting>
  <conditionalFormatting sqref="AE130:AO167">
    <cfRule type="cellIs" dxfId="1" priority="4" operator="lessThan">
      <formula>0</formula>
    </cfRule>
  </conditionalFormatting>
  <conditionalFormatting sqref="AE171:AO208">
    <cfRule type="cellIs" dxfId="0" priority="1" operator="lessThan">
      <formula>0</formula>
    </cfRule>
  </conditionalFormatting>
  <printOptions horizontalCentered="1" verticalCentered="1"/>
  <pageMargins left="0.25" right="0.25" top="0.75" bottom="0.75" header="0.3" footer="0.3"/>
  <pageSetup paperSize="8" scale="34" fitToWidth="0" orientation="portrait" r:id="rId1"/>
  <headerFooter>
    <oddHeader>&amp;L&amp;"Aptos Narrow,Regular"SOBHA LLC&amp;C&amp;"Aptos Narrow,Bold"&amp;18Receipt status&amp;R&amp;D</oddHeader>
    <oddFooter>&amp;LCOLLECTION&amp;R&amp;P/&amp;N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D9B-E6BC-4414-B4C1-C7D177E34673}">
  <sheetPr>
    <tabColor rgb="FFFF0000"/>
    <pageSetUpPr fitToPage="1"/>
  </sheetPr>
  <dimension ref="A1:AI234"/>
  <sheetViews>
    <sheetView zoomScale="80" zoomScaleNormal="100" workbookViewId="0">
      <selection activeCell="B6" sqref="B6:I6"/>
    </sheetView>
  </sheetViews>
  <sheetFormatPr defaultColWidth="18.5703125" defaultRowHeight="15" outlineLevelRow="1" x14ac:dyDescent="0.25"/>
  <cols>
    <col min="1" max="1" width="39.28515625" customWidth="1"/>
    <col min="2" max="2" width="0.7109375" customWidth="1"/>
    <col min="3" max="3" width="14.7109375" customWidth="1"/>
    <col min="4" max="5" width="12.28515625" customWidth="1"/>
    <col min="6" max="6" width="15.28515625" customWidth="1"/>
    <col min="7" max="7" width="1" customWidth="1"/>
    <col min="8" max="8" width="12.28515625" customWidth="1"/>
    <col min="9" max="9" width="13.7109375" customWidth="1"/>
    <col min="10" max="10" width="12.28515625" customWidth="1"/>
    <col min="11" max="11" width="15.28515625" customWidth="1"/>
    <col min="12" max="12" width="1" customWidth="1"/>
    <col min="13" max="15" width="12.28515625" customWidth="1"/>
    <col min="16" max="16" width="15.28515625" customWidth="1"/>
    <col min="17" max="17" width="1.42578125" customWidth="1"/>
    <col min="18" max="20" width="13.42578125" bestFit="1" customWidth="1"/>
    <col min="21" max="21" width="15.28515625" bestFit="1" customWidth="1"/>
    <col min="22" max="22" width="1.28515625" customWidth="1"/>
    <col min="23" max="25" width="13.42578125" bestFit="1" customWidth="1"/>
    <col min="26" max="26" width="15.28515625" bestFit="1" customWidth="1"/>
    <col min="27" max="27" width="0.7109375" customWidth="1"/>
    <col min="28" max="30" width="14.28515625" customWidth="1"/>
    <col min="31" max="31" width="15" customWidth="1"/>
    <col min="34" max="34" width="21.7109375" bestFit="1" customWidth="1"/>
  </cols>
  <sheetData>
    <row r="1" spans="1:33" ht="15.75" thickBot="1" x14ac:dyDescent="0.3"/>
    <row r="2" spans="1:33" ht="19.5" thickBot="1" x14ac:dyDescent="0.35">
      <c r="A2" s="1" t="s">
        <v>67</v>
      </c>
      <c r="B2" s="1"/>
      <c r="C2" s="1" t="s">
        <v>68</v>
      </c>
      <c r="U2" s="51" t="str">
        <f ca="1">IF(AND(ABS(F205-F231)&lt;10,ABS(P205-P231)&lt;10,ABS(K205-K231)&lt;10,ABS(U205-U231)&lt;10,ABS(Z205-Z231)&lt;10,ABS(AE205-AE231)&lt;10),"Ok")</f>
        <v>Ok</v>
      </c>
    </row>
    <row r="4" spans="1:33" ht="19.5" thickBot="1" x14ac:dyDescent="0.35">
      <c r="A4" s="1"/>
      <c r="C4" s="1">
        <v>2025</v>
      </c>
      <c r="D4" s="1"/>
      <c r="E4" s="1"/>
      <c r="F4" s="1"/>
      <c r="H4" s="1">
        <v>2025</v>
      </c>
      <c r="I4" s="1"/>
      <c r="J4" s="1"/>
      <c r="K4" s="1"/>
      <c r="M4" s="1">
        <v>2025</v>
      </c>
      <c r="N4" s="1"/>
      <c r="O4" s="1"/>
      <c r="P4" s="1"/>
      <c r="Q4" s="1"/>
      <c r="R4" s="1">
        <v>2025</v>
      </c>
      <c r="S4" s="1"/>
      <c r="T4" s="1"/>
      <c r="U4" s="1"/>
      <c r="W4" s="1">
        <v>2026</v>
      </c>
      <c r="X4" s="1"/>
      <c r="Y4" s="1"/>
      <c r="Z4" s="1"/>
      <c r="AB4" s="1">
        <v>2026</v>
      </c>
      <c r="AC4" s="1"/>
      <c r="AD4" s="1"/>
      <c r="AE4" s="1"/>
    </row>
    <row r="5" spans="1:33" ht="19.5" thickBot="1" x14ac:dyDescent="0.35">
      <c r="A5" s="52"/>
      <c r="C5" s="53" t="str">
        <f ca="1">_xlfn.CONCAT("Dues-",C4,"'","Q1")</f>
        <v>Dues-2025'Q1</v>
      </c>
      <c r="D5" s="54"/>
      <c r="E5" s="54"/>
      <c r="F5" s="55"/>
      <c r="H5" s="53" t="str">
        <f ca="1">_xlfn.CONCAT("Dues-",H4,"'","Q2")</f>
        <v>Dues-2025'Q2</v>
      </c>
      <c r="I5" s="54"/>
      <c r="J5" s="54"/>
      <c r="K5" s="55"/>
      <c r="M5" s="53" t="str">
        <f ca="1">_xlfn.CONCAT("Dues-",M4,"'","Q3")</f>
        <v>Dues-2025'Q3</v>
      </c>
      <c r="N5" s="54"/>
      <c r="O5" s="54"/>
      <c r="P5" s="55"/>
      <c r="Q5" s="56"/>
      <c r="R5" s="53" t="str">
        <f ca="1">_xlfn.CONCAT("Dues-",R4,"'","Q4")</f>
        <v>Dues-2025'Q4</v>
      </c>
      <c r="S5" s="54"/>
      <c r="T5" s="54"/>
      <c r="U5" s="55"/>
      <c r="W5" s="53" t="str">
        <f ca="1">_xlfn.CONCAT("Dues-",W4,"'","Q1")</f>
        <v>Dues-2026'Q1</v>
      </c>
      <c r="X5" s="54"/>
      <c r="Y5" s="54"/>
      <c r="Z5" s="55"/>
      <c r="AB5" s="53" t="str">
        <f ca="1">_xlfn.CONCAT("Dues-",AB4,"'","Q2")</f>
        <v>Dues-2026'Q2</v>
      </c>
      <c r="AC5" s="54"/>
      <c r="AD5" s="54"/>
      <c r="AE5" s="55"/>
    </row>
    <row r="6" spans="1:33" x14ac:dyDescent="0.25">
      <c r="A6" s="57" t="s">
        <v>69</v>
      </c>
      <c r="C6" s="58" t="s">
        <v>70</v>
      </c>
      <c r="D6" s="59" t="s">
        <v>71</v>
      </c>
      <c r="E6" s="59" t="s">
        <v>72</v>
      </c>
      <c r="F6" s="60" t="s">
        <v>59</v>
      </c>
      <c r="H6" s="58" t="s">
        <v>73</v>
      </c>
      <c r="I6" s="59" t="s">
        <v>74</v>
      </c>
      <c r="J6" s="59" t="s">
        <v>75</v>
      </c>
      <c r="K6" s="60" t="s">
        <v>59</v>
      </c>
      <c r="M6" s="58" t="s">
        <v>76</v>
      </c>
      <c r="N6" s="59" t="s">
        <v>77</v>
      </c>
      <c r="O6" s="59" t="s">
        <v>78</v>
      </c>
      <c r="P6" s="60" t="s">
        <v>59</v>
      </c>
      <c r="Q6" s="61"/>
      <c r="R6" s="58" t="s">
        <v>79</v>
      </c>
      <c r="S6" s="59" t="s">
        <v>80</v>
      </c>
      <c r="T6" s="59" t="s">
        <v>81</v>
      </c>
      <c r="U6" s="60" t="s">
        <v>59</v>
      </c>
      <c r="W6" s="58" t="s">
        <v>70</v>
      </c>
      <c r="X6" s="59" t="s">
        <v>71</v>
      </c>
      <c r="Y6" s="59" t="s">
        <v>72</v>
      </c>
      <c r="Z6" s="60" t="s">
        <v>59</v>
      </c>
      <c r="AB6" s="58" t="s">
        <v>73</v>
      </c>
      <c r="AC6" s="59" t="s">
        <v>74</v>
      </c>
      <c r="AD6" s="59" t="s">
        <v>75</v>
      </c>
      <c r="AE6" s="60" t="s">
        <v>59</v>
      </c>
    </row>
    <row r="7" spans="1:33" x14ac:dyDescent="0.25">
      <c r="A7" s="62" t="s">
        <v>82</v>
      </c>
      <c r="C7" s="63">
        <f ca="1">SUM(C8:C13)</f>
        <v>0</v>
      </c>
      <c r="D7" s="27">
        <f t="shared" ref="D7:K7" ca="1" si="0">SUM(D8:D13)</f>
        <v>4240</v>
      </c>
      <c r="E7" s="27">
        <f t="shared" ca="1" si="0"/>
        <v>256042.15999999992</v>
      </c>
      <c r="F7" s="28">
        <f t="shared" ca="1" si="0"/>
        <v>260282.15999999992</v>
      </c>
      <c r="H7" s="63">
        <f t="shared" ca="1" si="0"/>
        <v>115199</v>
      </c>
      <c r="I7" s="27">
        <f t="shared" ca="1" si="0"/>
        <v>667064.15999999992</v>
      </c>
      <c r="J7" s="27">
        <f t="shared" ca="1" si="0"/>
        <v>0</v>
      </c>
      <c r="K7" s="28">
        <f t="shared" ca="1" si="0"/>
        <v>782263.15999999992</v>
      </c>
      <c r="M7" s="63">
        <f ca="1">SUM(M8:M13)</f>
        <v>0</v>
      </c>
      <c r="N7" s="27">
        <f ca="1">SUM(N8:N13)</f>
        <v>96671</v>
      </c>
      <c r="O7" s="27">
        <f ca="1">SUM(O8:O13)</f>
        <v>579436</v>
      </c>
      <c r="P7" s="28">
        <f ca="1">SUM(M7:O7)</f>
        <v>676107</v>
      </c>
      <c r="Q7" s="27"/>
      <c r="R7" s="63">
        <f ca="1">SUM(R8:R13)</f>
        <v>0</v>
      </c>
      <c r="S7" s="27">
        <f ca="1">SUM(S8:S13)</f>
        <v>1206413</v>
      </c>
      <c r="T7" s="27">
        <f ca="1">SUM(T8:T13)</f>
        <v>0</v>
      </c>
      <c r="U7" s="28">
        <f ca="1">SUM(R7:T7)</f>
        <v>1206413</v>
      </c>
      <c r="V7" s="23"/>
      <c r="W7" s="63">
        <f ca="1">SUM(W8:W13)</f>
        <v>54196</v>
      </c>
      <c r="X7" s="27">
        <f ca="1">SUM(X8:X13)</f>
        <v>155000</v>
      </c>
      <c r="Y7" s="27">
        <f ca="1">SUM(Y8:Y13)</f>
        <v>98050.199999999953</v>
      </c>
      <c r="Z7" s="28">
        <f ca="1">SUM(W7:Y7)</f>
        <v>307246.19999999995</v>
      </c>
      <c r="AB7" s="63">
        <f ca="1">SUM(AB8:AB13)</f>
        <v>225</v>
      </c>
      <c r="AC7" s="27">
        <f ca="1">SUM(AC8:AC13)</f>
        <v>0</v>
      </c>
      <c r="AD7" s="27">
        <f ca="1">SUM(AD8:AD13)</f>
        <v>0</v>
      </c>
      <c r="AE7" s="28">
        <f ca="1">SUM(AB7:AD7)</f>
        <v>225</v>
      </c>
      <c r="AG7" s="16"/>
    </row>
    <row r="8" spans="1:33" ht="14.65" hidden="1" customHeight="1" outlineLevel="1" x14ac:dyDescent="0.25">
      <c r="A8" s="64" t="s">
        <v>83</v>
      </c>
      <c r="C8" s="63">
        <v>0</v>
      </c>
      <c r="D8" s="27">
        <v>0</v>
      </c>
      <c r="E8" s="27">
        <v>0</v>
      </c>
      <c r="F8" s="28">
        <f t="shared" ref="F8:F14" ca="1" si="1">SUM(C8:E8)</f>
        <v>0</v>
      </c>
      <c r="H8" s="63">
        <v>0</v>
      </c>
      <c r="I8" s="27">
        <v>0</v>
      </c>
      <c r="J8" s="27">
        <v>0</v>
      </c>
      <c r="K8" s="28">
        <f t="shared" ref="K8:K14" ca="1" si="2">SUM(H8:J8)</f>
        <v>0</v>
      </c>
      <c r="M8" s="63">
        <v>0</v>
      </c>
      <c r="N8" s="27">
        <v>0</v>
      </c>
      <c r="O8" s="27">
        <v>0</v>
      </c>
      <c r="P8" s="28">
        <f t="shared" ref="P8:P72" ca="1" si="3">SUM(M8:O8)</f>
        <v>0</v>
      </c>
      <c r="Q8" s="27"/>
      <c r="R8" s="63">
        <v>0</v>
      </c>
      <c r="S8" s="27">
        <v>0</v>
      </c>
      <c r="T8" s="27">
        <v>0</v>
      </c>
      <c r="U8" s="28">
        <f t="shared" ref="U8:U39" ca="1" si="4">SUM(R8:T8)</f>
        <v>0</v>
      </c>
      <c r="V8" s="23"/>
      <c r="W8" s="63">
        <v>50541</v>
      </c>
      <c r="X8" s="27">
        <v>0</v>
      </c>
      <c r="Y8" s="27">
        <v>0</v>
      </c>
      <c r="Z8" s="28">
        <f t="shared" ref="Z8:Z39" ca="1" si="5">SUM(W8:Y8)</f>
        <v>50541</v>
      </c>
      <c r="AB8" s="63">
        <v>0</v>
      </c>
      <c r="AC8" s="27">
        <v>0</v>
      </c>
      <c r="AD8" s="27">
        <v>0</v>
      </c>
      <c r="AE8" s="28">
        <f t="shared" ref="AE8:AE39" ca="1" si="6">SUM(AB8:AD8)</f>
        <v>0</v>
      </c>
      <c r="AG8" s="16"/>
    </row>
    <row r="9" spans="1:33" ht="14.65" hidden="1" customHeight="1" outlineLevel="1" x14ac:dyDescent="0.25">
      <c r="A9" s="64" t="s">
        <v>84</v>
      </c>
      <c r="C9" s="63">
        <v>0</v>
      </c>
      <c r="D9" s="27">
        <v>0</v>
      </c>
      <c r="E9" s="27">
        <v>0</v>
      </c>
      <c r="F9" s="28">
        <f t="shared" ca="1" si="1"/>
        <v>0</v>
      </c>
      <c r="H9" s="63">
        <v>0</v>
      </c>
      <c r="I9" s="27">
        <v>0</v>
      </c>
      <c r="J9" s="27">
        <v>0</v>
      </c>
      <c r="K9" s="28">
        <f t="shared" ca="1" si="2"/>
        <v>0</v>
      </c>
      <c r="M9" s="63">
        <v>0</v>
      </c>
      <c r="N9" s="27">
        <v>0</v>
      </c>
      <c r="O9" s="27">
        <v>0</v>
      </c>
      <c r="P9" s="28">
        <f t="shared" ca="1" si="3"/>
        <v>0</v>
      </c>
      <c r="Q9" s="27"/>
      <c r="R9" s="63">
        <v>0</v>
      </c>
      <c r="S9" s="27">
        <v>0</v>
      </c>
      <c r="T9" s="27">
        <v>0</v>
      </c>
      <c r="U9" s="28">
        <f t="shared" ca="1" si="4"/>
        <v>0</v>
      </c>
      <c r="V9" s="23"/>
      <c r="W9" s="63">
        <v>0</v>
      </c>
      <c r="X9" s="27">
        <v>0</v>
      </c>
      <c r="Y9" s="27">
        <v>0</v>
      </c>
      <c r="Z9" s="28">
        <f t="shared" ca="1" si="5"/>
        <v>0</v>
      </c>
      <c r="AB9" s="63">
        <v>0</v>
      </c>
      <c r="AC9" s="27">
        <v>0</v>
      </c>
      <c r="AD9" s="27">
        <v>0</v>
      </c>
      <c r="AE9" s="28">
        <f t="shared" ca="1" si="6"/>
        <v>0</v>
      </c>
      <c r="AG9" s="16"/>
    </row>
    <row r="10" spans="1:33" ht="14.65" hidden="1" customHeight="1" outlineLevel="1" x14ac:dyDescent="0.25">
      <c r="A10" s="64" t="s">
        <v>85</v>
      </c>
      <c r="C10" s="63">
        <v>0</v>
      </c>
      <c r="D10" s="27">
        <v>0</v>
      </c>
      <c r="E10" s="27">
        <v>0</v>
      </c>
      <c r="F10" s="28">
        <f t="shared" ca="1" si="1"/>
        <v>0</v>
      </c>
      <c r="H10" s="63">
        <v>0</v>
      </c>
      <c r="I10" s="27">
        <v>119412.59999999986</v>
      </c>
      <c r="J10" s="27">
        <v>0</v>
      </c>
      <c r="K10" s="28">
        <f t="shared" ca="1" si="2"/>
        <v>119412.59999999986</v>
      </c>
      <c r="M10" s="63">
        <v>0</v>
      </c>
      <c r="N10" s="27">
        <v>0</v>
      </c>
      <c r="O10" s="27">
        <v>0</v>
      </c>
      <c r="P10" s="28">
        <f t="shared" ca="1" si="3"/>
        <v>0</v>
      </c>
      <c r="Q10" s="27"/>
      <c r="R10" s="63">
        <v>0</v>
      </c>
      <c r="S10" s="27">
        <v>119413</v>
      </c>
      <c r="T10" s="27">
        <v>0</v>
      </c>
      <c r="U10" s="28">
        <f t="shared" ca="1" si="4"/>
        <v>119413</v>
      </c>
      <c r="V10" s="23"/>
      <c r="W10" s="63">
        <v>0</v>
      </c>
      <c r="X10" s="27">
        <v>0</v>
      </c>
      <c r="Y10" s="27">
        <v>0</v>
      </c>
      <c r="Z10" s="28">
        <f t="shared" ca="1" si="5"/>
        <v>0</v>
      </c>
      <c r="AB10" s="63">
        <v>225</v>
      </c>
      <c r="AC10" s="27">
        <v>0</v>
      </c>
      <c r="AD10" s="27">
        <v>0</v>
      </c>
      <c r="AE10" s="28">
        <f t="shared" ca="1" si="6"/>
        <v>225</v>
      </c>
      <c r="AG10" s="16"/>
    </row>
    <row r="11" spans="1:33" ht="14.65" hidden="1" customHeight="1" outlineLevel="1" x14ac:dyDescent="0.25">
      <c r="A11" s="64" t="s">
        <v>86</v>
      </c>
      <c r="C11" s="63">
        <v>0</v>
      </c>
      <c r="D11" s="27">
        <v>0</v>
      </c>
      <c r="E11" s="27">
        <v>0</v>
      </c>
      <c r="F11" s="28">
        <f t="shared" ca="1" si="1"/>
        <v>0</v>
      </c>
      <c r="H11" s="63">
        <v>0</v>
      </c>
      <c r="I11" s="27">
        <v>0</v>
      </c>
      <c r="J11" s="27">
        <v>0</v>
      </c>
      <c r="K11" s="28">
        <f t="shared" ca="1" si="2"/>
        <v>0</v>
      </c>
      <c r="M11" s="63">
        <v>0</v>
      </c>
      <c r="N11" s="27">
        <v>0</v>
      </c>
      <c r="O11" s="27">
        <v>0</v>
      </c>
      <c r="P11" s="28">
        <f t="shared" ca="1" si="3"/>
        <v>0</v>
      </c>
      <c r="Q11" s="27"/>
      <c r="R11" s="63">
        <v>0</v>
      </c>
      <c r="S11" s="27">
        <v>1032000</v>
      </c>
      <c r="T11" s="27">
        <v>0</v>
      </c>
      <c r="U11" s="28">
        <f t="shared" ca="1" si="4"/>
        <v>1032000</v>
      </c>
      <c r="V11" s="23"/>
      <c r="W11" s="63">
        <v>125</v>
      </c>
      <c r="X11" s="27">
        <v>0</v>
      </c>
      <c r="Y11" s="27">
        <v>0</v>
      </c>
      <c r="Z11" s="28">
        <f t="shared" ca="1" si="5"/>
        <v>125</v>
      </c>
      <c r="AB11" s="63">
        <v>0</v>
      </c>
      <c r="AC11" s="27">
        <v>0</v>
      </c>
      <c r="AD11" s="27">
        <v>0</v>
      </c>
      <c r="AE11" s="28">
        <f t="shared" ca="1" si="6"/>
        <v>0</v>
      </c>
      <c r="AG11" s="16"/>
    </row>
    <row r="12" spans="1:33" ht="14.65" hidden="1" customHeight="1" outlineLevel="1" x14ac:dyDescent="0.25">
      <c r="A12" s="64" t="s">
        <v>87</v>
      </c>
      <c r="C12" s="63">
        <v>0</v>
      </c>
      <c r="D12" s="27">
        <v>0</v>
      </c>
      <c r="E12" s="27">
        <v>75000</v>
      </c>
      <c r="F12" s="28">
        <f t="shared" ca="1" si="1"/>
        <v>75000</v>
      </c>
      <c r="H12" s="63">
        <v>115199</v>
      </c>
      <c r="I12" s="27">
        <v>437651.56000000006</v>
      </c>
      <c r="J12" s="27">
        <v>0</v>
      </c>
      <c r="K12" s="28">
        <f t="shared" ca="1" si="2"/>
        <v>552850.56000000006</v>
      </c>
      <c r="M12" s="63">
        <v>0</v>
      </c>
      <c r="N12" s="27">
        <v>41671</v>
      </c>
      <c r="O12" s="27">
        <v>579436</v>
      </c>
      <c r="P12" s="28">
        <f t="shared" ca="1" si="3"/>
        <v>621107</v>
      </c>
      <c r="Q12" s="27"/>
      <c r="R12" s="63">
        <v>0</v>
      </c>
      <c r="S12" s="27">
        <v>0</v>
      </c>
      <c r="T12" s="27">
        <v>0</v>
      </c>
      <c r="U12" s="28">
        <f t="shared" ca="1" si="4"/>
        <v>0</v>
      </c>
      <c r="V12" s="23"/>
      <c r="W12" s="63">
        <v>3530</v>
      </c>
      <c r="X12" s="27">
        <v>0</v>
      </c>
      <c r="Y12" s="27">
        <v>2000</v>
      </c>
      <c r="Z12" s="28">
        <f t="shared" ca="1" si="5"/>
        <v>5530</v>
      </c>
      <c r="AB12" s="63">
        <v>0</v>
      </c>
      <c r="AC12" s="27">
        <v>0</v>
      </c>
      <c r="AD12" s="27">
        <v>0</v>
      </c>
      <c r="AE12" s="28">
        <f t="shared" ca="1" si="6"/>
        <v>0</v>
      </c>
      <c r="AG12" s="16"/>
    </row>
    <row r="13" spans="1:33" ht="14.65" hidden="1" customHeight="1" outlineLevel="1" x14ac:dyDescent="0.25">
      <c r="A13" s="64" t="s">
        <v>88</v>
      </c>
      <c r="C13" s="63">
        <v>0</v>
      </c>
      <c r="D13" s="27">
        <v>4240</v>
      </c>
      <c r="E13" s="27">
        <v>181042.15999999992</v>
      </c>
      <c r="F13" s="28">
        <f t="shared" ca="1" si="1"/>
        <v>185282.15999999992</v>
      </c>
      <c r="H13" s="63">
        <v>0</v>
      </c>
      <c r="I13" s="27">
        <v>110000</v>
      </c>
      <c r="J13" s="27">
        <v>0</v>
      </c>
      <c r="K13" s="28">
        <f t="shared" ca="1" si="2"/>
        <v>110000</v>
      </c>
      <c r="M13" s="63">
        <v>0</v>
      </c>
      <c r="N13" s="27">
        <v>55000</v>
      </c>
      <c r="O13" s="27">
        <v>0</v>
      </c>
      <c r="P13" s="28">
        <f t="shared" ca="1" si="3"/>
        <v>55000</v>
      </c>
      <c r="Q13" s="27"/>
      <c r="R13" s="63">
        <v>0</v>
      </c>
      <c r="S13" s="27">
        <v>55000</v>
      </c>
      <c r="T13" s="27">
        <v>0</v>
      </c>
      <c r="U13" s="28">
        <f t="shared" ca="1" si="4"/>
        <v>55000</v>
      </c>
      <c r="V13" s="23"/>
      <c r="W13" s="63">
        <v>0</v>
      </c>
      <c r="X13" s="27">
        <v>155000</v>
      </c>
      <c r="Y13" s="27">
        <v>96050.199999999953</v>
      </c>
      <c r="Z13" s="28">
        <f t="shared" ca="1" si="5"/>
        <v>251050.19999999995</v>
      </c>
      <c r="AB13" s="63">
        <v>0</v>
      </c>
      <c r="AC13" s="27">
        <v>0</v>
      </c>
      <c r="AD13" s="27">
        <v>0</v>
      </c>
      <c r="AE13" s="28">
        <f t="shared" ca="1" si="6"/>
        <v>0</v>
      </c>
      <c r="AG13" s="16"/>
    </row>
    <row r="14" spans="1:33" collapsed="1" x14ac:dyDescent="0.25">
      <c r="A14" s="62" t="s">
        <v>89</v>
      </c>
      <c r="C14" s="63">
        <v>9281154.5599999987</v>
      </c>
      <c r="D14" s="27">
        <v>3158465.31</v>
      </c>
      <c r="E14" s="27">
        <v>1068335.83</v>
      </c>
      <c r="F14" s="28">
        <f t="shared" ca="1" si="1"/>
        <v>13507955.699999999</v>
      </c>
      <c r="H14" s="63">
        <v>356106</v>
      </c>
      <c r="I14" s="27">
        <v>28134</v>
      </c>
      <c r="J14" s="27">
        <v>0</v>
      </c>
      <c r="K14" s="28">
        <f t="shared" ca="1" si="2"/>
        <v>384240</v>
      </c>
      <c r="M14" s="63">
        <v>195267</v>
      </c>
      <c r="N14" s="27">
        <v>189896.99000000022</v>
      </c>
      <c r="O14" s="27">
        <v>18409.999999999069</v>
      </c>
      <c r="P14" s="28">
        <f t="shared" ca="1" si="3"/>
        <v>403573.98999999929</v>
      </c>
      <c r="Q14" s="27"/>
      <c r="R14" s="63">
        <v>82858</v>
      </c>
      <c r="S14" s="27">
        <v>1194907.8899999997</v>
      </c>
      <c r="T14" s="27">
        <v>855</v>
      </c>
      <c r="U14" s="28">
        <f t="shared" ca="1" si="4"/>
        <v>1278620.8899999997</v>
      </c>
      <c r="V14" s="23"/>
      <c r="W14" s="63">
        <v>100000</v>
      </c>
      <c r="X14" s="27">
        <v>292553.53999999817</v>
      </c>
      <c r="Y14" s="27">
        <v>44823.979999999516</v>
      </c>
      <c r="Z14" s="28">
        <f t="shared" ca="1" si="5"/>
        <v>437377.51999999769</v>
      </c>
      <c r="AB14" s="63">
        <v>29476.960000000196</v>
      </c>
      <c r="AC14" s="27">
        <v>0</v>
      </c>
      <c r="AD14" s="27">
        <v>0</v>
      </c>
      <c r="AE14" s="28">
        <f t="shared" ca="1" si="6"/>
        <v>29476.960000000196</v>
      </c>
      <c r="AG14" s="16"/>
    </row>
    <row r="15" spans="1:33" x14ac:dyDescent="0.25">
      <c r="A15" s="62" t="s">
        <v>90</v>
      </c>
      <c r="C15" s="63">
        <f ca="1">SUM(C16:C20)</f>
        <v>5763438.6700000018</v>
      </c>
      <c r="D15" s="27">
        <f t="shared" ref="D15:K15" ca="1" si="7">SUM(D16:D20)</f>
        <v>11936677.550000001</v>
      </c>
      <c r="E15" s="27">
        <f t="shared" ca="1" si="7"/>
        <v>6872161.8800000008</v>
      </c>
      <c r="F15" s="28">
        <f t="shared" ca="1" si="7"/>
        <v>24572278.100000001</v>
      </c>
      <c r="H15" s="63">
        <f t="shared" ca="1" si="7"/>
        <v>8062315.9399999995</v>
      </c>
      <c r="I15" s="27">
        <f t="shared" ca="1" si="7"/>
        <v>13519210.450000003</v>
      </c>
      <c r="J15" s="27">
        <f t="shared" ca="1" si="7"/>
        <v>12338230.119999999</v>
      </c>
      <c r="K15" s="28">
        <f t="shared" ca="1" si="7"/>
        <v>33919756.509999998</v>
      </c>
      <c r="M15" s="63">
        <f ca="1">SUM(M16:M20)</f>
        <v>5627191.1099999994</v>
      </c>
      <c r="N15" s="27">
        <f ca="1">SUM(N16:N20)</f>
        <v>78128.979999998584</v>
      </c>
      <c r="O15" s="27">
        <f ca="1">SUM(O16:O20)</f>
        <v>2473211.9900000021</v>
      </c>
      <c r="P15" s="28">
        <f t="shared" ca="1" si="3"/>
        <v>8178532.0800000001</v>
      </c>
      <c r="Q15" s="27"/>
      <c r="R15" s="63">
        <f ca="1">SUM(R16:R20)</f>
        <v>6649502.629999999</v>
      </c>
      <c r="S15" s="27">
        <f ca="1">SUM(S16:S20)</f>
        <v>4956760.9900000021</v>
      </c>
      <c r="T15" s="27">
        <f ca="1">SUM(T16:T20)</f>
        <v>7676132</v>
      </c>
      <c r="U15" s="28">
        <f t="shared" ca="1" si="4"/>
        <v>19282395.620000001</v>
      </c>
      <c r="V15" s="23"/>
      <c r="W15" s="63">
        <f ca="1">SUM(W16:W20)</f>
        <v>0</v>
      </c>
      <c r="X15" s="27">
        <f ca="1">SUM(X16:X20)</f>
        <v>4500463</v>
      </c>
      <c r="Y15" s="27">
        <f ca="1">SUM(Y16:Y20)</f>
        <v>5324087</v>
      </c>
      <c r="Z15" s="28">
        <f t="shared" ca="1" si="5"/>
        <v>9824550</v>
      </c>
      <c r="AB15" s="63">
        <f ca="1">SUM(AB16:AB20)</f>
        <v>1500000</v>
      </c>
      <c r="AC15" s="27">
        <f ca="1">SUM(AC16:AC20)</f>
        <v>1000000</v>
      </c>
      <c r="AD15" s="27">
        <f ca="1">SUM(AD16:AD20)</f>
        <v>0</v>
      </c>
      <c r="AE15" s="28">
        <f t="shared" ca="1" si="6"/>
        <v>2500000</v>
      </c>
      <c r="AG15" s="16"/>
    </row>
    <row r="16" spans="1:33" ht="14.65" hidden="1" customHeight="1" outlineLevel="1" x14ac:dyDescent="0.25">
      <c r="A16" s="64" t="s">
        <v>91</v>
      </c>
      <c r="C16" s="63">
        <v>0</v>
      </c>
      <c r="D16" s="27">
        <v>0</v>
      </c>
      <c r="E16" s="27">
        <v>26864.979999998584</v>
      </c>
      <c r="F16" s="28">
        <f ca="1">SUM(C16:E16)</f>
        <v>26864.979999998584</v>
      </c>
      <c r="H16" s="63">
        <v>3907.9599999971688</v>
      </c>
      <c r="I16" s="27">
        <v>0</v>
      </c>
      <c r="J16" s="27">
        <v>0</v>
      </c>
      <c r="K16" s="28">
        <f ca="1">SUM(H16:J16)</f>
        <v>3907.9599999971688</v>
      </c>
      <c r="M16" s="63">
        <v>0</v>
      </c>
      <c r="N16" s="27">
        <v>3.9799999985843897</v>
      </c>
      <c r="O16" s="27">
        <v>0</v>
      </c>
      <c r="P16" s="28">
        <f t="shared" ca="1" si="3"/>
        <v>3.9799999985843897</v>
      </c>
      <c r="Q16" s="27"/>
      <c r="R16" s="63">
        <v>0</v>
      </c>
      <c r="S16" s="27">
        <v>2668974</v>
      </c>
      <c r="T16" s="27">
        <v>0</v>
      </c>
      <c r="U16" s="28">
        <f t="shared" ca="1" si="4"/>
        <v>2668974</v>
      </c>
      <c r="V16" s="23"/>
      <c r="W16" s="63">
        <v>0</v>
      </c>
      <c r="X16" s="27">
        <v>0</v>
      </c>
      <c r="Y16" s="27">
        <v>0</v>
      </c>
      <c r="Z16" s="28">
        <f t="shared" ca="1" si="5"/>
        <v>0</v>
      </c>
      <c r="AB16" s="63">
        <v>0</v>
      </c>
      <c r="AC16" s="27">
        <v>0</v>
      </c>
      <c r="AD16" s="27">
        <v>0</v>
      </c>
      <c r="AE16" s="28">
        <f t="shared" ca="1" si="6"/>
        <v>0</v>
      </c>
      <c r="AG16" s="16"/>
    </row>
    <row r="17" spans="1:33" ht="14.65" hidden="1" customHeight="1" outlineLevel="1" x14ac:dyDescent="0.25">
      <c r="A17" s="64" t="s">
        <v>92</v>
      </c>
      <c r="C17" s="63">
        <v>250145</v>
      </c>
      <c r="D17" s="27">
        <v>196901</v>
      </c>
      <c r="E17" s="27">
        <v>156250</v>
      </c>
      <c r="F17" s="28">
        <f ca="1">SUM(C17:E17)</f>
        <v>603296</v>
      </c>
      <c r="H17" s="63">
        <v>78125</v>
      </c>
      <c r="I17" s="27">
        <v>1242015</v>
      </c>
      <c r="J17" s="27">
        <v>153075</v>
      </c>
      <c r="K17" s="28">
        <f ca="1">SUM(H17:J17)</f>
        <v>1473215</v>
      </c>
      <c r="M17" s="63">
        <v>78125</v>
      </c>
      <c r="N17" s="27">
        <v>78125</v>
      </c>
      <c r="O17" s="27">
        <v>78125</v>
      </c>
      <c r="P17" s="28">
        <f t="shared" ca="1" si="3"/>
        <v>234375</v>
      </c>
      <c r="Q17" s="27"/>
      <c r="R17" s="63">
        <v>4409613</v>
      </c>
      <c r="S17" s="27">
        <v>0</v>
      </c>
      <c r="T17" s="27">
        <v>196357</v>
      </c>
      <c r="U17" s="28">
        <f t="shared" ca="1" si="4"/>
        <v>4605970</v>
      </c>
      <c r="V17" s="23"/>
      <c r="W17" s="63">
        <v>0</v>
      </c>
      <c r="X17" s="27">
        <v>0</v>
      </c>
      <c r="Y17" s="27">
        <v>0</v>
      </c>
      <c r="Z17" s="28">
        <f t="shared" ca="1" si="5"/>
        <v>0</v>
      </c>
      <c r="AB17" s="63">
        <v>0</v>
      </c>
      <c r="AC17" s="27">
        <v>0</v>
      </c>
      <c r="AD17" s="27">
        <v>0</v>
      </c>
      <c r="AE17" s="28">
        <f t="shared" ca="1" si="6"/>
        <v>0</v>
      </c>
      <c r="AG17" s="16"/>
    </row>
    <row r="18" spans="1:33" ht="14.65" hidden="1" customHeight="1" outlineLevel="1" x14ac:dyDescent="0.25">
      <c r="A18" s="64" t="s">
        <v>93</v>
      </c>
      <c r="C18" s="63">
        <v>179207</v>
      </c>
      <c r="D18" s="27">
        <v>0</v>
      </c>
      <c r="E18" s="27">
        <v>179207</v>
      </c>
      <c r="F18" s="28">
        <f ca="1">SUM(C18:E18)</f>
        <v>358414</v>
      </c>
      <c r="H18" s="63">
        <v>0</v>
      </c>
      <c r="I18" s="27">
        <v>179207</v>
      </c>
      <c r="J18" s="27">
        <v>0</v>
      </c>
      <c r="K18" s="28">
        <f ca="1">SUM(H18:J18)</f>
        <v>179207</v>
      </c>
      <c r="M18" s="63">
        <v>179207</v>
      </c>
      <c r="N18" s="27">
        <v>0</v>
      </c>
      <c r="O18" s="27">
        <v>179207</v>
      </c>
      <c r="P18" s="28">
        <f t="shared" ca="1" si="3"/>
        <v>358414</v>
      </c>
      <c r="Q18" s="27"/>
      <c r="R18" s="63">
        <v>0</v>
      </c>
      <c r="S18" s="27">
        <v>179207</v>
      </c>
      <c r="T18" s="27">
        <v>0</v>
      </c>
      <c r="U18" s="28">
        <f t="shared" ca="1" si="4"/>
        <v>179207</v>
      </c>
      <c r="V18" s="23"/>
      <c r="W18" s="63">
        <v>0</v>
      </c>
      <c r="X18" s="27">
        <v>0</v>
      </c>
      <c r="Y18" s="27">
        <v>472250</v>
      </c>
      <c r="Z18" s="28">
        <f t="shared" ca="1" si="5"/>
        <v>472250</v>
      </c>
      <c r="AB18" s="63">
        <v>0</v>
      </c>
      <c r="AC18" s="27">
        <v>0</v>
      </c>
      <c r="AD18" s="27">
        <v>0</v>
      </c>
      <c r="AE18" s="28">
        <f t="shared" ca="1" si="6"/>
        <v>0</v>
      </c>
      <c r="AG18" s="16"/>
    </row>
    <row r="19" spans="1:33" ht="14.65" hidden="1" customHeight="1" outlineLevel="1" x14ac:dyDescent="0.25">
      <c r="A19" s="64" t="s">
        <v>94</v>
      </c>
      <c r="C19" s="63">
        <v>5334086.6700000018</v>
      </c>
      <c r="D19" s="27">
        <v>11739776.550000001</v>
      </c>
      <c r="E19" s="27">
        <v>6509839.9000000022</v>
      </c>
      <c r="F19" s="28">
        <f ca="1">SUM(C19:E19)</f>
        <v>23583703.120000005</v>
      </c>
      <c r="H19" s="63">
        <v>5763397.6700000018</v>
      </c>
      <c r="I19" s="27">
        <v>3455852.0600000024</v>
      </c>
      <c r="J19" s="27">
        <v>12185155.119999999</v>
      </c>
      <c r="K19" s="28">
        <f ca="1">SUM(H19:J19)</f>
        <v>21404404.850000001</v>
      </c>
      <c r="M19" s="63">
        <v>826159.71000000089</v>
      </c>
      <c r="N19" s="27">
        <v>0</v>
      </c>
      <c r="O19" s="27">
        <v>2215879.9900000021</v>
      </c>
      <c r="P19" s="28">
        <f t="shared" ca="1" si="3"/>
        <v>3042039.700000003</v>
      </c>
      <c r="Q19" s="27"/>
      <c r="R19" s="63">
        <v>2239889</v>
      </c>
      <c r="S19" s="27">
        <v>2108579.9900000021</v>
      </c>
      <c r="T19" s="27">
        <v>7479775</v>
      </c>
      <c r="U19" s="28">
        <f t="shared" ca="1" si="4"/>
        <v>11828243.990000002</v>
      </c>
      <c r="V19" s="23"/>
      <c r="W19" s="63">
        <v>0</v>
      </c>
      <c r="X19" s="27">
        <v>0</v>
      </c>
      <c r="Y19" s="27">
        <v>4851837</v>
      </c>
      <c r="Z19" s="28">
        <f t="shared" ca="1" si="5"/>
        <v>4851837</v>
      </c>
      <c r="AB19" s="63">
        <v>1500000</v>
      </c>
      <c r="AC19" s="27">
        <v>1000000</v>
      </c>
      <c r="AD19" s="27">
        <v>0</v>
      </c>
      <c r="AE19" s="28">
        <f t="shared" ca="1" si="6"/>
        <v>2500000</v>
      </c>
      <c r="AG19" s="16"/>
    </row>
    <row r="20" spans="1:33" ht="14.65" hidden="1" customHeight="1" outlineLevel="1" x14ac:dyDescent="0.25">
      <c r="A20" s="64" t="s">
        <v>95</v>
      </c>
      <c r="C20" s="63">
        <v>0</v>
      </c>
      <c r="D20" s="27">
        <v>0</v>
      </c>
      <c r="E20" s="27">
        <v>0</v>
      </c>
      <c r="F20" s="28">
        <f ca="1">SUM(C20:E20)</f>
        <v>0</v>
      </c>
      <c r="H20" s="63">
        <v>2216885.3100000005</v>
      </c>
      <c r="I20" s="27">
        <v>8642136.3900000006</v>
      </c>
      <c r="J20" s="27">
        <v>0</v>
      </c>
      <c r="K20" s="28">
        <f ca="1">SUM(H20:J20)</f>
        <v>10859021.700000001</v>
      </c>
      <c r="M20" s="63">
        <v>4543699.3999999985</v>
      </c>
      <c r="N20" s="27">
        <v>0</v>
      </c>
      <c r="O20" s="27">
        <v>0</v>
      </c>
      <c r="P20" s="28">
        <f t="shared" ca="1" si="3"/>
        <v>4543699.3999999985</v>
      </c>
      <c r="Q20" s="27"/>
      <c r="R20" s="63">
        <v>0.62999999895691872</v>
      </c>
      <c r="S20" s="27">
        <v>0</v>
      </c>
      <c r="T20" s="27">
        <v>0</v>
      </c>
      <c r="U20" s="28">
        <f t="shared" ca="1" si="4"/>
        <v>0.62999999895691872</v>
      </c>
      <c r="V20" s="23"/>
      <c r="W20" s="63">
        <v>0</v>
      </c>
      <c r="X20" s="27">
        <v>4500463</v>
      </c>
      <c r="Y20" s="27">
        <v>0</v>
      </c>
      <c r="Z20" s="28">
        <f t="shared" ca="1" si="5"/>
        <v>4500463</v>
      </c>
      <c r="AB20" s="63">
        <v>0</v>
      </c>
      <c r="AC20" s="27">
        <v>0</v>
      </c>
      <c r="AD20" s="27">
        <v>0</v>
      </c>
      <c r="AE20" s="28">
        <f t="shared" ca="1" si="6"/>
        <v>0</v>
      </c>
      <c r="AG20" s="16"/>
    </row>
    <row r="21" spans="1:33" collapsed="1" x14ac:dyDescent="0.25">
      <c r="A21" s="62" t="s">
        <v>96</v>
      </c>
      <c r="C21" s="63">
        <f ca="1">SUM(C22:C25)</f>
        <v>3328548.2199999997</v>
      </c>
      <c r="D21" s="27">
        <f t="shared" ref="D21:K21" ca="1" si="8">SUM(D22:D25)</f>
        <v>530578</v>
      </c>
      <c r="E21" s="27">
        <f t="shared" ca="1" si="8"/>
        <v>3247305.05</v>
      </c>
      <c r="F21" s="28">
        <f t="shared" ca="1" si="8"/>
        <v>7106431.2699999996</v>
      </c>
      <c r="H21" s="63">
        <f t="shared" ca="1" si="8"/>
        <v>6986458.9700000007</v>
      </c>
      <c r="I21" s="27">
        <f t="shared" ca="1" si="8"/>
        <v>1875044</v>
      </c>
      <c r="J21" s="27">
        <f t="shared" ca="1" si="8"/>
        <v>2415929</v>
      </c>
      <c r="K21" s="28">
        <f t="shared" ca="1" si="8"/>
        <v>11277431.970000001</v>
      </c>
      <c r="M21" s="63">
        <f ca="1">SUM(M22:M25)</f>
        <v>771779.99999999988</v>
      </c>
      <c r="N21" s="27">
        <f ca="1">SUM(N22:N25)</f>
        <v>937739.2</v>
      </c>
      <c r="O21" s="27">
        <f ca="1">SUM(O22:O25)</f>
        <v>1864847.6</v>
      </c>
      <c r="P21" s="28">
        <f t="shared" ca="1" si="3"/>
        <v>3574366.8</v>
      </c>
      <c r="Q21" s="27"/>
      <c r="R21" s="63">
        <f ca="1">SUM(R22:R25)</f>
        <v>414823.90999999992</v>
      </c>
      <c r="S21" s="27">
        <f ca="1">SUM(S22:S25)</f>
        <v>87394</v>
      </c>
      <c r="T21" s="27">
        <f ca="1">SUM(T22:T25)</f>
        <v>50001</v>
      </c>
      <c r="U21" s="28">
        <f t="shared" ca="1" si="4"/>
        <v>552218.90999999992</v>
      </c>
      <c r="V21" s="23"/>
      <c r="W21" s="63">
        <f ca="1">SUM(W22:W25)</f>
        <v>362650</v>
      </c>
      <c r="X21" s="27">
        <f ca="1">SUM(X22:X25)</f>
        <v>185239.10999999987</v>
      </c>
      <c r="Y21" s="27">
        <f ca="1">SUM(Y22:Y25)</f>
        <v>669604.78999999876</v>
      </c>
      <c r="Z21" s="28">
        <f t="shared" ca="1" si="5"/>
        <v>1217493.8999999985</v>
      </c>
      <c r="AB21" s="63">
        <f ca="1">SUM(AB22:AB25)</f>
        <v>65369.730000000331</v>
      </c>
      <c r="AC21" s="27">
        <f ca="1">SUM(AC22:AC25)</f>
        <v>0</v>
      </c>
      <c r="AD21" s="27">
        <f ca="1">SUM(AD22:AD25)</f>
        <v>0</v>
      </c>
      <c r="AE21" s="28">
        <f t="shared" ca="1" si="6"/>
        <v>65369.730000000331</v>
      </c>
      <c r="AG21" s="16"/>
    </row>
    <row r="22" spans="1:33" ht="14.65" hidden="1" customHeight="1" outlineLevel="1" x14ac:dyDescent="0.25">
      <c r="A22" s="65" t="s">
        <v>97</v>
      </c>
      <c r="C22" s="63">
        <v>1298479.19</v>
      </c>
      <c r="D22" s="27">
        <v>263505</v>
      </c>
      <c r="E22" s="27">
        <v>1425627.56</v>
      </c>
      <c r="F22" s="28">
        <f t="shared" ref="F22:F27" ca="1" si="9">SUM(C22:E22)</f>
        <v>2987611.75</v>
      </c>
      <c r="H22" s="63">
        <v>3639253.9800000004</v>
      </c>
      <c r="I22" s="27">
        <v>1014940</v>
      </c>
      <c r="J22" s="27">
        <v>1158951</v>
      </c>
      <c r="K22" s="28">
        <f t="shared" ref="K22:K27" ca="1" si="10">SUM(H22:J22)</f>
        <v>5813144.9800000004</v>
      </c>
      <c r="M22" s="63">
        <v>296019.99999999988</v>
      </c>
      <c r="N22" s="27">
        <v>535412.19999999995</v>
      </c>
      <c r="O22" s="27">
        <v>1043076.6</v>
      </c>
      <c r="P22" s="28">
        <f t="shared" ca="1" si="3"/>
        <v>1874508.7999999998</v>
      </c>
      <c r="Q22" s="27"/>
      <c r="R22" s="63">
        <v>105887.92999999993</v>
      </c>
      <c r="S22" s="27">
        <v>37489</v>
      </c>
      <c r="T22" s="27">
        <v>0</v>
      </c>
      <c r="U22" s="28">
        <f t="shared" ca="1" si="4"/>
        <v>143376.92999999993</v>
      </c>
      <c r="V22" s="23"/>
      <c r="W22" s="63">
        <v>341182</v>
      </c>
      <c r="X22" s="27">
        <v>173669.11999999988</v>
      </c>
      <c r="Y22" s="27">
        <v>89444.939999999246</v>
      </c>
      <c r="Z22" s="28">
        <f t="shared" ca="1" si="5"/>
        <v>604296.05999999912</v>
      </c>
      <c r="AB22" s="63">
        <v>7086.7499999998836</v>
      </c>
      <c r="AC22" s="27">
        <v>0</v>
      </c>
      <c r="AD22" s="27">
        <v>0</v>
      </c>
      <c r="AE22" s="28">
        <f t="shared" ca="1" si="6"/>
        <v>7086.7499999998836</v>
      </c>
      <c r="AG22" s="16"/>
    </row>
    <row r="23" spans="1:33" ht="14.65" hidden="1" customHeight="1" outlineLevel="1" x14ac:dyDescent="0.25">
      <c r="A23" s="65" t="s">
        <v>98</v>
      </c>
      <c r="C23" s="63">
        <v>930439.02999999956</v>
      </c>
      <c r="D23" s="27">
        <v>37443</v>
      </c>
      <c r="E23" s="27">
        <v>516526.54000000004</v>
      </c>
      <c r="F23" s="28">
        <f t="shared" ca="1" si="9"/>
        <v>1484408.5699999996</v>
      </c>
      <c r="H23" s="63">
        <v>3206425.99</v>
      </c>
      <c r="I23" s="27">
        <v>320000</v>
      </c>
      <c r="J23" s="27">
        <v>465878</v>
      </c>
      <c r="K23" s="28">
        <f t="shared" ca="1" si="10"/>
        <v>3992303.99</v>
      </c>
      <c r="M23" s="63">
        <v>309110</v>
      </c>
      <c r="N23" s="27">
        <v>291273</v>
      </c>
      <c r="O23" s="27">
        <v>395432</v>
      </c>
      <c r="P23" s="28">
        <f t="shared" ca="1" si="3"/>
        <v>995815</v>
      </c>
      <c r="Q23" s="27"/>
      <c r="R23" s="63">
        <v>94763.979999999981</v>
      </c>
      <c r="S23" s="27">
        <v>49905</v>
      </c>
      <c r="T23" s="27">
        <v>50000</v>
      </c>
      <c r="U23" s="28">
        <f t="shared" ca="1" si="4"/>
        <v>194668.97999999998</v>
      </c>
      <c r="V23" s="23"/>
      <c r="W23" s="63">
        <v>21468</v>
      </c>
      <c r="X23" s="27">
        <v>11564.989999999991</v>
      </c>
      <c r="Y23" s="27">
        <v>322239.84999999951</v>
      </c>
      <c r="Z23" s="28">
        <f t="shared" ca="1" si="5"/>
        <v>355272.8399999995</v>
      </c>
      <c r="AB23" s="63">
        <v>43281.980000000447</v>
      </c>
      <c r="AC23" s="27">
        <v>0</v>
      </c>
      <c r="AD23" s="27">
        <v>0</v>
      </c>
      <c r="AE23" s="28">
        <f t="shared" ca="1" si="6"/>
        <v>43281.980000000447</v>
      </c>
      <c r="AG23" s="16"/>
    </row>
    <row r="24" spans="1:33" ht="14.65" hidden="1" customHeight="1" outlineLevel="1" x14ac:dyDescent="0.25">
      <c r="A24" s="65" t="s">
        <v>99</v>
      </c>
      <c r="C24" s="63">
        <v>5680</v>
      </c>
      <c r="D24" s="27">
        <v>218630</v>
      </c>
      <c r="E24" s="27">
        <v>734354.95</v>
      </c>
      <c r="F24" s="28">
        <f t="shared" ca="1" si="9"/>
        <v>958664.95</v>
      </c>
      <c r="H24" s="63">
        <v>0</v>
      </c>
      <c r="I24" s="27">
        <v>163905</v>
      </c>
      <c r="J24" s="27">
        <v>150000</v>
      </c>
      <c r="K24" s="28">
        <f t="shared" ca="1" si="10"/>
        <v>313905</v>
      </c>
      <c r="M24" s="63">
        <v>450</v>
      </c>
      <c r="N24" s="27">
        <v>13904</v>
      </c>
      <c r="O24" s="27">
        <v>0</v>
      </c>
      <c r="P24" s="28">
        <f t="shared" ca="1" si="3"/>
        <v>14354</v>
      </c>
      <c r="Q24" s="27"/>
      <c r="R24" s="63">
        <v>0</v>
      </c>
      <c r="S24" s="27">
        <v>0</v>
      </c>
      <c r="T24" s="27">
        <v>0</v>
      </c>
      <c r="U24" s="28">
        <f t="shared" ca="1" si="4"/>
        <v>0</v>
      </c>
      <c r="V24" s="23"/>
      <c r="W24" s="63">
        <v>0</v>
      </c>
      <c r="X24" s="27">
        <v>0</v>
      </c>
      <c r="Y24" s="27">
        <v>0</v>
      </c>
      <c r="Z24" s="28">
        <f t="shared" ca="1" si="5"/>
        <v>0</v>
      </c>
      <c r="AB24" s="63">
        <v>0</v>
      </c>
      <c r="AC24" s="27">
        <v>0</v>
      </c>
      <c r="AD24" s="27">
        <v>0</v>
      </c>
      <c r="AE24" s="28">
        <f t="shared" ca="1" si="6"/>
        <v>0</v>
      </c>
      <c r="AG24" s="16"/>
    </row>
    <row r="25" spans="1:33" ht="14.65" hidden="1" customHeight="1" outlineLevel="1" x14ac:dyDescent="0.25">
      <c r="A25" s="65" t="s">
        <v>100</v>
      </c>
      <c r="C25" s="63">
        <v>1093950</v>
      </c>
      <c r="D25" s="27">
        <v>11000</v>
      </c>
      <c r="E25" s="27">
        <v>570796</v>
      </c>
      <c r="F25" s="28">
        <f t="shared" ca="1" si="9"/>
        <v>1675746</v>
      </c>
      <c r="H25" s="63">
        <v>140779</v>
      </c>
      <c r="I25" s="27">
        <v>376199</v>
      </c>
      <c r="J25" s="27">
        <v>641100</v>
      </c>
      <c r="K25" s="28">
        <f t="shared" ca="1" si="10"/>
        <v>1158078</v>
      </c>
      <c r="M25" s="63">
        <v>166200</v>
      </c>
      <c r="N25" s="27">
        <v>97150</v>
      </c>
      <c r="O25" s="27">
        <v>426339</v>
      </c>
      <c r="P25" s="28">
        <f t="shared" ca="1" si="3"/>
        <v>689689</v>
      </c>
      <c r="Q25" s="27"/>
      <c r="R25" s="63">
        <v>214172</v>
      </c>
      <c r="S25" s="27">
        <v>0</v>
      </c>
      <c r="T25" s="27">
        <v>1</v>
      </c>
      <c r="U25" s="28">
        <f t="shared" ca="1" si="4"/>
        <v>214173</v>
      </c>
      <c r="V25" s="23"/>
      <c r="W25" s="63">
        <v>0</v>
      </c>
      <c r="X25" s="27">
        <v>5</v>
      </c>
      <c r="Y25" s="27">
        <v>257920</v>
      </c>
      <c r="Z25" s="28">
        <f t="shared" ca="1" si="5"/>
        <v>257925</v>
      </c>
      <c r="AB25" s="63">
        <v>15001</v>
      </c>
      <c r="AC25" s="27">
        <v>0</v>
      </c>
      <c r="AD25" s="27">
        <v>0</v>
      </c>
      <c r="AE25" s="28">
        <f t="shared" ca="1" si="6"/>
        <v>15001</v>
      </c>
      <c r="AG25" s="16"/>
    </row>
    <row r="26" spans="1:33" collapsed="1" x14ac:dyDescent="0.25">
      <c r="A26" s="62" t="s">
        <v>101</v>
      </c>
      <c r="C26" s="63">
        <v>8886089.2199999988</v>
      </c>
      <c r="D26" s="27">
        <v>16986581.899999999</v>
      </c>
      <c r="E26" s="27">
        <v>4108353</v>
      </c>
      <c r="F26" s="28">
        <f t="shared" ca="1" si="9"/>
        <v>29981024.119999997</v>
      </c>
      <c r="H26" s="63">
        <v>2648499.2999999998</v>
      </c>
      <c r="I26" s="27">
        <v>1448327</v>
      </c>
      <c r="J26" s="27">
        <v>678473</v>
      </c>
      <c r="K26" s="28">
        <f t="shared" ca="1" si="10"/>
        <v>4775299.3</v>
      </c>
      <c r="M26" s="63">
        <v>1775897</v>
      </c>
      <c r="N26" s="27">
        <v>972249</v>
      </c>
      <c r="O26" s="27">
        <v>2802965</v>
      </c>
      <c r="P26" s="28">
        <f t="shared" ca="1" si="3"/>
        <v>5551111</v>
      </c>
      <c r="Q26" s="27"/>
      <c r="R26" s="63">
        <v>895199</v>
      </c>
      <c r="S26" s="27">
        <v>247584</v>
      </c>
      <c r="T26" s="27">
        <v>1739713</v>
      </c>
      <c r="U26" s="28">
        <f t="shared" ca="1" si="4"/>
        <v>2882496</v>
      </c>
      <c r="V26" s="23"/>
      <c r="W26" s="63">
        <v>650565</v>
      </c>
      <c r="X26" s="27">
        <v>410458</v>
      </c>
      <c r="Y26" s="27">
        <v>63337</v>
      </c>
      <c r="Z26" s="28">
        <f t="shared" ca="1" si="5"/>
        <v>1124360</v>
      </c>
      <c r="AB26" s="63">
        <v>10000</v>
      </c>
      <c r="AC26" s="27">
        <v>0</v>
      </c>
      <c r="AD26" s="27">
        <v>0</v>
      </c>
      <c r="AE26" s="28">
        <f t="shared" ca="1" si="6"/>
        <v>10000</v>
      </c>
      <c r="AG26" s="16"/>
    </row>
    <row r="27" spans="1:33" x14ac:dyDescent="0.25">
      <c r="A27" s="62" t="s">
        <v>102</v>
      </c>
      <c r="C27" s="63">
        <v>1192929.0199999996</v>
      </c>
      <c r="D27" s="27">
        <v>3128426.59</v>
      </c>
      <c r="E27" s="27">
        <v>9364394.7200000007</v>
      </c>
      <c r="F27" s="28">
        <f t="shared" ca="1" si="9"/>
        <v>13685750.33</v>
      </c>
      <c r="H27" s="63">
        <v>3641761.879999999</v>
      </c>
      <c r="I27" s="27">
        <v>1149443.05</v>
      </c>
      <c r="J27" s="27">
        <v>2447894.27</v>
      </c>
      <c r="K27" s="28">
        <f t="shared" ca="1" si="10"/>
        <v>7239099.1999999993</v>
      </c>
      <c r="M27" s="63">
        <v>1214693.8400000001</v>
      </c>
      <c r="N27" s="27">
        <v>3756521.8499999996</v>
      </c>
      <c r="O27" s="27">
        <v>7336470.9700000007</v>
      </c>
      <c r="P27" s="28">
        <f t="shared" ca="1" si="3"/>
        <v>12307686.66</v>
      </c>
      <c r="Q27" s="27"/>
      <c r="R27" s="63">
        <v>3231039</v>
      </c>
      <c r="S27" s="27">
        <v>911920</v>
      </c>
      <c r="T27" s="27">
        <v>1598750</v>
      </c>
      <c r="U27" s="28">
        <f t="shared" ca="1" si="4"/>
        <v>5741709</v>
      </c>
      <c r="V27" s="23"/>
      <c r="W27" s="63">
        <v>689374</v>
      </c>
      <c r="X27" s="27">
        <v>437290</v>
      </c>
      <c r="Y27" s="27">
        <v>132745</v>
      </c>
      <c r="Z27" s="28">
        <f t="shared" ca="1" si="5"/>
        <v>1259409</v>
      </c>
      <c r="AB27" s="63">
        <v>0</v>
      </c>
      <c r="AC27" s="27">
        <v>0</v>
      </c>
      <c r="AD27" s="27">
        <v>0</v>
      </c>
      <c r="AE27" s="28">
        <f t="shared" ca="1" si="6"/>
        <v>0</v>
      </c>
      <c r="AG27" s="16"/>
    </row>
    <row r="28" spans="1:33" x14ac:dyDescent="0.25">
      <c r="A28" s="62" t="s">
        <v>103</v>
      </c>
      <c r="C28" s="63">
        <f ca="1">SUM(C29:C31)</f>
        <v>416412</v>
      </c>
      <c r="D28" s="27">
        <f t="shared" ref="D28:K28" ca="1" si="11">SUM(D29:D31)</f>
        <v>848945</v>
      </c>
      <c r="E28" s="27">
        <f t="shared" ca="1" si="11"/>
        <v>2166186</v>
      </c>
      <c r="F28" s="28">
        <f t="shared" ca="1" si="11"/>
        <v>3431543</v>
      </c>
      <c r="H28" s="63">
        <f t="shared" ca="1" si="11"/>
        <v>3102819</v>
      </c>
      <c r="I28" s="27">
        <f t="shared" ca="1" si="11"/>
        <v>1643912</v>
      </c>
      <c r="J28" s="27">
        <f t="shared" ca="1" si="11"/>
        <v>338376</v>
      </c>
      <c r="K28" s="28">
        <f t="shared" ca="1" si="11"/>
        <v>5085107</v>
      </c>
      <c r="M28" s="63">
        <f ca="1">SUM(M29:M31)</f>
        <v>130000</v>
      </c>
      <c r="N28" s="27">
        <f ca="1">SUM(N29:N31)</f>
        <v>413442</v>
      </c>
      <c r="O28" s="27">
        <f ca="1">SUM(O29:O31)</f>
        <v>480024</v>
      </c>
      <c r="P28" s="28">
        <f t="shared" ca="1" si="3"/>
        <v>1023466</v>
      </c>
      <c r="Q28" s="27"/>
      <c r="R28" s="63">
        <f ca="1">SUM(R29:R31)</f>
        <v>2588008</v>
      </c>
      <c r="S28" s="27">
        <f ca="1">SUM(S29:S31)</f>
        <v>361010</v>
      </c>
      <c r="T28" s="27">
        <f ca="1">SUM(T29:T31)</f>
        <v>0</v>
      </c>
      <c r="U28" s="28">
        <f t="shared" ca="1" si="4"/>
        <v>2949018</v>
      </c>
      <c r="V28" s="23"/>
      <c r="W28" s="63">
        <f ca="1">SUM(W29:W31)</f>
        <v>320704</v>
      </c>
      <c r="X28" s="27">
        <f ca="1">SUM(X29:X31)</f>
        <v>66210</v>
      </c>
      <c r="Y28" s="27">
        <f ca="1">SUM(Y29:Y31)</f>
        <v>215000</v>
      </c>
      <c r="Z28" s="28">
        <f t="shared" ca="1" si="5"/>
        <v>601914</v>
      </c>
      <c r="AB28" s="63">
        <f ca="1">SUM(AB29:AB31)</f>
        <v>284195</v>
      </c>
      <c r="AC28" s="27">
        <f ca="1">SUM(AC29:AC31)</f>
        <v>286551</v>
      </c>
      <c r="AD28" s="27">
        <f ca="1">SUM(AD29:AD31)</f>
        <v>0</v>
      </c>
      <c r="AE28" s="28">
        <f t="shared" ca="1" si="6"/>
        <v>570746</v>
      </c>
      <c r="AG28" s="16"/>
    </row>
    <row r="29" spans="1:33" ht="14.65" hidden="1" customHeight="1" outlineLevel="1" x14ac:dyDescent="0.25">
      <c r="A29" s="65" t="s">
        <v>104</v>
      </c>
      <c r="C29" s="63">
        <v>351412</v>
      </c>
      <c r="D29" s="27">
        <v>362003</v>
      </c>
      <c r="E29" s="27">
        <v>215000</v>
      </c>
      <c r="F29" s="28">
        <f ca="1">SUM(C29:E29)</f>
        <v>928415</v>
      </c>
      <c r="H29" s="63">
        <v>244007</v>
      </c>
      <c r="I29" s="27">
        <v>314548</v>
      </c>
      <c r="J29" s="27">
        <v>55008</v>
      </c>
      <c r="K29" s="28">
        <f ca="1">SUM(H29:J29)</f>
        <v>613563</v>
      </c>
      <c r="M29" s="63">
        <v>130000</v>
      </c>
      <c r="N29" s="27">
        <v>331010</v>
      </c>
      <c r="O29" s="27">
        <v>330024</v>
      </c>
      <c r="P29" s="28">
        <f t="shared" ca="1" si="3"/>
        <v>791034</v>
      </c>
      <c r="Q29" s="27"/>
      <c r="R29" s="63">
        <v>87008</v>
      </c>
      <c r="S29" s="27">
        <v>71010</v>
      </c>
      <c r="T29" s="27">
        <v>0</v>
      </c>
      <c r="U29" s="28">
        <f t="shared" ca="1" si="4"/>
        <v>158018</v>
      </c>
      <c r="V29" s="23"/>
      <c r="W29" s="63">
        <v>320704</v>
      </c>
      <c r="X29" s="27">
        <v>65000</v>
      </c>
      <c r="Y29" s="27">
        <v>75000</v>
      </c>
      <c r="Z29" s="28">
        <f t="shared" ca="1" si="5"/>
        <v>460704</v>
      </c>
      <c r="AB29" s="63">
        <v>114715</v>
      </c>
      <c r="AC29" s="27">
        <v>0</v>
      </c>
      <c r="AD29" s="27">
        <v>0</v>
      </c>
      <c r="AE29" s="28">
        <f t="shared" ca="1" si="6"/>
        <v>114715</v>
      </c>
      <c r="AG29" s="16"/>
    </row>
    <row r="30" spans="1:33" ht="14.65" hidden="1" customHeight="1" outlineLevel="1" x14ac:dyDescent="0.25">
      <c r="A30" s="65" t="s">
        <v>105</v>
      </c>
      <c r="C30" s="63">
        <v>0</v>
      </c>
      <c r="D30" s="27">
        <v>377202</v>
      </c>
      <c r="E30" s="27">
        <v>1816880</v>
      </c>
      <c r="F30" s="28">
        <f ca="1">SUM(C30:E30)</f>
        <v>2194082</v>
      </c>
      <c r="H30" s="63">
        <v>292812</v>
      </c>
      <c r="I30" s="27">
        <v>1264364</v>
      </c>
      <c r="J30" s="27">
        <v>283368</v>
      </c>
      <c r="K30" s="28">
        <f ca="1">SUM(H30:J30)</f>
        <v>1840544</v>
      </c>
      <c r="M30" s="63">
        <v>0</v>
      </c>
      <c r="N30" s="27">
        <v>67606</v>
      </c>
      <c r="O30" s="27">
        <v>150000</v>
      </c>
      <c r="P30" s="28">
        <f t="shared" ca="1" si="3"/>
        <v>217606</v>
      </c>
      <c r="Q30" s="27"/>
      <c r="R30" s="63">
        <v>0</v>
      </c>
      <c r="S30" s="27">
        <v>290000</v>
      </c>
      <c r="T30" s="27">
        <v>0</v>
      </c>
      <c r="U30" s="28">
        <f t="shared" ca="1" si="4"/>
        <v>290000</v>
      </c>
      <c r="V30" s="23"/>
      <c r="W30" s="63">
        <v>0</v>
      </c>
      <c r="X30" s="27">
        <v>0</v>
      </c>
      <c r="Y30" s="27">
        <v>140000</v>
      </c>
      <c r="Z30" s="28">
        <f t="shared" ca="1" si="5"/>
        <v>140000</v>
      </c>
      <c r="AB30" s="63">
        <v>169480</v>
      </c>
      <c r="AC30" s="27">
        <v>286551</v>
      </c>
      <c r="AD30" s="27">
        <v>0</v>
      </c>
      <c r="AE30" s="28">
        <f t="shared" ca="1" si="6"/>
        <v>456031</v>
      </c>
      <c r="AG30" s="16"/>
    </row>
    <row r="31" spans="1:33" ht="15" hidden="1" customHeight="1" outlineLevel="1" x14ac:dyDescent="0.25">
      <c r="A31" s="65" t="s">
        <v>106</v>
      </c>
      <c r="C31" s="63">
        <v>65000</v>
      </c>
      <c r="D31" s="27">
        <v>109740</v>
      </c>
      <c r="E31" s="27">
        <v>134306</v>
      </c>
      <c r="F31" s="28">
        <f ca="1">SUM(C31:E31)</f>
        <v>309046</v>
      </c>
      <c r="H31" s="63">
        <v>2566000</v>
      </c>
      <c r="I31" s="27">
        <v>65000</v>
      </c>
      <c r="J31" s="27">
        <v>0</v>
      </c>
      <c r="K31" s="28">
        <f ca="1">SUM(H31:J31)</f>
        <v>2631000</v>
      </c>
      <c r="M31" s="63">
        <v>0</v>
      </c>
      <c r="N31" s="27">
        <v>14826</v>
      </c>
      <c r="O31" s="27">
        <v>0</v>
      </c>
      <c r="P31" s="28">
        <f t="shared" ca="1" si="3"/>
        <v>14826</v>
      </c>
      <c r="Q31" s="27"/>
      <c r="R31" s="63">
        <v>2501000</v>
      </c>
      <c r="S31" s="27">
        <v>0</v>
      </c>
      <c r="T31" s="27">
        <v>0</v>
      </c>
      <c r="U31" s="28">
        <f t="shared" ca="1" si="4"/>
        <v>2501000</v>
      </c>
      <c r="V31" s="23"/>
      <c r="W31" s="63">
        <v>0</v>
      </c>
      <c r="X31" s="27">
        <v>1210</v>
      </c>
      <c r="Y31" s="27">
        <v>0</v>
      </c>
      <c r="Z31" s="28">
        <f t="shared" ca="1" si="5"/>
        <v>1210</v>
      </c>
      <c r="AB31" s="63">
        <v>0</v>
      </c>
      <c r="AC31" s="27">
        <v>0</v>
      </c>
      <c r="AD31" s="27">
        <v>0</v>
      </c>
      <c r="AE31" s="28">
        <f t="shared" ca="1" si="6"/>
        <v>0</v>
      </c>
      <c r="AG31" s="16"/>
    </row>
    <row r="32" spans="1:33" collapsed="1" x14ac:dyDescent="0.25">
      <c r="A32" s="62" t="s">
        <v>107</v>
      </c>
      <c r="C32" s="63">
        <v>14209312.98</v>
      </c>
      <c r="D32" s="27">
        <v>14010321.09</v>
      </c>
      <c r="E32" s="27">
        <v>14236704.339999996</v>
      </c>
      <c r="F32" s="28">
        <f ca="1">SUM(C32:E32)</f>
        <v>42456338.409999996</v>
      </c>
      <c r="H32" s="63">
        <v>17240376.549999997</v>
      </c>
      <c r="I32" s="27">
        <v>35783550.119999997</v>
      </c>
      <c r="J32" s="27">
        <v>9702908.0599999987</v>
      </c>
      <c r="K32" s="28">
        <f ca="1">SUM(H32:J32)</f>
        <v>62726834.729999989</v>
      </c>
      <c r="M32" s="63">
        <v>6592382.1200000001</v>
      </c>
      <c r="N32" s="27">
        <v>4947511.21</v>
      </c>
      <c r="O32" s="27">
        <v>1746971.4000000004</v>
      </c>
      <c r="P32" s="28">
        <f t="shared" ca="1" si="3"/>
        <v>13286864.73</v>
      </c>
      <c r="Q32" s="27"/>
      <c r="R32" s="63">
        <v>7997353.9799999967</v>
      </c>
      <c r="S32" s="27">
        <v>24172282.229999986</v>
      </c>
      <c r="T32" s="27">
        <v>5692035.5</v>
      </c>
      <c r="U32" s="28">
        <f t="shared" ca="1" si="4"/>
        <v>37861671.709999979</v>
      </c>
      <c r="V32" s="23"/>
      <c r="W32" s="63">
        <v>3658635.8399999989</v>
      </c>
      <c r="X32" s="27">
        <v>953549.82999999984</v>
      </c>
      <c r="Y32" s="27">
        <v>75955.359999999637</v>
      </c>
      <c r="Z32" s="28">
        <f t="shared" ca="1" si="5"/>
        <v>4688141.0299999984</v>
      </c>
      <c r="AB32" s="63">
        <v>5490419.4199999999</v>
      </c>
      <c r="AC32" s="27">
        <v>11668189.089999998</v>
      </c>
      <c r="AD32" s="27">
        <v>0</v>
      </c>
      <c r="AE32" s="28">
        <f t="shared" ca="1" si="6"/>
        <v>17158608.509999998</v>
      </c>
      <c r="AG32" s="16"/>
    </row>
    <row r="33" spans="1:33" x14ac:dyDescent="0.25">
      <c r="A33" s="62" t="s">
        <v>108</v>
      </c>
      <c r="C33" s="63">
        <f ca="1">SUM(C34:C38)</f>
        <v>9562978.2699999996</v>
      </c>
      <c r="D33" s="27">
        <f ca="1">SUM(D34:D38)</f>
        <v>7781042.3999999994</v>
      </c>
      <c r="E33" s="27">
        <f ca="1">SUM(E34:E38)</f>
        <v>19120768.900000002</v>
      </c>
      <c r="F33" s="28">
        <f ca="1">SUM(F34:F38)</f>
        <v>36464789.57</v>
      </c>
      <c r="H33" s="63">
        <f ca="1">SUM(H34:H38)</f>
        <v>28466749.170000006</v>
      </c>
      <c r="I33" s="27">
        <f ca="1">SUM(I34:I38)</f>
        <v>92873801.109999985</v>
      </c>
      <c r="J33" s="27">
        <f ca="1">SUM(J34:J38)</f>
        <v>49919205.590000004</v>
      </c>
      <c r="K33" s="28">
        <f ca="1">SUM(K34:K38)</f>
        <v>171259755.86999997</v>
      </c>
      <c r="M33" s="63">
        <f ca="1">SUM(M34:M38)</f>
        <v>31381059.830000002</v>
      </c>
      <c r="N33" s="27">
        <f ca="1">SUM(N34:N38)</f>
        <v>29252315.180000003</v>
      </c>
      <c r="O33" s="27">
        <f ca="1">SUM(O34:O38)</f>
        <v>6495020.9100000001</v>
      </c>
      <c r="P33" s="28">
        <f t="shared" ca="1" si="3"/>
        <v>67128395.920000002</v>
      </c>
      <c r="Q33" s="27"/>
      <c r="R33" s="63">
        <f ca="1">SUM(R34:R38)</f>
        <v>54329699.539999977</v>
      </c>
      <c r="S33" s="27">
        <f ca="1">SUM(S34:S38)</f>
        <v>91477178.699999958</v>
      </c>
      <c r="T33" s="27">
        <f ca="1">SUM(T34:T38)</f>
        <v>19916384.239999998</v>
      </c>
      <c r="U33" s="28">
        <f t="shared" ca="1" si="4"/>
        <v>165723262.47999996</v>
      </c>
      <c r="V33" s="23"/>
      <c r="W33" s="63">
        <f ca="1">SUM(W34:W38)</f>
        <v>10908967.77</v>
      </c>
      <c r="X33" s="27">
        <f ca="1">SUM(X34:X38)</f>
        <v>2985971.2599999993</v>
      </c>
      <c r="Y33" s="27">
        <f ca="1">SUM(Y34:Y38)</f>
        <v>1150887.2899999998</v>
      </c>
      <c r="Z33" s="28">
        <f t="shared" ca="1" si="5"/>
        <v>15045826.319999998</v>
      </c>
      <c r="AB33" s="63">
        <f ca="1">SUM(AB34:AB38)</f>
        <v>36019998.219999999</v>
      </c>
      <c r="AC33" s="27">
        <f ca="1">SUM(AC34:AC38)</f>
        <v>33839598.669999994</v>
      </c>
      <c r="AD33" s="27">
        <f ca="1">SUM(AD34:AD38)</f>
        <v>0</v>
      </c>
      <c r="AE33" s="28">
        <f t="shared" ca="1" si="6"/>
        <v>69859596.889999986</v>
      </c>
      <c r="AG33" s="16"/>
    </row>
    <row r="34" spans="1:33" ht="14.65" hidden="1" customHeight="1" outlineLevel="1" x14ac:dyDescent="0.25">
      <c r="A34" s="65" t="s">
        <v>109</v>
      </c>
      <c r="C34" s="63">
        <v>4323807.93</v>
      </c>
      <c r="D34" s="27">
        <v>2709302.0599999996</v>
      </c>
      <c r="E34" s="27">
        <v>4868389.1399999997</v>
      </c>
      <c r="F34" s="28">
        <f t="shared" ref="F34:F39" ca="1" si="12">SUM(C34:E34)</f>
        <v>11901499.129999999</v>
      </c>
      <c r="H34" s="63">
        <v>7350312.2699999996</v>
      </c>
      <c r="I34" s="27">
        <v>56404639.00999999</v>
      </c>
      <c r="J34" s="27">
        <v>28019487.220000003</v>
      </c>
      <c r="K34" s="28">
        <f t="shared" ref="K34:K39" ca="1" si="13">SUM(H34:J34)</f>
        <v>91774438.499999985</v>
      </c>
      <c r="M34" s="63">
        <v>13348726.660000002</v>
      </c>
      <c r="N34" s="27">
        <v>17213609.380000003</v>
      </c>
      <c r="O34" s="27">
        <v>2527214.6800000006</v>
      </c>
      <c r="P34" s="28">
        <f t="shared" ca="1" si="3"/>
        <v>33089550.720000006</v>
      </c>
      <c r="Q34" s="27"/>
      <c r="R34" s="63">
        <v>23860780.159999993</v>
      </c>
      <c r="S34" s="27">
        <v>25980037.249999989</v>
      </c>
      <c r="T34" s="27">
        <v>7842093.0099999988</v>
      </c>
      <c r="U34" s="28">
        <f t="shared" ca="1" si="4"/>
        <v>57682910.419999979</v>
      </c>
      <c r="V34" s="23"/>
      <c r="W34" s="63">
        <v>4782294.3199999994</v>
      </c>
      <c r="X34" s="27">
        <v>872566.95</v>
      </c>
      <c r="Y34" s="27">
        <v>635245.67999999982</v>
      </c>
      <c r="Z34" s="28">
        <f t="shared" ca="1" si="5"/>
        <v>6290106.9499999993</v>
      </c>
      <c r="AB34" s="63">
        <v>10720140.099999994</v>
      </c>
      <c r="AC34" s="27">
        <v>8870279.4799999967</v>
      </c>
      <c r="AD34" s="27">
        <v>0</v>
      </c>
      <c r="AE34" s="28">
        <f t="shared" ca="1" si="6"/>
        <v>19590419.579999991</v>
      </c>
      <c r="AG34" s="16"/>
    </row>
    <row r="35" spans="1:33" ht="14.65" hidden="1" customHeight="1" outlineLevel="1" x14ac:dyDescent="0.25">
      <c r="A35" s="65" t="s">
        <v>110</v>
      </c>
      <c r="C35" s="63">
        <v>2338250.0499999998</v>
      </c>
      <c r="D35" s="27">
        <v>2489376.73</v>
      </c>
      <c r="E35" s="27">
        <v>7861727.5800000001</v>
      </c>
      <c r="F35" s="28">
        <f t="shared" ca="1" si="12"/>
        <v>12689354.359999999</v>
      </c>
      <c r="H35" s="63">
        <v>11158999.970000003</v>
      </c>
      <c r="I35" s="27">
        <v>12586023.059999999</v>
      </c>
      <c r="J35" s="27">
        <v>5147249.0200000005</v>
      </c>
      <c r="K35" s="28">
        <f t="shared" ca="1" si="13"/>
        <v>28892272.050000001</v>
      </c>
      <c r="M35" s="63">
        <v>6962643.330000001</v>
      </c>
      <c r="N35" s="27">
        <v>6401496.5299999993</v>
      </c>
      <c r="O35" s="27">
        <v>1270418.1300000001</v>
      </c>
      <c r="P35" s="28">
        <f t="shared" ca="1" si="3"/>
        <v>14634557.99</v>
      </c>
      <c r="Q35" s="27"/>
      <c r="R35" s="63">
        <v>15124506.619999994</v>
      </c>
      <c r="S35" s="27">
        <v>30471121.539999992</v>
      </c>
      <c r="T35" s="27">
        <v>5475210.7800000031</v>
      </c>
      <c r="U35" s="28">
        <f t="shared" ca="1" si="4"/>
        <v>51070838.939999983</v>
      </c>
      <c r="V35" s="23"/>
      <c r="W35" s="63">
        <v>2720058.9099999992</v>
      </c>
      <c r="X35" s="27">
        <v>1005460.5499999997</v>
      </c>
      <c r="Y35" s="27">
        <v>150469.24</v>
      </c>
      <c r="Z35" s="28">
        <f t="shared" ca="1" si="5"/>
        <v>3875988.6999999993</v>
      </c>
      <c r="AB35" s="63">
        <v>13260029.449999999</v>
      </c>
      <c r="AC35" s="27">
        <v>11798774.729999997</v>
      </c>
      <c r="AD35" s="27">
        <v>0</v>
      </c>
      <c r="AE35" s="28">
        <f t="shared" ca="1" si="6"/>
        <v>25058804.179999996</v>
      </c>
      <c r="AG35" s="16"/>
    </row>
    <row r="36" spans="1:33" ht="14.65" hidden="1" customHeight="1" outlineLevel="1" x14ac:dyDescent="0.25">
      <c r="A36" s="65" t="s">
        <v>111</v>
      </c>
      <c r="C36" s="63">
        <v>2025091.4100000001</v>
      </c>
      <c r="D36" s="27">
        <v>2276487.39</v>
      </c>
      <c r="E36" s="27">
        <v>5999835.2800000003</v>
      </c>
      <c r="F36" s="28">
        <f t="shared" ca="1" si="12"/>
        <v>10301414.080000002</v>
      </c>
      <c r="H36" s="63">
        <v>9319220.9900000002</v>
      </c>
      <c r="I36" s="27">
        <v>8320167.3800000008</v>
      </c>
      <c r="J36" s="27">
        <v>9162466.8800000027</v>
      </c>
      <c r="K36" s="28">
        <f t="shared" ca="1" si="13"/>
        <v>26801855.250000004</v>
      </c>
      <c r="M36" s="63">
        <v>5778952.8500000006</v>
      </c>
      <c r="N36" s="27">
        <v>1310199.0500000003</v>
      </c>
      <c r="O36" s="27">
        <v>944568.20999999985</v>
      </c>
      <c r="P36" s="28">
        <f t="shared" ca="1" si="3"/>
        <v>8033720.1100000003</v>
      </c>
      <c r="Q36" s="27"/>
      <c r="R36" s="63">
        <v>12342240.539999995</v>
      </c>
      <c r="S36" s="27">
        <v>24749074.529999994</v>
      </c>
      <c r="T36" s="27">
        <v>5535667.959999999</v>
      </c>
      <c r="U36" s="28">
        <f t="shared" ca="1" si="4"/>
        <v>42626983.029999994</v>
      </c>
      <c r="V36" s="23"/>
      <c r="W36" s="63">
        <v>3406614.54</v>
      </c>
      <c r="X36" s="27">
        <v>823830.62999999942</v>
      </c>
      <c r="Y36" s="27">
        <v>337292.31000000029</v>
      </c>
      <c r="Z36" s="28">
        <f t="shared" ca="1" si="5"/>
        <v>4567737.4800000004</v>
      </c>
      <c r="AB36" s="63">
        <v>9024370.4400000013</v>
      </c>
      <c r="AC36" s="27">
        <v>9426155.0899999999</v>
      </c>
      <c r="AD36" s="27">
        <v>0</v>
      </c>
      <c r="AE36" s="28">
        <f t="shared" ca="1" si="6"/>
        <v>18450525.530000001</v>
      </c>
      <c r="AG36" s="16"/>
    </row>
    <row r="37" spans="1:33" ht="14.65" hidden="1" customHeight="1" outlineLevel="1" x14ac:dyDescent="0.25">
      <c r="A37" s="65" t="s">
        <v>112</v>
      </c>
      <c r="C37" s="63">
        <v>845828.87999999989</v>
      </c>
      <c r="D37" s="27">
        <v>285876.21999999986</v>
      </c>
      <c r="E37" s="27">
        <v>333128.91999999993</v>
      </c>
      <c r="F37" s="28">
        <f t="shared" ca="1" si="12"/>
        <v>1464834.0199999996</v>
      </c>
      <c r="H37" s="63">
        <v>638215.93999999994</v>
      </c>
      <c r="I37" s="27">
        <v>6871374.6600000001</v>
      </c>
      <c r="J37" s="27">
        <v>5745240.4699999997</v>
      </c>
      <c r="K37" s="28">
        <f t="shared" ca="1" si="13"/>
        <v>13254831.07</v>
      </c>
      <c r="M37" s="63">
        <v>1599291.9899999998</v>
      </c>
      <c r="N37" s="27">
        <v>2605509.2200000002</v>
      </c>
      <c r="O37" s="27">
        <v>1752819.8900000001</v>
      </c>
      <c r="P37" s="28">
        <f t="shared" ca="1" si="3"/>
        <v>5957621.0999999996</v>
      </c>
      <c r="Q37" s="27"/>
      <c r="R37" s="63">
        <v>3002172.2200000007</v>
      </c>
      <c r="S37" s="27">
        <v>9996068.2800000012</v>
      </c>
      <c r="T37" s="27">
        <v>1063412.4899999998</v>
      </c>
      <c r="U37" s="28">
        <f t="shared" ca="1" si="4"/>
        <v>14061652.990000002</v>
      </c>
      <c r="V37" s="23"/>
      <c r="W37" s="63">
        <v>0</v>
      </c>
      <c r="X37" s="27">
        <v>275080.13000000035</v>
      </c>
      <c r="Y37" s="27">
        <v>5.9999999823048711E-2</v>
      </c>
      <c r="Z37" s="28">
        <f t="shared" ca="1" si="5"/>
        <v>275080.19000000018</v>
      </c>
      <c r="AB37" s="63">
        <v>3008755.2300000004</v>
      </c>
      <c r="AC37" s="27">
        <v>3595500.74</v>
      </c>
      <c r="AD37" s="27">
        <v>0</v>
      </c>
      <c r="AE37" s="28">
        <f t="shared" ca="1" si="6"/>
        <v>6604255.9700000007</v>
      </c>
      <c r="AG37" s="16"/>
    </row>
    <row r="38" spans="1:33" ht="14.65" hidden="1" customHeight="1" outlineLevel="1" x14ac:dyDescent="0.25">
      <c r="A38" s="65" t="s">
        <v>113</v>
      </c>
      <c r="C38" s="63">
        <v>30000</v>
      </c>
      <c r="D38" s="27">
        <v>20000</v>
      </c>
      <c r="E38" s="27">
        <v>57687.979999999865</v>
      </c>
      <c r="F38" s="28">
        <f t="shared" ca="1" si="12"/>
        <v>107687.97999999986</v>
      </c>
      <c r="H38" s="63">
        <v>0</v>
      </c>
      <c r="I38" s="27">
        <v>8691597</v>
      </c>
      <c r="J38" s="27">
        <v>1844762</v>
      </c>
      <c r="K38" s="28">
        <f t="shared" ca="1" si="13"/>
        <v>10536359</v>
      </c>
      <c r="M38" s="63">
        <v>3691445</v>
      </c>
      <c r="N38" s="27">
        <v>1721501</v>
      </c>
      <c r="O38" s="27">
        <v>0</v>
      </c>
      <c r="P38" s="28">
        <f t="shared" ca="1" si="3"/>
        <v>5412946</v>
      </c>
      <c r="Q38" s="27"/>
      <c r="R38" s="63">
        <v>0</v>
      </c>
      <c r="S38" s="27">
        <v>280877.10000000009</v>
      </c>
      <c r="T38" s="27">
        <v>0</v>
      </c>
      <c r="U38" s="28">
        <f t="shared" ca="1" si="4"/>
        <v>280877.10000000009</v>
      </c>
      <c r="V38" s="23"/>
      <c r="W38" s="63">
        <v>0</v>
      </c>
      <c r="X38" s="27">
        <v>9033</v>
      </c>
      <c r="Y38" s="27">
        <v>27880</v>
      </c>
      <c r="Z38" s="28">
        <f t="shared" ca="1" si="5"/>
        <v>36913</v>
      </c>
      <c r="AB38" s="63">
        <v>6703</v>
      </c>
      <c r="AC38" s="27">
        <v>148888.63000000012</v>
      </c>
      <c r="AD38" s="27">
        <v>0</v>
      </c>
      <c r="AE38" s="28">
        <f t="shared" ca="1" si="6"/>
        <v>155591.63000000012</v>
      </c>
      <c r="AG38" s="16"/>
    </row>
    <row r="39" spans="1:33" ht="15.75" collapsed="1" thickBot="1" x14ac:dyDescent="0.3">
      <c r="A39" s="66" t="s">
        <v>114</v>
      </c>
      <c r="C39" s="63">
        <v>3690184</v>
      </c>
      <c r="D39" s="27">
        <v>91582.410000002012</v>
      </c>
      <c r="E39" s="27">
        <v>2724317</v>
      </c>
      <c r="F39" s="28">
        <f t="shared" ca="1" si="12"/>
        <v>6506083.410000002</v>
      </c>
      <c r="H39" s="63">
        <v>125515335.97</v>
      </c>
      <c r="I39" s="27">
        <v>128577126.5</v>
      </c>
      <c r="J39" s="27">
        <v>68467070.160000011</v>
      </c>
      <c r="K39" s="28">
        <f t="shared" ca="1" si="13"/>
        <v>322559532.63</v>
      </c>
      <c r="M39" s="63">
        <v>185958338.89000008</v>
      </c>
      <c r="N39" s="27">
        <v>41539967.399999999</v>
      </c>
      <c r="O39" s="27">
        <v>34806321</v>
      </c>
      <c r="P39" s="28">
        <f t="shared" ca="1" si="3"/>
        <v>262304627.29000008</v>
      </c>
      <c r="Q39" s="27"/>
      <c r="R39" s="63">
        <v>3747817</v>
      </c>
      <c r="S39" s="27">
        <v>18561623</v>
      </c>
      <c r="T39" s="27">
        <v>7487137.9800000004</v>
      </c>
      <c r="U39" s="28">
        <f t="shared" ca="1" si="4"/>
        <v>29796577.98</v>
      </c>
      <c r="V39" s="23"/>
      <c r="W39" s="63">
        <v>10796000</v>
      </c>
      <c r="X39" s="27">
        <v>23134623.969999991</v>
      </c>
      <c r="Y39" s="27">
        <v>52443.979999996722</v>
      </c>
      <c r="Z39" s="28">
        <f t="shared" ca="1" si="5"/>
        <v>33983067.949999988</v>
      </c>
      <c r="AB39" s="63">
        <v>1478310</v>
      </c>
      <c r="AC39" s="27">
        <v>0</v>
      </c>
      <c r="AD39" s="27">
        <v>0</v>
      </c>
      <c r="AE39" s="28">
        <f t="shared" ca="1" si="6"/>
        <v>1478310</v>
      </c>
      <c r="AG39" s="16"/>
    </row>
    <row r="40" spans="1:33" ht="15.75" thickBot="1" x14ac:dyDescent="0.3">
      <c r="A40" s="67" t="s">
        <v>115</v>
      </c>
      <c r="C40" s="68">
        <f ca="1">SUM(C7,C14,C15,C21,C26,C27,C28,C32,C33,C39)</f>
        <v>56331046.939999998</v>
      </c>
      <c r="D40" s="69">
        <f ca="1">SUM(D7,D14,D15,D21,D26,D27,D28,D32,D33,D39)</f>
        <v>58476860.25</v>
      </c>
      <c r="E40" s="69">
        <f ca="1">SUM(E7,E14,E15,E21,E26,E27,E28,E32,E33,E39)</f>
        <v>63164568.879999995</v>
      </c>
      <c r="F40" s="70">
        <f ca="1">SUM(F7,F14,F15,F21,F26,F27,F28,F32,F33,F39)</f>
        <v>177972476.06999996</v>
      </c>
      <c r="H40" s="68">
        <f ca="1">SUM(H7,H14,H15,H21,H26,H27,H28,H32,H33,H39)</f>
        <v>196135621.78</v>
      </c>
      <c r="I40" s="69">
        <f ca="1">SUM(I7,I14,I15,I21,I26,I27,I28,I32,I33,I39)</f>
        <v>277565612.38999999</v>
      </c>
      <c r="J40" s="69">
        <f ca="1">SUM(J7,J14,J15,J21,J26,J27,J28,J32,J33,J39)</f>
        <v>146308086.20000002</v>
      </c>
      <c r="K40" s="70">
        <f ca="1">SUM(K7,K14,K15,K21,K26,K27,K28,K32,K33,K39)</f>
        <v>620009320.36999989</v>
      </c>
      <c r="M40" s="68">
        <f ca="1">SUM(M7,M14,M15,M21,M26,M27,M28,M32,M33,M39)</f>
        <v>233646609.79000008</v>
      </c>
      <c r="N40" s="69">
        <f ca="1">SUM(N7,N14,N15,N21,N26,N27,N28,N32,N33,N39)</f>
        <v>82184442.810000002</v>
      </c>
      <c r="O40" s="69">
        <f ca="1">SUM(O7,O14,O15,O21,O26,O27,O28,O32,O33,O39)</f>
        <v>58603678.870000005</v>
      </c>
      <c r="P40" s="70">
        <f ca="1">SUM(P7,P14,P15,P21,P26,P27,P28,P32,P33,P39)</f>
        <v>374434731.47000009</v>
      </c>
      <c r="Q40" s="71"/>
      <c r="R40" s="68">
        <f ca="1">SUM(R7,R14,R15,R21,R26,R27,R28,R32,R33,R39)</f>
        <v>79936301.059999973</v>
      </c>
      <c r="S40" s="69">
        <f ca="1">SUM(S7,S14,S15,S21,S26,S27,S28,S32,S33,S39)</f>
        <v>143177073.80999994</v>
      </c>
      <c r="T40" s="69">
        <f ca="1">SUM(T7,T14,T15,T21,T26,T27,T28,T32,T33,T39)</f>
        <v>44161008.719999999</v>
      </c>
      <c r="U40" s="70">
        <f ca="1">SUM(U7,U14,U15,U21,U26,U27,U28,U32,U33,U39)</f>
        <v>267274383.58999994</v>
      </c>
      <c r="V40" s="23"/>
      <c r="W40" s="68">
        <f ca="1">SUM(W7,W14,W15,W21,W26,W27,W28,W32,W33,W39)</f>
        <v>27541092.609999999</v>
      </c>
      <c r="X40" s="69">
        <f ca="1">SUM(X7,X14,X15,X21,X26,X27,X28,X32,X33,X39)</f>
        <v>33121358.70999999</v>
      </c>
      <c r="Y40" s="69">
        <f ca="1">SUM(Y7,Y14,Y15,Y21,Y26,Y27,Y28,Y32,Y33,Y39)</f>
        <v>7826934.599999995</v>
      </c>
      <c r="Z40" s="70">
        <f ca="1">SUM(Z7,Z14,Z15,Z21,Z26,Z27,Z28,Z32,Z33,Z39)</f>
        <v>68489385.919999987</v>
      </c>
      <c r="AB40" s="68">
        <f ca="1">SUM(AB7,AB14,AB15,AB21,AB26,AB27,AB28,AB32,AB33,AB39)</f>
        <v>44877994.329999998</v>
      </c>
      <c r="AC40" s="69">
        <f ca="1">SUM(AC7,AC14,AC15,AC21,AC26,AC27,AC28,AC32,AC33,AC39)</f>
        <v>46794338.75999999</v>
      </c>
      <c r="AD40" s="69">
        <f ca="1">SUM(AD7,AD14,AD15,AD21,AD26,AD27,AD28,AD32,AD33,AD39)</f>
        <v>0</v>
      </c>
      <c r="AE40" s="70">
        <f ca="1">SUM(AE7,AE14,AE15,AE21,AE26,AE27,AE28,AE32,AE33,AE39)</f>
        <v>91672333.089999989</v>
      </c>
      <c r="AG40" s="16"/>
    </row>
    <row r="41" spans="1:33" x14ac:dyDescent="0.25">
      <c r="A41" s="62" t="s">
        <v>116</v>
      </c>
      <c r="C41" s="63">
        <f ca="1">SUM(C42:C45)</f>
        <v>26770025.309999999</v>
      </c>
      <c r="D41" s="27">
        <f t="shared" ref="D41:K41" ca="1" si="14">SUM(D42:D45)</f>
        <v>42707734.899999999</v>
      </c>
      <c r="E41" s="27">
        <f t="shared" ca="1" si="14"/>
        <v>45780000.519999996</v>
      </c>
      <c r="F41" s="28">
        <f t="shared" ca="1" si="14"/>
        <v>115257760.73</v>
      </c>
      <c r="H41" s="63">
        <f t="shared" ca="1" si="14"/>
        <v>34807964.859999999</v>
      </c>
      <c r="I41" s="27">
        <f t="shared" ca="1" si="14"/>
        <v>22822336.239999998</v>
      </c>
      <c r="J41" s="27">
        <f t="shared" ca="1" si="14"/>
        <v>11149287.779999999</v>
      </c>
      <c r="K41" s="28">
        <f t="shared" ca="1" si="14"/>
        <v>68779588.88000001</v>
      </c>
      <c r="M41" s="63">
        <f ca="1">SUM(M42:M45)</f>
        <v>12899006.970000001</v>
      </c>
      <c r="N41" s="27">
        <f ca="1">SUM(N42:N45)</f>
        <v>13296759.930000002</v>
      </c>
      <c r="O41" s="27">
        <f ca="1">SUM(O42:O45)</f>
        <v>9529948.6699999999</v>
      </c>
      <c r="P41" s="28">
        <f t="shared" ca="1" si="3"/>
        <v>35725715.57</v>
      </c>
      <c r="Q41" s="27"/>
      <c r="R41" s="63">
        <f ca="1">SUM(R42:R45)</f>
        <v>3864275.2199999997</v>
      </c>
      <c r="S41" s="27">
        <f ca="1">SUM(S42:S45)</f>
        <v>2849679.6399999997</v>
      </c>
      <c r="T41" s="27">
        <f ca="1">SUM(T42:T45)</f>
        <v>2141580.2999999993</v>
      </c>
      <c r="U41" s="28">
        <f t="shared" ref="U41:U70" ca="1" si="15">SUM(R41:T41)</f>
        <v>8855535.1599999983</v>
      </c>
      <c r="V41" s="23"/>
      <c r="W41" s="63">
        <f ca="1">SUM(W42:W45)</f>
        <v>1030572.7699999998</v>
      </c>
      <c r="X41" s="27">
        <f ca="1">SUM(X42:X45)</f>
        <v>4371303</v>
      </c>
      <c r="Y41" s="27">
        <f ca="1">SUM(Y42:Y45)</f>
        <v>11759222.689999999</v>
      </c>
      <c r="Z41" s="28">
        <f t="shared" ref="Z41:Z70" ca="1" si="16">SUM(W41:Y41)</f>
        <v>17161098.460000001</v>
      </c>
      <c r="AB41" s="63">
        <f ca="1">SUM(AB42:AB45)</f>
        <v>42086357.539999999</v>
      </c>
      <c r="AC41" s="27">
        <f ca="1">SUM(AC42:AC45)</f>
        <v>4704980.1199999992</v>
      </c>
      <c r="AD41" s="27">
        <f ca="1">SUM(AD42:AD45)</f>
        <v>0</v>
      </c>
      <c r="AE41" s="28">
        <f t="shared" ref="AE41:AE70" ca="1" si="17">SUM(AB41:AD41)</f>
        <v>46791337.659999996</v>
      </c>
      <c r="AG41" s="16"/>
    </row>
    <row r="42" spans="1:33" ht="14.65" hidden="1" customHeight="1" outlineLevel="1" x14ac:dyDescent="0.25">
      <c r="A42" s="64" t="s">
        <v>117</v>
      </c>
      <c r="C42" s="63">
        <v>12572235.970000001</v>
      </c>
      <c r="D42" s="27">
        <v>15630559.840000002</v>
      </c>
      <c r="E42" s="27">
        <v>14250614.789999999</v>
      </c>
      <c r="F42" s="28">
        <f t="shared" ref="F42:F48" ca="1" si="18">SUM(C42:E42)</f>
        <v>42453410.600000001</v>
      </c>
      <c r="H42" s="63">
        <v>9036470.0099999998</v>
      </c>
      <c r="I42" s="27">
        <v>6631803.75</v>
      </c>
      <c r="J42" s="27">
        <v>4584544.38</v>
      </c>
      <c r="K42" s="28">
        <f ca="1">SUM(H42:J42)</f>
        <v>20252818.140000001</v>
      </c>
      <c r="M42" s="63">
        <v>4363670.16</v>
      </c>
      <c r="N42" s="27">
        <v>3404625.1100000003</v>
      </c>
      <c r="O42" s="27">
        <v>3130581.9299999997</v>
      </c>
      <c r="P42" s="28">
        <f t="shared" ca="1" si="3"/>
        <v>10898877.199999999</v>
      </c>
      <c r="Q42" s="27"/>
      <c r="R42" s="63">
        <v>1652364.0900000003</v>
      </c>
      <c r="S42" s="27">
        <v>1231493.0900000003</v>
      </c>
      <c r="T42" s="27">
        <v>1133022.2500000005</v>
      </c>
      <c r="U42" s="28">
        <f t="shared" ca="1" si="15"/>
        <v>4016879.4300000011</v>
      </c>
      <c r="V42" s="23"/>
      <c r="W42" s="63">
        <v>86133.149999999441</v>
      </c>
      <c r="X42" s="27">
        <v>3013134.9000000004</v>
      </c>
      <c r="Y42" s="27">
        <v>2906105.2199999997</v>
      </c>
      <c r="Z42" s="28">
        <f t="shared" ca="1" si="16"/>
        <v>6005373.2699999996</v>
      </c>
      <c r="AB42" s="63">
        <v>12944027.749999998</v>
      </c>
      <c r="AC42" s="27">
        <v>1574652.5699999989</v>
      </c>
      <c r="AD42" s="27">
        <v>0</v>
      </c>
      <c r="AE42" s="28">
        <f t="shared" ca="1" si="17"/>
        <v>14518680.319999997</v>
      </c>
      <c r="AG42" s="16"/>
    </row>
    <row r="43" spans="1:33" ht="14.65" hidden="1" customHeight="1" outlineLevel="1" x14ac:dyDescent="0.25">
      <c r="A43" s="64" t="s">
        <v>118</v>
      </c>
      <c r="C43" s="63">
        <v>5200452.01</v>
      </c>
      <c r="D43" s="27">
        <v>14983320.84</v>
      </c>
      <c r="E43" s="27">
        <v>12503423.449999999</v>
      </c>
      <c r="F43" s="28">
        <f t="shared" ca="1" si="18"/>
        <v>32687196.300000001</v>
      </c>
      <c r="H43" s="63">
        <v>10983590.959999999</v>
      </c>
      <c r="I43" s="27">
        <v>7759596.3399999999</v>
      </c>
      <c r="J43" s="27">
        <v>2902654.6999999993</v>
      </c>
      <c r="K43" s="28">
        <f t="shared" ref="K43:K48" ca="1" si="19">SUM(H43:J43)</f>
        <v>21645841.999999996</v>
      </c>
      <c r="M43" s="63">
        <v>2078260.2799999993</v>
      </c>
      <c r="N43" s="27">
        <v>3111900.51</v>
      </c>
      <c r="O43" s="27">
        <v>2086417.2600000007</v>
      </c>
      <c r="P43" s="28">
        <f t="shared" ca="1" si="3"/>
        <v>7276578.0499999998</v>
      </c>
      <c r="Q43" s="27"/>
      <c r="R43" s="63">
        <v>542651.27999999968</v>
      </c>
      <c r="S43" s="27">
        <v>499001.98999999987</v>
      </c>
      <c r="T43" s="27">
        <v>326114.08000000019</v>
      </c>
      <c r="U43" s="28">
        <f t="shared" ca="1" si="15"/>
        <v>1367767.3499999996</v>
      </c>
      <c r="V43" s="23"/>
      <c r="W43" s="63">
        <v>799681.23</v>
      </c>
      <c r="X43" s="27">
        <v>880351.8199999996</v>
      </c>
      <c r="Y43" s="27">
        <v>1824065.5500000003</v>
      </c>
      <c r="Z43" s="28">
        <f t="shared" ca="1" si="16"/>
        <v>3504098.5999999996</v>
      </c>
      <c r="AB43" s="63">
        <v>9733624.6400000006</v>
      </c>
      <c r="AC43" s="27">
        <v>358236</v>
      </c>
      <c r="AD43" s="27">
        <v>0</v>
      </c>
      <c r="AE43" s="28">
        <f t="shared" ca="1" si="17"/>
        <v>10091860.640000001</v>
      </c>
      <c r="AG43" s="16"/>
    </row>
    <row r="44" spans="1:33" ht="14.65" hidden="1" customHeight="1" outlineLevel="1" x14ac:dyDescent="0.25">
      <c r="A44" s="64" t="s">
        <v>119</v>
      </c>
      <c r="C44" s="63">
        <v>8997337.3299999982</v>
      </c>
      <c r="D44" s="27">
        <v>11851212.220000001</v>
      </c>
      <c r="E44" s="27">
        <v>19025657.009999998</v>
      </c>
      <c r="F44" s="28">
        <f t="shared" ca="1" si="18"/>
        <v>39874206.559999995</v>
      </c>
      <c r="H44" s="63">
        <v>14663887.890000001</v>
      </c>
      <c r="I44" s="27">
        <v>8258311.0200000014</v>
      </c>
      <c r="J44" s="27">
        <v>3281939.5999999996</v>
      </c>
      <c r="K44" s="28">
        <f t="shared" ca="1" si="19"/>
        <v>26204138.510000005</v>
      </c>
      <c r="M44" s="63">
        <v>6416285.3800000008</v>
      </c>
      <c r="N44" s="27">
        <v>6691226.8500000024</v>
      </c>
      <c r="O44" s="27">
        <v>4116922.22</v>
      </c>
      <c r="P44" s="28">
        <f t="shared" ca="1" si="3"/>
        <v>17224434.450000003</v>
      </c>
      <c r="Q44" s="27"/>
      <c r="R44" s="63">
        <v>1486923.75</v>
      </c>
      <c r="S44" s="27">
        <v>1119184.5599999996</v>
      </c>
      <c r="T44" s="27">
        <v>657443.96999999881</v>
      </c>
      <c r="U44" s="28">
        <f t="shared" ca="1" si="15"/>
        <v>3263552.2799999984</v>
      </c>
      <c r="V44" s="23"/>
      <c r="W44" s="63">
        <v>38684.890000000363</v>
      </c>
      <c r="X44" s="27">
        <v>376804.70000000042</v>
      </c>
      <c r="Y44" s="27">
        <v>6994051.9199999999</v>
      </c>
      <c r="Z44" s="28">
        <f t="shared" ca="1" si="16"/>
        <v>7409541.5100000007</v>
      </c>
      <c r="AB44" s="63">
        <v>19056018.149999999</v>
      </c>
      <c r="AC44" s="27">
        <v>2772091.55</v>
      </c>
      <c r="AD44" s="27">
        <v>0</v>
      </c>
      <c r="AE44" s="28">
        <f t="shared" ca="1" si="17"/>
        <v>21828109.699999999</v>
      </c>
      <c r="AG44" s="16"/>
    </row>
    <row r="45" spans="1:33" ht="14.65" hidden="1" customHeight="1" outlineLevel="1" x14ac:dyDescent="0.25">
      <c r="A45" s="64" t="s">
        <v>120</v>
      </c>
      <c r="C45" s="63">
        <v>0</v>
      </c>
      <c r="D45" s="27">
        <v>242642</v>
      </c>
      <c r="E45" s="27">
        <v>305.26999999955297</v>
      </c>
      <c r="F45" s="28">
        <f t="shared" ca="1" si="18"/>
        <v>242947.26999999955</v>
      </c>
      <c r="H45" s="63">
        <v>124016</v>
      </c>
      <c r="I45" s="27">
        <v>172625.13</v>
      </c>
      <c r="J45" s="27">
        <v>380149.10000000009</v>
      </c>
      <c r="K45" s="28">
        <f t="shared" ca="1" si="19"/>
        <v>676790.2300000001</v>
      </c>
      <c r="M45" s="63">
        <v>40791.149999999907</v>
      </c>
      <c r="N45" s="27">
        <v>89007.459999999497</v>
      </c>
      <c r="O45" s="27">
        <v>196027.25999999954</v>
      </c>
      <c r="P45" s="28">
        <f t="shared" ca="1" si="3"/>
        <v>325825.86999999895</v>
      </c>
      <c r="Q45" s="27"/>
      <c r="R45" s="63">
        <v>182336.09999999963</v>
      </c>
      <c r="S45" s="27">
        <v>0</v>
      </c>
      <c r="T45" s="27">
        <v>25000</v>
      </c>
      <c r="U45" s="28">
        <f t="shared" ca="1" si="15"/>
        <v>207336.09999999963</v>
      </c>
      <c r="V45" s="23"/>
      <c r="W45" s="63">
        <v>106073.5</v>
      </c>
      <c r="X45" s="27">
        <v>101011.58000000007</v>
      </c>
      <c r="Y45" s="27">
        <v>35000</v>
      </c>
      <c r="Z45" s="28">
        <f t="shared" ca="1" si="16"/>
        <v>242085.08000000007</v>
      </c>
      <c r="AB45" s="63">
        <v>352687</v>
      </c>
      <c r="AC45" s="27">
        <v>0</v>
      </c>
      <c r="AD45" s="27">
        <v>0</v>
      </c>
      <c r="AE45" s="28">
        <f t="shared" ca="1" si="17"/>
        <v>352687</v>
      </c>
      <c r="AG45" s="16"/>
    </row>
    <row r="46" spans="1:33" collapsed="1" x14ac:dyDescent="0.25">
      <c r="A46" s="66" t="s">
        <v>121</v>
      </c>
      <c r="C46" s="63">
        <v>7755565.96</v>
      </c>
      <c r="D46" s="27">
        <v>4435945.25</v>
      </c>
      <c r="E46" s="27">
        <v>3000343.91</v>
      </c>
      <c r="F46" s="28">
        <f t="shared" ca="1" si="18"/>
        <v>15191855.120000001</v>
      </c>
      <c r="H46" s="63">
        <v>15919959.16</v>
      </c>
      <c r="I46" s="27">
        <v>26243330.02</v>
      </c>
      <c r="J46" s="27">
        <v>13139485.91</v>
      </c>
      <c r="K46" s="28">
        <f t="shared" ca="1" si="19"/>
        <v>55302775.090000004</v>
      </c>
      <c r="M46" s="63">
        <v>5648638.0499999998</v>
      </c>
      <c r="N46" s="27">
        <v>1128558.8699999996</v>
      </c>
      <c r="O46" s="27">
        <v>3213255.97</v>
      </c>
      <c r="P46" s="28">
        <f t="shared" ca="1" si="3"/>
        <v>9990452.8900000006</v>
      </c>
      <c r="Q46" s="27"/>
      <c r="R46" s="63">
        <v>11584395.239999998</v>
      </c>
      <c r="S46" s="27">
        <v>2202392.4699999997</v>
      </c>
      <c r="T46" s="27">
        <v>10739187.1</v>
      </c>
      <c r="U46" s="28">
        <f t="shared" ca="1" si="15"/>
        <v>24525974.809999995</v>
      </c>
      <c r="V46" s="23"/>
      <c r="W46" s="63">
        <v>4972645.25</v>
      </c>
      <c r="X46" s="27">
        <v>8176439.2900000019</v>
      </c>
      <c r="Y46" s="27">
        <v>7532839.3200000012</v>
      </c>
      <c r="Z46" s="28">
        <f t="shared" ca="1" si="16"/>
        <v>20681923.860000003</v>
      </c>
      <c r="AB46" s="63">
        <v>19399315.609999999</v>
      </c>
      <c r="AC46" s="27">
        <v>744203.17999999993</v>
      </c>
      <c r="AD46" s="27">
        <v>0</v>
      </c>
      <c r="AE46" s="28">
        <f t="shared" ca="1" si="17"/>
        <v>20143518.789999999</v>
      </c>
      <c r="AG46" s="16"/>
    </row>
    <row r="47" spans="1:33" x14ac:dyDescent="0.25">
      <c r="A47" s="66" t="s">
        <v>122</v>
      </c>
      <c r="C47" s="63">
        <v>27058472.859999996</v>
      </c>
      <c r="D47" s="27">
        <v>13524458.959999999</v>
      </c>
      <c r="E47" s="27">
        <v>13825368.42</v>
      </c>
      <c r="F47" s="28">
        <f t="shared" ca="1" si="18"/>
        <v>54408300.239999995</v>
      </c>
      <c r="H47" s="63">
        <v>18864720.109999996</v>
      </c>
      <c r="I47" s="27">
        <v>39225728.040000014</v>
      </c>
      <c r="J47" s="27">
        <v>30985496.72000001</v>
      </c>
      <c r="K47" s="28">
        <f t="shared" ca="1" si="19"/>
        <v>89075944.87000002</v>
      </c>
      <c r="M47" s="63">
        <v>18042818.309999999</v>
      </c>
      <c r="N47" s="27">
        <v>15068316.75</v>
      </c>
      <c r="O47" s="27">
        <v>10034596.159999998</v>
      </c>
      <c r="P47" s="28">
        <f t="shared" ca="1" si="3"/>
        <v>43145731.219999999</v>
      </c>
      <c r="Q47" s="27"/>
      <c r="R47" s="63">
        <v>22309036.360000003</v>
      </c>
      <c r="S47" s="27">
        <v>27019748.440000009</v>
      </c>
      <c r="T47" s="27">
        <v>22146231.120000005</v>
      </c>
      <c r="U47" s="28">
        <f t="shared" ca="1" si="15"/>
        <v>71475015.920000017</v>
      </c>
      <c r="V47" s="23"/>
      <c r="W47" s="63">
        <v>20251789.359999999</v>
      </c>
      <c r="X47" s="27">
        <v>17109860.600000001</v>
      </c>
      <c r="Y47" s="27">
        <v>13365394.470000004</v>
      </c>
      <c r="Z47" s="28">
        <f t="shared" ca="1" si="16"/>
        <v>50727044.430000007</v>
      </c>
      <c r="AB47" s="63">
        <v>21826756.41</v>
      </c>
      <c r="AC47" s="27">
        <v>3361271.2999999993</v>
      </c>
      <c r="AD47" s="27">
        <v>0</v>
      </c>
      <c r="AE47" s="28">
        <f t="shared" ca="1" si="17"/>
        <v>25188027.710000001</v>
      </c>
      <c r="AG47" s="16"/>
    </row>
    <row r="48" spans="1:33" x14ac:dyDescent="0.25">
      <c r="A48" s="66" t="s">
        <v>123</v>
      </c>
      <c r="C48" s="63">
        <v>35406814.659999996</v>
      </c>
      <c r="D48" s="27">
        <v>56702775.239999995</v>
      </c>
      <c r="E48" s="27">
        <v>74170579.960000008</v>
      </c>
      <c r="F48" s="28">
        <f t="shared" ca="1" si="18"/>
        <v>166280169.86000001</v>
      </c>
      <c r="H48" s="63">
        <v>73988596.959999993</v>
      </c>
      <c r="I48" s="27">
        <v>59274839.129999995</v>
      </c>
      <c r="J48" s="27">
        <v>73998219.790000007</v>
      </c>
      <c r="K48" s="28">
        <f t="shared" ca="1" si="19"/>
        <v>207261655.88</v>
      </c>
      <c r="M48" s="63">
        <v>91335029.379999995</v>
      </c>
      <c r="N48" s="27">
        <v>54850547.080000013</v>
      </c>
      <c r="O48" s="27">
        <v>40430744.88000001</v>
      </c>
      <c r="P48" s="28">
        <f t="shared" ca="1" si="3"/>
        <v>186616321.34000003</v>
      </c>
      <c r="Q48" s="27"/>
      <c r="R48" s="63">
        <v>72099355.49000001</v>
      </c>
      <c r="S48" s="27">
        <v>42207165.739999995</v>
      </c>
      <c r="T48" s="27">
        <v>34947419.920000002</v>
      </c>
      <c r="U48" s="28">
        <f t="shared" ca="1" si="15"/>
        <v>149253941.15000001</v>
      </c>
      <c r="V48" s="23"/>
      <c r="W48" s="63">
        <v>41925909.420000002</v>
      </c>
      <c r="X48" s="27">
        <v>39293149.949999988</v>
      </c>
      <c r="Y48" s="27">
        <v>29018706.969999999</v>
      </c>
      <c r="Z48" s="28">
        <f t="shared" ca="1" si="16"/>
        <v>110237766.33999999</v>
      </c>
      <c r="AB48" s="63">
        <v>28499833.039999999</v>
      </c>
      <c r="AC48" s="27">
        <v>55590.180000000633</v>
      </c>
      <c r="AD48" s="27">
        <v>0</v>
      </c>
      <c r="AE48" s="28">
        <f t="shared" ca="1" si="17"/>
        <v>28555423.219999999</v>
      </c>
      <c r="AG48" s="16"/>
    </row>
    <row r="49" spans="1:33" x14ac:dyDescent="0.25">
      <c r="A49" s="66" t="s">
        <v>124</v>
      </c>
      <c r="C49" s="63">
        <f ca="1">SUM(C50:C53)</f>
        <v>32819151.289999999</v>
      </c>
      <c r="D49" s="27">
        <f t="shared" ref="D49:K49" ca="1" si="20">SUM(D50:D53)</f>
        <v>60714476.739999995</v>
      </c>
      <c r="E49" s="27">
        <f t="shared" ca="1" si="20"/>
        <v>28293669.260000002</v>
      </c>
      <c r="F49" s="28">
        <f t="shared" ca="1" si="20"/>
        <v>121827297.28999999</v>
      </c>
      <c r="H49" s="63">
        <f t="shared" ca="1" si="20"/>
        <v>40453862.880000003</v>
      </c>
      <c r="I49" s="27">
        <f t="shared" ca="1" si="20"/>
        <v>46044044.870000005</v>
      </c>
      <c r="J49" s="27">
        <f t="shared" ca="1" si="20"/>
        <v>46051647.269999996</v>
      </c>
      <c r="K49" s="28">
        <f t="shared" ca="1" si="20"/>
        <v>132549555.02000001</v>
      </c>
      <c r="M49" s="63">
        <f ca="1">SUM(M50:M53)</f>
        <v>36695458.039999999</v>
      </c>
      <c r="N49" s="27">
        <f ca="1">SUM(N50:N53)</f>
        <v>47904990.799999997</v>
      </c>
      <c r="O49" s="27">
        <f ca="1">SUM(O50:O53)</f>
        <v>37795113.750000007</v>
      </c>
      <c r="P49" s="28">
        <f t="shared" ca="1" si="3"/>
        <v>122395562.59</v>
      </c>
      <c r="Q49" s="27"/>
      <c r="R49" s="63">
        <f ca="1">SUM(R50:R53)</f>
        <v>65946822.439999998</v>
      </c>
      <c r="S49" s="27">
        <f ca="1">SUM(S50:S53)</f>
        <v>39145208.07</v>
      </c>
      <c r="T49" s="27">
        <f ca="1">SUM(T50:T53)</f>
        <v>31581480.409999996</v>
      </c>
      <c r="U49" s="28">
        <f t="shared" ca="1" si="15"/>
        <v>136673510.91999999</v>
      </c>
      <c r="V49" s="23"/>
      <c r="W49" s="63">
        <f ca="1">SUM(W50:W53)</f>
        <v>24305697.82</v>
      </c>
      <c r="X49" s="27">
        <f ca="1">SUM(X50:X53)</f>
        <v>6961884.0399999972</v>
      </c>
      <c r="Y49" s="27">
        <f ca="1">SUM(Y50:Y53)</f>
        <v>16122884.4</v>
      </c>
      <c r="Z49" s="28">
        <f t="shared" ca="1" si="16"/>
        <v>47390466.259999998</v>
      </c>
      <c r="AB49" s="63">
        <f ca="1">SUM(AB50:AB53)</f>
        <v>19179151.399999999</v>
      </c>
      <c r="AC49" s="27">
        <f ca="1">SUM(AC50:AC53)</f>
        <v>1995632</v>
      </c>
      <c r="AD49" s="27">
        <f ca="1">SUM(AD50:AD53)</f>
        <v>0</v>
      </c>
      <c r="AE49" s="28">
        <f t="shared" ca="1" si="17"/>
        <v>21174783.399999999</v>
      </c>
      <c r="AG49" s="16"/>
    </row>
    <row r="50" spans="1:33" ht="14.65" hidden="1" customHeight="1" outlineLevel="1" x14ac:dyDescent="0.25">
      <c r="A50" s="64" t="s">
        <v>125</v>
      </c>
      <c r="C50" s="63">
        <v>30069755.289999999</v>
      </c>
      <c r="D50" s="27">
        <v>42115215.739999995</v>
      </c>
      <c r="E50" s="27">
        <v>18422869.940000001</v>
      </c>
      <c r="F50" s="28">
        <f ca="1">SUM(C50:E50)</f>
        <v>90607840.969999999</v>
      </c>
      <c r="H50" s="63">
        <v>34051946.480000004</v>
      </c>
      <c r="I50" s="27">
        <v>31404207.810000002</v>
      </c>
      <c r="J50" s="27">
        <v>17004897.969999999</v>
      </c>
      <c r="K50" s="28">
        <f ca="1">SUM(H50:J50)</f>
        <v>82461052.260000005</v>
      </c>
      <c r="M50" s="63">
        <v>25251979.850000001</v>
      </c>
      <c r="N50" s="27">
        <v>35894971.799999997</v>
      </c>
      <c r="O50" s="27">
        <v>25149360.750000007</v>
      </c>
      <c r="P50" s="28">
        <f t="shared" ca="1" si="3"/>
        <v>86296312.400000006</v>
      </c>
      <c r="Q50" s="27"/>
      <c r="R50" s="63">
        <v>32806063.740000002</v>
      </c>
      <c r="S50" s="27">
        <v>35103218.07</v>
      </c>
      <c r="T50" s="27">
        <v>14675890.01</v>
      </c>
      <c r="U50" s="28">
        <f t="shared" ca="1" si="15"/>
        <v>82585171.820000008</v>
      </c>
      <c r="V50" s="23"/>
      <c r="W50" s="63">
        <v>7250000</v>
      </c>
      <c r="X50" s="27">
        <v>1150229.0399999972</v>
      </c>
      <c r="Y50" s="27">
        <v>0</v>
      </c>
      <c r="Z50" s="28">
        <f t="shared" ca="1" si="16"/>
        <v>8400229.0399999972</v>
      </c>
      <c r="AB50" s="63">
        <v>3633300</v>
      </c>
      <c r="AC50" s="27">
        <v>1995632</v>
      </c>
      <c r="AD50" s="27">
        <v>0</v>
      </c>
      <c r="AE50" s="28">
        <f t="shared" ca="1" si="17"/>
        <v>5628932</v>
      </c>
      <c r="AG50" s="16"/>
    </row>
    <row r="51" spans="1:33" ht="14.65" hidden="1" customHeight="1" outlineLevel="1" x14ac:dyDescent="0.25">
      <c r="A51" s="64" t="s">
        <v>126</v>
      </c>
      <c r="C51" s="63">
        <v>0</v>
      </c>
      <c r="D51" s="27">
        <v>13000000</v>
      </c>
      <c r="E51" s="27">
        <v>0</v>
      </c>
      <c r="F51" s="28">
        <f ca="1">SUM(C51:E51)</f>
        <v>13000000</v>
      </c>
      <c r="H51" s="63">
        <v>0</v>
      </c>
      <c r="I51" s="27">
        <v>0</v>
      </c>
      <c r="J51" s="27">
        <v>19500000</v>
      </c>
      <c r="K51" s="28">
        <f ca="1">SUM(H51:J51)</f>
        <v>19500000</v>
      </c>
      <c r="M51" s="63">
        <v>0</v>
      </c>
      <c r="N51" s="27">
        <v>0</v>
      </c>
      <c r="O51" s="27">
        <v>0</v>
      </c>
      <c r="P51" s="28">
        <f t="shared" ca="1" si="3"/>
        <v>0</v>
      </c>
      <c r="Q51" s="27"/>
      <c r="R51" s="63">
        <v>13000000</v>
      </c>
      <c r="S51" s="27">
        <v>0</v>
      </c>
      <c r="T51" s="27">
        <v>0</v>
      </c>
      <c r="U51" s="28">
        <f t="shared" ca="1" si="15"/>
        <v>13000000</v>
      </c>
      <c r="V51" s="23"/>
      <c r="W51" s="63">
        <v>0</v>
      </c>
      <c r="X51" s="27">
        <v>0</v>
      </c>
      <c r="Y51" s="27">
        <v>0</v>
      </c>
      <c r="Z51" s="28">
        <f t="shared" ca="1" si="16"/>
        <v>0</v>
      </c>
      <c r="AB51" s="63">
        <v>0</v>
      </c>
      <c r="AC51" s="27">
        <v>0</v>
      </c>
      <c r="AD51" s="27">
        <v>0</v>
      </c>
      <c r="AE51" s="28">
        <f t="shared" ca="1" si="17"/>
        <v>0</v>
      </c>
      <c r="AG51" s="16"/>
    </row>
    <row r="52" spans="1:33" ht="14.65" hidden="1" customHeight="1" outlineLevel="1" x14ac:dyDescent="0.25">
      <c r="A52" s="64" t="s">
        <v>127</v>
      </c>
      <c r="C52" s="63">
        <v>0</v>
      </c>
      <c r="D52" s="27">
        <v>0</v>
      </c>
      <c r="E52" s="27">
        <v>0</v>
      </c>
      <c r="F52" s="28">
        <f ca="1">SUM(C52:E52)</f>
        <v>0</v>
      </c>
      <c r="H52" s="63">
        <v>0</v>
      </c>
      <c r="I52" s="27">
        <v>0</v>
      </c>
      <c r="J52" s="27">
        <v>0</v>
      </c>
      <c r="K52" s="28">
        <f ca="1">SUM(H52:J52)</f>
        <v>0</v>
      </c>
      <c r="M52" s="63">
        <v>0</v>
      </c>
      <c r="N52" s="27">
        <v>0</v>
      </c>
      <c r="O52" s="27">
        <v>0</v>
      </c>
      <c r="P52" s="28">
        <f ca="1">SUM(M52:O52)</f>
        <v>0</v>
      </c>
      <c r="Q52" s="27"/>
      <c r="R52" s="63">
        <v>0</v>
      </c>
      <c r="S52" s="27">
        <v>0</v>
      </c>
      <c r="T52" s="27">
        <v>0</v>
      </c>
      <c r="U52" s="28">
        <f ca="1">SUM(R52:T52)</f>
        <v>0</v>
      </c>
      <c r="V52" s="23"/>
      <c r="W52" s="63">
        <v>0</v>
      </c>
      <c r="X52" s="27">
        <v>0</v>
      </c>
      <c r="Y52" s="27">
        <v>0</v>
      </c>
      <c r="Z52" s="28">
        <f ca="1">SUM(W52:Y52)</f>
        <v>0</v>
      </c>
      <c r="AB52" s="63">
        <v>0</v>
      </c>
      <c r="AC52" s="27">
        <v>0</v>
      </c>
      <c r="AD52" s="27">
        <v>0</v>
      </c>
      <c r="AE52" s="28">
        <f ca="1">SUM(AB52:AD52)</f>
        <v>0</v>
      </c>
      <c r="AG52" s="16"/>
    </row>
    <row r="53" spans="1:33" ht="14.65" hidden="1" customHeight="1" outlineLevel="1" x14ac:dyDescent="0.25">
      <c r="A53" s="64" t="s">
        <v>128</v>
      </c>
      <c r="C53" s="63">
        <v>2749396</v>
      </c>
      <c r="D53" s="27">
        <v>5599261</v>
      </c>
      <c r="E53" s="27">
        <v>9870799.3200000003</v>
      </c>
      <c r="F53" s="28">
        <f ca="1">SUM(C53:E53)</f>
        <v>18219456.32</v>
      </c>
      <c r="H53" s="63">
        <v>6401916.4000000004</v>
      </c>
      <c r="I53" s="27">
        <v>14639837.060000001</v>
      </c>
      <c r="J53" s="27">
        <v>9546749.3000000007</v>
      </c>
      <c r="K53" s="28">
        <f ca="1">SUM(H53:J53)</f>
        <v>30588502.760000002</v>
      </c>
      <c r="M53" s="63">
        <v>11443478.189999999</v>
      </c>
      <c r="N53" s="27">
        <v>12010019</v>
      </c>
      <c r="O53" s="27">
        <v>12645753</v>
      </c>
      <c r="P53" s="28">
        <f t="shared" ca="1" si="3"/>
        <v>36099250.189999998</v>
      </c>
      <c r="Q53" s="27"/>
      <c r="R53" s="63">
        <v>20140758.699999999</v>
      </c>
      <c r="S53" s="27">
        <v>4041990</v>
      </c>
      <c r="T53" s="27">
        <v>16905590.399999999</v>
      </c>
      <c r="U53" s="28">
        <f t="shared" ca="1" si="15"/>
        <v>41088339.099999994</v>
      </c>
      <c r="V53" s="23"/>
      <c r="W53" s="63">
        <v>17055697.82</v>
      </c>
      <c r="X53" s="27">
        <v>5811655</v>
      </c>
      <c r="Y53" s="27">
        <v>16122884.4</v>
      </c>
      <c r="Z53" s="28">
        <f t="shared" ca="1" si="16"/>
        <v>38990237.219999999</v>
      </c>
      <c r="AB53" s="63">
        <v>15545851.4</v>
      </c>
      <c r="AC53" s="27">
        <v>0</v>
      </c>
      <c r="AD53" s="27">
        <v>0</v>
      </c>
      <c r="AE53" s="28">
        <f t="shared" ca="1" si="17"/>
        <v>15545851.4</v>
      </c>
      <c r="AG53" s="16"/>
    </row>
    <row r="54" spans="1:33" collapsed="1" x14ac:dyDescent="0.25">
      <c r="A54" s="66" t="s">
        <v>129</v>
      </c>
      <c r="C54" s="63">
        <f ca="1">SUM(C55:C60)</f>
        <v>110658324.31999999</v>
      </c>
      <c r="D54" s="27">
        <f t="shared" ref="D54:K54" ca="1" si="21">SUM(D55:D60)</f>
        <v>110952155</v>
      </c>
      <c r="E54" s="27">
        <f t="shared" ca="1" si="21"/>
        <v>103863198.26000002</v>
      </c>
      <c r="F54" s="28">
        <f t="shared" ca="1" si="21"/>
        <v>325473677.57999998</v>
      </c>
      <c r="H54" s="63">
        <f t="shared" ca="1" si="21"/>
        <v>112547220.56</v>
      </c>
      <c r="I54" s="27">
        <f t="shared" ca="1" si="21"/>
        <v>106193319.00999999</v>
      </c>
      <c r="J54" s="27">
        <f t="shared" ca="1" si="21"/>
        <v>127318124.60999998</v>
      </c>
      <c r="K54" s="28">
        <f t="shared" ca="1" si="21"/>
        <v>346058664.18000007</v>
      </c>
      <c r="M54" s="63">
        <f ca="1">SUM(M55:M60)</f>
        <v>147981059.93000001</v>
      </c>
      <c r="N54" s="27">
        <f ca="1">SUM(N55:N60)</f>
        <v>116992762.19000001</v>
      </c>
      <c r="O54" s="27">
        <f ca="1">SUM(O55:O60)</f>
        <v>116686166.56</v>
      </c>
      <c r="P54" s="28">
        <f t="shared" ca="1" si="3"/>
        <v>381659988.68000001</v>
      </c>
      <c r="Q54" s="27"/>
      <c r="R54" s="63">
        <f ca="1">SUM(R55:R60)</f>
        <v>117855347.51000002</v>
      </c>
      <c r="S54" s="27">
        <f ca="1">SUM(S55:S60)</f>
        <v>64041543.290000007</v>
      </c>
      <c r="T54" s="27">
        <f ca="1">SUM(T55:T60)</f>
        <v>105704501.87999998</v>
      </c>
      <c r="U54" s="28">
        <f t="shared" ca="1" si="15"/>
        <v>287601392.68000001</v>
      </c>
      <c r="V54" s="23"/>
      <c r="W54" s="63">
        <f ca="1">SUM(W55:W60)</f>
        <v>153360743.29000002</v>
      </c>
      <c r="X54" s="27">
        <f ca="1">SUM(X55:X60)</f>
        <v>126883891.13999999</v>
      </c>
      <c r="Y54" s="27">
        <f ca="1">SUM(Y55:Y60)</f>
        <v>98619753.299999997</v>
      </c>
      <c r="Z54" s="28">
        <f t="shared" ca="1" si="16"/>
        <v>378864387.73000002</v>
      </c>
      <c r="AB54" s="63">
        <f ca="1">SUM(AB55:AB60)</f>
        <v>95974573.200000018</v>
      </c>
      <c r="AC54" s="27">
        <f ca="1">SUM(AC55:AC60)</f>
        <v>7152144.9199999999</v>
      </c>
      <c r="AD54" s="27">
        <f ca="1">SUM(AD55:AD60)</f>
        <v>0</v>
      </c>
      <c r="AE54" s="28">
        <f t="shared" ca="1" si="17"/>
        <v>103126718.12000002</v>
      </c>
      <c r="AG54" s="16"/>
    </row>
    <row r="55" spans="1:33" ht="14.65" hidden="1" customHeight="1" outlineLevel="1" x14ac:dyDescent="0.25">
      <c r="A55" s="64" t="s">
        <v>130</v>
      </c>
      <c r="C55" s="63">
        <v>13527485.41</v>
      </c>
      <c r="D55" s="27">
        <v>9844708.5199999977</v>
      </c>
      <c r="E55" s="27">
        <v>20115341.309999999</v>
      </c>
      <c r="F55" s="28">
        <f t="shared" ref="F55:F60" ca="1" si="22">SUM(C55:E55)</f>
        <v>43487535.239999995</v>
      </c>
      <c r="H55" s="63">
        <v>27338700.530000005</v>
      </c>
      <c r="I55" s="27">
        <v>25635431.930000003</v>
      </c>
      <c r="J55" s="27">
        <v>19429819.010000002</v>
      </c>
      <c r="K55" s="28">
        <f t="shared" ref="K55:K60" ca="1" si="23">SUM(H55:J55)</f>
        <v>72403951.470000014</v>
      </c>
      <c r="M55" s="63">
        <v>15976987.159999998</v>
      </c>
      <c r="N55" s="27">
        <v>10098643.000000002</v>
      </c>
      <c r="O55" s="27">
        <v>21030217.370000001</v>
      </c>
      <c r="P55" s="28">
        <f t="shared" ca="1" si="3"/>
        <v>47105847.530000001</v>
      </c>
      <c r="Q55" s="27"/>
      <c r="R55" s="63">
        <v>28941889.710000008</v>
      </c>
      <c r="S55" s="27">
        <v>16829666.169999994</v>
      </c>
      <c r="T55" s="27">
        <v>16177521.229999999</v>
      </c>
      <c r="U55" s="28">
        <f t="shared" ca="1" si="15"/>
        <v>61949077.109999999</v>
      </c>
      <c r="V55" s="23"/>
      <c r="W55" s="63">
        <v>18871758.180000003</v>
      </c>
      <c r="X55" s="27">
        <v>12025468.449999997</v>
      </c>
      <c r="Y55" s="27">
        <v>19050199.240000006</v>
      </c>
      <c r="Z55" s="28">
        <f t="shared" ca="1" si="16"/>
        <v>49947425.870000005</v>
      </c>
      <c r="AB55" s="63">
        <v>23062456.090000004</v>
      </c>
      <c r="AC55" s="27">
        <v>1635207.27</v>
      </c>
      <c r="AD55" s="27">
        <v>0</v>
      </c>
      <c r="AE55" s="28">
        <f t="shared" ca="1" si="17"/>
        <v>24697663.360000003</v>
      </c>
      <c r="AG55" s="16"/>
    </row>
    <row r="56" spans="1:33" ht="14.65" hidden="1" customHeight="1" outlineLevel="1" x14ac:dyDescent="0.25">
      <c r="A56" s="64" t="s">
        <v>131</v>
      </c>
      <c r="C56" s="63">
        <v>16041319.35</v>
      </c>
      <c r="D56" s="27">
        <v>31525844.670000006</v>
      </c>
      <c r="E56" s="27">
        <v>17037762.720000006</v>
      </c>
      <c r="F56" s="28">
        <f t="shared" ca="1" si="22"/>
        <v>64604926.74000001</v>
      </c>
      <c r="H56" s="63">
        <v>16093761.550000003</v>
      </c>
      <c r="I56" s="27">
        <v>9576466.1100000013</v>
      </c>
      <c r="J56" s="27">
        <v>5711126.3399999989</v>
      </c>
      <c r="K56" s="28">
        <f t="shared" ca="1" si="23"/>
        <v>31381354.000000004</v>
      </c>
      <c r="M56" s="63">
        <v>21804812.640000004</v>
      </c>
      <c r="N56" s="27">
        <v>28241703.740000006</v>
      </c>
      <c r="O56" s="27">
        <v>23085357.870000012</v>
      </c>
      <c r="P56" s="28">
        <f t="shared" ca="1" si="3"/>
        <v>73131874.25000003</v>
      </c>
      <c r="Q56" s="27"/>
      <c r="R56" s="63">
        <v>19201315.620000005</v>
      </c>
      <c r="S56" s="27">
        <v>9310013.1699999999</v>
      </c>
      <c r="T56" s="27">
        <v>7664062.7499999981</v>
      </c>
      <c r="U56" s="28">
        <f t="shared" ca="1" si="15"/>
        <v>36175391.540000007</v>
      </c>
      <c r="V56" s="23"/>
      <c r="W56" s="63">
        <v>23385313.410000004</v>
      </c>
      <c r="X56" s="27">
        <v>33515573.609999992</v>
      </c>
      <c r="Y56" s="27">
        <v>15187769.409999998</v>
      </c>
      <c r="Z56" s="28">
        <f t="shared" ca="1" si="16"/>
        <v>72088656.429999992</v>
      </c>
      <c r="AB56" s="63">
        <v>13390240.949999999</v>
      </c>
      <c r="AC56" s="27">
        <v>794136.82999999984</v>
      </c>
      <c r="AD56" s="27">
        <v>0</v>
      </c>
      <c r="AE56" s="28">
        <f t="shared" ca="1" si="17"/>
        <v>14184377.779999999</v>
      </c>
      <c r="AG56" s="16"/>
    </row>
    <row r="57" spans="1:33" ht="14.65" hidden="1" customHeight="1" outlineLevel="1" x14ac:dyDescent="0.25">
      <c r="A57" s="64" t="s">
        <v>132</v>
      </c>
      <c r="C57" s="63">
        <v>20237355.860000003</v>
      </c>
      <c r="D57" s="27">
        <v>12213387.09</v>
      </c>
      <c r="E57" s="27">
        <v>10267607.020000001</v>
      </c>
      <c r="F57" s="28">
        <f t="shared" ca="1" si="22"/>
        <v>42718349.970000006</v>
      </c>
      <c r="H57" s="63">
        <v>7920212.5899999989</v>
      </c>
      <c r="I57" s="27">
        <v>13143752.020000001</v>
      </c>
      <c r="J57" s="27">
        <v>33535372.689999998</v>
      </c>
      <c r="K57" s="28">
        <f t="shared" ca="1" si="23"/>
        <v>54599337.299999997</v>
      </c>
      <c r="M57" s="63">
        <v>27464270.589999989</v>
      </c>
      <c r="N57" s="27">
        <v>16754259.999999998</v>
      </c>
      <c r="O57" s="27">
        <v>12164418.220000003</v>
      </c>
      <c r="P57" s="28">
        <f t="shared" ca="1" si="3"/>
        <v>56382948.809999987</v>
      </c>
      <c r="Q57" s="27"/>
      <c r="R57" s="63">
        <v>11080725.630000001</v>
      </c>
      <c r="S57" s="27">
        <v>10500051.080000002</v>
      </c>
      <c r="T57" s="27">
        <v>36826670.699999988</v>
      </c>
      <c r="U57" s="28">
        <f t="shared" ca="1" si="15"/>
        <v>58407447.409999989</v>
      </c>
      <c r="V57" s="23"/>
      <c r="W57" s="63">
        <v>20920791.34</v>
      </c>
      <c r="X57" s="27">
        <v>15193647.18</v>
      </c>
      <c r="Y57" s="27">
        <v>10212284.080000002</v>
      </c>
      <c r="Z57" s="28">
        <f t="shared" ca="1" si="16"/>
        <v>46326722.599999994</v>
      </c>
      <c r="AB57" s="63">
        <v>7139886.54</v>
      </c>
      <c r="AC57" s="27">
        <v>526510.81000000006</v>
      </c>
      <c r="AD57" s="27">
        <v>0</v>
      </c>
      <c r="AE57" s="28">
        <f t="shared" ca="1" si="17"/>
        <v>7666397.3499999996</v>
      </c>
      <c r="AG57" s="16"/>
    </row>
    <row r="58" spans="1:33" ht="14.65" hidden="1" customHeight="1" outlineLevel="1" x14ac:dyDescent="0.25">
      <c r="A58" s="64" t="s">
        <v>133</v>
      </c>
      <c r="C58" s="63">
        <v>16989909.569999997</v>
      </c>
      <c r="D58" s="27">
        <v>19303861.769999996</v>
      </c>
      <c r="E58" s="27">
        <v>23630500.02</v>
      </c>
      <c r="F58" s="28">
        <f t="shared" ca="1" si="22"/>
        <v>59924271.359999985</v>
      </c>
      <c r="H58" s="63">
        <v>25434778.130000018</v>
      </c>
      <c r="I58" s="27">
        <v>18957107.349999994</v>
      </c>
      <c r="J58" s="27">
        <v>15551269.580000004</v>
      </c>
      <c r="K58" s="28">
        <f t="shared" ca="1" si="23"/>
        <v>59943155.060000017</v>
      </c>
      <c r="M58" s="63">
        <v>26129244.099999998</v>
      </c>
      <c r="N58" s="27">
        <v>22429801.740000006</v>
      </c>
      <c r="O58" s="27">
        <v>27664440.960000008</v>
      </c>
      <c r="P58" s="28">
        <f t="shared" ca="1" si="3"/>
        <v>76223486.800000012</v>
      </c>
      <c r="Q58" s="27"/>
      <c r="R58" s="63">
        <v>24188471.48</v>
      </c>
      <c r="S58" s="27">
        <v>10958402.340000002</v>
      </c>
      <c r="T58" s="27">
        <v>11275278.719999999</v>
      </c>
      <c r="U58" s="28">
        <f t="shared" ca="1" si="15"/>
        <v>46422152.539999999</v>
      </c>
      <c r="V58" s="23"/>
      <c r="W58" s="63">
        <v>26177153.769999996</v>
      </c>
      <c r="X58" s="27">
        <v>22518282.689999998</v>
      </c>
      <c r="Y58" s="27">
        <v>21506507.529999997</v>
      </c>
      <c r="Z58" s="28">
        <f t="shared" ca="1" si="16"/>
        <v>70201943.989999995</v>
      </c>
      <c r="AB58" s="63">
        <v>23863232.969999999</v>
      </c>
      <c r="AC58" s="27">
        <v>1806461.0100000002</v>
      </c>
      <c r="AD58" s="27">
        <v>0</v>
      </c>
      <c r="AE58" s="28">
        <f t="shared" ca="1" si="17"/>
        <v>25669693.98</v>
      </c>
      <c r="AG58" s="16"/>
    </row>
    <row r="59" spans="1:33" ht="14.65" hidden="1" customHeight="1" outlineLevel="1" x14ac:dyDescent="0.25">
      <c r="A59" s="64" t="s">
        <v>134</v>
      </c>
      <c r="C59" s="63">
        <v>23462918.329999994</v>
      </c>
      <c r="D59" s="27">
        <v>20003995.549999997</v>
      </c>
      <c r="E59" s="27">
        <v>14078647.370000001</v>
      </c>
      <c r="F59" s="28">
        <f t="shared" ca="1" si="22"/>
        <v>57545561.25</v>
      </c>
      <c r="H59" s="63">
        <v>15019659.52</v>
      </c>
      <c r="I59" s="27">
        <v>16582514.1</v>
      </c>
      <c r="J59" s="27">
        <v>26512822.359999992</v>
      </c>
      <c r="K59" s="28">
        <f t="shared" ca="1" si="23"/>
        <v>58114995.979999989</v>
      </c>
      <c r="M59" s="63">
        <v>26361482.259999998</v>
      </c>
      <c r="N59" s="27">
        <v>18353598.970000003</v>
      </c>
      <c r="O59" s="27">
        <v>14594115.520000001</v>
      </c>
      <c r="P59" s="28">
        <f t="shared" ca="1" si="3"/>
        <v>59309196.750000007</v>
      </c>
      <c r="Q59" s="27"/>
      <c r="R59" s="63">
        <v>15625079.259999998</v>
      </c>
      <c r="S59" s="27">
        <v>6402033.8599999994</v>
      </c>
      <c r="T59" s="27">
        <v>20233322.260000002</v>
      </c>
      <c r="U59" s="28">
        <f t="shared" ca="1" si="15"/>
        <v>42260435.379999995</v>
      </c>
      <c r="V59" s="23"/>
      <c r="W59" s="63">
        <v>29494699.240000006</v>
      </c>
      <c r="X59" s="27">
        <v>19577044.460000005</v>
      </c>
      <c r="Y59" s="27">
        <v>13662891.339999994</v>
      </c>
      <c r="Z59" s="28">
        <f t="shared" ca="1" si="16"/>
        <v>62734635.040000007</v>
      </c>
      <c r="AB59" s="63">
        <v>12921993.839999998</v>
      </c>
      <c r="AC59" s="27">
        <v>662504.77999999991</v>
      </c>
      <c r="AD59" s="27">
        <v>0</v>
      </c>
      <c r="AE59" s="28">
        <f t="shared" ca="1" si="17"/>
        <v>13584498.619999997</v>
      </c>
      <c r="AG59" s="16"/>
    </row>
    <row r="60" spans="1:33" ht="14.65" hidden="1" customHeight="1" outlineLevel="1" collapsed="1" x14ac:dyDescent="0.25">
      <c r="A60" s="64" t="s">
        <v>135</v>
      </c>
      <c r="C60" s="63">
        <v>20399335.800000001</v>
      </c>
      <c r="D60" s="27">
        <v>18060357.399999999</v>
      </c>
      <c r="E60" s="27">
        <v>18733339.82</v>
      </c>
      <c r="F60" s="28">
        <f t="shared" ca="1" si="22"/>
        <v>57193033.020000003</v>
      </c>
      <c r="H60" s="63">
        <v>20740108.239999998</v>
      </c>
      <c r="I60" s="27">
        <v>22298047.5</v>
      </c>
      <c r="J60" s="27">
        <v>26577714.630000003</v>
      </c>
      <c r="K60" s="28">
        <f t="shared" ca="1" si="23"/>
        <v>69615870.370000005</v>
      </c>
      <c r="M60" s="63">
        <v>30244263.179999996</v>
      </c>
      <c r="N60" s="27">
        <v>21114754.739999998</v>
      </c>
      <c r="O60" s="27">
        <v>18147616.619999997</v>
      </c>
      <c r="P60" s="28">
        <f t="shared" ca="1" si="3"/>
        <v>69506634.539999992</v>
      </c>
      <c r="Q60" s="27"/>
      <c r="R60" s="63">
        <v>18817865.809999999</v>
      </c>
      <c r="S60" s="27">
        <v>10041376.67</v>
      </c>
      <c r="T60" s="27">
        <v>13527646.219999997</v>
      </c>
      <c r="U60" s="28">
        <f t="shared" ca="1" si="15"/>
        <v>42386888.699999996</v>
      </c>
      <c r="V60" s="23"/>
      <c r="W60" s="63">
        <v>34511027.350000001</v>
      </c>
      <c r="X60" s="27">
        <v>24053874.75</v>
      </c>
      <c r="Y60" s="27">
        <v>19000101.699999999</v>
      </c>
      <c r="Z60" s="28">
        <f t="shared" ca="1" si="16"/>
        <v>77565003.799999997</v>
      </c>
      <c r="AB60" s="63">
        <v>15596762.810000001</v>
      </c>
      <c r="AC60" s="27">
        <v>1727324.2199999997</v>
      </c>
      <c r="AD60" s="27">
        <v>0</v>
      </c>
      <c r="AE60" s="28">
        <f t="shared" ca="1" si="17"/>
        <v>17324087.030000001</v>
      </c>
      <c r="AG60" s="16"/>
    </row>
    <row r="61" spans="1:33" collapsed="1" x14ac:dyDescent="0.25">
      <c r="A61" s="66" t="s">
        <v>136</v>
      </c>
      <c r="C61" s="63">
        <f ca="1">SUM(C62:C64)</f>
        <v>26618472.829999994</v>
      </c>
      <c r="D61" s="27">
        <f t="shared" ref="D61:K61" ca="1" si="24">SUM(D62:D64)</f>
        <v>28620991.829999998</v>
      </c>
      <c r="E61" s="27">
        <f t="shared" ca="1" si="24"/>
        <v>39258594.099999994</v>
      </c>
      <c r="F61" s="28">
        <f t="shared" ca="1" si="24"/>
        <v>94498058.75999999</v>
      </c>
      <c r="H61" s="63">
        <f t="shared" ca="1" si="24"/>
        <v>43067005.659999996</v>
      </c>
      <c r="I61" s="27">
        <f t="shared" ca="1" si="24"/>
        <v>29794816.239999998</v>
      </c>
      <c r="J61" s="27">
        <f t="shared" ca="1" si="24"/>
        <v>20943482.25</v>
      </c>
      <c r="K61" s="28">
        <f t="shared" ca="1" si="24"/>
        <v>93805304.149999991</v>
      </c>
      <c r="M61" s="63">
        <f ca="1">SUM(M62:M64)</f>
        <v>25633860.050000004</v>
      </c>
      <c r="N61" s="27">
        <f ca="1">SUM(N62:N64)</f>
        <v>14355258.029999999</v>
      </c>
      <c r="O61" s="27">
        <f ca="1">SUM(O62:O64)</f>
        <v>9204472.5899999999</v>
      </c>
      <c r="P61" s="28">
        <f t="shared" ca="1" si="3"/>
        <v>49193590.670000002</v>
      </c>
      <c r="Q61" s="27"/>
      <c r="R61" s="63">
        <f ca="1">SUM(R62:R64)</f>
        <v>5467205.8899999997</v>
      </c>
      <c r="S61" s="27">
        <f ca="1">SUM(S62:S64)</f>
        <v>4679319.9200000018</v>
      </c>
      <c r="T61" s="27">
        <f ca="1">SUM(T62:T64)</f>
        <v>6496669.6500000004</v>
      </c>
      <c r="U61" s="28">
        <f t="shared" ca="1" si="15"/>
        <v>16643195.460000003</v>
      </c>
      <c r="V61" s="23"/>
      <c r="W61" s="63">
        <f ca="1">SUM(W62:W64)</f>
        <v>7379515.75</v>
      </c>
      <c r="X61" s="27">
        <f ca="1">SUM(X62:X64)</f>
        <v>5738245.5500000007</v>
      </c>
      <c r="Y61" s="27">
        <f ca="1">SUM(Y62:Y64)</f>
        <v>5030494.7200000007</v>
      </c>
      <c r="Z61" s="28">
        <f t="shared" ca="1" si="16"/>
        <v>18148256.020000003</v>
      </c>
      <c r="AB61" s="63">
        <f ca="1">SUM(AB62:AB64)</f>
        <v>5335696.1400000006</v>
      </c>
      <c r="AC61" s="27">
        <f ca="1">SUM(AC62:AC64)</f>
        <v>56712.360000000102</v>
      </c>
      <c r="AD61" s="27">
        <f ca="1">SUM(AD62:AD64)</f>
        <v>0</v>
      </c>
      <c r="AE61" s="28">
        <f t="shared" ca="1" si="17"/>
        <v>5392408.5000000009</v>
      </c>
      <c r="AG61" s="16"/>
    </row>
    <row r="62" spans="1:33" ht="14.65" hidden="1" customHeight="1" outlineLevel="1" x14ac:dyDescent="0.25">
      <c r="A62" s="64" t="s">
        <v>137</v>
      </c>
      <c r="C62" s="63">
        <v>8205179.4399999985</v>
      </c>
      <c r="D62" s="27">
        <v>13890644.669999996</v>
      </c>
      <c r="E62" s="27">
        <v>21904629.369999994</v>
      </c>
      <c r="F62" s="28">
        <f ca="1">SUM(C62:E62)</f>
        <v>44000453.479999989</v>
      </c>
      <c r="H62" s="63">
        <v>18935982.629999992</v>
      </c>
      <c r="I62" s="27">
        <v>8946897.7700000014</v>
      </c>
      <c r="J62" s="27">
        <v>3844793.2600000002</v>
      </c>
      <c r="K62" s="28">
        <f ca="1">SUM(H62:J62)</f>
        <v>31727673.659999993</v>
      </c>
      <c r="M62" s="63">
        <v>6920020.7300000004</v>
      </c>
      <c r="N62" s="27">
        <v>3408139.1500000004</v>
      </c>
      <c r="O62" s="27">
        <v>2065022.3100000008</v>
      </c>
      <c r="P62" s="28">
        <f t="shared" ca="1" si="3"/>
        <v>12393182.190000001</v>
      </c>
      <c r="Q62" s="27"/>
      <c r="R62" s="63">
        <v>2102446.6799999997</v>
      </c>
      <c r="S62" s="27">
        <v>510567.41000000061</v>
      </c>
      <c r="T62" s="27">
        <v>1953473.3399999999</v>
      </c>
      <c r="U62" s="28">
        <f t="shared" ca="1" si="15"/>
        <v>4566487.43</v>
      </c>
      <c r="V62" s="23"/>
      <c r="W62" s="63">
        <v>3406583.3899999997</v>
      </c>
      <c r="X62" s="27">
        <v>1683902.9100000004</v>
      </c>
      <c r="Y62" s="27">
        <v>1193207.4299999997</v>
      </c>
      <c r="Z62" s="28">
        <f t="shared" ca="1" si="16"/>
        <v>6283693.7299999995</v>
      </c>
      <c r="AB62" s="63">
        <v>1810899.1900000004</v>
      </c>
      <c r="AC62" s="27">
        <v>28918.280000000028</v>
      </c>
      <c r="AD62" s="27">
        <v>0</v>
      </c>
      <c r="AE62" s="28">
        <f t="shared" ca="1" si="17"/>
        <v>1839817.4700000004</v>
      </c>
      <c r="AG62" s="16"/>
    </row>
    <row r="63" spans="1:33" ht="14.65" hidden="1" customHeight="1" outlineLevel="1" x14ac:dyDescent="0.25">
      <c r="A63" s="64" t="s">
        <v>138</v>
      </c>
      <c r="C63" s="63">
        <v>17803889.889999997</v>
      </c>
      <c r="D63" s="27">
        <v>14730347.16</v>
      </c>
      <c r="E63" s="27">
        <v>17062838.730000004</v>
      </c>
      <c r="F63" s="28">
        <f ca="1">SUM(C63:E63)</f>
        <v>49597075.780000001</v>
      </c>
      <c r="H63" s="63">
        <v>23981023.030000005</v>
      </c>
      <c r="I63" s="27">
        <v>20694179.269999996</v>
      </c>
      <c r="J63" s="27">
        <v>15802852.000000002</v>
      </c>
      <c r="K63" s="28">
        <f ca="1">SUM(H63:J63)</f>
        <v>60478054.299999997</v>
      </c>
      <c r="M63" s="63">
        <v>18697610.990000002</v>
      </c>
      <c r="N63" s="27">
        <v>10649640.079999998</v>
      </c>
      <c r="O63" s="27">
        <v>6827599.2799999993</v>
      </c>
      <c r="P63" s="28">
        <f t="shared" ca="1" si="3"/>
        <v>36174850.350000001</v>
      </c>
      <c r="Q63" s="27"/>
      <c r="R63" s="63">
        <v>3129759.21</v>
      </c>
      <c r="S63" s="27">
        <v>4168752.5100000007</v>
      </c>
      <c r="T63" s="27">
        <v>4543196.3100000005</v>
      </c>
      <c r="U63" s="28">
        <f t="shared" ca="1" si="15"/>
        <v>11841708.030000001</v>
      </c>
      <c r="V63" s="23"/>
      <c r="W63" s="63">
        <v>3681713.9599999995</v>
      </c>
      <c r="X63" s="27">
        <v>3474342.64</v>
      </c>
      <c r="Y63" s="27">
        <v>3337287.2900000005</v>
      </c>
      <c r="Z63" s="28">
        <f t="shared" ca="1" si="16"/>
        <v>10493343.890000001</v>
      </c>
      <c r="AB63" s="63">
        <v>3187939.65</v>
      </c>
      <c r="AC63" s="27">
        <v>27794.080000000075</v>
      </c>
      <c r="AD63" s="27">
        <v>0</v>
      </c>
      <c r="AE63" s="28">
        <f t="shared" ca="1" si="17"/>
        <v>3215733.73</v>
      </c>
      <c r="AG63" s="16"/>
    </row>
    <row r="64" spans="1:33" ht="14.65" hidden="1" customHeight="1" outlineLevel="1" x14ac:dyDescent="0.25">
      <c r="A64" s="64" t="s">
        <v>139</v>
      </c>
      <c r="C64" s="63">
        <v>609403.5</v>
      </c>
      <c r="D64" s="27">
        <v>0</v>
      </c>
      <c r="E64" s="27">
        <v>291126</v>
      </c>
      <c r="F64" s="28">
        <f ca="1">SUM(C64:E64)</f>
        <v>900529.5</v>
      </c>
      <c r="H64" s="63">
        <v>150000</v>
      </c>
      <c r="I64" s="27">
        <v>153739.19999999995</v>
      </c>
      <c r="J64" s="27">
        <v>1295836.9899999998</v>
      </c>
      <c r="K64" s="28">
        <f ca="1">SUM(H64:J64)</f>
        <v>1599576.1899999997</v>
      </c>
      <c r="M64" s="63">
        <v>16228.330000000075</v>
      </c>
      <c r="N64" s="27">
        <v>297478.79999999993</v>
      </c>
      <c r="O64" s="27">
        <v>311851</v>
      </c>
      <c r="P64" s="28">
        <f t="shared" ca="1" si="3"/>
        <v>625558.13</v>
      </c>
      <c r="Q64" s="27"/>
      <c r="R64" s="63">
        <v>235000</v>
      </c>
      <c r="S64" s="27">
        <v>0</v>
      </c>
      <c r="T64" s="27">
        <v>0</v>
      </c>
      <c r="U64" s="28">
        <f t="shared" ca="1" si="15"/>
        <v>235000</v>
      </c>
      <c r="V64" s="23"/>
      <c r="W64" s="63">
        <v>291218.39999999991</v>
      </c>
      <c r="X64" s="27">
        <v>580000</v>
      </c>
      <c r="Y64" s="27">
        <v>500000</v>
      </c>
      <c r="Z64" s="28">
        <f t="shared" ca="1" si="16"/>
        <v>1371218.4</v>
      </c>
      <c r="AB64" s="63">
        <v>336857.30000000075</v>
      </c>
      <c r="AC64" s="27">
        <v>0</v>
      </c>
      <c r="AD64" s="27">
        <v>0</v>
      </c>
      <c r="AE64" s="28">
        <f t="shared" ca="1" si="17"/>
        <v>336857.30000000075</v>
      </c>
      <c r="AG64" s="16"/>
    </row>
    <row r="65" spans="1:35" ht="15.75" collapsed="1" thickBot="1" x14ac:dyDescent="0.3">
      <c r="A65" s="66" t="s">
        <v>140</v>
      </c>
      <c r="C65" s="63">
        <f ca="1">SUM(C66:C72)</f>
        <v>105607337.16000001</v>
      </c>
      <c r="D65" s="27">
        <f ca="1">SUM(D66:D72)</f>
        <v>93625142.969999984</v>
      </c>
      <c r="E65" s="27">
        <f ca="1">SUM(E66:E72)</f>
        <v>72504289.890000015</v>
      </c>
      <c r="F65" s="28">
        <f ca="1">SUM(F66:F72)</f>
        <v>271736770.01999998</v>
      </c>
      <c r="H65" s="63">
        <f ca="1">SUM(H66:H72)</f>
        <v>60996525.700000003</v>
      </c>
      <c r="I65" s="27">
        <f ca="1">SUM(I66:I72)</f>
        <v>90723851.550000012</v>
      </c>
      <c r="J65" s="27">
        <f ca="1">SUM(J66:J72)</f>
        <v>101742102.42999999</v>
      </c>
      <c r="K65" s="28">
        <f ca="1">SUM(K66:K72)</f>
        <v>253462479.68000001</v>
      </c>
      <c r="M65" s="63">
        <f ca="1">SUM(M66:M72)</f>
        <v>106458788.78999999</v>
      </c>
      <c r="N65" s="27">
        <f ca="1">SUM(N66:N72)</f>
        <v>96452029.810000002</v>
      </c>
      <c r="O65" s="27">
        <f ca="1">SUM(O66:O72)</f>
        <v>73681493.099999994</v>
      </c>
      <c r="P65" s="28">
        <f t="shared" ca="1" si="3"/>
        <v>276592311.69999999</v>
      </c>
      <c r="Q65" s="27"/>
      <c r="R65" s="63">
        <f ca="1">SUM(R66:R72)</f>
        <v>63935842.620000005</v>
      </c>
      <c r="S65" s="27">
        <f ca="1">SUM(S66:S72)</f>
        <v>49510188.439999998</v>
      </c>
      <c r="T65" s="27">
        <f ca="1">SUM(T66:T72)</f>
        <v>48570333.359999999</v>
      </c>
      <c r="U65" s="28">
        <f t="shared" ca="1" si="15"/>
        <v>162016364.42000002</v>
      </c>
      <c r="V65" s="23"/>
      <c r="W65" s="63">
        <f ca="1">SUM(W66:W72)</f>
        <v>80511164.549999997</v>
      </c>
      <c r="X65" s="27">
        <f ca="1">SUM(X66:X72)</f>
        <v>57478963.060000002</v>
      </c>
      <c r="Y65" s="27">
        <f ca="1">SUM(Y66:Y72)</f>
        <v>40927551.990000002</v>
      </c>
      <c r="Z65" s="28">
        <f t="shared" ca="1" si="16"/>
        <v>178917679.60000002</v>
      </c>
      <c r="AB65" s="63">
        <f ca="1">SUM(AB66:AB72)</f>
        <v>33451421.400000002</v>
      </c>
      <c r="AC65" s="27">
        <f ca="1">SUM(AC66:AC72)</f>
        <v>4411087.51</v>
      </c>
      <c r="AD65" s="27">
        <f ca="1">SUM(AD66:AD72)</f>
        <v>0</v>
      </c>
      <c r="AE65" s="28">
        <f t="shared" ca="1" si="17"/>
        <v>37862508.910000004</v>
      </c>
      <c r="AG65" s="16"/>
    </row>
    <row r="66" spans="1:35" ht="14.65" hidden="1" customHeight="1" outlineLevel="1" x14ac:dyDescent="0.25">
      <c r="A66" s="64" t="s">
        <v>141</v>
      </c>
      <c r="C66" s="63">
        <v>25573872.25</v>
      </c>
      <c r="D66" s="27">
        <v>23393837.409999996</v>
      </c>
      <c r="E66" s="27">
        <v>16543669.860000003</v>
      </c>
      <c r="F66" s="28">
        <f t="shared" ref="F66:F72" ca="1" si="25">SUM(C66:E66)</f>
        <v>65511379.519999996</v>
      </c>
      <c r="H66" s="63">
        <v>8961249.2799999993</v>
      </c>
      <c r="I66" s="27">
        <v>13960933.760000002</v>
      </c>
      <c r="J66" s="27">
        <v>21997393.130000006</v>
      </c>
      <c r="K66" s="28">
        <f t="shared" ref="K66:K72" ca="1" si="26">SUM(H66:J66)</f>
        <v>44919576.170000002</v>
      </c>
      <c r="M66" s="63">
        <v>23474117.900000002</v>
      </c>
      <c r="N66" s="27">
        <v>20964860.060000006</v>
      </c>
      <c r="O66" s="27">
        <v>15157995.819999995</v>
      </c>
      <c r="P66" s="28">
        <f t="shared" ca="1" si="3"/>
        <v>59596973.780000001</v>
      </c>
      <c r="Q66" s="27"/>
      <c r="R66" s="63">
        <v>10566479.189999999</v>
      </c>
      <c r="S66" s="27">
        <v>10853718.460000001</v>
      </c>
      <c r="T66" s="27">
        <v>10773077.200000005</v>
      </c>
      <c r="U66" s="28">
        <f t="shared" ca="1" si="15"/>
        <v>32193274.850000001</v>
      </c>
      <c r="V66" s="23"/>
      <c r="W66" s="63">
        <v>10372473.209999999</v>
      </c>
      <c r="X66" s="27">
        <v>8641590.7599999998</v>
      </c>
      <c r="Y66" s="27">
        <v>10084354.909999998</v>
      </c>
      <c r="Z66" s="28">
        <f t="shared" ca="1" si="16"/>
        <v>29098418.879999995</v>
      </c>
      <c r="AB66" s="63">
        <v>5431023.6399999997</v>
      </c>
      <c r="AC66" s="27">
        <v>159489</v>
      </c>
      <c r="AD66" s="27">
        <v>0</v>
      </c>
      <c r="AE66" s="28">
        <f t="shared" ca="1" si="17"/>
        <v>5590512.6399999997</v>
      </c>
      <c r="AG66" s="16"/>
    </row>
    <row r="67" spans="1:35" ht="14.65" hidden="1" customHeight="1" outlineLevel="1" x14ac:dyDescent="0.25">
      <c r="A67" s="64" t="s">
        <v>142</v>
      </c>
      <c r="C67" s="63">
        <v>28605291.340000004</v>
      </c>
      <c r="D67" s="27">
        <v>20456551.50999999</v>
      </c>
      <c r="E67" s="27">
        <v>14204775.060000006</v>
      </c>
      <c r="F67" s="28">
        <f t="shared" ca="1" si="25"/>
        <v>63266617.909999996</v>
      </c>
      <c r="H67" s="63">
        <v>17104773.050000001</v>
      </c>
      <c r="I67" s="27">
        <v>27175213.960000001</v>
      </c>
      <c r="J67" s="27">
        <v>21959625.279999997</v>
      </c>
      <c r="K67" s="28">
        <f t="shared" ca="1" si="26"/>
        <v>66239612.290000007</v>
      </c>
      <c r="M67" s="63">
        <v>26447761.649999999</v>
      </c>
      <c r="N67" s="27">
        <v>20194982.939999994</v>
      </c>
      <c r="O67" s="27">
        <v>15787418.560000001</v>
      </c>
      <c r="P67" s="28">
        <f t="shared" ca="1" si="3"/>
        <v>62430163.149999991</v>
      </c>
      <c r="Q67" s="27"/>
      <c r="R67" s="63">
        <v>11739111.089999998</v>
      </c>
      <c r="S67" s="27">
        <v>9788890.3499999978</v>
      </c>
      <c r="T67" s="27">
        <v>7864062.6799999997</v>
      </c>
      <c r="U67" s="28">
        <f t="shared" ca="1" si="15"/>
        <v>29392064.119999997</v>
      </c>
      <c r="V67" s="23"/>
      <c r="W67" s="63">
        <v>9858279.1100000013</v>
      </c>
      <c r="X67" s="27">
        <v>11361403.879999999</v>
      </c>
      <c r="Y67" s="27">
        <v>4800666.0299999993</v>
      </c>
      <c r="Z67" s="28">
        <f t="shared" ca="1" si="16"/>
        <v>26020349.020000003</v>
      </c>
      <c r="AB67" s="63">
        <v>5565624.3899999997</v>
      </c>
      <c r="AC67" s="27">
        <v>796361.54000000015</v>
      </c>
      <c r="AD67" s="27">
        <v>0</v>
      </c>
      <c r="AE67" s="28">
        <f t="shared" ca="1" si="17"/>
        <v>6361985.9299999997</v>
      </c>
      <c r="AG67" s="16"/>
    </row>
    <row r="68" spans="1:35" ht="14.65" hidden="1" customHeight="1" outlineLevel="1" x14ac:dyDescent="0.25">
      <c r="A68" s="64" t="s">
        <v>143</v>
      </c>
      <c r="C68" s="63">
        <v>13682743.800000001</v>
      </c>
      <c r="D68" s="27">
        <v>14902688.09</v>
      </c>
      <c r="E68" s="27">
        <v>12293787.120000003</v>
      </c>
      <c r="F68" s="28">
        <f t="shared" ca="1" si="25"/>
        <v>40879219.010000005</v>
      </c>
      <c r="H68" s="63">
        <v>8927392.8099999987</v>
      </c>
      <c r="I68" s="27">
        <v>17730303.200000003</v>
      </c>
      <c r="J68" s="27">
        <v>12517639.640000001</v>
      </c>
      <c r="K68" s="28">
        <f t="shared" ca="1" si="26"/>
        <v>39175335.650000006</v>
      </c>
      <c r="M68" s="63">
        <v>16844023.229999997</v>
      </c>
      <c r="N68" s="27">
        <v>16938429.530000001</v>
      </c>
      <c r="O68" s="27">
        <v>12185613.489999998</v>
      </c>
      <c r="P68" s="28">
        <f t="shared" ca="1" si="3"/>
        <v>45968066.25</v>
      </c>
      <c r="Q68" s="27"/>
      <c r="R68" s="63">
        <v>7799086.3599999994</v>
      </c>
      <c r="S68" s="27">
        <v>9532209.0699999984</v>
      </c>
      <c r="T68" s="27">
        <v>7350385.1199999992</v>
      </c>
      <c r="U68" s="28">
        <f t="shared" ca="1" si="15"/>
        <v>24681680.549999997</v>
      </c>
      <c r="V68" s="23"/>
      <c r="W68" s="63">
        <v>10309420.659999998</v>
      </c>
      <c r="X68" s="27">
        <v>8387215.1700000009</v>
      </c>
      <c r="Y68" s="27">
        <v>4702861.28</v>
      </c>
      <c r="Z68" s="28">
        <f t="shared" ca="1" si="16"/>
        <v>23399497.109999999</v>
      </c>
      <c r="AB68" s="63">
        <v>5159322.12</v>
      </c>
      <c r="AC68" s="27">
        <v>1901569.5899999999</v>
      </c>
      <c r="AD68" s="27">
        <v>0</v>
      </c>
      <c r="AE68" s="28">
        <f t="shared" ca="1" si="17"/>
        <v>7060891.71</v>
      </c>
      <c r="AG68" s="16"/>
    </row>
    <row r="69" spans="1:35" ht="14.65" hidden="1" customHeight="1" outlineLevel="1" x14ac:dyDescent="0.25">
      <c r="A69" s="64" t="s">
        <v>144</v>
      </c>
      <c r="C69" s="63">
        <v>21135695.120000001</v>
      </c>
      <c r="D69" s="27">
        <v>12891488.380000003</v>
      </c>
      <c r="E69" s="27">
        <v>12474390.200000005</v>
      </c>
      <c r="F69" s="28">
        <f t="shared" ca="1" si="25"/>
        <v>46501573.700000003</v>
      </c>
      <c r="H69" s="63">
        <v>12363045.43</v>
      </c>
      <c r="I69" s="27">
        <v>12855813.870000001</v>
      </c>
      <c r="J69" s="27">
        <v>14608205.040000003</v>
      </c>
      <c r="K69" s="28">
        <f t="shared" ca="1" si="26"/>
        <v>39827064.340000004</v>
      </c>
      <c r="M69" s="63">
        <v>22734078.84</v>
      </c>
      <c r="N69" s="27">
        <v>11932577.440000005</v>
      </c>
      <c r="O69" s="27">
        <v>11291186.74</v>
      </c>
      <c r="P69" s="28">
        <f t="shared" ca="1" si="3"/>
        <v>45957843.020000003</v>
      </c>
      <c r="Q69" s="27"/>
      <c r="R69" s="63">
        <v>15054490.830000006</v>
      </c>
      <c r="S69" s="27">
        <v>4812230.6400000006</v>
      </c>
      <c r="T69" s="27">
        <v>6881885.3399999999</v>
      </c>
      <c r="U69" s="28">
        <f t="shared" ca="1" si="15"/>
        <v>26748606.810000006</v>
      </c>
      <c r="V69" s="23"/>
      <c r="W69" s="63">
        <v>8919228.1099999994</v>
      </c>
      <c r="X69" s="27">
        <v>11443028.889999999</v>
      </c>
      <c r="Y69" s="27">
        <v>5446002.9400000013</v>
      </c>
      <c r="Z69" s="28">
        <f t="shared" ca="1" si="16"/>
        <v>25808259.940000001</v>
      </c>
      <c r="AB69" s="63">
        <v>5600133.8399999999</v>
      </c>
      <c r="AC69" s="27">
        <v>789721</v>
      </c>
      <c r="AD69" s="27">
        <v>0</v>
      </c>
      <c r="AE69" s="28">
        <f t="shared" ca="1" si="17"/>
        <v>6389854.8399999999</v>
      </c>
      <c r="AG69" s="16"/>
    </row>
    <row r="70" spans="1:35" ht="14.65" hidden="1" customHeight="1" outlineLevel="1" x14ac:dyDescent="0.25">
      <c r="A70" s="64" t="s">
        <v>145</v>
      </c>
      <c r="C70" s="63">
        <v>14704134.779999999</v>
      </c>
      <c r="D70" s="27">
        <v>14110275.34</v>
      </c>
      <c r="E70" s="27">
        <v>10597078.77</v>
      </c>
      <c r="F70" s="28">
        <f t="shared" ca="1" si="25"/>
        <v>39411488.890000001</v>
      </c>
      <c r="H70" s="63">
        <v>8291326.1500000022</v>
      </c>
      <c r="I70" s="27">
        <v>10631068.139999999</v>
      </c>
      <c r="J70" s="27">
        <v>25974615.699999996</v>
      </c>
      <c r="K70" s="28">
        <f t="shared" ca="1" si="26"/>
        <v>44897009.989999995</v>
      </c>
      <c r="M70" s="63">
        <v>12465793.320000004</v>
      </c>
      <c r="N70" s="27">
        <v>17170220.68</v>
      </c>
      <c r="O70" s="27">
        <v>11231159.390000002</v>
      </c>
      <c r="P70" s="28">
        <f t="shared" ca="1" si="3"/>
        <v>40867173.390000008</v>
      </c>
      <c r="Q70" s="27"/>
      <c r="R70" s="63">
        <v>11242246.240000002</v>
      </c>
      <c r="S70" s="27">
        <v>11149165.529999999</v>
      </c>
      <c r="T70" s="27">
        <v>11006728.430000003</v>
      </c>
      <c r="U70" s="28">
        <f t="shared" ca="1" si="15"/>
        <v>33398140.200000007</v>
      </c>
      <c r="V70" s="23"/>
      <c r="W70" s="63">
        <v>16839449.849999998</v>
      </c>
      <c r="X70" s="27">
        <v>7082803.1199999992</v>
      </c>
      <c r="Y70" s="27">
        <v>6801025.4399999995</v>
      </c>
      <c r="Z70" s="28">
        <f t="shared" ca="1" si="16"/>
        <v>30723278.409999996</v>
      </c>
      <c r="AB70" s="63">
        <v>5361957.4000000004</v>
      </c>
      <c r="AC70" s="27">
        <v>266804.17999999993</v>
      </c>
      <c r="AD70" s="27">
        <v>0</v>
      </c>
      <c r="AE70" s="28">
        <f t="shared" ca="1" si="17"/>
        <v>5628761.5800000001</v>
      </c>
      <c r="AG70" s="16"/>
    </row>
    <row r="71" spans="1:35" ht="15" hidden="1" customHeight="1" outlineLevel="1" x14ac:dyDescent="0.25">
      <c r="A71" s="64" t="s">
        <v>146</v>
      </c>
      <c r="C71" s="63">
        <v>1905599.8699999999</v>
      </c>
      <c r="D71" s="27">
        <v>7870302.2399999993</v>
      </c>
      <c r="E71" s="27">
        <v>6390588.8799999999</v>
      </c>
      <c r="F71" s="28">
        <f ca="1">SUM(C71:E71)</f>
        <v>16166490.989999998</v>
      </c>
      <c r="H71" s="63">
        <v>5348738.9800000004</v>
      </c>
      <c r="I71" s="27">
        <v>8370518.6200000001</v>
      </c>
      <c r="J71" s="27">
        <v>4684623.6399999987</v>
      </c>
      <c r="K71" s="28">
        <f ca="1">SUM(H71:J71)</f>
        <v>18403881.240000002</v>
      </c>
      <c r="M71" s="63">
        <v>4493013.8499999996</v>
      </c>
      <c r="N71" s="27">
        <v>9250959.1600000001</v>
      </c>
      <c r="O71" s="27">
        <v>6305553.0999999996</v>
      </c>
      <c r="P71" s="28">
        <f ca="1">SUM(M71:O71)</f>
        <v>20049526.109999999</v>
      </c>
      <c r="Q71" s="27"/>
      <c r="R71" s="63">
        <v>6357308.3199999994</v>
      </c>
      <c r="S71" s="27">
        <v>1802556.1699999995</v>
      </c>
      <c r="T71" s="27">
        <v>4694194.5899999989</v>
      </c>
      <c r="U71" s="28">
        <f ca="1">SUM(R71:T71)</f>
        <v>12854059.079999998</v>
      </c>
      <c r="V71" s="23"/>
      <c r="W71" s="63">
        <v>9350966.9100000001</v>
      </c>
      <c r="X71" s="27">
        <v>8640698.2399999984</v>
      </c>
      <c r="Y71" s="27">
        <v>6392641.3899999997</v>
      </c>
      <c r="Z71" s="28">
        <f ca="1">SUM(W71:Y71)</f>
        <v>24384306.539999999</v>
      </c>
      <c r="AB71" s="63">
        <v>6330341.0100000007</v>
      </c>
      <c r="AC71" s="27">
        <v>497142.20000000019</v>
      </c>
      <c r="AD71" s="27">
        <v>0</v>
      </c>
      <c r="AE71" s="28">
        <f ca="1">SUM(AB71:AD71)</f>
        <v>6827483.2100000009</v>
      </c>
      <c r="AG71" s="16"/>
    </row>
    <row r="72" spans="1:35" ht="15" hidden="1" customHeight="1" outlineLevel="1" thickBot="1" x14ac:dyDescent="0.3">
      <c r="A72" s="64" t="s">
        <v>147</v>
      </c>
      <c r="C72" s="63">
        <v>0</v>
      </c>
      <c r="D72" s="27">
        <v>0</v>
      </c>
      <c r="E72" s="27">
        <v>0</v>
      </c>
      <c r="F72" s="28">
        <f t="shared" ca="1" si="25"/>
        <v>0</v>
      </c>
      <c r="H72" s="63">
        <v>0</v>
      </c>
      <c r="I72" s="27">
        <v>0</v>
      </c>
      <c r="J72" s="27">
        <v>0</v>
      </c>
      <c r="K72" s="28">
        <f t="shared" ca="1" si="26"/>
        <v>0</v>
      </c>
      <c r="M72" s="63">
        <v>0</v>
      </c>
      <c r="N72" s="27">
        <v>0</v>
      </c>
      <c r="O72" s="27">
        <v>1722566</v>
      </c>
      <c r="P72" s="28">
        <f t="shared" ca="1" si="3"/>
        <v>1722566</v>
      </c>
      <c r="Q72" s="27"/>
      <c r="R72" s="63">
        <v>1177120.5900000001</v>
      </c>
      <c r="S72" s="27">
        <v>1571418.22</v>
      </c>
      <c r="T72" s="27">
        <v>0</v>
      </c>
      <c r="U72" s="28">
        <f ca="1">SUM(R72:T72)</f>
        <v>2748538.81</v>
      </c>
      <c r="V72" s="23"/>
      <c r="W72" s="63">
        <v>14861346.700000001</v>
      </c>
      <c r="X72" s="27">
        <v>1922223</v>
      </c>
      <c r="Y72" s="27">
        <v>2700000</v>
      </c>
      <c r="Z72" s="28">
        <f ca="1">SUM(W72:Y72)</f>
        <v>19483569.700000003</v>
      </c>
      <c r="AB72" s="63">
        <v>3019</v>
      </c>
      <c r="AC72" s="27">
        <v>0</v>
      </c>
      <c r="AD72" s="27">
        <v>0</v>
      </c>
      <c r="AE72" s="28">
        <f ca="1">SUM(AB72:AD72)</f>
        <v>3019</v>
      </c>
      <c r="AG72" s="16"/>
    </row>
    <row r="73" spans="1:35" ht="15.75" collapsed="1" thickBot="1" x14ac:dyDescent="0.3">
      <c r="A73" s="67" t="s">
        <v>148</v>
      </c>
      <c r="C73" s="68">
        <f ca="1">SUM(C41,C46,C47,C48,C49,C54,C61,C65)</f>
        <v>372694164.38999999</v>
      </c>
      <c r="D73" s="69">
        <f ca="1">SUM(D41,D46,D47,D48,D49,D54,D61,D65)</f>
        <v>411283680.88999993</v>
      </c>
      <c r="E73" s="69">
        <f ca="1">SUM(E41,E46,E47,E48,E49,E54,E61,E65)</f>
        <v>380696044.32000005</v>
      </c>
      <c r="F73" s="70">
        <f ca="1">SUM(F41,F46,F47,F48,F49,F54,F61,F65)</f>
        <v>1164673889.5999999</v>
      </c>
      <c r="H73" s="68">
        <f ca="1">SUM(H41,H46,H47,H48,H49,H54,H61,H65)</f>
        <v>400645855.88999993</v>
      </c>
      <c r="I73" s="69">
        <f ca="1">SUM(I41,I46,I47,I48,I49,I54,I61,I65)</f>
        <v>420322265.10000002</v>
      </c>
      <c r="J73" s="69">
        <f ca="1">SUM(J41,J46,J47,J48,J49,J54,J61,J65)</f>
        <v>425327846.76000005</v>
      </c>
      <c r="K73" s="70">
        <f ca="1">SUM(K41,K46,K47,K48,K49,K54,K61,K65)</f>
        <v>1246295967.75</v>
      </c>
      <c r="M73" s="68">
        <f ca="1">SUM(M41,M46,M47,M48,M49,M54,M61,M65)</f>
        <v>444694659.51999998</v>
      </c>
      <c r="N73" s="69">
        <f ca="1">SUM(N41,N46,N47,N48,N49,N54,N61,N65)</f>
        <v>360049223.46000004</v>
      </c>
      <c r="O73" s="69">
        <f ca="1">SUM(O41,O46,O47,O48,O49,O54,O61,O65)</f>
        <v>300575791.68000001</v>
      </c>
      <c r="P73" s="70">
        <f ca="1">SUM(P41,P46,P47,P48,P49,P54,P61,P65)</f>
        <v>1105319674.6599998</v>
      </c>
      <c r="Q73" s="71"/>
      <c r="R73" s="68">
        <f ca="1">SUM(R41,R46,R47,R48,R49,R54,R61,R65)</f>
        <v>363062280.76999998</v>
      </c>
      <c r="S73" s="69">
        <f ca="1">SUM(S41,S46,S47,S48,S49,S54,S61,S65)</f>
        <v>231655246.01000005</v>
      </c>
      <c r="T73" s="69">
        <f ca="1">SUM(T41,T46,T47,T48,T49,T54,T61,T65)</f>
        <v>262327403.73999995</v>
      </c>
      <c r="U73" s="70">
        <f ca="1">SUM(U41,U46,U47,U48,U49,U54,U61,U65)</f>
        <v>857044930.52000022</v>
      </c>
      <c r="V73" s="23"/>
      <c r="W73" s="68">
        <f ca="1">SUM(W41,W46,W47,W48,W49,W54,W61,W65)</f>
        <v>333738038.21000004</v>
      </c>
      <c r="X73" s="69">
        <f ca="1">SUM(X41,X46,X47,X48,X49,X54,X61,X65)</f>
        <v>266013736.63</v>
      </c>
      <c r="Y73" s="69">
        <f ca="1">SUM(Y41,Y46,Y47,Y48,Y49,Y54,Y61,Y65)</f>
        <v>222376847.86000001</v>
      </c>
      <c r="Z73" s="70">
        <f ca="1">SUM(Z41,Z46,Z47,Z48,Z49,Z54,Z61,Z65)</f>
        <v>822128622.70000005</v>
      </c>
      <c r="AB73" s="68">
        <f ca="1">SUM(AB41,AB46,AB47,AB48,AB49,AB54,AB61,AB65)</f>
        <v>265753104.74000004</v>
      </c>
      <c r="AC73" s="69">
        <f ca="1">SUM(AC41,AC46,AC47,AC48,AC49,AC54,AC61,AC65)</f>
        <v>22481621.569999993</v>
      </c>
      <c r="AD73" s="69">
        <f ca="1">SUM(AD41,AD46,AD47,AD48,AD49,AD54,AD61,AD65)</f>
        <v>0</v>
      </c>
      <c r="AE73" s="70">
        <f ca="1">SUM(AE41,AE46,AE47,AE48,AE49,AE54,AE61,AE65)</f>
        <v>288234726.31000006</v>
      </c>
      <c r="AG73" s="16"/>
    </row>
    <row r="74" spans="1:35" x14ac:dyDescent="0.25">
      <c r="A74" s="72" t="s">
        <v>149</v>
      </c>
      <c r="C74" s="73">
        <f ca="1">SUM(C75:C77)</f>
        <v>49186021.170000002</v>
      </c>
      <c r="D74" s="74">
        <f t="shared" ref="D74:K74" ca="1" si="27">SUM(D75:D77)</f>
        <v>42974191.189999998</v>
      </c>
      <c r="E74" s="74">
        <f t="shared" ca="1" si="27"/>
        <v>58989301.829999998</v>
      </c>
      <c r="F74" s="75">
        <f t="shared" ca="1" si="27"/>
        <v>151149514.19</v>
      </c>
      <c r="H74" s="73">
        <f t="shared" ca="1" si="27"/>
        <v>77810386.309999987</v>
      </c>
      <c r="I74" s="74">
        <f t="shared" ca="1" si="27"/>
        <v>90666167.729999989</v>
      </c>
      <c r="J74" s="74">
        <f t="shared" ca="1" si="27"/>
        <v>34681192.270000003</v>
      </c>
      <c r="K74" s="75">
        <f t="shared" ca="1" si="27"/>
        <v>203157746.31</v>
      </c>
      <c r="M74" s="73">
        <f ca="1">SUM(M75:M77)</f>
        <v>26521330.120000001</v>
      </c>
      <c r="N74" s="74">
        <f ca="1">SUM(N75:N77)</f>
        <v>31295446.509999998</v>
      </c>
      <c r="O74" s="74">
        <f ca="1">SUM(O75:O77)</f>
        <v>86728008.040000007</v>
      </c>
      <c r="P74" s="75">
        <f t="shared" ref="P74:P155" ca="1" si="28">SUM(M74:O74)</f>
        <v>144544784.67000002</v>
      </c>
      <c r="Q74" s="27"/>
      <c r="R74" s="73">
        <f ca="1">SUM(R75:R77)</f>
        <v>100174114.42</v>
      </c>
      <c r="S74" s="74">
        <f ca="1">SUM(S75:S77)</f>
        <v>54263139.509999998</v>
      </c>
      <c r="T74" s="74">
        <f ca="1">SUM(T75:T77)</f>
        <v>59472145.480000004</v>
      </c>
      <c r="U74" s="75">
        <f t="shared" ref="U74:U86" ca="1" si="29">SUM(R74:T74)</f>
        <v>213909399.41000003</v>
      </c>
      <c r="V74" s="23"/>
      <c r="W74" s="73">
        <f ca="1">SUM(W75:W77)</f>
        <v>58875840.25</v>
      </c>
      <c r="X74" s="74">
        <f ca="1">SUM(X75:X77)</f>
        <v>31520634.130000003</v>
      </c>
      <c r="Y74" s="74">
        <f ca="1">SUM(Y75:Y77)</f>
        <v>69057211.920000017</v>
      </c>
      <c r="Z74" s="75">
        <f t="shared" ref="Z74:Z86" ca="1" si="30">SUM(W74:Y74)</f>
        <v>159453686.30000001</v>
      </c>
      <c r="AB74" s="73">
        <f ca="1">SUM(AB75:AB77)</f>
        <v>72046724.349999994</v>
      </c>
      <c r="AC74" s="74">
        <f ca="1">SUM(AC75:AC77)</f>
        <v>2397765.8699999992</v>
      </c>
      <c r="AD74" s="74">
        <f ca="1">SUM(AD75:AD77)</f>
        <v>0</v>
      </c>
      <c r="AE74" s="75">
        <f t="shared" ref="AE74:AE90" ca="1" si="31">SUM(AB74:AD74)</f>
        <v>74444490.219999999</v>
      </c>
      <c r="AG74" s="16"/>
    </row>
    <row r="75" spans="1:35" ht="14.65" hidden="1" customHeight="1" outlineLevel="1" x14ac:dyDescent="0.25">
      <c r="A75" s="64" t="s">
        <v>150</v>
      </c>
      <c r="C75" s="63">
        <v>24809807.620000001</v>
      </c>
      <c r="D75" s="27">
        <v>18227585.970000003</v>
      </c>
      <c r="E75" s="27">
        <v>42480922.809999995</v>
      </c>
      <c r="F75" s="28">
        <f ca="1">SUM(C75:E75)</f>
        <v>85518316.400000006</v>
      </c>
      <c r="H75" s="63">
        <v>39890851.039999992</v>
      </c>
      <c r="I75" s="27">
        <v>40647786.759999998</v>
      </c>
      <c r="J75" s="27">
        <v>12289456.760000002</v>
      </c>
      <c r="K75" s="28">
        <f ca="1">SUM(H75:J75)</f>
        <v>92828094.559999987</v>
      </c>
      <c r="M75" s="63">
        <v>6407773.75</v>
      </c>
      <c r="N75" s="27">
        <v>9264199.370000001</v>
      </c>
      <c r="O75" s="27">
        <v>48112887.840000004</v>
      </c>
      <c r="P75" s="28">
        <f t="shared" ca="1" si="28"/>
        <v>63784860.960000008</v>
      </c>
      <c r="Q75" s="27"/>
      <c r="R75" s="63">
        <v>56994515.299999997</v>
      </c>
      <c r="S75" s="27">
        <v>23048755.84</v>
      </c>
      <c r="T75" s="27">
        <v>26482523.43</v>
      </c>
      <c r="U75" s="28">
        <f t="shared" ca="1" si="29"/>
        <v>106525794.56999999</v>
      </c>
      <c r="V75" s="23"/>
      <c r="W75" s="63">
        <v>26548512.069999997</v>
      </c>
      <c r="X75" s="27">
        <v>13248358.740000002</v>
      </c>
      <c r="Y75" s="27">
        <v>45095992.040000007</v>
      </c>
      <c r="Z75" s="28">
        <f t="shared" ca="1" si="30"/>
        <v>84892862.850000009</v>
      </c>
      <c r="AB75" s="63">
        <v>33099124.269999996</v>
      </c>
      <c r="AC75" s="27">
        <v>906345.5</v>
      </c>
      <c r="AD75" s="27">
        <v>0</v>
      </c>
      <c r="AE75" s="28">
        <f t="shared" ca="1" si="31"/>
        <v>34005469.769999996</v>
      </c>
      <c r="AG75" s="16"/>
    </row>
    <row r="76" spans="1:35" ht="14.65" hidden="1" customHeight="1" outlineLevel="1" x14ac:dyDescent="0.25">
      <c r="A76" s="64" t="s">
        <v>151</v>
      </c>
      <c r="C76" s="63">
        <v>14478492.02</v>
      </c>
      <c r="D76" s="27">
        <v>13060231.639999997</v>
      </c>
      <c r="E76" s="27">
        <v>13318878.359999999</v>
      </c>
      <c r="F76" s="28">
        <f ca="1">SUM(C76:E76)</f>
        <v>40857602.019999996</v>
      </c>
      <c r="H76" s="63">
        <v>25931267.439999998</v>
      </c>
      <c r="I76" s="27">
        <v>30202045.98</v>
      </c>
      <c r="J76" s="27">
        <v>10493098.350000001</v>
      </c>
      <c r="K76" s="28">
        <f ca="1">SUM(H76:J76)</f>
        <v>66626411.770000003</v>
      </c>
      <c r="M76" s="63">
        <v>9516918.3999999985</v>
      </c>
      <c r="N76" s="27">
        <v>13608221.92</v>
      </c>
      <c r="O76" s="27">
        <v>27174818.950000003</v>
      </c>
      <c r="P76" s="28">
        <f t="shared" ca="1" si="28"/>
        <v>50299959.270000003</v>
      </c>
      <c r="Q76" s="27"/>
      <c r="R76" s="63">
        <v>25957131.010000002</v>
      </c>
      <c r="S76" s="27">
        <v>16519752.289999999</v>
      </c>
      <c r="T76" s="27">
        <v>17996205.670000002</v>
      </c>
      <c r="U76" s="28">
        <f t="shared" ca="1" si="29"/>
        <v>60473088.969999999</v>
      </c>
      <c r="V76" s="23"/>
      <c r="W76" s="63">
        <v>21291406.309999999</v>
      </c>
      <c r="X76" s="27">
        <v>11318452.66</v>
      </c>
      <c r="Y76" s="27">
        <v>16965229.880000003</v>
      </c>
      <c r="Z76" s="28">
        <f t="shared" ca="1" si="30"/>
        <v>49575088.850000001</v>
      </c>
      <c r="AB76" s="63">
        <v>27178130.829999998</v>
      </c>
      <c r="AC76" s="27">
        <v>1491420.3699999992</v>
      </c>
      <c r="AD76" s="27">
        <v>0</v>
      </c>
      <c r="AE76" s="28">
        <f t="shared" ca="1" si="31"/>
        <v>28669551.199999996</v>
      </c>
      <c r="AG76" s="16"/>
    </row>
    <row r="77" spans="1:35" ht="14.65" hidden="1" customHeight="1" outlineLevel="1" x14ac:dyDescent="0.25">
      <c r="A77" s="64" t="s">
        <v>152</v>
      </c>
      <c r="C77" s="63">
        <v>9897721.5299999993</v>
      </c>
      <c r="D77" s="27">
        <v>11686373.58</v>
      </c>
      <c r="E77" s="27">
        <v>3189500.66</v>
      </c>
      <c r="F77" s="28">
        <f ca="1">SUM(C77:E77)</f>
        <v>24773595.77</v>
      </c>
      <c r="H77" s="63">
        <v>11988267.83</v>
      </c>
      <c r="I77" s="27">
        <v>19816334.989999998</v>
      </c>
      <c r="J77" s="27">
        <v>11898637.16</v>
      </c>
      <c r="K77" s="28">
        <f ca="1">SUM(H77:J77)</f>
        <v>43703239.980000004</v>
      </c>
      <c r="M77" s="63">
        <v>10596637.970000003</v>
      </c>
      <c r="N77" s="27">
        <v>8423025.2200000007</v>
      </c>
      <c r="O77" s="27">
        <v>11440301.25</v>
      </c>
      <c r="P77" s="28">
        <f t="shared" ca="1" si="28"/>
        <v>30459964.440000005</v>
      </c>
      <c r="Q77" s="27"/>
      <c r="R77" s="63">
        <v>17222468.109999999</v>
      </c>
      <c r="S77" s="27">
        <v>14694631.380000003</v>
      </c>
      <c r="T77" s="27">
        <v>14993416.380000001</v>
      </c>
      <c r="U77" s="28">
        <f t="shared" ca="1" si="29"/>
        <v>46910515.870000005</v>
      </c>
      <c r="V77" s="23"/>
      <c r="W77" s="63">
        <v>11035921.870000001</v>
      </c>
      <c r="X77" s="27">
        <v>6953822.7300000004</v>
      </c>
      <c r="Y77" s="27">
        <v>6995990</v>
      </c>
      <c r="Z77" s="28">
        <f t="shared" ca="1" si="30"/>
        <v>24985734.600000001</v>
      </c>
      <c r="AB77" s="63">
        <v>11769469.25</v>
      </c>
      <c r="AC77" s="27">
        <v>0</v>
      </c>
      <c r="AD77" s="27">
        <v>0</v>
      </c>
      <c r="AE77" s="28">
        <f t="shared" ca="1" si="31"/>
        <v>11769469.25</v>
      </c>
      <c r="AG77" s="16"/>
    </row>
    <row r="78" spans="1:35" collapsed="1" x14ac:dyDescent="0.25">
      <c r="A78" s="66" t="s">
        <v>153</v>
      </c>
      <c r="C78" s="63">
        <f ca="1">SUM(C79:C86)</f>
        <v>19465901.559999999</v>
      </c>
      <c r="D78" s="27">
        <f t="shared" ref="D78:K78" ca="1" si="32">SUM(D79:D86)</f>
        <v>21347201.679999996</v>
      </c>
      <c r="E78" s="27">
        <f t="shared" ca="1" si="32"/>
        <v>47098661.51000002</v>
      </c>
      <c r="F78" s="28">
        <f t="shared" ca="1" si="32"/>
        <v>87911764.75</v>
      </c>
      <c r="H78" s="63">
        <f t="shared" ca="1" si="32"/>
        <v>46600457.660000011</v>
      </c>
      <c r="I78" s="27">
        <f t="shared" ca="1" si="32"/>
        <v>46840907.07</v>
      </c>
      <c r="J78" s="27">
        <f t="shared" ca="1" si="32"/>
        <v>32838781.890000004</v>
      </c>
      <c r="K78" s="28">
        <f t="shared" ca="1" si="32"/>
        <v>126280146.62</v>
      </c>
      <c r="M78" s="63">
        <f ca="1">SUM(M79:M86)</f>
        <v>36845602.399999999</v>
      </c>
      <c r="N78" s="27">
        <f ca="1">SUM(N79:N86)</f>
        <v>43479861.569999993</v>
      </c>
      <c r="O78" s="27">
        <f ca="1">SUM(O79:O86)</f>
        <v>65853994.56000001</v>
      </c>
      <c r="P78" s="28">
        <f t="shared" ca="1" si="28"/>
        <v>146179458.53</v>
      </c>
      <c r="Q78" s="27"/>
      <c r="R78" s="63">
        <f ca="1">SUM(R79:R86)</f>
        <v>57590056.090000004</v>
      </c>
      <c r="S78" s="27">
        <f ca="1">SUM(S79:S86)</f>
        <v>53024695.770000003</v>
      </c>
      <c r="T78" s="27">
        <f ca="1">SUM(T79:T86)</f>
        <v>44089686.320000008</v>
      </c>
      <c r="U78" s="28">
        <f t="shared" ca="1" si="29"/>
        <v>154704438.18000001</v>
      </c>
      <c r="V78" s="23"/>
      <c r="W78" s="63">
        <f ca="1">SUM(W79:W86)</f>
        <v>43253884.840000004</v>
      </c>
      <c r="X78" s="27">
        <f ca="1">SUM(X79:X86)</f>
        <v>30322015.479999997</v>
      </c>
      <c r="Y78" s="27">
        <f ca="1">SUM(Y79:Y86)</f>
        <v>46563584.120000012</v>
      </c>
      <c r="Z78" s="28">
        <f t="shared" ca="1" si="30"/>
        <v>120139484.44</v>
      </c>
      <c r="AB78" s="63">
        <f ca="1">SUM(AB79:AB86)</f>
        <v>50883755.300000004</v>
      </c>
      <c r="AC78" s="27">
        <f ca="1">SUM(AC79:AC86)</f>
        <v>4611478</v>
      </c>
      <c r="AD78" s="27">
        <f ca="1">SUM(AD79:AD86)</f>
        <v>0</v>
      </c>
      <c r="AE78" s="28">
        <f t="shared" ca="1" si="31"/>
        <v>55495233.300000004</v>
      </c>
      <c r="AG78" s="16"/>
    </row>
    <row r="79" spans="1:35" ht="14.65" hidden="1" customHeight="1" outlineLevel="1" x14ac:dyDescent="0.25">
      <c r="A79" s="64" t="s">
        <v>154</v>
      </c>
      <c r="C79" s="63">
        <v>2990114.4800000004</v>
      </c>
      <c r="D79" s="27">
        <v>5334172.830000001</v>
      </c>
      <c r="E79" s="27">
        <v>21399582.470000006</v>
      </c>
      <c r="F79" s="28">
        <f t="shared" ref="F79:F86" ca="1" si="33">SUM(C79:E79)</f>
        <v>29723869.780000009</v>
      </c>
      <c r="H79" s="63">
        <v>13996722.850000003</v>
      </c>
      <c r="I79" s="27">
        <v>7296318.3900000006</v>
      </c>
      <c r="J79" s="27">
        <v>3836805.67</v>
      </c>
      <c r="K79" s="28">
        <f ca="1">SUM(H79:J79)</f>
        <v>25129846.910000004</v>
      </c>
      <c r="M79" s="63">
        <v>4388827.72</v>
      </c>
      <c r="N79" s="27">
        <v>7190187.5999999959</v>
      </c>
      <c r="O79" s="27">
        <v>24756246.100000001</v>
      </c>
      <c r="P79" s="28">
        <f t="shared" ca="1" si="28"/>
        <v>36335261.420000002</v>
      </c>
      <c r="Q79" s="27"/>
      <c r="R79" s="63">
        <v>11448004.710000003</v>
      </c>
      <c r="S79" s="27">
        <v>10250173.090000004</v>
      </c>
      <c r="T79" s="27">
        <v>5444033.0800000001</v>
      </c>
      <c r="U79" s="28">
        <f t="shared" ca="1" si="29"/>
        <v>27142210.880000003</v>
      </c>
      <c r="V79" s="23"/>
      <c r="W79" s="63">
        <v>4573513.379999999</v>
      </c>
      <c r="X79" s="27">
        <v>5829026.7700000005</v>
      </c>
      <c r="Y79" s="27">
        <v>19716322.270000011</v>
      </c>
      <c r="Z79" s="28">
        <f t="shared" ca="1" si="30"/>
        <v>30118862.420000009</v>
      </c>
      <c r="AB79" s="63">
        <v>8217138.6699999999</v>
      </c>
      <c r="AC79" s="27">
        <v>947855.07</v>
      </c>
      <c r="AD79" s="27">
        <v>0</v>
      </c>
      <c r="AE79" s="28">
        <f t="shared" ca="1" si="31"/>
        <v>9164993.7400000002</v>
      </c>
      <c r="AG79" s="16"/>
      <c r="AH79" t="s">
        <v>154</v>
      </c>
      <c r="AI79" t="b">
        <f ca="1">AH79=A79</f>
        <v>1</v>
      </c>
    </row>
    <row r="80" spans="1:35" ht="14.65" hidden="1" customHeight="1" outlineLevel="1" x14ac:dyDescent="0.25">
      <c r="A80" s="64" t="s">
        <v>155</v>
      </c>
      <c r="C80" s="63">
        <v>5989388.6999999993</v>
      </c>
      <c r="D80" s="27">
        <v>6607928.0499999989</v>
      </c>
      <c r="E80" s="27">
        <v>6742681.3600000031</v>
      </c>
      <c r="F80" s="28">
        <f t="shared" ca="1" si="33"/>
        <v>19339998.109999999</v>
      </c>
      <c r="H80" s="63">
        <v>8492342.9300000034</v>
      </c>
      <c r="I80" s="27">
        <v>13036780.490000004</v>
      </c>
      <c r="J80" s="27">
        <v>9563789.3700000029</v>
      </c>
      <c r="K80" s="28">
        <f t="shared" ref="K80:K86" ca="1" si="34">SUM(H80:J80)</f>
        <v>31092912.790000014</v>
      </c>
      <c r="M80" s="63">
        <v>10101385.209999999</v>
      </c>
      <c r="N80" s="27">
        <v>11440530.1</v>
      </c>
      <c r="O80" s="27">
        <v>6932577.7199999997</v>
      </c>
      <c r="P80" s="28">
        <f t="shared" ca="1" si="28"/>
        <v>28474493.029999997</v>
      </c>
      <c r="Q80" s="27"/>
      <c r="R80" s="63">
        <v>10506054.220000001</v>
      </c>
      <c r="S80" s="27">
        <v>11408916.140000001</v>
      </c>
      <c r="T80" s="27">
        <v>11820090.580000002</v>
      </c>
      <c r="U80" s="28">
        <f t="shared" ca="1" si="29"/>
        <v>33735060.939999998</v>
      </c>
      <c r="V80" s="23"/>
      <c r="W80" s="63">
        <v>11647249.440000003</v>
      </c>
      <c r="X80" s="27">
        <v>6444532.1399999987</v>
      </c>
      <c r="Y80" s="27">
        <v>4480553.92</v>
      </c>
      <c r="Z80" s="28">
        <f t="shared" ca="1" si="30"/>
        <v>22572335.5</v>
      </c>
      <c r="AB80" s="63">
        <v>7837124.660000002</v>
      </c>
      <c r="AC80" s="27">
        <v>880386</v>
      </c>
      <c r="AD80" s="27">
        <v>0</v>
      </c>
      <c r="AE80" s="28">
        <f t="shared" ca="1" si="31"/>
        <v>8717510.660000002</v>
      </c>
      <c r="AG80" s="16"/>
      <c r="AH80" t="s">
        <v>155</v>
      </c>
      <c r="AI80" t="b">
        <f t="shared" ref="AI80:AI85" ca="1" si="35">AH80=A80</f>
        <v>1</v>
      </c>
    </row>
    <row r="81" spans="1:35" ht="14.65" hidden="1" customHeight="1" outlineLevel="1" x14ac:dyDescent="0.25">
      <c r="A81" s="64" t="s">
        <v>156</v>
      </c>
      <c r="C81" s="63">
        <v>427103.5</v>
      </c>
      <c r="D81" s="27">
        <v>1163478.9099999999</v>
      </c>
      <c r="E81" s="27">
        <v>1021914.2900000002</v>
      </c>
      <c r="F81" s="28">
        <f t="shared" ca="1" si="33"/>
        <v>2612496.7000000002</v>
      </c>
      <c r="H81" s="63">
        <v>652010.77999999991</v>
      </c>
      <c r="I81" s="27">
        <v>1967400.7999999998</v>
      </c>
      <c r="J81" s="27">
        <v>1917194.54</v>
      </c>
      <c r="K81" s="28">
        <f t="shared" ca="1" si="34"/>
        <v>4536606.1199999992</v>
      </c>
      <c r="M81" s="63">
        <v>2151376.75</v>
      </c>
      <c r="N81" s="27">
        <v>2868100.07</v>
      </c>
      <c r="O81" s="27">
        <v>3716497.4800000004</v>
      </c>
      <c r="P81" s="28">
        <v>0</v>
      </c>
      <c r="Q81" s="27"/>
      <c r="R81" s="63">
        <v>3670541.42</v>
      </c>
      <c r="S81" s="27">
        <v>4533893</v>
      </c>
      <c r="T81" s="27">
        <v>4253501.76</v>
      </c>
      <c r="U81" s="28">
        <f t="shared" ca="1" si="29"/>
        <v>12457936.18</v>
      </c>
      <c r="V81" s="23"/>
      <c r="W81" s="63">
        <v>3179832.4800000004</v>
      </c>
      <c r="X81" s="27">
        <v>1339427.69</v>
      </c>
      <c r="Y81" s="27">
        <v>683493.9600000002</v>
      </c>
      <c r="Z81" s="28">
        <f t="shared" ca="1" si="30"/>
        <v>5202754.13</v>
      </c>
      <c r="AB81" s="63">
        <v>3006004.88</v>
      </c>
      <c r="AC81" s="27">
        <v>337235.67000000004</v>
      </c>
      <c r="AD81" s="27">
        <v>0</v>
      </c>
      <c r="AE81" s="28">
        <f t="shared" ca="1" si="31"/>
        <v>3343240.55</v>
      </c>
      <c r="AG81" s="16"/>
      <c r="AH81" t="s">
        <v>156</v>
      </c>
      <c r="AI81" t="b">
        <f t="shared" ca="1" si="35"/>
        <v>1</v>
      </c>
    </row>
    <row r="82" spans="1:35" ht="14.65" hidden="1" customHeight="1" outlineLevel="1" x14ac:dyDescent="0.25">
      <c r="A82" s="64" t="s">
        <v>157</v>
      </c>
      <c r="C82" s="63">
        <v>0</v>
      </c>
      <c r="D82" s="27">
        <v>99736.43</v>
      </c>
      <c r="E82" s="27">
        <v>962381.05</v>
      </c>
      <c r="F82" s="28">
        <f t="shared" ca="1" si="33"/>
        <v>1062117.48</v>
      </c>
      <c r="H82" s="63">
        <v>1900242.9300000006</v>
      </c>
      <c r="I82" s="27">
        <v>1145289.92</v>
      </c>
      <c r="J82" s="27">
        <v>1468823.88</v>
      </c>
      <c r="K82" s="28">
        <f t="shared" ca="1" si="34"/>
        <v>4514356.7300000004</v>
      </c>
      <c r="M82" s="63">
        <v>3696601.73</v>
      </c>
      <c r="N82" s="27">
        <v>3502110.23</v>
      </c>
      <c r="O82" s="27">
        <v>5227305.4800000004</v>
      </c>
      <c r="P82" s="28">
        <f t="shared" ca="1" si="28"/>
        <v>12426017.440000001</v>
      </c>
      <c r="Q82" s="27"/>
      <c r="R82" s="63">
        <v>4517984.1800000006</v>
      </c>
      <c r="S82" s="27">
        <v>4497714.4700000007</v>
      </c>
      <c r="T82" s="27">
        <v>4243184.580000001</v>
      </c>
      <c r="U82" s="28">
        <f t="shared" ca="1" si="29"/>
        <v>13258883.230000004</v>
      </c>
      <c r="V82" s="23"/>
      <c r="W82" s="63">
        <v>4774961.84</v>
      </c>
      <c r="X82" s="27">
        <v>3180420.5799999996</v>
      </c>
      <c r="Y82" s="27">
        <v>4117969.57</v>
      </c>
      <c r="Z82" s="28">
        <f t="shared" ca="1" si="30"/>
        <v>12073351.99</v>
      </c>
      <c r="AB82" s="63">
        <v>2078795.8900000001</v>
      </c>
      <c r="AC82" s="27">
        <v>187809</v>
      </c>
      <c r="AD82" s="27">
        <v>0</v>
      </c>
      <c r="AE82" s="28">
        <f t="shared" ca="1" si="31"/>
        <v>2266604.89</v>
      </c>
      <c r="AG82" s="16"/>
      <c r="AH82" t="s">
        <v>157</v>
      </c>
      <c r="AI82" t="b">
        <f t="shared" ca="1" si="35"/>
        <v>1</v>
      </c>
    </row>
    <row r="83" spans="1:35" ht="14.65" hidden="1" customHeight="1" outlineLevel="1" x14ac:dyDescent="0.25">
      <c r="A83" s="64" t="s">
        <v>158</v>
      </c>
      <c r="C83" s="63">
        <v>7187577.6899999995</v>
      </c>
      <c r="D83" s="27">
        <v>5991121.4999999963</v>
      </c>
      <c r="E83" s="27">
        <v>14436865.90000001</v>
      </c>
      <c r="F83" s="28">
        <f t="shared" ca="1" si="33"/>
        <v>27615565.090000004</v>
      </c>
      <c r="H83" s="63">
        <v>16557414.250000004</v>
      </c>
      <c r="I83" s="27">
        <v>15631673.029999999</v>
      </c>
      <c r="J83" s="27">
        <v>10544122.420000004</v>
      </c>
      <c r="K83" s="28">
        <f t="shared" ca="1" si="34"/>
        <v>42733209.700000003</v>
      </c>
      <c r="M83" s="63">
        <v>9472058.410000002</v>
      </c>
      <c r="N83" s="27">
        <v>10314468.000000002</v>
      </c>
      <c r="O83" s="27">
        <v>16990286.180000003</v>
      </c>
      <c r="P83" s="28">
        <f t="shared" ca="1" si="28"/>
        <v>36776812.590000004</v>
      </c>
      <c r="Q83" s="27"/>
      <c r="R83" s="63">
        <v>17157855.420000002</v>
      </c>
      <c r="S83" s="27">
        <v>11121005.140000001</v>
      </c>
      <c r="T83" s="27">
        <v>10006759.41</v>
      </c>
      <c r="U83" s="28">
        <f t="shared" ca="1" si="29"/>
        <v>38285619.969999999</v>
      </c>
      <c r="V83" s="23"/>
      <c r="W83" s="63">
        <v>8807653.9900000002</v>
      </c>
      <c r="X83" s="27">
        <v>7699413.6099999994</v>
      </c>
      <c r="Y83" s="27">
        <v>12442351.589999998</v>
      </c>
      <c r="Z83" s="28">
        <f t="shared" ca="1" si="30"/>
        <v>28949419.189999998</v>
      </c>
      <c r="AB83" s="63">
        <v>12667136.100000001</v>
      </c>
      <c r="AC83" s="27">
        <v>1073794.31</v>
      </c>
      <c r="AD83" s="27">
        <v>0</v>
      </c>
      <c r="AE83" s="28">
        <f t="shared" ca="1" si="31"/>
        <v>13740930.410000002</v>
      </c>
      <c r="AG83" s="16"/>
      <c r="AH83" t="s">
        <v>158</v>
      </c>
      <c r="AI83" t="b">
        <f t="shared" ca="1" si="35"/>
        <v>1</v>
      </c>
    </row>
    <row r="84" spans="1:35" ht="14.65" hidden="1" customHeight="1" outlineLevel="1" x14ac:dyDescent="0.25">
      <c r="A84" s="64" t="s">
        <v>159</v>
      </c>
      <c r="C84" s="63">
        <v>1176300.9599999997</v>
      </c>
      <c r="D84" s="27">
        <v>245829</v>
      </c>
      <c r="E84" s="27">
        <v>1085818.28</v>
      </c>
      <c r="F84" s="28">
        <f t="shared" ca="1" si="33"/>
        <v>2507948.2399999998</v>
      </c>
      <c r="H84" s="63">
        <v>3184399.2</v>
      </c>
      <c r="I84" s="27">
        <v>4157129.8900000006</v>
      </c>
      <c r="J84" s="27">
        <v>2733931.3499999996</v>
      </c>
      <c r="K84" s="28">
        <f t="shared" ca="1" si="34"/>
        <v>10075460.440000001</v>
      </c>
      <c r="M84" s="63">
        <v>3668778.4699999988</v>
      </c>
      <c r="N84" s="27">
        <v>4098438.41</v>
      </c>
      <c r="O84" s="27">
        <v>4463399.1900000004</v>
      </c>
      <c r="P84" s="28">
        <f t="shared" ca="1" si="28"/>
        <v>12230616.07</v>
      </c>
      <c r="Q84" s="27"/>
      <c r="R84" s="63">
        <v>6150720.4999999981</v>
      </c>
      <c r="S84" s="27">
        <v>5336180.8600000013</v>
      </c>
      <c r="T84" s="27">
        <v>3585139.41</v>
      </c>
      <c r="U84" s="28">
        <f t="shared" ca="1" si="29"/>
        <v>15072040.77</v>
      </c>
      <c r="V84" s="23"/>
      <c r="W84" s="63">
        <v>3824577.8</v>
      </c>
      <c r="X84" s="27">
        <v>2107209</v>
      </c>
      <c r="Y84" s="27">
        <v>2556754.16</v>
      </c>
      <c r="Z84" s="28">
        <f t="shared" ca="1" si="30"/>
        <v>8488540.9600000009</v>
      </c>
      <c r="AB84" s="63">
        <v>3921660.6699999995</v>
      </c>
      <c r="AC84" s="27">
        <v>1014708.9500000001</v>
      </c>
      <c r="AD84" s="27">
        <v>0</v>
      </c>
      <c r="AE84" s="28">
        <f t="shared" ca="1" si="31"/>
        <v>4936369.6199999992</v>
      </c>
      <c r="AG84" s="16"/>
      <c r="AH84" t="s">
        <v>159</v>
      </c>
      <c r="AI84" t="b">
        <f t="shared" ca="1" si="35"/>
        <v>1</v>
      </c>
    </row>
    <row r="85" spans="1:35" ht="14.65" hidden="1" customHeight="1" outlineLevel="1" x14ac:dyDescent="0.25">
      <c r="A85" s="64" t="s">
        <v>160</v>
      </c>
      <c r="C85" s="63">
        <v>1695416.23</v>
      </c>
      <c r="D85" s="27">
        <v>1904934.9600000004</v>
      </c>
      <c r="E85" s="27">
        <v>1449418.1600000001</v>
      </c>
      <c r="F85" s="28">
        <f ca="1">SUM(C85:E85)</f>
        <v>5049769.3500000006</v>
      </c>
      <c r="H85" s="63">
        <v>1817324.72</v>
      </c>
      <c r="I85" s="27">
        <v>3606314.5499999993</v>
      </c>
      <c r="J85" s="27">
        <v>2774114.6599999997</v>
      </c>
      <c r="K85" s="28">
        <f ca="1">SUM(H85:J85)</f>
        <v>8197753.9299999997</v>
      </c>
      <c r="M85" s="63">
        <v>3366574.1100000003</v>
      </c>
      <c r="N85" s="27">
        <v>4066027.16</v>
      </c>
      <c r="O85" s="27">
        <v>3767682.4100000006</v>
      </c>
      <c r="P85" s="28">
        <f ca="1">SUM(M85:O85)</f>
        <v>11200283.680000002</v>
      </c>
      <c r="Q85" s="27"/>
      <c r="R85" s="63">
        <v>4106630.64</v>
      </c>
      <c r="S85" s="27">
        <v>5876813.0699999994</v>
      </c>
      <c r="T85" s="27">
        <v>4453084.4999999991</v>
      </c>
      <c r="U85" s="28">
        <f t="shared" ca="1" si="29"/>
        <v>14436528.209999997</v>
      </c>
      <c r="V85" s="23"/>
      <c r="W85" s="63">
        <v>5197682.919999999</v>
      </c>
      <c r="X85" s="27">
        <v>3640212.6899999995</v>
      </c>
      <c r="Y85" s="27">
        <v>2219635.6500000004</v>
      </c>
      <c r="Z85" s="28">
        <f t="shared" ca="1" si="30"/>
        <v>11057531.26</v>
      </c>
      <c r="AB85" s="63">
        <v>2444260.4299999997</v>
      </c>
      <c r="AC85" s="27">
        <v>169689</v>
      </c>
      <c r="AD85" s="27">
        <v>0</v>
      </c>
      <c r="AE85" s="28">
        <f t="shared" ca="1" si="31"/>
        <v>2613949.4299999997</v>
      </c>
      <c r="AG85" s="16"/>
      <c r="AH85" t="s">
        <v>160</v>
      </c>
      <c r="AI85" t="b">
        <f t="shared" ca="1" si="35"/>
        <v>1</v>
      </c>
    </row>
    <row r="86" spans="1:35" ht="14.65" hidden="1" customHeight="1" outlineLevel="1" x14ac:dyDescent="0.25">
      <c r="A86" s="64" t="s">
        <v>161</v>
      </c>
      <c r="C86" s="63">
        <v>0</v>
      </c>
      <c r="D86" s="27">
        <v>0</v>
      </c>
      <c r="E86" s="27">
        <v>0</v>
      </c>
      <c r="F86" s="28">
        <f t="shared" ca="1" si="33"/>
        <v>0</v>
      </c>
      <c r="H86" s="63">
        <v>0</v>
      </c>
      <c r="I86" s="27">
        <v>0</v>
      </c>
      <c r="J86" s="27">
        <v>0</v>
      </c>
      <c r="K86" s="28">
        <f t="shared" ca="1" si="34"/>
        <v>0</v>
      </c>
      <c r="M86" s="63">
        <v>0</v>
      </c>
      <c r="N86" s="27">
        <v>0</v>
      </c>
      <c r="O86" s="27">
        <v>0</v>
      </c>
      <c r="P86" s="28">
        <f t="shared" ca="1" si="28"/>
        <v>0</v>
      </c>
      <c r="Q86" s="27"/>
      <c r="R86" s="63">
        <v>32265</v>
      </c>
      <c r="S86" s="27">
        <v>0</v>
      </c>
      <c r="T86" s="27">
        <v>283893</v>
      </c>
      <c r="U86" s="28">
        <f t="shared" ca="1" si="29"/>
        <v>316158</v>
      </c>
      <c r="V86" s="23"/>
      <c r="W86" s="63">
        <v>1248412.99</v>
      </c>
      <c r="X86" s="27">
        <v>81773</v>
      </c>
      <c r="Y86" s="27">
        <v>346503</v>
      </c>
      <c r="Z86" s="28">
        <f t="shared" ca="1" si="30"/>
        <v>1676688.99</v>
      </c>
      <c r="AB86" s="63">
        <v>10711634</v>
      </c>
      <c r="AC86" s="27">
        <v>0</v>
      </c>
      <c r="AD86" s="27">
        <v>0</v>
      </c>
      <c r="AE86" s="28">
        <f t="shared" ca="1" si="31"/>
        <v>10711634</v>
      </c>
      <c r="AG86" s="16"/>
    </row>
    <row r="87" spans="1:35" ht="15.75" collapsed="1" thickBot="1" x14ac:dyDescent="0.3">
      <c r="A87" s="66" t="s">
        <v>162</v>
      </c>
      <c r="C87" s="63">
        <f ca="1">SUM(C88:C90)</f>
        <v>16849486.479999997</v>
      </c>
      <c r="D87" s="27">
        <f t="shared" ref="D87:K87" ca="1" si="36">SUM(D88:D90)</f>
        <v>6569354.5899999999</v>
      </c>
      <c r="E87" s="27">
        <f t="shared" ca="1" si="36"/>
        <v>9250495.5199999996</v>
      </c>
      <c r="F87" s="28">
        <f t="shared" ca="1" si="36"/>
        <v>32669336.589999996</v>
      </c>
      <c r="H87" s="63">
        <f t="shared" ca="1" si="36"/>
        <v>10154426.020000001</v>
      </c>
      <c r="I87" s="27">
        <f t="shared" ca="1" si="36"/>
        <v>32503145.670000002</v>
      </c>
      <c r="J87" s="27">
        <f t="shared" ca="1" si="36"/>
        <v>24592072.280000001</v>
      </c>
      <c r="K87" s="28">
        <f t="shared" ca="1" si="36"/>
        <v>67249643.969999999</v>
      </c>
      <c r="M87" s="63">
        <f ca="1">SUM(M88:M90)</f>
        <v>34224436.32</v>
      </c>
      <c r="N87" s="27">
        <f ca="1">SUM(N88:N90)</f>
        <v>29683165.109999992</v>
      </c>
      <c r="O87" s="27">
        <f ca="1">SUM(O88:O90)</f>
        <v>26981677.07</v>
      </c>
      <c r="P87" s="28">
        <f t="shared" ca="1" si="28"/>
        <v>90889278.5</v>
      </c>
      <c r="Q87" s="27"/>
      <c r="R87" s="63">
        <f ca="1">SUM(R88:R90)</f>
        <v>31231364.399999999</v>
      </c>
      <c r="S87" s="27">
        <f ca="1">SUM(S88:S90)</f>
        <v>21454984.750000004</v>
      </c>
      <c r="T87" s="27">
        <f ca="1">SUM(T88:T90)</f>
        <v>21860073.899999999</v>
      </c>
      <c r="U87" s="28">
        <f ca="1">SUM(R87:T87)</f>
        <v>74546423.050000012</v>
      </c>
      <c r="V87" s="23"/>
      <c r="W87" s="63">
        <f ca="1">SUM(W88:W90)</f>
        <v>28473646.18</v>
      </c>
      <c r="X87" s="27">
        <f ca="1">SUM(X88:X90)</f>
        <v>22192285.329999998</v>
      </c>
      <c r="Y87" s="27">
        <f ca="1">SUM(Y88:Y90)</f>
        <v>11853381.139999999</v>
      </c>
      <c r="Z87" s="28">
        <f ca="1">SUM(W87:Y87)</f>
        <v>62519312.649999999</v>
      </c>
      <c r="AB87" s="63">
        <f ca="1">SUM(AB88:AB90)</f>
        <v>14412033.930000002</v>
      </c>
      <c r="AC87" s="27">
        <f ca="1">SUM(AC88:AC90)</f>
        <v>4886121.0399999991</v>
      </c>
      <c r="AD87" s="27">
        <f ca="1">SUM(AD88:AD90)</f>
        <v>0</v>
      </c>
      <c r="AE87" s="28">
        <f t="shared" ca="1" si="31"/>
        <v>19298154.969999999</v>
      </c>
      <c r="AG87" s="16"/>
    </row>
    <row r="88" spans="1:35" ht="14.65" hidden="1" customHeight="1" outlineLevel="1" x14ac:dyDescent="0.25">
      <c r="A88" s="64" t="s">
        <v>163</v>
      </c>
      <c r="C88" s="63">
        <v>4865549.129999998</v>
      </c>
      <c r="D88" s="27">
        <v>66174.080000000016</v>
      </c>
      <c r="E88" s="27">
        <v>3496051.62</v>
      </c>
      <c r="F88" s="28">
        <f ca="1">SUM(C88:E88)</f>
        <v>8427774.8299999982</v>
      </c>
      <c r="H88" s="63">
        <v>2264371.7400000002</v>
      </c>
      <c r="I88" s="27">
        <v>23204915.050000001</v>
      </c>
      <c r="J88" s="27">
        <v>7622388.3099999996</v>
      </c>
      <c r="K88" s="28">
        <f ca="1">SUM(H88:J88)</f>
        <v>33091675.099999998</v>
      </c>
      <c r="M88" s="63">
        <v>7675538.25</v>
      </c>
      <c r="N88" s="27">
        <v>5809062.5899999989</v>
      </c>
      <c r="O88" s="27">
        <v>6484440.4899999993</v>
      </c>
      <c r="P88" s="28">
        <f t="shared" ca="1" si="28"/>
        <v>19969041.329999998</v>
      </c>
      <c r="Q88" s="27"/>
      <c r="R88" s="63">
        <v>7045059.4199999999</v>
      </c>
      <c r="S88" s="27">
        <v>6016694.6800000016</v>
      </c>
      <c r="T88" s="27">
        <v>5461727.7699999996</v>
      </c>
      <c r="U88" s="28">
        <f ca="1">SUM(R88:T88)</f>
        <v>18523481.870000001</v>
      </c>
      <c r="V88" s="23"/>
      <c r="W88" s="63">
        <v>5470762.7400000002</v>
      </c>
      <c r="X88" s="27">
        <v>5032639.57</v>
      </c>
      <c r="Y88" s="27">
        <v>3490710.32</v>
      </c>
      <c r="Z88" s="28">
        <f ca="1">SUM(W88:Y88)</f>
        <v>13994112.630000001</v>
      </c>
      <c r="AB88" s="63">
        <v>6201851.4800000004</v>
      </c>
      <c r="AC88" s="27">
        <v>3704266.8099999996</v>
      </c>
      <c r="AD88" s="27">
        <v>0</v>
      </c>
      <c r="AE88" s="28">
        <f t="shared" ca="1" si="31"/>
        <v>9906118.2899999991</v>
      </c>
      <c r="AG88" s="16"/>
    </row>
    <row r="89" spans="1:35" ht="14.65" hidden="1" customHeight="1" outlineLevel="1" x14ac:dyDescent="0.25">
      <c r="A89" s="64" t="s">
        <v>164</v>
      </c>
      <c r="C89" s="63">
        <v>3028154.5999999996</v>
      </c>
      <c r="D89" s="27">
        <v>1906595.3099999998</v>
      </c>
      <c r="E89" s="27">
        <v>1925568.03</v>
      </c>
      <c r="F89" s="28">
        <f ca="1">SUM(C89:E89)</f>
        <v>6860317.9399999995</v>
      </c>
      <c r="H89" s="63">
        <v>3206702.6100000003</v>
      </c>
      <c r="I89" s="27">
        <v>1889230.9299999997</v>
      </c>
      <c r="J89" s="27">
        <v>12012246.049999999</v>
      </c>
      <c r="K89" s="28">
        <f ca="1">SUM(H89:J89)</f>
        <v>17108179.59</v>
      </c>
      <c r="M89" s="63">
        <v>7504171.089999998</v>
      </c>
      <c r="N89" s="27">
        <v>6288100.2799999993</v>
      </c>
      <c r="O89" s="27">
        <v>8915855.6600000001</v>
      </c>
      <c r="P89" s="28">
        <f t="shared" ca="1" si="28"/>
        <v>22708127.029999997</v>
      </c>
      <c r="Q89" s="27"/>
      <c r="R89" s="63">
        <v>7074431.3100000015</v>
      </c>
      <c r="S89" s="27">
        <v>4847741.9000000004</v>
      </c>
      <c r="T89" s="27">
        <v>5267629.43</v>
      </c>
      <c r="U89" s="28">
        <f ca="1">SUM(R89:T89)</f>
        <v>17189802.640000001</v>
      </c>
      <c r="V89" s="23"/>
      <c r="W89" s="63">
        <v>10028920.209999999</v>
      </c>
      <c r="X89" s="27">
        <v>7343968.3300000001</v>
      </c>
      <c r="Y89" s="27">
        <v>2320893.84</v>
      </c>
      <c r="Z89" s="28">
        <f ca="1">SUM(W89:Y89)</f>
        <v>19693782.379999999</v>
      </c>
      <c r="AB89" s="63">
        <v>3824536.14</v>
      </c>
      <c r="AC89" s="27">
        <v>192850</v>
      </c>
      <c r="AD89" s="27">
        <v>0</v>
      </c>
      <c r="AE89" s="28">
        <f t="shared" ca="1" si="31"/>
        <v>4017386.14</v>
      </c>
      <c r="AG89" s="16"/>
    </row>
    <row r="90" spans="1:35" ht="15" hidden="1" customHeight="1" outlineLevel="1" thickBot="1" x14ac:dyDescent="0.3">
      <c r="A90" s="64" t="s">
        <v>165</v>
      </c>
      <c r="C90" s="63">
        <v>8955782.7499999981</v>
      </c>
      <c r="D90" s="27">
        <v>4596585.2</v>
      </c>
      <c r="E90" s="27">
        <v>3828875.87</v>
      </c>
      <c r="F90" s="28">
        <f ca="1">SUM(C90:E90)</f>
        <v>17381243.82</v>
      </c>
      <c r="H90" s="63">
        <v>4683351.6700000009</v>
      </c>
      <c r="I90" s="27">
        <v>7408999.6899999995</v>
      </c>
      <c r="J90" s="27">
        <v>4957437.92</v>
      </c>
      <c r="K90" s="28">
        <f ca="1">SUM(H90:J90)</f>
        <v>17049789.280000001</v>
      </c>
      <c r="M90" s="63">
        <v>19044726.980000004</v>
      </c>
      <c r="N90" s="27">
        <v>17586002.239999995</v>
      </c>
      <c r="O90" s="27">
        <v>11581380.92</v>
      </c>
      <c r="P90" s="28">
        <f t="shared" ca="1" si="28"/>
        <v>48212110.140000001</v>
      </c>
      <c r="Q90" s="27"/>
      <c r="R90" s="63">
        <v>17111873.669999998</v>
      </c>
      <c r="S90" s="27">
        <v>10590548.170000002</v>
      </c>
      <c r="T90" s="27">
        <v>11130716.700000001</v>
      </c>
      <c r="U90" s="28">
        <f ca="1">SUM(R90:T90)</f>
        <v>38833138.539999999</v>
      </c>
      <c r="V90" s="23"/>
      <c r="W90" s="63">
        <v>12973963.230000002</v>
      </c>
      <c r="X90" s="27">
        <v>9815677.4299999978</v>
      </c>
      <c r="Y90" s="27">
        <v>6041776.9799999986</v>
      </c>
      <c r="Z90" s="28">
        <f ca="1">SUM(W90:Y90)</f>
        <v>28831417.640000001</v>
      </c>
      <c r="AB90" s="63">
        <v>4385646.3100000005</v>
      </c>
      <c r="AC90" s="27">
        <v>989004.23</v>
      </c>
      <c r="AD90" s="27">
        <v>0</v>
      </c>
      <c r="AE90" s="28">
        <f t="shared" ca="1" si="31"/>
        <v>5374650.540000001</v>
      </c>
      <c r="AG90" s="16"/>
    </row>
    <row r="91" spans="1:35" ht="15.75" collapsed="1" thickBot="1" x14ac:dyDescent="0.3">
      <c r="A91" s="67" t="s">
        <v>166</v>
      </c>
      <c r="C91" s="68">
        <f ca="1">SUM(C87,C78,C74)</f>
        <v>85501409.209999993</v>
      </c>
      <c r="D91" s="69">
        <f t="shared" ref="D91:P91" ca="1" si="37">SUM(D87,D78,D74)</f>
        <v>70890747.459999993</v>
      </c>
      <c r="E91" s="69">
        <f t="shared" ca="1" si="37"/>
        <v>115338458.86000001</v>
      </c>
      <c r="F91" s="70">
        <f t="shared" ca="1" si="37"/>
        <v>271730615.52999997</v>
      </c>
      <c r="H91" s="68">
        <f t="shared" ca="1" si="37"/>
        <v>134565269.99000001</v>
      </c>
      <c r="I91" s="69">
        <f t="shared" ca="1" si="37"/>
        <v>170010220.47</v>
      </c>
      <c r="J91" s="69">
        <f t="shared" ca="1" si="37"/>
        <v>92112046.439999998</v>
      </c>
      <c r="K91" s="70">
        <f t="shared" ca="1" si="37"/>
        <v>396687536.89999998</v>
      </c>
      <c r="M91" s="68">
        <f t="shared" ca="1" si="37"/>
        <v>97591368.840000004</v>
      </c>
      <c r="N91" s="69">
        <f t="shared" ca="1" si="37"/>
        <v>104458473.18999997</v>
      </c>
      <c r="O91" s="69">
        <f t="shared" ca="1" si="37"/>
        <v>179563679.67000002</v>
      </c>
      <c r="P91" s="70">
        <f t="shared" ca="1" si="37"/>
        <v>381613521.70000005</v>
      </c>
      <c r="Q91" s="71"/>
      <c r="R91" s="68">
        <f ca="1">SUM(R87,R78,R74)</f>
        <v>188995534.91000003</v>
      </c>
      <c r="S91" s="69">
        <f ca="1">SUM(S87,S78,S74)</f>
        <v>128742820.03</v>
      </c>
      <c r="T91" s="69">
        <f ca="1">SUM(T87,T78,T74)</f>
        <v>125421905.70000002</v>
      </c>
      <c r="U91" s="70">
        <f ca="1">SUM(U87,U78,U74)</f>
        <v>443160260.64000005</v>
      </c>
      <c r="V91" s="23"/>
      <c r="W91" s="68">
        <f ca="1">SUM(W87,W78,W74)</f>
        <v>130603371.27000001</v>
      </c>
      <c r="X91" s="69">
        <f ca="1">SUM(X87,X78,X74)</f>
        <v>84034934.939999998</v>
      </c>
      <c r="Y91" s="69">
        <f ca="1">SUM(Y87,Y78,Y74)</f>
        <v>127474177.18000004</v>
      </c>
      <c r="Z91" s="70">
        <f ca="1">SUM(Z87,Z78,Z74)</f>
        <v>342112483.38999999</v>
      </c>
      <c r="AB91" s="68">
        <f ca="1">SUM(AB87,AB78,AB74)</f>
        <v>137342513.57999998</v>
      </c>
      <c r="AC91" s="69">
        <f ca="1">SUM(AC87,AC78,AC74)</f>
        <v>11895364.909999998</v>
      </c>
      <c r="AD91" s="69">
        <f ca="1">SUM(AD87,AD78,AD74)</f>
        <v>0</v>
      </c>
      <c r="AE91" s="70">
        <f ca="1">SUM(AE87,AE78,AE74)</f>
        <v>149237878.49000001</v>
      </c>
      <c r="AG91" s="16"/>
    </row>
    <row r="92" spans="1:35" x14ac:dyDescent="0.25">
      <c r="A92" s="72" t="s">
        <v>167</v>
      </c>
      <c r="C92" s="63">
        <f ca="1">SUM(C93:C94)</f>
        <v>16028674.1</v>
      </c>
      <c r="D92" s="27">
        <f ca="1">SUM(D93:D94)</f>
        <v>24073711.840000004</v>
      </c>
      <c r="E92" s="27">
        <f ca="1">SUM(E93:E94)</f>
        <v>13310827.9</v>
      </c>
      <c r="F92" s="28">
        <f ca="1">SUM(F93:F94)</f>
        <v>53413213.840000004</v>
      </c>
      <c r="H92" s="63">
        <f ca="1">SUM(H93:H94)</f>
        <v>11556318.1</v>
      </c>
      <c r="I92" s="27">
        <f ca="1">SUM(I93:I94)</f>
        <v>37448789.450000003</v>
      </c>
      <c r="J92" s="27">
        <f ca="1">SUM(J93:J94)</f>
        <v>23533551.529999994</v>
      </c>
      <c r="K92" s="28">
        <f ca="1">SUM(K93:K94)</f>
        <v>72538659.079999998</v>
      </c>
      <c r="M92" s="63">
        <f ca="1">SUM(M93:M94)</f>
        <v>22032492.370000001</v>
      </c>
      <c r="N92" s="27">
        <f ca="1">SUM(N93:N94)</f>
        <v>29905093.660000004</v>
      </c>
      <c r="O92" s="27">
        <f ca="1">SUM(O93:O94)</f>
        <v>29313738.649999999</v>
      </c>
      <c r="P92" s="28">
        <f t="shared" ca="1" si="28"/>
        <v>81251324.680000007</v>
      </c>
      <c r="Q92" s="27"/>
      <c r="R92" s="63">
        <f ca="1">SUM(R93:R94)</f>
        <v>20660330.669999998</v>
      </c>
      <c r="S92" s="27">
        <f ca="1">SUM(S93:S94)</f>
        <v>28501571.86999999</v>
      </c>
      <c r="T92" s="27">
        <f ca="1">SUM(T93:T94)</f>
        <v>30692526.030000005</v>
      </c>
      <c r="U92" s="28">
        <f t="shared" ref="U92:U109" ca="1" si="38">SUM(R92:T92)</f>
        <v>79854428.569999993</v>
      </c>
      <c r="V92" s="23"/>
      <c r="W92" s="63">
        <f ca="1">SUM(W93:W94)</f>
        <v>22790078.359999999</v>
      </c>
      <c r="X92" s="27">
        <f ca="1">SUM(X93:X94)</f>
        <v>36149672.649999999</v>
      </c>
      <c r="Y92" s="27">
        <f ca="1">SUM(Y93:Y94)</f>
        <v>20167620.390000001</v>
      </c>
      <c r="Z92" s="28">
        <f ca="1">SUM(W92:Y92)</f>
        <v>79107371.400000006</v>
      </c>
      <c r="AB92" s="63">
        <f ca="1">SUM(AB93:AB94)</f>
        <v>15918609.640000001</v>
      </c>
      <c r="AC92" s="27">
        <f ca="1">SUM(AC93:AC94)</f>
        <v>2508827</v>
      </c>
      <c r="AD92" s="27">
        <f ca="1">SUM(AD93:AD94)</f>
        <v>0</v>
      </c>
      <c r="AE92" s="28">
        <f t="shared" ref="AE92:AE112" ca="1" si="39">SUM(AB92:AD92)</f>
        <v>18427436.640000001</v>
      </c>
      <c r="AG92" s="16"/>
    </row>
    <row r="93" spans="1:35" ht="14.65" hidden="1" customHeight="1" outlineLevel="1" x14ac:dyDescent="0.25">
      <c r="A93" s="64" t="s">
        <v>167</v>
      </c>
      <c r="C93" s="63">
        <v>16028674.1</v>
      </c>
      <c r="D93" s="27">
        <v>24073711.840000004</v>
      </c>
      <c r="E93" s="27">
        <v>13310827.9</v>
      </c>
      <c r="F93" s="28">
        <f ca="1">SUM(C93:E93)</f>
        <v>53413213.840000004</v>
      </c>
      <c r="H93" s="63">
        <v>11556318.1</v>
      </c>
      <c r="I93" s="27">
        <v>37448789.450000003</v>
      </c>
      <c r="J93" s="27">
        <v>23533551.529999994</v>
      </c>
      <c r="K93" s="28">
        <f ca="1">SUM(H93:J93)</f>
        <v>72538659.079999998</v>
      </c>
      <c r="M93" s="63">
        <v>22032492.370000001</v>
      </c>
      <c r="N93" s="27">
        <v>29905093.660000004</v>
      </c>
      <c r="O93" s="27">
        <v>29313738.649999999</v>
      </c>
      <c r="P93" s="28">
        <f ca="1">SUM(M93:O93)</f>
        <v>81251324.680000007</v>
      </c>
      <c r="Q93" s="27"/>
      <c r="R93" s="63">
        <v>20660330.669999998</v>
      </c>
      <c r="S93" s="27">
        <v>28501571.86999999</v>
      </c>
      <c r="T93" s="27">
        <v>30692526.030000005</v>
      </c>
      <c r="U93" s="28">
        <f ca="1">SUM(R93:T93)</f>
        <v>79854428.569999993</v>
      </c>
      <c r="V93" s="23"/>
      <c r="W93" s="63">
        <v>22790077.759999998</v>
      </c>
      <c r="X93" s="27">
        <v>36149672.649999999</v>
      </c>
      <c r="Y93" s="27">
        <v>14598569.950000001</v>
      </c>
      <c r="Z93" s="28">
        <f ca="1">SUM(W93:Y93)</f>
        <v>73538320.359999999</v>
      </c>
      <c r="AB93" s="63">
        <v>12469818.640000001</v>
      </c>
      <c r="AC93" s="27">
        <v>1744827</v>
      </c>
      <c r="AD93" s="27">
        <v>0</v>
      </c>
      <c r="AE93" s="28">
        <f t="shared" ca="1" si="39"/>
        <v>14214645.640000001</v>
      </c>
      <c r="AG93" s="16"/>
    </row>
    <row r="94" spans="1:35" ht="14.65" hidden="1" customHeight="1" outlineLevel="1" x14ac:dyDescent="0.25">
      <c r="A94" s="64" t="s">
        <v>168</v>
      </c>
      <c r="C94" s="63">
        <v>0</v>
      </c>
      <c r="D94" s="27">
        <v>0</v>
      </c>
      <c r="E94" s="27">
        <v>0</v>
      </c>
      <c r="F94" s="28">
        <f ca="1">SUM(C94:E94)</f>
        <v>0</v>
      </c>
      <c r="H94" s="63">
        <v>0</v>
      </c>
      <c r="I94" s="27">
        <v>0</v>
      </c>
      <c r="J94" s="27">
        <v>0</v>
      </c>
      <c r="K94" s="28">
        <f ca="1">SUM(H94:J94)</f>
        <v>0</v>
      </c>
      <c r="M94" s="63">
        <v>0</v>
      </c>
      <c r="N94" s="27">
        <v>0</v>
      </c>
      <c r="O94" s="27">
        <v>0</v>
      </c>
      <c r="P94" s="28">
        <f ca="1">SUM(M94:O94)</f>
        <v>0</v>
      </c>
      <c r="Q94" s="27"/>
      <c r="R94" s="63">
        <v>0</v>
      </c>
      <c r="S94" s="27">
        <v>0</v>
      </c>
      <c r="T94" s="27">
        <v>0</v>
      </c>
      <c r="U94" s="28">
        <f ca="1">SUM(R94:T94)</f>
        <v>0</v>
      </c>
      <c r="V94" s="23"/>
      <c r="W94" s="63">
        <v>0.60000000009313226</v>
      </c>
      <c r="X94" s="27">
        <v>0</v>
      </c>
      <c r="Y94" s="27">
        <v>5569050.4399999995</v>
      </c>
      <c r="Z94" s="28">
        <f ca="1">SUM(W94:Y94)</f>
        <v>5569051.0399999991</v>
      </c>
      <c r="AB94" s="63">
        <v>3448791</v>
      </c>
      <c r="AC94" s="27">
        <v>764000</v>
      </c>
      <c r="AD94" s="27">
        <v>0</v>
      </c>
      <c r="AE94" s="28">
        <f t="shared" ca="1" si="39"/>
        <v>4212791</v>
      </c>
      <c r="AG94" s="16"/>
    </row>
    <row r="95" spans="1:35" collapsed="1" x14ac:dyDescent="0.25">
      <c r="A95" s="66" t="s">
        <v>169</v>
      </c>
      <c r="C95" s="63">
        <f ca="1">SUM(C96:C99)</f>
        <v>2975206.9800000009</v>
      </c>
      <c r="D95" s="27">
        <f t="shared" ref="D95:K95" ca="1" si="40">SUM(D96:D99)</f>
        <v>3090285.1400000006</v>
      </c>
      <c r="E95" s="27">
        <f t="shared" ca="1" si="40"/>
        <v>12380436.599999998</v>
      </c>
      <c r="F95" s="28">
        <f t="shared" ca="1" si="40"/>
        <v>18445928.719999999</v>
      </c>
      <c r="H95" s="63">
        <f t="shared" ca="1" si="40"/>
        <v>14519421.810000002</v>
      </c>
      <c r="I95" s="27">
        <f t="shared" ca="1" si="40"/>
        <v>16372843.989999998</v>
      </c>
      <c r="J95" s="27">
        <f t="shared" ca="1" si="40"/>
        <v>22209485.179999996</v>
      </c>
      <c r="K95" s="28">
        <f t="shared" ca="1" si="40"/>
        <v>53101750.979999997</v>
      </c>
      <c r="M95" s="63">
        <f ca="1">SUM(M96:M99)</f>
        <v>25353030.169999998</v>
      </c>
      <c r="N95" s="27">
        <f ca="1">SUM(N96:N99)</f>
        <v>27307199.540000003</v>
      </c>
      <c r="O95" s="27">
        <f ca="1">SUM(O96:O99)</f>
        <v>44890865.720000014</v>
      </c>
      <c r="P95" s="28">
        <f t="shared" ca="1" si="28"/>
        <v>97551095.430000007</v>
      </c>
      <c r="Q95" s="27"/>
      <c r="R95" s="63">
        <f ca="1">SUM(R96:R99)</f>
        <v>39401127.420000002</v>
      </c>
      <c r="S95" s="27">
        <f ca="1">SUM(S96:S99)</f>
        <v>34247613.980000004</v>
      </c>
      <c r="T95" s="27">
        <f ca="1">SUM(T96:T99)</f>
        <v>35599567.109999999</v>
      </c>
      <c r="U95" s="28">
        <f t="shared" ca="1" si="38"/>
        <v>109248308.51000001</v>
      </c>
      <c r="V95" s="23"/>
      <c r="W95" s="63">
        <f ca="1">SUM(W96:W99)</f>
        <v>35899546.150000006</v>
      </c>
      <c r="X95" s="27">
        <f ca="1">SUM(X96:X99)</f>
        <v>18619390.920000002</v>
      </c>
      <c r="Y95" s="27">
        <f ca="1">SUM(Y96:Y99)</f>
        <v>27578691.469999999</v>
      </c>
      <c r="Z95" s="28">
        <f t="shared" ref="Z95:Z107" ca="1" si="41">SUM(W95:Y95)</f>
        <v>82097628.540000007</v>
      </c>
      <c r="AB95" s="63">
        <f ca="1">SUM(AB96:AB99)</f>
        <v>19372164.48</v>
      </c>
      <c r="AC95" s="27">
        <f ca="1">SUM(AC96:AC99)</f>
        <v>2712694.3499999996</v>
      </c>
      <c r="AD95" s="27">
        <f ca="1">SUM(AD96:AD99)</f>
        <v>0</v>
      </c>
      <c r="AE95" s="28">
        <f t="shared" ca="1" si="39"/>
        <v>22084858.829999998</v>
      </c>
      <c r="AG95" s="16"/>
    </row>
    <row r="96" spans="1:35" ht="14.65" hidden="1" customHeight="1" outlineLevel="1" x14ac:dyDescent="0.25">
      <c r="A96" s="64" t="s">
        <v>170</v>
      </c>
      <c r="C96" s="63">
        <v>2972586.2300000009</v>
      </c>
      <c r="D96" s="27">
        <v>1888032.1300000004</v>
      </c>
      <c r="E96" s="27">
        <v>8150181.2299999967</v>
      </c>
      <c r="F96" s="28">
        <f ca="1">SUM(C96:E96)</f>
        <v>13010799.589999998</v>
      </c>
      <c r="H96" s="63">
        <v>6644406.1400000025</v>
      </c>
      <c r="I96" s="27">
        <v>8316885.2999999998</v>
      </c>
      <c r="J96" s="27">
        <v>9950884.1899999958</v>
      </c>
      <c r="K96" s="28">
        <f ca="1">SUM(H96:J96)</f>
        <v>24912175.629999995</v>
      </c>
      <c r="M96" s="63">
        <v>10020670.459999997</v>
      </c>
      <c r="N96" s="27">
        <v>9980650.4299999997</v>
      </c>
      <c r="O96" s="27">
        <v>15382332.139999999</v>
      </c>
      <c r="P96" s="28">
        <f t="shared" ca="1" si="28"/>
        <v>35383653.029999994</v>
      </c>
      <c r="Q96" s="27"/>
      <c r="R96" s="63">
        <v>14064279.15</v>
      </c>
      <c r="S96" s="27">
        <v>12973473.490000004</v>
      </c>
      <c r="T96" s="27">
        <v>12398872.699999999</v>
      </c>
      <c r="U96" s="28">
        <f t="shared" ca="1" si="38"/>
        <v>39436625.340000004</v>
      </c>
      <c r="V96" s="23"/>
      <c r="W96" s="63">
        <v>8597627.7800000012</v>
      </c>
      <c r="X96" s="27">
        <v>6537705.7999999989</v>
      </c>
      <c r="Y96" s="27">
        <v>7489997.9100000001</v>
      </c>
      <c r="Z96" s="28">
        <f t="shared" ca="1" si="41"/>
        <v>22625331.490000002</v>
      </c>
      <c r="AB96" s="63">
        <v>6069038.4499999993</v>
      </c>
      <c r="AC96" s="27">
        <v>774716.29</v>
      </c>
      <c r="AD96" s="27">
        <v>0</v>
      </c>
      <c r="AE96" s="28">
        <f t="shared" ca="1" si="39"/>
        <v>6843754.7399999993</v>
      </c>
      <c r="AG96" s="16"/>
    </row>
    <row r="97" spans="1:33" ht="14.65" hidden="1" customHeight="1" outlineLevel="1" x14ac:dyDescent="0.25">
      <c r="A97" s="64" t="s">
        <v>171</v>
      </c>
      <c r="C97" s="63">
        <v>3.5800000000017462</v>
      </c>
      <c r="D97" s="27">
        <v>500504.62</v>
      </c>
      <c r="E97" s="27">
        <v>2417469.0899999994</v>
      </c>
      <c r="F97" s="28">
        <f ca="1">SUM(C97:E97)</f>
        <v>2917977.2899999996</v>
      </c>
      <c r="H97" s="63">
        <v>3978714.4200000004</v>
      </c>
      <c r="I97" s="27">
        <v>2557299.6</v>
      </c>
      <c r="J97" s="27">
        <v>3329363.7100000004</v>
      </c>
      <c r="K97" s="28">
        <f ca="1">SUM(H97:J97)</f>
        <v>9865377.7300000004</v>
      </c>
      <c r="M97" s="63">
        <v>6117515.2300000014</v>
      </c>
      <c r="N97" s="27">
        <v>7546861.9900000021</v>
      </c>
      <c r="O97" s="27">
        <v>10381929.220000004</v>
      </c>
      <c r="P97" s="28">
        <f t="shared" ca="1" si="28"/>
        <v>24046306.440000005</v>
      </c>
      <c r="Q97" s="27"/>
      <c r="R97" s="63">
        <v>10558826.789999997</v>
      </c>
      <c r="S97" s="27">
        <v>10580346.379999997</v>
      </c>
      <c r="T97" s="27">
        <v>9521356.25</v>
      </c>
      <c r="U97" s="28">
        <f t="shared" ca="1" si="38"/>
        <v>30660529.419999994</v>
      </c>
      <c r="V97" s="23"/>
      <c r="W97" s="63">
        <v>12525713.209999999</v>
      </c>
      <c r="X97" s="27">
        <v>5270179.3900000006</v>
      </c>
      <c r="Y97" s="27">
        <v>9046912.3799999971</v>
      </c>
      <c r="Z97" s="28">
        <f t="shared" ca="1" si="41"/>
        <v>26842804.979999997</v>
      </c>
      <c r="AB97" s="63">
        <v>5311052.8599999994</v>
      </c>
      <c r="AC97" s="27">
        <v>595168.71</v>
      </c>
      <c r="AD97" s="27">
        <v>0</v>
      </c>
      <c r="AE97" s="28">
        <f t="shared" ca="1" si="39"/>
        <v>5906221.5699999994</v>
      </c>
      <c r="AG97" s="16"/>
    </row>
    <row r="98" spans="1:33" ht="14.65" hidden="1" customHeight="1" outlineLevel="1" x14ac:dyDescent="0.25">
      <c r="A98" s="64" t="s">
        <v>172</v>
      </c>
      <c r="C98" s="63">
        <v>0</v>
      </c>
      <c r="D98" s="27">
        <v>0</v>
      </c>
      <c r="E98" s="27">
        <v>239909.88999999993</v>
      </c>
      <c r="F98" s="28">
        <f ca="1">SUM(C98:E98)</f>
        <v>239909.88999999993</v>
      </c>
      <c r="H98" s="63">
        <v>2692561.94</v>
      </c>
      <c r="I98" s="27">
        <v>3364125.8899999997</v>
      </c>
      <c r="J98" s="27">
        <v>5811794.3899999987</v>
      </c>
      <c r="K98" s="28">
        <f ca="1">SUM(H98:J98)</f>
        <v>11868482.219999999</v>
      </c>
      <c r="M98" s="63">
        <v>3262536.4499999993</v>
      </c>
      <c r="N98" s="27">
        <v>6257686.620000002</v>
      </c>
      <c r="O98" s="27">
        <v>12845557.550000004</v>
      </c>
      <c r="P98" s="28">
        <f t="shared" ca="1" si="28"/>
        <v>22365780.620000005</v>
      </c>
      <c r="Q98" s="27"/>
      <c r="R98" s="63">
        <v>10677435.809999999</v>
      </c>
      <c r="S98" s="27">
        <v>6160052.0500000017</v>
      </c>
      <c r="T98" s="27">
        <v>8571965.5200000033</v>
      </c>
      <c r="U98" s="28">
        <f t="shared" ca="1" si="38"/>
        <v>25409453.380000003</v>
      </c>
      <c r="V98" s="23"/>
      <c r="W98" s="63">
        <v>5362737.5900000008</v>
      </c>
      <c r="X98" s="27">
        <v>4196571.07</v>
      </c>
      <c r="Y98" s="27">
        <v>6196233.9400000013</v>
      </c>
      <c r="Z98" s="28">
        <f t="shared" ca="1" si="41"/>
        <v>15755542.600000001</v>
      </c>
      <c r="AB98" s="63">
        <v>5047827.6900000013</v>
      </c>
      <c r="AC98" s="27">
        <v>1245577.3499999999</v>
      </c>
      <c r="AD98" s="27">
        <v>0</v>
      </c>
      <c r="AE98" s="28">
        <f t="shared" ca="1" si="39"/>
        <v>6293405.040000001</v>
      </c>
      <c r="AG98" s="16"/>
    </row>
    <row r="99" spans="1:33" ht="14.65" hidden="1" customHeight="1" outlineLevel="1" x14ac:dyDescent="0.25">
      <c r="A99" s="64" t="s">
        <v>173</v>
      </c>
      <c r="C99" s="63">
        <v>2617.1700000000128</v>
      </c>
      <c r="D99" s="27">
        <v>701748.39</v>
      </c>
      <c r="E99" s="27">
        <v>1572876.3900000001</v>
      </c>
      <c r="F99" s="28">
        <f ca="1">SUM(C99:E99)</f>
        <v>2277241.9500000002</v>
      </c>
      <c r="H99" s="63">
        <v>1203739.31</v>
      </c>
      <c r="I99" s="27">
        <v>2134533.1999999997</v>
      </c>
      <c r="J99" s="27">
        <v>3117442.8899999992</v>
      </c>
      <c r="K99" s="28">
        <f ca="1">SUM(H99:J99)</f>
        <v>6455715.3999999985</v>
      </c>
      <c r="M99" s="63">
        <v>5952308.0300000003</v>
      </c>
      <c r="N99" s="27">
        <v>3522000.5</v>
      </c>
      <c r="O99" s="27">
        <v>6281046.8100000005</v>
      </c>
      <c r="P99" s="28">
        <f t="shared" ca="1" si="28"/>
        <v>15755355.340000002</v>
      </c>
      <c r="Q99" s="27"/>
      <c r="R99" s="63">
        <v>4100585.67</v>
      </c>
      <c r="S99" s="27">
        <v>4533742.0599999987</v>
      </c>
      <c r="T99" s="27">
        <v>5107372.6399999997</v>
      </c>
      <c r="U99" s="28">
        <f t="shared" ca="1" si="38"/>
        <v>13741700.369999997</v>
      </c>
      <c r="V99" s="23"/>
      <c r="W99" s="63">
        <v>9413467.5700000003</v>
      </c>
      <c r="X99" s="27">
        <v>2614934.66</v>
      </c>
      <c r="Y99" s="27">
        <v>4845547.24</v>
      </c>
      <c r="Z99" s="28">
        <f t="shared" ca="1" si="41"/>
        <v>16873949.469999999</v>
      </c>
      <c r="AB99" s="63">
        <v>2944245.4799999995</v>
      </c>
      <c r="AC99" s="27">
        <v>97232</v>
      </c>
      <c r="AD99" s="27">
        <v>0</v>
      </c>
      <c r="AE99" s="28">
        <f t="shared" ca="1" si="39"/>
        <v>3041477.4799999995</v>
      </c>
      <c r="AG99" s="16"/>
    </row>
    <row r="100" spans="1:33" collapsed="1" x14ac:dyDescent="0.25">
      <c r="A100" s="66" t="s">
        <v>174</v>
      </c>
      <c r="C100" s="63">
        <f ca="1">SUM(C101:C104)</f>
        <v>0</v>
      </c>
      <c r="D100" s="27">
        <f ca="1">SUM(D101:D104)</f>
        <v>0</v>
      </c>
      <c r="E100" s="27">
        <f ca="1">SUM(E101:E104)</f>
        <v>0</v>
      </c>
      <c r="F100" s="28">
        <f ca="1">SUM(F101:F104)</f>
        <v>0</v>
      </c>
      <c r="H100" s="63">
        <f ca="1">SUM(H101:H104)</f>
        <v>0</v>
      </c>
      <c r="I100" s="27">
        <f ca="1">SUM(I101:I104)</f>
        <v>0</v>
      </c>
      <c r="J100" s="27">
        <f ca="1">SUM(J101:J104)</f>
        <v>0</v>
      </c>
      <c r="K100" s="28">
        <f ca="1">SUM(K101:K104)</f>
        <v>0</v>
      </c>
      <c r="M100" s="63">
        <f ca="1">SUM(M101:M104)</f>
        <v>0</v>
      </c>
      <c r="N100" s="27">
        <f ca="1">SUM(N101:N104)</f>
        <v>0</v>
      </c>
      <c r="O100" s="27">
        <f ca="1">SUM(O101:O104)</f>
        <v>0</v>
      </c>
      <c r="P100" s="28">
        <f ca="1">SUM(M100:O100)</f>
        <v>0</v>
      </c>
      <c r="Q100" s="27"/>
      <c r="R100" s="63">
        <f ca="1">SUM(R101:R104)</f>
        <v>0</v>
      </c>
      <c r="S100" s="27">
        <f ca="1">SUM(S101:S104)</f>
        <v>0</v>
      </c>
      <c r="T100" s="27">
        <f ca="1">SUM(T101:T104)</f>
        <v>0</v>
      </c>
      <c r="U100" s="28">
        <f ca="1">SUM(R100:T100)</f>
        <v>0</v>
      </c>
      <c r="V100" s="23"/>
      <c r="W100" s="63">
        <f ca="1">SUM(W101:W104)</f>
        <v>973514.76000000024</v>
      </c>
      <c r="X100" s="27">
        <f ca="1">SUM(X101:X104)</f>
        <v>3275660.8800000004</v>
      </c>
      <c r="Y100" s="27">
        <f ca="1">SUM(Y101:Y104)</f>
        <v>7616094.3399999999</v>
      </c>
      <c r="Z100" s="28">
        <f ca="1">SUM(W100:Y100)</f>
        <v>11865269.98</v>
      </c>
      <c r="AB100" s="63">
        <f ca="1">SUM(AB101:AB104)</f>
        <v>15687924.75</v>
      </c>
      <c r="AC100" s="27">
        <f ca="1">SUM(AC101:AC104)</f>
        <v>4373481.3600000003</v>
      </c>
      <c r="AD100" s="27">
        <f ca="1">SUM(AD101:AD104)</f>
        <v>0</v>
      </c>
      <c r="AE100" s="28">
        <f t="shared" ca="1" si="39"/>
        <v>20061406.109999999</v>
      </c>
      <c r="AG100" s="16"/>
    </row>
    <row r="101" spans="1:33" ht="14.65" hidden="1" customHeight="1" outlineLevel="1" x14ac:dyDescent="0.25">
      <c r="A101" s="64" t="s">
        <v>175</v>
      </c>
      <c r="C101" s="63">
        <v>0</v>
      </c>
      <c r="D101" s="27">
        <v>0</v>
      </c>
      <c r="E101" s="27">
        <v>0</v>
      </c>
      <c r="F101" s="28">
        <f ca="1">SUM(C101:E101)</f>
        <v>0</v>
      </c>
      <c r="H101" s="63">
        <v>0</v>
      </c>
      <c r="I101" s="27">
        <v>0</v>
      </c>
      <c r="J101" s="27">
        <v>0</v>
      </c>
      <c r="K101" s="28">
        <f ca="1">SUM(H101:J101)</f>
        <v>0</v>
      </c>
      <c r="M101" s="63">
        <v>0</v>
      </c>
      <c r="N101" s="27">
        <v>0</v>
      </c>
      <c r="O101" s="27">
        <v>0</v>
      </c>
      <c r="P101" s="28">
        <f ca="1">SUM(M101:O101)</f>
        <v>0</v>
      </c>
      <c r="Q101" s="27"/>
      <c r="R101" s="63">
        <v>0</v>
      </c>
      <c r="S101" s="27">
        <v>0</v>
      </c>
      <c r="T101" s="27">
        <v>0</v>
      </c>
      <c r="U101" s="28">
        <f ca="1">SUM(R101:T101)</f>
        <v>0</v>
      </c>
      <c r="V101" s="23"/>
      <c r="W101" s="63">
        <v>0.63999999995576218</v>
      </c>
      <c r="X101" s="27">
        <v>829803.4600000002</v>
      </c>
      <c r="Y101" s="27">
        <v>4037951.5900000003</v>
      </c>
      <c r="Z101" s="28">
        <f ca="1">SUM(W101:Y101)</f>
        <v>4867755.6900000004</v>
      </c>
      <c r="AB101" s="63">
        <v>5719673.580000001</v>
      </c>
      <c r="AC101" s="27">
        <v>2608002.5</v>
      </c>
      <c r="AD101" s="27">
        <v>0</v>
      </c>
      <c r="AE101" s="28">
        <f t="shared" ca="1" si="39"/>
        <v>8327676.080000001</v>
      </c>
      <c r="AG101" s="16"/>
    </row>
    <row r="102" spans="1:33" ht="14.65" hidden="1" customHeight="1" outlineLevel="1" x14ac:dyDescent="0.25">
      <c r="A102" s="64" t="s">
        <v>176</v>
      </c>
      <c r="C102" s="63">
        <v>0</v>
      </c>
      <c r="D102" s="27">
        <v>0</v>
      </c>
      <c r="E102" s="27">
        <v>0</v>
      </c>
      <c r="F102" s="28">
        <f ca="1">SUM(C102:E102)</f>
        <v>0</v>
      </c>
      <c r="H102" s="63">
        <v>0</v>
      </c>
      <c r="I102" s="27">
        <v>0</v>
      </c>
      <c r="J102" s="27">
        <v>0</v>
      </c>
      <c r="K102" s="28">
        <f ca="1">SUM(H102:J102)</f>
        <v>0</v>
      </c>
      <c r="M102" s="63">
        <v>0</v>
      </c>
      <c r="N102" s="27">
        <v>0</v>
      </c>
      <c r="O102" s="27">
        <v>0</v>
      </c>
      <c r="P102" s="28">
        <f ca="1">SUM(M102:O102)</f>
        <v>0</v>
      </c>
      <c r="Q102" s="27"/>
      <c r="R102" s="63">
        <v>0</v>
      </c>
      <c r="S102" s="27">
        <v>0</v>
      </c>
      <c r="T102" s="27">
        <v>0</v>
      </c>
      <c r="U102" s="28">
        <f ca="1">SUM(R102:T102)</f>
        <v>0</v>
      </c>
      <c r="V102" s="23"/>
      <c r="W102" s="63">
        <v>973514.1100000001</v>
      </c>
      <c r="X102" s="27">
        <v>1502965.1700000002</v>
      </c>
      <c r="Y102" s="27">
        <v>3238406.26</v>
      </c>
      <c r="Z102" s="28">
        <f ca="1">SUM(W102:Y102)</f>
        <v>5714885.54</v>
      </c>
      <c r="AB102" s="63">
        <v>6203886.6399999987</v>
      </c>
      <c r="AC102" s="27">
        <v>1259785.8600000001</v>
      </c>
      <c r="AD102" s="27">
        <v>0</v>
      </c>
      <c r="AE102" s="28">
        <f t="shared" ca="1" si="39"/>
        <v>7463672.4999999991</v>
      </c>
      <c r="AG102" s="16"/>
    </row>
    <row r="103" spans="1:33" ht="14.65" hidden="1" customHeight="1" outlineLevel="1" x14ac:dyDescent="0.25">
      <c r="A103" s="64" t="s">
        <v>177</v>
      </c>
      <c r="C103" s="63">
        <v>0</v>
      </c>
      <c r="D103" s="27">
        <v>0</v>
      </c>
      <c r="E103" s="27">
        <v>0</v>
      </c>
      <c r="F103" s="28">
        <f ca="1">SUM(C103:E103)</f>
        <v>0</v>
      </c>
      <c r="H103" s="63">
        <v>0</v>
      </c>
      <c r="I103" s="27">
        <v>0</v>
      </c>
      <c r="J103" s="27">
        <v>0</v>
      </c>
      <c r="K103" s="28">
        <f ca="1">SUM(H103:J103)</f>
        <v>0</v>
      </c>
      <c r="M103" s="63">
        <v>0</v>
      </c>
      <c r="N103" s="27">
        <v>0</v>
      </c>
      <c r="O103" s="27">
        <v>0</v>
      </c>
      <c r="P103" s="28">
        <f ca="1">SUM(M103:O103)</f>
        <v>0</v>
      </c>
      <c r="Q103" s="27"/>
      <c r="R103" s="63">
        <v>0</v>
      </c>
      <c r="S103" s="27">
        <v>0</v>
      </c>
      <c r="T103" s="27">
        <v>0</v>
      </c>
      <c r="U103" s="28">
        <f ca="1">SUM(R103:T103)</f>
        <v>0</v>
      </c>
      <c r="V103" s="23"/>
      <c r="W103" s="63">
        <v>0</v>
      </c>
      <c r="X103" s="27">
        <v>1717.4400000000023</v>
      </c>
      <c r="Y103" s="27">
        <v>339736.49000000005</v>
      </c>
      <c r="Z103" s="28">
        <f ca="1">SUM(W103:Y103)</f>
        <v>341453.93000000005</v>
      </c>
      <c r="AB103" s="63">
        <v>2832353.5300000003</v>
      </c>
      <c r="AC103" s="27">
        <v>505693</v>
      </c>
      <c r="AD103" s="27">
        <v>0</v>
      </c>
      <c r="AE103" s="28">
        <f t="shared" ca="1" si="39"/>
        <v>3338046.5300000003</v>
      </c>
      <c r="AG103" s="16"/>
    </row>
    <row r="104" spans="1:33" ht="15" hidden="1" customHeight="1" outlineLevel="1" x14ac:dyDescent="0.25">
      <c r="A104" s="64" t="s">
        <v>178</v>
      </c>
      <c r="C104" s="63">
        <v>0</v>
      </c>
      <c r="D104" s="27">
        <v>0</v>
      </c>
      <c r="E104" s="27">
        <v>0</v>
      </c>
      <c r="F104" s="28">
        <f ca="1">SUM(C104:E104)</f>
        <v>0</v>
      </c>
      <c r="H104" s="63">
        <v>0</v>
      </c>
      <c r="I104" s="27">
        <v>0</v>
      </c>
      <c r="J104" s="27">
        <v>0</v>
      </c>
      <c r="K104" s="28">
        <f ca="1">SUM(H104:J104)</f>
        <v>0</v>
      </c>
      <c r="M104" s="63">
        <v>0</v>
      </c>
      <c r="N104" s="27">
        <v>0</v>
      </c>
      <c r="O104" s="27">
        <v>0</v>
      </c>
      <c r="P104" s="28">
        <f ca="1">SUM(M104:O104)</f>
        <v>0</v>
      </c>
      <c r="Q104" s="27"/>
      <c r="R104" s="63">
        <v>0</v>
      </c>
      <c r="S104" s="27">
        <v>0</v>
      </c>
      <c r="T104" s="27">
        <v>0</v>
      </c>
      <c r="U104" s="28">
        <f ca="1">SUM(R104:T104)</f>
        <v>0</v>
      </c>
      <c r="V104" s="23"/>
      <c r="W104" s="63">
        <v>1.0000000242143869E-2</v>
      </c>
      <c r="X104" s="27">
        <v>941174.81</v>
      </c>
      <c r="Y104" s="27">
        <v>0</v>
      </c>
      <c r="Z104" s="28">
        <f ca="1">SUM(W104:Y104)</f>
        <v>941174.8200000003</v>
      </c>
      <c r="AB104" s="63">
        <v>932011</v>
      </c>
      <c r="AC104" s="27">
        <v>0</v>
      </c>
      <c r="AD104" s="27">
        <v>0</v>
      </c>
      <c r="AE104" s="28">
        <f t="shared" ca="1" si="39"/>
        <v>932011</v>
      </c>
      <c r="AG104" s="16"/>
    </row>
    <row r="105" spans="1:33" collapsed="1" x14ac:dyDescent="0.25">
      <c r="A105" s="66" t="s">
        <v>179</v>
      </c>
      <c r="C105" s="63">
        <f ca="1">SUM(C106:C109)</f>
        <v>6560772.6399999987</v>
      </c>
      <c r="D105" s="27">
        <f ca="1">SUM(D106:D109)</f>
        <v>11455089.100000001</v>
      </c>
      <c r="E105" s="27">
        <f ca="1">SUM(E106:E109)</f>
        <v>14717972.470000003</v>
      </c>
      <c r="F105" s="28">
        <f ca="1">SUM(F106:F109)</f>
        <v>32733834.210000005</v>
      </c>
      <c r="H105" s="63">
        <f ca="1">SUM(H106:H109)</f>
        <v>20545700.799999997</v>
      </c>
      <c r="I105" s="27">
        <f ca="1">SUM(I106:I109)</f>
        <v>20289597.609999999</v>
      </c>
      <c r="J105" s="27">
        <f ca="1">SUM(J106:J109)</f>
        <v>26135154.239999998</v>
      </c>
      <c r="K105" s="28">
        <f ca="1">SUM(K106:K109)</f>
        <v>66970452.649999991</v>
      </c>
      <c r="M105" s="63">
        <f ca="1">SUM(M106:M109)</f>
        <v>20784508.970000003</v>
      </c>
      <c r="N105" s="27">
        <f ca="1">SUM(N106:N109)</f>
        <v>14557293.77</v>
      </c>
      <c r="O105" s="27">
        <f ca="1">SUM(O106:O109)</f>
        <v>12509500.440000001</v>
      </c>
      <c r="P105" s="28">
        <f t="shared" ca="1" si="28"/>
        <v>47851303.180000007</v>
      </c>
      <c r="Q105" s="27"/>
      <c r="R105" s="63">
        <f ca="1">SUM(R106:R109)</f>
        <v>16179165.960000001</v>
      </c>
      <c r="S105" s="27">
        <f ca="1">SUM(S106:S109)</f>
        <v>30276777.639999993</v>
      </c>
      <c r="T105" s="27">
        <f ca="1">SUM(T106:T109)</f>
        <v>40002139.879999995</v>
      </c>
      <c r="U105" s="28">
        <f t="shared" ca="1" si="38"/>
        <v>86458083.479999989</v>
      </c>
      <c r="V105" s="23"/>
      <c r="W105" s="63">
        <f ca="1">SUM(W106:W109)</f>
        <v>44598506.389999993</v>
      </c>
      <c r="X105" s="27">
        <f ca="1">SUM(X106:X109)</f>
        <v>41268201.880000003</v>
      </c>
      <c r="Y105" s="27">
        <f ca="1">SUM(Y106:Y109)</f>
        <v>39813107.730000004</v>
      </c>
      <c r="Z105" s="28">
        <f t="shared" ca="1" si="41"/>
        <v>125679816</v>
      </c>
      <c r="AB105" s="63">
        <f ca="1">SUM(AB106:AB109)</f>
        <v>37793269.999999993</v>
      </c>
      <c r="AC105" s="27">
        <f ca="1">SUM(AC106:AC109)</f>
        <v>6054407.0599999996</v>
      </c>
      <c r="AD105" s="27">
        <f ca="1">SUM(AD106:AD109)</f>
        <v>0</v>
      </c>
      <c r="AE105" s="28">
        <f t="shared" ca="1" si="39"/>
        <v>43847677.059999995</v>
      </c>
      <c r="AG105" s="16"/>
    </row>
    <row r="106" spans="1:33" ht="14.65" hidden="1" customHeight="1" outlineLevel="1" x14ac:dyDescent="0.25">
      <c r="A106" s="64" t="s">
        <v>180</v>
      </c>
      <c r="C106" s="63">
        <v>6560772.6399999987</v>
      </c>
      <c r="D106" s="27">
        <v>11455089.100000001</v>
      </c>
      <c r="E106" s="27">
        <v>14584532.330000002</v>
      </c>
      <c r="F106" s="28">
        <f t="shared" ref="F106:F112" ca="1" si="42">SUM(C106:E106)</f>
        <v>32600394.070000004</v>
      </c>
      <c r="H106" s="63">
        <v>10510664.379999999</v>
      </c>
      <c r="I106" s="27">
        <v>8202576.3500000006</v>
      </c>
      <c r="J106" s="27">
        <v>3408713.84</v>
      </c>
      <c r="K106" s="28">
        <f t="shared" ref="K106:K112" ca="1" si="43">SUM(H106:J106)</f>
        <v>22121954.57</v>
      </c>
      <c r="M106" s="63">
        <v>3293990.77</v>
      </c>
      <c r="N106" s="27">
        <v>3215585.93</v>
      </c>
      <c r="O106" s="27">
        <v>3005035.13</v>
      </c>
      <c r="P106" s="28">
        <f t="shared" ca="1" si="28"/>
        <v>9514611.8300000001</v>
      </c>
      <c r="Q106" s="27"/>
      <c r="R106" s="63">
        <v>2847932.3600000003</v>
      </c>
      <c r="S106" s="27">
        <v>18715867.189999994</v>
      </c>
      <c r="T106" s="27">
        <v>27243821.899999995</v>
      </c>
      <c r="U106" s="28">
        <f t="shared" ca="1" si="38"/>
        <v>48807621.449999988</v>
      </c>
      <c r="V106" s="23"/>
      <c r="W106" s="63">
        <v>20193591.179999996</v>
      </c>
      <c r="X106" s="27">
        <v>13960938.140000001</v>
      </c>
      <c r="Y106" s="27">
        <v>4028857.9299999997</v>
      </c>
      <c r="Z106" s="28">
        <f t="shared" ca="1" si="41"/>
        <v>38183387.249999993</v>
      </c>
      <c r="AB106" s="63">
        <v>4647205.05</v>
      </c>
      <c r="AC106" s="27">
        <v>1095832.1499999999</v>
      </c>
      <c r="AD106" s="27">
        <v>0</v>
      </c>
      <c r="AE106" s="28">
        <f t="shared" ca="1" si="39"/>
        <v>5743037.1999999993</v>
      </c>
      <c r="AG106" s="16"/>
    </row>
    <row r="107" spans="1:33" ht="14.65" hidden="1" customHeight="1" outlineLevel="1" x14ac:dyDescent="0.25">
      <c r="A107" s="64" t="s">
        <v>181</v>
      </c>
      <c r="C107" s="63">
        <v>0</v>
      </c>
      <c r="D107" s="27">
        <v>0</v>
      </c>
      <c r="E107" s="27">
        <v>133440.13999999998</v>
      </c>
      <c r="F107" s="28">
        <f t="shared" ca="1" si="42"/>
        <v>133440.13999999998</v>
      </c>
      <c r="H107" s="63">
        <v>8464521.7399999984</v>
      </c>
      <c r="I107" s="27">
        <v>6769938.129999999</v>
      </c>
      <c r="J107" s="27">
        <v>12703479.339999998</v>
      </c>
      <c r="K107" s="28">
        <f t="shared" ca="1" si="43"/>
        <v>27937939.209999993</v>
      </c>
      <c r="M107" s="63">
        <v>4978548.4800000004</v>
      </c>
      <c r="N107" s="27">
        <v>3011078.5500000007</v>
      </c>
      <c r="O107" s="27">
        <v>2645360.36</v>
      </c>
      <c r="P107" s="28">
        <f t="shared" ca="1" si="28"/>
        <v>10634987.390000001</v>
      </c>
      <c r="Q107" s="27"/>
      <c r="R107" s="63">
        <v>3029757.4600000004</v>
      </c>
      <c r="S107" s="27">
        <v>2315552.9699999997</v>
      </c>
      <c r="T107" s="27">
        <v>2601183.3200000003</v>
      </c>
      <c r="U107" s="28">
        <f t="shared" ca="1" si="38"/>
        <v>7946493.75</v>
      </c>
      <c r="V107" s="23"/>
      <c r="W107" s="63">
        <v>2340600.42</v>
      </c>
      <c r="X107" s="27">
        <v>14646411.380000001</v>
      </c>
      <c r="Y107" s="27">
        <v>17066631.030000001</v>
      </c>
      <c r="Z107" s="28">
        <f t="shared" ca="1" si="41"/>
        <v>34053642.829999998</v>
      </c>
      <c r="AB107" s="63">
        <v>9613011.0700000003</v>
      </c>
      <c r="AC107" s="27">
        <v>320988.46000000002</v>
      </c>
      <c r="AD107" s="27">
        <v>0</v>
      </c>
      <c r="AE107" s="28">
        <f t="shared" ca="1" si="39"/>
        <v>9933999.5300000012</v>
      </c>
      <c r="AG107" s="16"/>
    </row>
    <row r="108" spans="1:33" ht="14.65" hidden="1" customHeight="1" outlineLevel="1" x14ac:dyDescent="0.25">
      <c r="A108" s="64" t="s">
        <v>182</v>
      </c>
      <c r="C108" s="63">
        <v>0</v>
      </c>
      <c r="D108" s="27">
        <v>0</v>
      </c>
      <c r="E108" s="27">
        <v>0</v>
      </c>
      <c r="F108" s="28">
        <f ca="1">SUM(C108:E108)</f>
        <v>0</v>
      </c>
      <c r="H108" s="63">
        <v>1570514.6799999997</v>
      </c>
      <c r="I108" s="27">
        <v>5317083.13</v>
      </c>
      <c r="J108" s="27">
        <v>10022961.060000001</v>
      </c>
      <c r="K108" s="28">
        <f ca="1">SUM(H108:J108)</f>
        <v>16910558.870000001</v>
      </c>
      <c r="M108" s="63">
        <v>12511969.720000003</v>
      </c>
      <c r="N108" s="27">
        <v>8330629.2899999991</v>
      </c>
      <c r="O108" s="27">
        <v>6859104.9500000002</v>
      </c>
      <c r="P108" s="28">
        <f ca="1">SUM(M108:O108)</f>
        <v>27701703.960000001</v>
      </c>
      <c r="Q108" s="27"/>
      <c r="R108" s="63">
        <v>10301476.140000001</v>
      </c>
      <c r="S108" s="27">
        <v>9146417.2100000009</v>
      </c>
      <c r="T108" s="27">
        <v>6398827.79</v>
      </c>
      <c r="U108" s="28">
        <f ca="1">SUM(R108:T108)</f>
        <v>25846721.140000001</v>
      </c>
      <c r="V108" s="23"/>
      <c r="W108" s="63">
        <v>9794235.3500000015</v>
      </c>
      <c r="X108" s="27">
        <v>3690624.31</v>
      </c>
      <c r="Y108" s="27">
        <v>10323527.150000002</v>
      </c>
      <c r="Z108" s="28">
        <f ca="1">SUM(W108:Y108)</f>
        <v>23808386.810000002</v>
      </c>
      <c r="AB108" s="63">
        <v>19329648.009999994</v>
      </c>
      <c r="AC108" s="27">
        <v>3962338.4499999997</v>
      </c>
      <c r="AD108" s="27">
        <v>0</v>
      </c>
      <c r="AE108" s="28">
        <f t="shared" ca="1" si="39"/>
        <v>23291986.459999993</v>
      </c>
      <c r="AG108" s="16"/>
    </row>
    <row r="109" spans="1:33" ht="14.65" hidden="1" customHeight="1" outlineLevel="1" x14ac:dyDescent="0.25">
      <c r="A109" s="64" t="s">
        <v>183</v>
      </c>
      <c r="C109" s="63">
        <v>0</v>
      </c>
      <c r="D109" s="27">
        <v>0</v>
      </c>
      <c r="E109" s="27">
        <v>0</v>
      </c>
      <c r="F109" s="28">
        <f t="shared" ca="1" si="42"/>
        <v>0</v>
      </c>
      <c r="H109" s="63">
        <v>0</v>
      </c>
      <c r="I109" s="27">
        <v>0</v>
      </c>
      <c r="J109" s="27">
        <v>0</v>
      </c>
      <c r="K109" s="28">
        <f t="shared" ca="1" si="43"/>
        <v>0</v>
      </c>
      <c r="M109" s="63">
        <v>0</v>
      </c>
      <c r="N109" s="27">
        <v>0</v>
      </c>
      <c r="O109" s="27">
        <v>0</v>
      </c>
      <c r="P109" s="28">
        <f t="shared" ca="1" si="28"/>
        <v>0</v>
      </c>
      <c r="Q109" s="27"/>
      <c r="R109" s="63">
        <v>0</v>
      </c>
      <c r="S109" s="27">
        <v>98940.270000000019</v>
      </c>
      <c r="T109" s="27">
        <v>3758306.87</v>
      </c>
      <c r="U109" s="28">
        <f t="shared" ca="1" si="38"/>
        <v>3857247.14</v>
      </c>
      <c r="V109" s="23"/>
      <c r="W109" s="63">
        <v>12270079.439999999</v>
      </c>
      <c r="X109" s="27">
        <v>8970228.0500000026</v>
      </c>
      <c r="Y109" s="27">
        <v>8394091.620000001</v>
      </c>
      <c r="Z109" s="28">
        <f ca="1">SUM(W109:Y109)</f>
        <v>29634399.110000003</v>
      </c>
      <c r="AB109" s="63">
        <v>4203405.87</v>
      </c>
      <c r="AC109" s="27">
        <v>675248</v>
      </c>
      <c r="AD109" s="27">
        <v>0</v>
      </c>
      <c r="AE109" s="28">
        <f t="shared" ca="1" si="39"/>
        <v>4878653.87</v>
      </c>
      <c r="AG109" s="16"/>
    </row>
    <row r="110" spans="1:33" collapsed="1" x14ac:dyDescent="0.25">
      <c r="A110" s="66" t="s">
        <v>184</v>
      </c>
      <c r="C110" s="63">
        <v>0</v>
      </c>
      <c r="D110" s="27">
        <v>4560.3299999999581</v>
      </c>
      <c r="E110" s="27">
        <v>2714008.52</v>
      </c>
      <c r="F110" s="28">
        <f t="shared" ca="1" si="42"/>
        <v>2718568.85</v>
      </c>
      <c r="H110" s="63">
        <v>4652980.38</v>
      </c>
      <c r="I110" s="27">
        <v>4532639.68</v>
      </c>
      <c r="J110" s="27">
        <v>7828909.5199999996</v>
      </c>
      <c r="K110" s="28">
        <f t="shared" ca="1" si="43"/>
        <v>17014529.579999998</v>
      </c>
      <c r="M110" s="63">
        <v>4134456.2100000004</v>
      </c>
      <c r="N110" s="27">
        <v>2457509.35</v>
      </c>
      <c r="O110" s="27">
        <v>3743201.5799999996</v>
      </c>
      <c r="P110" s="28">
        <f ca="1">SUM(M110:O110)</f>
        <v>10335167.140000001</v>
      </c>
      <c r="Q110" s="27"/>
      <c r="R110" s="63">
        <v>2450165.4000000004</v>
      </c>
      <c r="S110" s="27">
        <v>3208613.9400000004</v>
      </c>
      <c r="T110" s="27">
        <v>4802905.7799999993</v>
      </c>
      <c r="U110" s="28">
        <f ca="1">SUM(R110:T110)</f>
        <v>10461685.120000001</v>
      </c>
      <c r="V110" s="23"/>
      <c r="W110" s="63">
        <v>6956496.2199999997</v>
      </c>
      <c r="X110" s="27">
        <v>21820050.639999993</v>
      </c>
      <c r="Y110" s="27">
        <v>9199492.2300000004</v>
      </c>
      <c r="Z110" s="28">
        <f ca="1">SUM(W110:Y110)</f>
        <v>37976039.089999989</v>
      </c>
      <c r="AB110" s="63">
        <v>10031929.499999998</v>
      </c>
      <c r="AC110" s="27">
        <v>1035964.71</v>
      </c>
      <c r="AD110" s="27">
        <v>0</v>
      </c>
      <c r="AE110" s="28">
        <f t="shared" ca="1" si="39"/>
        <v>11067894.209999997</v>
      </c>
      <c r="AG110" s="16"/>
    </row>
    <row r="111" spans="1:33" x14ac:dyDescent="0.25">
      <c r="A111" s="66" t="s">
        <v>185</v>
      </c>
      <c r="C111" s="63">
        <v>0</v>
      </c>
      <c r="D111" s="27">
        <v>0</v>
      </c>
      <c r="E111" s="27">
        <v>0</v>
      </c>
      <c r="F111" s="28">
        <f t="shared" ca="1" si="42"/>
        <v>0</v>
      </c>
      <c r="H111" s="63">
        <v>0</v>
      </c>
      <c r="I111" s="27">
        <v>0</v>
      </c>
      <c r="J111" s="27">
        <v>0</v>
      </c>
      <c r="K111" s="28">
        <f t="shared" ca="1" si="43"/>
        <v>0</v>
      </c>
      <c r="M111" s="63">
        <v>0</v>
      </c>
      <c r="N111" s="27">
        <v>0</v>
      </c>
      <c r="O111" s="27">
        <v>0</v>
      </c>
      <c r="P111" s="28">
        <f ca="1">SUM(M111:O111)</f>
        <v>0</v>
      </c>
      <c r="Q111" s="27"/>
      <c r="R111" s="63">
        <v>0</v>
      </c>
      <c r="S111" s="27">
        <v>0</v>
      </c>
      <c r="T111" s="27">
        <v>0</v>
      </c>
      <c r="U111" s="28">
        <f ca="1">SUM(R111:T111)</f>
        <v>0</v>
      </c>
      <c r="V111" s="23"/>
      <c r="W111" s="63">
        <v>0</v>
      </c>
      <c r="X111" s="27">
        <v>0</v>
      </c>
      <c r="Y111" s="27">
        <v>0</v>
      </c>
      <c r="Z111" s="28">
        <f ca="1">SUM(W111:Y111)</f>
        <v>0</v>
      </c>
      <c r="AB111" s="63">
        <v>0</v>
      </c>
      <c r="AC111" s="27">
        <v>0</v>
      </c>
      <c r="AD111" s="27">
        <v>0</v>
      </c>
      <c r="AE111" s="28">
        <f t="shared" ca="1" si="39"/>
        <v>0</v>
      </c>
      <c r="AG111" s="16"/>
    </row>
    <row r="112" spans="1:33" ht="15.75" thickBot="1" x14ac:dyDescent="0.3">
      <c r="A112" s="66" t="s">
        <v>186</v>
      </c>
      <c r="C112" s="63">
        <v>0</v>
      </c>
      <c r="D112" s="27">
        <v>0</v>
      </c>
      <c r="E112" s="27">
        <v>0</v>
      </c>
      <c r="F112" s="28">
        <f t="shared" ca="1" si="42"/>
        <v>0</v>
      </c>
      <c r="H112" s="63">
        <v>0</v>
      </c>
      <c r="I112" s="27">
        <v>0</v>
      </c>
      <c r="J112" s="27">
        <v>0</v>
      </c>
      <c r="K112" s="28">
        <f t="shared" ca="1" si="43"/>
        <v>0</v>
      </c>
      <c r="M112" s="63">
        <v>0</v>
      </c>
      <c r="N112" s="27">
        <v>0</v>
      </c>
      <c r="O112" s="27">
        <v>0</v>
      </c>
      <c r="P112" s="28">
        <f t="shared" ca="1" si="28"/>
        <v>0</v>
      </c>
      <c r="Q112" s="27"/>
      <c r="R112" s="63">
        <v>689055.10999999987</v>
      </c>
      <c r="S112" s="27">
        <v>2522934.0499999998</v>
      </c>
      <c r="T112" s="27">
        <v>4589924.6399999997</v>
      </c>
      <c r="U112" s="28">
        <f ca="1">SUM(R112:T112)</f>
        <v>7801913.7999999989</v>
      </c>
      <c r="V112" s="23"/>
      <c r="W112" s="63">
        <v>11235560.229999999</v>
      </c>
      <c r="X112" s="27">
        <v>3460294.43</v>
      </c>
      <c r="Y112" s="27">
        <v>2149355.6399999997</v>
      </c>
      <c r="Z112" s="28">
        <f ca="1">SUM(W112:Y112)</f>
        <v>16845210.299999997</v>
      </c>
      <c r="AB112" s="63">
        <v>2750090.9699999997</v>
      </c>
      <c r="AC112" s="27">
        <v>181676</v>
      </c>
      <c r="AD112" s="27">
        <v>0</v>
      </c>
      <c r="AE112" s="28">
        <f t="shared" ca="1" si="39"/>
        <v>2931766.9699999997</v>
      </c>
      <c r="AG112" s="16"/>
    </row>
    <row r="113" spans="1:33" ht="15.75" thickBot="1" x14ac:dyDescent="0.3">
      <c r="A113" s="67" t="s">
        <v>187</v>
      </c>
      <c r="C113" s="68">
        <f ca="1">SUM(C92,C95,C105,C112,C110,C111,C100)</f>
        <v>25564653.719999999</v>
      </c>
      <c r="D113" s="69">
        <f t="shared" ref="D113:Z113" ca="1" si="44">SUM(D92,D95,D105,D112,D110,D111,D100)</f>
        <v>38623646.410000004</v>
      </c>
      <c r="E113" s="69">
        <f t="shared" ca="1" si="44"/>
        <v>43123245.490000002</v>
      </c>
      <c r="F113" s="70">
        <f t="shared" ca="1" si="44"/>
        <v>107311545.62</v>
      </c>
      <c r="G113">
        <f t="shared" ca="1" si="44"/>
        <v>0</v>
      </c>
      <c r="H113" s="68">
        <f t="shared" ca="1" si="44"/>
        <v>51274421.090000004</v>
      </c>
      <c r="I113" s="69">
        <f t="shared" ca="1" si="44"/>
        <v>78643870.729999989</v>
      </c>
      <c r="J113" s="69">
        <f t="shared" ca="1" si="44"/>
        <v>79707100.469999984</v>
      </c>
      <c r="K113" s="70">
        <f t="shared" ca="1" si="44"/>
        <v>209625392.28999996</v>
      </c>
      <c r="L113">
        <f t="shared" ca="1" si="44"/>
        <v>0</v>
      </c>
      <c r="M113" s="68">
        <f t="shared" ca="1" si="44"/>
        <v>72304487.719999999</v>
      </c>
      <c r="N113" s="69">
        <f t="shared" ca="1" si="44"/>
        <v>74227096.319999993</v>
      </c>
      <c r="O113" s="69">
        <f t="shared" ca="1" si="44"/>
        <v>90457306.390000001</v>
      </c>
      <c r="P113" s="70">
        <f t="shared" ca="1" si="44"/>
        <v>236988890.43000001</v>
      </c>
      <c r="Q113" s="71">
        <f t="shared" ca="1" si="44"/>
        <v>0</v>
      </c>
      <c r="R113" s="68">
        <f t="shared" ca="1" si="44"/>
        <v>79379844.560000017</v>
      </c>
      <c r="S113" s="69">
        <f t="shared" ca="1" si="44"/>
        <v>98757511.479999974</v>
      </c>
      <c r="T113" s="69">
        <f t="shared" ca="1" si="44"/>
        <v>115687063.44</v>
      </c>
      <c r="U113" s="70">
        <f t="shared" ca="1" si="44"/>
        <v>293824419.47999996</v>
      </c>
      <c r="V113" s="23">
        <f t="shared" ca="1" si="44"/>
        <v>0</v>
      </c>
      <c r="W113" s="68">
        <f t="shared" ca="1" si="44"/>
        <v>122453702.11000001</v>
      </c>
      <c r="X113" s="69">
        <f t="shared" ca="1" si="44"/>
        <v>124593271.40000001</v>
      </c>
      <c r="Y113" s="69">
        <f t="shared" ca="1" si="44"/>
        <v>106524361.80000001</v>
      </c>
      <c r="Z113" s="70">
        <f t="shared" ca="1" si="44"/>
        <v>353571335.31</v>
      </c>
      <c r="AB113" s="68">
        <f ca="1">SUM(AB92,AB95,AB105,AB112,AB110,AB111,AB100)</f>
        <v>101553989.34</v>
      </c>
      <c r="AC113" s="69">
        <f ca="1">SUM(AC92,AC95,AC105,AC112,AC110,AC111,AC100)</f>
        <v>16867050.48</v>
      </c>
      <c r="AD113" s="69">
        <f ca="1">SUM(AD92,AD95,AD105,AD112,AD110,AD111,AD100)</f>
        <v>0</v>
      </c>
      <c r="AE113" s="70">
        <f ca="1">SUM(AE92,AE95,AE105,AE112,AE110,AE111,AE100)</f>
        <v>118421039.81999999</v>
      </c>
      <c r="AG113" s="16"/>
    </row>
    <row r="114" spans="1:33" x14ac:dyDescent="0.25">
      <c r="A114" s="62" t="s">
        <v>188</v>
      </c>
      <c r="C114" s="63">
        <f ca="1">SUM(C115:C118)</f>
        <v>17110565.359999999</v>
      </c>
      <c r="D114" s="27">
        <f ca="1">SUM(D115:D118)</f>
        <v>10500350.300000001</v>
      </c>
      <c r="E114" s="27">
        <f ca="1">SUM(E115:E118)</f>
        <v>10292624.800000001</v>
      </c>
      <c r="F114" s="28">
        <f ca="1">SUM(F115:F118)</f>
        <v>37903540.459999993</v>
      </c>
      <c r="H114" s="63">
        <f ca="1">SUM(H115:H118)</f>
        <v>11247010.629999997</v>
      </c>
      <c r="I114" s="27">
        <f ca="1">SUM(I115:I118)</f>
        <v>10722065.5</v>
      </c>
      <c r="J114" s="27">
        <f ca="1">SUM(J115:J118)</f>
        <v>7394216.5300000003</v>
      </c>
      <c r="K114" s="28">
        <f ca="1">SUM(K115:K118)</f>
        <v>29363292.66</v>
      </c>
      <c r="M114" s="63">
        <f ca="1">SUM(M115:M118)</f>
        <v>29827821.540000003</v>
      </c>
      <c r="N114" s="27">
        <f ca="1">SUM(N115:N118)</f>
        <v>19098901.379999999</v>
      </c>
      <c r="O114" s="27">
        <f ca="1">SUM(O115:O118)</f>
        <v>22278494.500000004</v>
      </c>
      <c r="P114" s="28">
        <f t="shared" ca="1" si="28"/>
        <v>71205217.420000002</v>
      </c>
      <c r="Q114" s="27"/>
      <c r="R114" s="63">
        <f ca="1">SUM(R115:R118)</f>
        <v>37601106.000000007</v>
      </c>
      <c r="S114" s="27">
        <f ca="1">SUM(S115:S118)</f>
        <v>12232114.970000001</v>
      </c>
      <c r="T114" s="27">
        <f ca="1">SUM(T115:T118)</f>
        <v>11571638.710000001</v>
      </c>
      <c r="U114" s="28">
        <f t="shared" ref="U114:U177" ca="1" si="45">SUM(R114:T114)</f>
        <v>61404859.680000007</v>
      </c>
      <c r="V114" s="23"/>
      <c r="W114" s="63">
        <f ca="1">SUM(W115:W118)</f>
        <v>22768598.09</v>
      </c>
      <c r="X114" s="27">
        <f ca="1">SUM(X115:X118)</f>
        <v>27516196.130000003</v>
      </c>
      <c r="Y114" s="27">
        <f ca="1">SUM(Y115:Y118)</f>
        <v>17321470.099999998</v>
      </c>
      <c r="Z114" s="28">
        <f t="shared" ref="Z114:Z177" ca="1" si="46">SUM(W114:Y114)</f>
        <v>67606264.319999993</v>
      </c>
      <c r="AB114" s="63">
        <f ca="1">SUM(AB115:AB118)</f>
        <v>18171824.43</v>
      </c>
      <c r="AC114" s="27">
        <f ca="1">SUM(AC115:AC118)</f>
        <v>4425867.45</v>
      </c>
      <c r="AD114" s="27">
        <f ca="1">SUM(AD115:AD118)</f>
        <v>0</v>
      </c>
      <c r="AE114" s="28">
        <f ca="1">SUM(AB114:AD114)</f>
        <v>22597691.879999999</v>
      </c>
      <c r="AG114" s="16"/>
    </row>
    <row r="115" spans="1:33" ht="14.65" hidden="1" customHeight="1" outlineLevel="1" x14ac:dyDescent="0.25">
      <c r="A115" s="76" t="s">
        <v>188</v>
      </c>
      <c r="C115" s="63">
        <v>15992886.359999999</v>
      </c>
      <c r="D115" s="27">
        <v>7938618.9000000004</v>
      </c>
      <c r="E115" s="27">
        <v>6739398.2000000002</v>
      </c>
      <c r="F115" s="28">
        <f ca="1">SUM(C115:E115)</f>
        <v>30670903.459999997</v>
      </c>
      <c r="H115" s="63">
        <v>9462213.589999998</v>
      </c>
      <c r="I115" s="27">
        <v>6141702.7999999998</v>
      </c>
      <c r="J115" s="27">
        <v>6621195.3300000001</v>
      </c>
      <c r="K115" s="28">
        <f ca="1">SUM(H115:J115)</f>
        <v>22225111.719999999</v>
      </c>
      <c r="M115" s="63">
        <v>29827821.540000003</v>
      </c>
      <c r="N115" s="27">
        <v>14550539.189999999</v>
      </c>
      <c r="O115" s="27">
        <v>14599732.400000002</v>
      </c>
      <c r="P115" s="28">
        <f t="shared" ca="1" si="28"/>
        <v>58978093.13000001</v>
      </c>
      <c r="Q115" s="27"/>
      <c r="R115" s="63">
        <v>30913651.940000005</v>
      </c>
      <c r="S115" s="27">
        <v>10789016.970000001</v>
      </c>
      <c r="T115" s="27">
        <v>10067054.710000001</v>
      </c>
      <c r="U115" s="28">
        <f t="shared" ca="1" si="45"/>
        <v>51769723.620000005</v>
      </c>
      <c r="V115" s="23"/>
      <c r="W115" s="63">
        <v>18123277.09</v>
      </c>
      <c r="X115" s="27">
        <v>14865635.17</v>
      </c>
      <c r="Y115" s="27">
        <v>12497222.499999998</v>
      </c>
      <c r="Z115" s="28">
        <f t="shared" ca="1" si="46"/>
        <v>45486134.759999998</v>
      </c>
      <c r="AB115" s="63">
        <v>14321707.43</v>
      </c>
      <c r="AC115" s="27">
        <v>46500</v>
      </c>
      <c r="AD115" s="27">
        <v>0</v>
      </c>
      <c r="AE115" s="28">
        <f ca="1">SUM(AB115:AD115)</f>
        <v>14368207.43</v>
      </c>
      <c r="AG115" s="16"/>
    </row>
    <row r="116" spans="1:33" ht="14.65" hidden="1" customHeight="1" outlineLevel="1" x14ac:dyDescent="0.25">
      <c r="A116" s="76" t="s">
        <v>189</v>
      </c>
      <c r="C116" s="63">
        <v>0</v>
      </c>
      <c r="D116" s="27">
        <v>0</v>
      </c>
      <c r="E116" s="27">
        <v>0</v>
      </c>
      <c r="F116" s="28">
        <f ca="1">SUM(C116:E116)</f>
        <v>0</v>
      </c>
      <c r="H116" s="63">
        <v>0</v>
      </c>
      <c r="I116" s="27">
        <v>0</v>
      </c>
      <c r="J116" s="27">
        <v>0</v>
      </c>
      <c r="K116" s="28">
        <f ca="1">SUM(H116:J116)</f>
        <v>0</v>
      </c>
      <c r="M116" s="63">
        <v>0</v>
      </c>
      <c r="N116" s="27">
        <v>0</v>
      </c>
      <c r="O116" s="27">
        <v>0</v>
      </c>
      <c r="P116" s="28">
        <f ca="1">SUM(M116:O116)</f>
        <v>0</v>
      </c>
      <c r="Q116" s="27"/>
      <c r="R116" s="63">
        <v>0</v>
      </c>
      <c r="S116" s="27">
        <v>0</v>
      </c>
      <c r="T116" s="27">
        <v>0</v>
      </c>
      <c r="U116" s="28">
        <f ca="1">SUM(R116:T116)</f>
        <v>0</v>
      </c>
      <c r="V116" s="23"/>
      <c r="W116" s="63">
        <v>0</v>
      </c>
      <c r="X116" s="27">
        <v>0</v>
      </c>
      <c r="Y116" s="27">
        <v>0</v>
      </c>
      <c r="Z116" s="28">
        <f ca="1">SUM(W116:Y116)</f>
        <v>0</v>
      </c>
      <c r="AB116" s="63">
        <v>0</v>
      </c>
      <c r="AC116" s="27">
        <v>0</v>
      </c>
      <c r="AD116" s="27">
        <v>0</v>
      </c>
      <c r="AE116" s="28">
        <f ca="1">SUM(AB116:AD116)</f>
        <v>0</v>
      </c>
      <c r="AG116" s="16"/>
    </row>
    <row r="117" spans="1:33" ht="14.65" hidden="1" customHeight="1" outlineLevel="1" x14ac:dyDescent="0.25">
      <c r="A117" s="76" t="s">
        <v>190</v>
      </c>
      <c r="C117" s="63">
        <v>1117679</v>
      </c>
      <c r="D117" s="27">
        <v>2561731.4</v>
      </c>
      <c r="E117" s="27">
        <v>3543103.6</v>
      </c>
      <c r="F117" s="28">
        <f ca="1">SUM(C117:E117)</f>
        <v>7222514</v>
      </c>
      <c r="H117" s="63">
        <v>1773325.6</v>
      </c>
      <c r="I117" s="27">
        <v>1000000</v>
      </c>
      <c r="J117" s="27">
        <v>773021.20000000019</v>
      </c>
      <c r="K117" s="28">
        <f ca="1">SUM(H117:J117)</f>
        <v>3546346.8000000003</v>
      </c>
      <c r="M117" s="63">
        <v>0</v>
      </c>
      <c r="N117" s="27">
        <v>991.39999999990687</v>
      </c>
      <c r="O117" s="27">
        <v>3534083.4000000004</v>
      </c>
      <c r="P117" s="28">
        <f t="shared" ca="1" si="28"/>
        <v>3535074.8000000003</v>
      </c>
      <c r="Q117" s="27"/>
      <c r="R117" s="63">
        <v>2154950</v>
      </c>
      <c r="S117" s="27">
        <v>1443098</v>
      </c>
      <c r="T117" s="27">
        <v>1504584</v>
      </c>
      <c r="U117" s="28">
        <f t="shared" ca="1" si="45"/>
        <v>5102632</v>
      </c>
      <c r="V117" s="23"/>
      <c r="W117" s="63">
        <v>3357851</v>
      </c>
      <c r="X117" s="27">
        <v>3775968.9000000004</v>
      </c>
      <c r="Y117" s="27">
        <v>2097173.6</v>
      </c>
      <c r="Z117" s="28">
        <f t="shared" ca="1" si="46"/>
        <v>9230993.5</v>
      </c>
      <c r="AB117" s="63">
        <v>3484017</v>
      </c>
      <c r="AC117" s="27">
        <v>1565937.2000000002</v>
      </c>
      <c r="AD117" s="27">
        <v>0</v>
      </c>
      <c r="AE117" s="28">
        <f t="shared" ref="AE117:AE177" ca="1" si="47">SUM(AB117:AD117)</f>
        <v>5049954.2</v>
      </c>
      <c r="AG117" s="16"/>
    </row>
    <row r="118" spans="1:33" ht="14.65" hidden="1" customHeight="1" outlineLevel="1" x14ac:dyDescent="0.25">
      <c r="A118" s="76" t="s">
        <v>191</v>
      </c>
      <c r="C118" s="63">
        <v>0</v>
      </c>
      <c r="D118" s="27">
        <v>0</v>
      </c>
      <c r="E118" s="27">
        <v>10123</v>
      </c>
      <c r="F118" s="28">
        <f ca="1">SUM(C118:E118)</f>
        <v>10123</v>
      </c>
      <c r="H118" s="63">
        <v>11471.439999999944</v>
      </c>
      <c r="I118" s="27">
        <v>3580362.7</v>
      </c>
      <c r="J118" s="27">
        <v>0</v>
      </c>
      <c r="K118" s="28">
        <f ca="1">SUM(H118:J118)</f>
        <v>3591834.14</v>
      </c>
      <c r="M118" s="63">
        <v>0</v>
      </c>
      <c r="N118" s="27">
        <v>4547370.79</v>
      </c>
      <c r="O118" s="27">
        <v>4144678.7</v>
      </c>
      <c r="P118" s="28">
        <f t="shared" ca="1" si="28"/>
        <v>8692049.4900000002</v>
      </c>
      <c r="Q118" s="27"/>
      <c r="R118" s="63">
        <v>4532504.0600000005</v>
      </c>
      <c r="S118" s="27">
        <v>0</v>
      </c>
      <c r="T118" s="27">
        <v>0</v>
      </c>
      <c r="U118" s="28">
        <f t="shared" ca="1" si="45"/>
        <v>4532504.0600000005</v>
      </c>
      <c r="V118" s="23"/>
      <c r="W118" s="63">
        <v>1287470</v>
      </c>
      <c r="X118" s="27">
        <v>8874592.0600000005</v>
      </c>
      <c r="Y118" s="27">
        <v>2727074</v>
      </c>
      <c r="Z118" s="28">
        <f t="shared" ca="1" si="46"/>
        <v>12889136.060000001</v>
      </c>
      <c r="AB118" s="63">
        <v>366100</v>
      </c>
      <c r="AC118" s="27">
        <v>2813430.25</v>
      </c>
      <c r="AD118" s="27">
        <v>0</v>
      </c>
      <c r="AE118" s="28">
        <f t="shared" ca="1" si="47"/>
        <v>3179530.25</v>
      </c>
      <c r="AG118" s="16"/>
    </row>
    <row r="119" spans="1:33" collapsed="1" x14ac:dyDescent="0.25">
      <c r="A119" s="62" t="s">
        <v>192</v>
      </c>
      <c r="C119" s="63">
        <f ca="1">SUM(C120:C153)</f>
        <v>44628538.799999997</v>
      </c>
      <c r="D119" s="27">
        <f ca="1">SUM(D120:D153)</f>
        <v>55816241.709999986</v>
      </c>
      <c r="E119" s="27">
        <f ca="1">SUM(E120:E153)</f>
        <v>55410010.319999993</v>
      </c>
      <c r="F119" s="28">
        <f ca="1">SUM(F120:F153)</f>
        <v>155854790.83000001</v>
      </c>
      <c r="H119" s="63">
        <f ca="1">SUM(H120:H153)</f>
        <v>72363929.680000022</v>
      </c>
      <c r="I119" s="27">
        <f ca="1">SUM(I120:I153)</f>
        <v>69789857.830000013</v>
      </c>
      <c r="J119" s="27">
        <f ca="1">SUM(J120:J153)</f>
        <v>61814055.32</v>
      </c>
      <c r="K119" s="28">
        <f ca="1">SUM(K120:K153)</f>
        <v>203967842.83000001</v>
      </c>
      <c r="M119" s="63">
        <f ca="1">SUM(M120:M153)</f>
        <v>69736910.899999991</v>
      </c>
      <c r="N119" s="27">
        <f ca="1">SUM(N120:N153)</f>
        <v>82242863.840000004</v>
      </c>
      <c r="O119" s="27">
        <f ca="1">SUM(O120:O153)</f>
        <v>80482717.290000007</v>
      </c>
      <c r="P119" s="28">
        <f t="shared" ca="1" si="28"/>
        <v>232462492.03000003</v>
      </c>
      <c r="Q119" s="27"/>
      <c r="R119" s="63">
        <f ca="1">SUM(R120:R153)</f>
        <v>79477942.75</v>
      </c>
      <c r="S119" s="27">
        <f ca="1">SUM(S120:S153)</f>
        <v>74469562.710000023</v>
      </c>
      <c r="T119" s="27">
        <f ca="1">SUM(T120:T153)</f>
        <v>70410117.799999997</v>
      </c>
      <c r="U119" s="28">
        <f t="shared" ca="1" si="45"/>
        <v>224357623.26000005</v>
      </c>
      <c r="V119" s="23"/>
      <c r="W119" s="63">
        <f ca="1">SUM(W120:W153)</f>
        <v>76030447.379999995</v>
      </c>
      <c r="X119" s="27">
        <f ca="1">SUM(X120:X153)</f>
        <v>65109535.289999992</v>
      </c>
      <c r="Y119" s="27">
        <f ca="1">SUM(Y120:Y153)</f>
        <v>57893755.840000004</v>
      </c>
      <c r="Z119" s="28">
        <f t="shared" ca="1" si="46"/>
        <v>199033738.50999999</v>
      </c>
      <c r="AB119" s="63">
        <f ca="1">SUM(AB120:AB153)</f>
        <v>70199415.300000012</v>
      </c>
      <c r="AC119" s="27">
        <f ca="1">SUM(AC120:AC153)</f>
        <v>7980652.589999998</v>
      </c>
      <c r="AD119" s="27">
        <f ca="1">SUM(AD120:AD153)</f>
        <v>0</v>
      </c>
      <c r="AE119" s="28">
        <f t="shared" ca="1" si="47"/>
        <v>78180067.890000015</v>
      </c>
      <c r="AG119" s="16"/>
    </row>
    <row r="120" spans="1:33" ht="14.65" hidden="1" customHeight="1" outlineLevel="1" x14ac:dyDescent="0.25">
      <c r="A120" s="65" t="s">
        <v>193</v>
      </c>
      <c r="C120" s="63">
        <v>1811830.63</v>
      </c>
      <c r="D120" s="27">
        <v>4567982.79</v>
      </c>
      <c r="E120" s="27">
        <v>1406225.3399999999</v>
      </c>
      <c r="F120" s="28">
        <f t="shared" ref="F120:F153" ca="1" si="48">SUM(C120:E120)</f>
        <v>7786038.7599999998</v>
      </c>
      <c r="H120" s="63">
        <v>2021290.5899999999</v>
      </c>
      <c r="I120" s="27">
        <v>2568661.59</v>
      </c>
      <c r="J120" s="27">
        <v>1535222.1199999999</v>
      </c>
      <c r="K120" s="28">
        <f ca="1">SUM(H120:J120)</f>
        <v>6125174.2999999998</v>
      </c>
      <c r="M120" s="63">
        <v>1562557.51</v>
      </c>
      <c r="N120" s="27">
        <v>6695955.8500000006</v>
      </c>
      <c r="O120" s="27">
        <v>1763365.87</v>
      </c>
      <c r="P120" s="28">
        <f t="shared" ca="1" si="28"/>
        <v>10021879.23</v>
      </c>
      <c r="Q120" s="27"/>
      <c r="R120" s="63">
        <v>2004386.24</v>
      </c>
      <c r="S120" s="27">
        <v>2499799.2299999995</v>
      </c>
      <c r="T120" s="27">
        <v>874547.52</v>
      </c>
      <c r="U120" s="28">
        <f t="shared" ca="1" si="45"/>
        <v>5378732.9900000002</v>
      </c>
      <c r="V120" s="23"/>
      <c r="W120" s="63">
        <v>4909462.62</v>
      </c>
      <c r="X120" s="27">
        <v>2681506.1999999997</v>
      </c>
      <c r="Y120" s="27">
        <v>1601532.71</v>
      </c>
      <c r="Z120" s="28">
        <f t="shared" ca="1" si="46"/>
        <v>9192501.5300000012</v>
      </c>
      <c r="AB120" s="63">
        <v>830764.08</v>
      </c>
      <c r="AC120" s="27">
        <v>395566.18999999994</v>
      </c>
      <c r="AD120" s="27">
        <v>0</v>
      </c>
      <c r="AE120" s="28">
        <f t="shared" ca="1" si="47"/>
        <v>1226330.27</v>
      </c>
      <c r="AG120" s="16"/>
    </row>
    <row r="121" spans="1:33" ht="14.65" hidden="1" customHeight="1" outlineLevel="1" x14ac:dyDescent="0.25">
      <c r="A121" s="65" t="s">
        <v>194</v>
      </c>
      <c r="C121" s="63">
        <v>4759474.4499999993</v>
      </c>
      <c r="D121" s="27">
        <v>14259387.229999999</v>
      </c>
      <c r="E121" s="27">
        <v>5953819.3199999994</v>
      </c>
      <c r="F121" s="28">
        <f t="shared" ca="1" si="48"/>
        <v>24972681</v>
      </c>
      <c r="H121" s="63">
        <v>3843605.5600000005</v>
      </c>
      <c r="I121" s="27">
        <v>2450588.56</v>
      </c>
      <c r="J121" s="27">
        <v>2957496.4000000004</v>
      </c>
      <c r="K121" s="28">
        <f t="shared" ref="K121:K153" ca="1" si="49">SUM(H121:J121)</f>
        <v>9251690.5200000014</v>
      </c>
      <c r="M121" s="63">
        <v>7678019.5600000005</v>
      </c>
      <c r="N121" s="27">
        <v>13454273.900000004</v>
      </c>
      <c r="O121" s="27">
        <v>5229922.62</v>
      </c>
      <c r="P121" s="28">
        <f t="shared" ca="1" si="28"/>
        <v>26362216.080000006</v>
      </c>
      <c r="Q121" s="27"/>
      <c r="R121" s="63">
        <v>3163478.8499999996</v>
      </c>
      <c r="S121" s="27">
        <v>2977951.1799999997</v>
      </c>
      <c r="T121" s="27">
        <v>2005710.9199999997</v>
      </c>
      <c r="U121" s="28">
        <f t="shared" ca="1" si="45"/>
        <v>8147140.9499999993</v>
      </c>
      <c r="V121" s="23"/>
      <c r="W121" s="63">
        <v>11876822.889999999</v>
      </c>
      <c r="X121" s="27">
        <v>11482594.919999996</v>
      </c>
      <c r="Y121" s="27">
        <v>2791432.51</v>
      </c>
      <c r="Z121" s="28">
        <f t="shared" ca="1" si="46"/>
        <v>26150850.319999993</v>
      </c>
      <c r="AB121" s="63">
        <v>1843215.35</v>
      </c>
      <c r="AC121" s="27">
        <v>700478.76999999979</v>
      </c>
      <c r="AD121" s="27">
        <v>0</v>
      </c>
      <c r="AE121" s="28">
        <f t="shared" ca="1" si="47"/>
        <v>2543694.12</v>
      </c>
      <c r="AG121" s="16"/>
    </row>
    <row r="122" spans="1:33" ht="14.65" hidden="1" customHeight="1" outlineLevel="1" x14ac:dyDescent="0.25">
      <c r="A122" s="65" t="s">
        <v>195</v>
      </c>
      <c r="C122" s="63">
        <v>1692745.17</v>
      </c>
      <c r="D122" s="27">
        <v>4191331.87</v>
      </c>
      <c r="E122" s="27">
        <v>2889304.84</v>
      </c>
      <c r="F122" s="28">
        <f t="shared" ca="1" si="48"/>
        <v>8773381.879999999</v>
      </c>
      <c r="H122" s="63">
        <v>1586605.1700000002</v>
      </c>
      <c r="I122" s="27">
        <v>617510.08000000007</v>
      </c>
      <c r="J122" s="27">
        <v>1265800.4300000002</v>
      </c>
      <c r="K122" s="28">
        <f t="shared" ca="1" si="49"/>
        <v>3469915.68</v>
      </c>
      <c r="M122" s="63">
        <v>3354843.0500000003</v>
      </c>
      <c r="N122" s="27">
        <v>5709210.79</v>
      </c>
      <c r="O122" s="27">
        <v>2304508.48</v>
      </c>
      <c r="P122" s="28">
        <f t="shared" ca="1" si="28"/>
        <v>11368562.32</v>
      </c>
      <c r="Q122" s="27"/>
      <c r="R122" s="63">
        <v>1371824.26</v>
      </c>
      <c r="S122" s="27">
        <v>883749.18000000017</v>
      </c>
      <c r="T122" s="27">
        <v>1924261.9200000002</v>
      </c>
      <c r="U122" s="28">
        <f t="shared" ca="1" si="45"/>
        <v>4179835.3600000003</v>
      </c>
      <c r="V122" s="23"/>
      <c r="W122" s="63">
        <v>3099913.0100000002</v>
      </c>
      <c r="X122" s="27">
        <v>4506214.38</v>
      </c>
      <c r="Y122" s="27">
        <v>2349570.3800000004</v>
      </c>
      <c r="Z122" s="28">
        <f t="shared" ca="1" si="46"/>
        <v>9955697.7700000014</v>
      </c>
      <c r="AB122" s="63">
        <v>888720.03000000014</v>
      </c>
      <c r="AC122" s="27">
        <v>117773</v>
      </c>
      <c r="AD122" s="27">
        <v>0</v>
      </c>
      <c r="AE122" s="28">
        <f t="shared" ca="1" si="47"/>
        <v>1006493.0300000001</v>
      </c>
      <c r="AG122" s="16"/>
    </row>
    <row r="123" spans="1:33" ht="14.65" hidden="1" customHeight="1" outlineLevel="1" x14ac:dyDescent="0.25">
      <c r="A123" s="65" t="s">
        <v>196</v>
      </c>
      <c r="C123" s="63">
        <v>413096.26</v>
      </c>
      <c r="D123" s="27">
        <v>1660833.13</v>
      </c>
      <c r="E123" s="27">
        <v>2665600.02</v>
      </c>
      <c r="F123" s="28">
        <f t="shared" ca="1" si="48"/>
        <v>4739529.41</v>
      </c>
      <c r="H123" s="63">
        <v>1273417.26</v>
      </c>
      <c r="I123" s="27">
        <v>1644086.7399999998</v>
      </c>
      <c r="J123" s="27">
        <v>489596</v>
      </c>
      <c r="K123" s="28">
        <f t="shared" ca="1" si="49"/>
        <v>3407100</v>
      </c>
      <c r="M123" s="63">
        <v>0</v>
      </c>
      <c r="N123" s="27">
        <v>2978480.3600000003</v>
      </c>
      <c r="O123" s="27">
        <v>1986715.08</v>
      </c>
      <c r="P123" s="28">
        <f t="shared" ca="1" si="28"/>
        <v>4965195.4400000004</v>
      </c>
      <c r="Q123" s="27"/>
      <c r="R123" s="63">
        <v>912456</v>
      </c>
      <c r="S123" s="27">
        <v>1239338.8400000001</v>
      </c>
      <c r="T123" s="27">
        <v>7598.2700000002515</v>
      </c>
      <c r="U123" s="28">
        <f t="shared" ca="1" si="45"/>
        <v>2159393.1100000003</v>
      </c>
      <c r="V123" s="23"/>
      <c r="W123" s="63">
        <v>69644.659999999916</v>
      </c>
      <c r="X123" s="27">
        <v>2206710.1300000008</v>
      </c>
      <c r="Y123" s="27">
        <v>335148.64</v>
      </c>
      <c r="Z123" s="28">
        <f t="shared" ca="1" si="46"/>
        <v>2611503.4300000011</v>
      </c>
      <c r="AB123" s="63">
        <v>2180686.2599999998</v>
      </c>
      <c r="AC123" s="27">
        <v>0</v>
      </c>
      <c r="AD123" s="27">
        <v>0</v>
      </c>
      <c r="AE123" s="28">
        <f t="shared" ca="1" si="47"/>
        <v>2180686.2599999998</v>
      </c>
      <c r="AG123" s="16"/>
    </row>
    <row r="124" spans="1:33" ht="14.65" hidden="1" customHeight="1" outlineLevel="1" x14ac:dyDescent="0.25">
      <c r="A124" s="65" t="s">
        <v>197</v>
      </c>
      <c r="C124" s="63">
        <v>704974.84000000008</v>
      </c>
      <c r="D124" s="27">
        <v>1615096.01</v>
      </c>
      <c r="E124" s="27">
        <v>3074287.52</v>
      </c>
      <c r="F124" s="28">
        <f t="shared" ca="1" si="48"/>
        <v>5394358.3700000001</v>
      </c>
      <c r="H124" s="63">
        <v>3285905.129999999</v>
      </c>
      <c r="I124" s="27">
        <v>1545839.04</v>
      </c>
      <c r="J124" s="27">
        <v>1297711.73</v>
      </c>
      <c r="K124" s="28">
        <f t="shared" ca="1" si="49"/>
        <v>6129455.8999999985</v>
      </c>
      <c r="M124" s="63">
        <v>2575802.46</v>
      </c>
      <c r="N124" s="27">
        <v>1606910.94</v>
      </c>
      <c r="O124" s="27">
        <v>4334148.71</v>
      </c>
      <c r="P124" s="28">
        <f t="shared" ca="1" si="28"/>
        <v>8516862.1099999994</v>
      </c>
      <c r="Q124" s="27"/>
      <c r="R124" s="63">
        <v>2020402.9</v>
      </c>
      <c r="S124" s="27">
        <v>1332801.7999999998</v>
      </c>
      <c r="T124" s="27">
        <v>1744902.42</v>
      </c>
      <c r="U124" s="28">
        <f t="shared" ca="1" si="45"/>
        <v>5098107.1199999992</v>
      </c>
      <c r="V124" s="23"/>
      <c r="W124" s="63">
        <v>1953843.5299999998</v>
      </c>
      <c r="X124" s="27">
        <v>1975097.19</v>
      </c>
      <c r="Y124" s="27">
        <v>3463922.8499999996</v>
      </c>
      <c r="Z124" s="28">
        <f t="shared" ca="1" si="46"/>
        <v>7392863.5699999994</v>
      </c>
      <c r="AB124" s="63">
        <v>2876138.93</v>
      </c>
      <c r="AC124" s="27">
        <v>0</v>
      </c>
      <c r="AD124" s="27">
        <v>0</v>
      </c>
      <c r="AE124" s="28">
        <f t="shared" ca="1" si="47"/>
        <v>2876138.93</v>
      </c>
      <c r="AG124" s="16"/>
    </row>
    <row r="125" spans="1:33" ht="14.65" hidden="1" customHeight="1" outlineLevel="1" x14ac:dyDescent="0.25">
      <c r="A125" s="64" t="s">
        <v>198</v>
      </c>
      <c r="C125" s="63">
        <v>3375528.56</v>
      </c>
      <c r="D125" s="27">
        <v>4816364.7699999996</v>
      </c>
      <c r="E125" s="27">
        <v>11021935.91</v>
      </c>
      <c r="F125" s="28">
        <f t="shared" ca="1" si="48"/>
        <v>19213829.240000002</v>
      </c>
      <c r="H125" s="63">
        <v>8056145.9499999983</v>
      </c>
      <c r="I125" s="27">
        <v>5828923.5499999998</v>
      </c>
      <c r="J125" s="27">
        <v>4188635.0999999992</v>
      </c>
      <c r="K125" s="28">
        <f t="shared" ca="1" si="49"/>
        <v>18073704.599999998</v>
      </c>
      <c r="M125" s="63">
        <v>2598385.8199999998</v>
      </c>
      <c r="N125" s="27">
        <v>6394966.5499999989</v>
      </c>
      <c r="O125" s="27">
        <v>11412678.659999998</v>
      </c>
      <c r="P125" s="28">
        <f t="shared" ca="1" si="28"/>
        <v>20406031.029999997</v>
      </c>
      <c r="Q125" s="27"/>
      <c r="R125" s="63">
        <v>5891823.8300000001</v>
      </c>
      <c r="S125" s="27">
        <v>4276701.47</v>
      </c>
      <c r="T125" s="27">
        <v>4495390.92</v>
      </c>
      <c r="U125" s="28">
        <f t="shared" ca="1" si="45"/>
        <v>14663916.220000001</v>
      </c>
      <c r="V125" s="23"/>
      <c r="W125" s="63">
        <v>3467239.7800000003</v>
      </c>
      <c r="X125" s="27">
        <v>6916763.0999999996</v>
      </c>
      <c r="Y125" s="27">
        <v>8766625.7399999984</v>
      </c>
      <c r="Z125" s="28">
        <f t="shared" ca="1" si="46"/>
        <v>19150628.619999997</v>
      </c>
      <c r="AB125" s="63">
        <v>4211244.45</v>
      </c>
      <c r="AC125" s="27">
        <v>124088</v>
      </c>
      <c r="AD125" s="27">
        <v>0</v>
      </c>
      <c r="AE125" s="28">
        <f t="shared" ca="1" si="47"/>
        <v>4335332.45</v>
      </c>
      <c r="AG125" s="16"/>
    </row>
    <row r="126" spans="1:33" ht="14.65" hidden="1" customHeight="1" outlineLevel="1" x14ac:dyDescent="0.25">
      <c r="A126" s="64" t="s">
        <v>199</v>
      </c>
      <c r="C126" s="63">
        <v>1413670.43</v>
      </c>
      <c r="D126" s="27">
        <v>1010794.38</v>
      </c>
      <c r="E126" s="27">
        <v>3654200.3899999997</v>
      </c>
      <c r="F126" s="28">
        <f t="shared" ca="1" si="48"/>
        <v>6078665.1999999993</v>
      </c>
      <c r="H126" s="63">
        <v>4282306.0199999996</v>
      </c>
      <c r="I126" s="27">
        <v>3160052.48</v>
      </c>
      <c r="J126" s="27">
        <v>987659.19</v>
      </c>
      <c r="K126" s="28">
        <f t="shared" ca="1" si="49"/>
        <v>8430017.6899999995</v>
      </c>
      <c r="M126" s="63">
        <v>1621832.95</v>
      </c>
      <c r="N126" s="27">
        <v>1594959.05</v>
      </c>
      <c r="O126" s="27">
        <v>5298986.4600000009</v>
      </c>
      <c r="P126" s="28">
        <f t="shared" ca="1" si="28"/>
        <v>8515778.4600000009</v>
      </c>
      <c r="Q126" s="27"/>
      <c r="R126" s="63">
        <v>2792016.26</v>
      </c>
      <c r="S126" s="27">
        <v>2356322.0300000003</v>
      </c>
      <c r="T126" s="27">
        <v>1044842.1899999998</v>
      </c>
      <c r="U126" s="28">
        <f t="shared" ca="1" si="45"/>
        <v>6193180.4799999995</v>
      </c>
      <c r="V126" s="23"/>
      <c r="W126" s="63">
        <v>1450733.15</v>
      </c>
      <c r="X126" s="27">
        <v>1550854.2399999998</v>
      </c>
      <c r="Y126" s="27">
        <v>3634675.4299999997</v>
      </c>
      <c r="Z126" s="28">
        <f t="shared" ca="1" si="46"/>
        <v>6636262.8199999994</v>
      </c>
      <c r="AB126" s="63">
        <v>1557649.52</v>
      </c>
      <c r="AC126" s="27">
        <v>0</v>
      </c>
      <c r="AD126" s="27">
        <v>0</v>
      </c>
      <c r="AE126" s="28">
        <f t="shared" ca="1" si="47"/>
        <v>1557649.52</v>
      </c>
      <c r="AG126" s="16"/>
    </row>
    <row r="127" spans="1:33" ht="14.65" hidden="1" customHeight="1" outlineLevel="1" x14ac:dyDescent="0.25">
      <c r="A127" s="64" t="s">
        <v>200</v>
      </c>
      <c r="C127" s="63">
        <v>981828.42</v>
      </c>
      <c r="D127" s="27">
        <v>658260.68000000005</v>
      </c>
      <c r="E127" s="27">
        <v>1137960.98</v>
      </c>
      <c r="F127" s="28">
        <f t="shared" ca="1" si="48"/>
        <v>2778050.08</v>
      </c>
      <c r="H127" s="63">
        <v>2824412.63</v>
      </c>
      <c r="I127" s="27">
        <v>659291</v>
      </c>
      <c r="J127" s="27">
        <v>0</v>
      </c>
      <c r="K127" s="28">
        <f t="shared" ca="1" si="49"/>
        <v>3483703.63</v>
      </c>
      <c r="M127" s="63">
        <v>669802</v>
      </c>
      <c r="N127" s="27">
        <v>332246</v>
      </c>
      <c r="O127" s="27">
        <v>2507299.11</v>
      </c>
      <c r="P127" s="28">
        <f t="shared" ca="1" si="28"/>
        <v>3509347.11</v>
      </c>
      <c r="Q127" s="27"/>
      <c r="R127" s="63">
        <v>1313932.43</v>
      </c>
      <c r="S127" s="27">
        <v>329490</v>
      </c>
      <c r="T127" s="27">
        <v>533000</v>
      </c>
      <c r="U127" s="28">
        <f t="shared" ca="1" si="45"/>
        <v>2176422.4299999997</v>
      </c>
      <c r="V127" s="23"/>
      <c r="W127" s="63">
        <v>170000</v>
      </c>
      <c r="X127" s="27">
        <v>709449.57000000007</v>
      </c>
      <c r="Y127" s="27">
        <v>1546592.49</v>
      </c>
      <c r="Z127" s="28">
        <f t="shared" ca="1" si="46"/>
        <v>2426042.06</v>
      </c>
      <c r="AB127" s="63">
        <v>1803811.6500000001</v>
      </c>
      <c r="AC127" s="27">
        <v>0</v>
      </c>
      <c r="AD127" s="27">
        <v>0</v>
      </c>
      <c r="AE127" s="28">
        <f t="shared" ca="1" si="47"/>
        <v>1803811.6500000001</v>
      </c>
      <c r="AG127" s="16"/>
    </row>
    <row r="128" spans="1:33" ht="14.65" hidden="1" customHeight="1" outlineLevel="1" x14ac:dyDescent="0.25">
      <c r="A128" s="64" t="s">
        <v>201</v>
      </c>
      <c r="C128" s="63">
        <v>1675838.6600000001</v>
      </c>
      <c r="D128" s="27">
        <v>261652.04</v>
      </c>
      <c r="E128" s="27">
        <v>599495.39999999991</v>
      </c>
      <c r="F128" s="28">
        <f t="shared" ca="1" si="48"/>
        <v>2536986.1</v>
      </c>
      <c r="H128" s="63">
        <v>7589577.7399999984</v>
      </c>
      <c r="I128" s="27">
        <v>1774284.6</v>
      </c>
      <c r="J128" s="27">
        <v>1450640.83</v>
      </c>
      <c r="K128" s="28">
        <f t="shared" ca="1" si="49"/>
        <v>10814503.169999998</v>
      </c>
      <c r="M128" s="63">
        <v>2068832.03</v>
      </c>
      <c r="N128" s="27">
        <v>953442.2200000002</v>
      </c>
      <c r="O128" s="27">
        <v>1108641.4300000006</v>
      </c>
      <c r="P128" s="28">
        <f t="shared" ca="1" si="28"/>
        <v>4130915.6800000006</v>
      </c>
      <c r="Q128" s="27"/>
      <c r="R128" s="63">
        <v>4599345.7299999986</v>
      </c>
      <c r="S128" s="27">
        <v>1491185.6</v>
      </c>
      <c r="T128" s="27">
        <v>1466772.01</v>
      </c>
      <c r="U128" s="28">
        <f t="shared" ca="1" si="45"/>
        <v>7557303.339999998</v>
      </c>
      <c r="V128" s="23"/>
      <c r="W128" s="63">
        <v>1167584.71</v>
      </c>
      <c r="X128" s="27">
        <v>670049.47</v>
      </c>
      <c r="Y128" s="27">
        <v>1020601.71</v>
      </c>
      <c r="Z128" s="28">
        <f t="shared" ca="1" si="46"/>
        <v>2858235.8899999997</v>
      </c>
      <c r="AB128" s="63">
        <v>5158578.76</v>
      </c>
      <c r="AC128" s="27">
        <v>303999.5</v>
      </c>
      <c r="AD128" s="27">
        <v>0</v>
      </c>
      <c r="AE128" s="28">
        <f t="shared" ca="1" si="47"/>
        <v>5462578.2599999998</v>
      </c>
      <c r="AG128" s="16"/>
    </row>
    <row r="129" spans="1:33" ht="14.65" hidden="1" customHeight="1" outlineLevel="1" x14ac:dyDescent="0.25">
      <c r="A129" s="64" t="s">
        <v>202</v>
      </c>
      <c r="C129" s="63">
        <v>3508139.8999999994</v>
      </c>
      <c r="D129" s="27">
        <v>2092966.0000000002</v>
      </c>
      <c r="E129" s="27">
        <v>3957764.9099999997</v>
      </c>
      <c r="F129" s="28">
        <f t="shared" ca="1" si="48"/>
        <v>9558870.8099999987</v>
      </c>
      <c r="H129" s="63">
        <v>16148472.230000004</v>
      </c>
      <c r="I129" s="27">
        <v>7503906.0099999988</v>
      </c>
      <c r="J129" s="27">
        <v>2550115.13</v>
      </c>
      <c r="K129" s="28">
        <f t="shared" ca="1" si="49"/>
        <v>26202493.370000001</v>
      </c>
      <c r="M129" s="63">
        <v>3919529.8499999996</v>
      </c>
      <c r="N129" s="27">
        <v>3016170.03</v>
      </c>
      <c r="O129" s="27">
        <v>3680577.5599999996</v>
      </c>
      <c r="P129" s="28">
        <f t="shared" ca="1" si="28"/>
        <v>10616277.439999998</v>
      </c>
      <c r="Q129" s="27"/>
      <c r="R129" s="63">
        <v>17514871.029999997</v>
      </c>
      <c r="S129" s="27">
        <v>6847549.04</v>
      </c>
      <c r="T129" s="27">
        <v>3765863.82</v>
      </c>
      <c r="U129" s="28">
        <f t="shared" ca="1" si="45"/>
        <v>28128283.889999997</v>
      </c>
      <c r="V129" s="23"/>
      <c r="W129" s="63">
        <v>4127160.0300000003</v>
      </c>
      <c r="X129" s="27">
        <v>2501625.1799999997</v>
      </c>
      <c r="Y129" s="27">
        <v>3289276.05</v>
      </c>
      <c r="Z129" s="28">
        <f t="shared" ca="1" si="46"/>
        <v>9918061.2599999998</v>
      </c>
      <c r="AB129" s="63">
        <v>13668691.449999999</v>
      </c>
      <c r="AC129" s="27">
        <v>1857477.5100000002</v>
      </c>
      <c r="AD129" s="27">
        <v>0</v>
      </c>
      <c r="AE129" s="28">
        <f t="shared" ca="1" si="47"/>
        <v>15526168.959999999</v>
      </c>
      <c r="AG129" s="16"/>
    </row>
    <row r="130" spans="1:33" ht="14.65" hidden="1" customHeight="1" outlineLevel="1" x14ac:dyDescent="0.25">
      <c r="A130" s="64" t="s">
        <v>203</v>
      </c>
      <c r="C130" s="63">
        <v>1313046.8899999997</v>
      </c>
      <c r="D130" s="27">
        <v>1185505.75</v>
      </c>
      <c r="E130" s="27">
        <v>985480.02</v>
      </c>
      <c r="F130" s="28">
        <f t="shared" ca="1" si="48"/>
        <v>3484032.6599999997</v>
      </c>
      <c r="H130" s="63">
        <v>4442964.5200000005</v>
      </c>
      <c r="I130" s="27">
        <v>2568280.16</v>
      </c>
      <c r="J130" s="27">
        <v>1713153.6099999996</v>
      </c>
      <c r="K130" s="28">
        <f t="shared" ca="1" si="49"/>
        <v>8724398.290000001</v>
      </c>
      <c r="M130" s="63">
        <v>1382190.5</v>
      </c>
      <c r="N130" s="27">
        <v>3151836.78</v>
      </c>
      <c r="O130" s="27">
        <v>1709982.54</v>
      </c>
      <c r="P130" s="28">
        <f t="shared" ca="1" si="28"/>
        <v>6244009.8199999994</v>
      </c>
      <c r="Q130" s="27"/>
      <c r="R130" s="63">
        <v>3510737.88</v>
      </c>
      <c r="S130" s="27">
        <v>3270711.53</v>
      </c>
      <c r="T130" s="27">
        <v>2392432.85</v>
      </c>
      <c r="U130" s="28">
        <f t="shared" ca="1" si="45"/>
        <v>9173882.2599999998</v>
      </c>
      <c r="V130" s="23"/>
      <c r="W130" s="63">
        <v>1899910.7</v>
      </c>
      <c r="X130" s="27">
        <v>2610380.0599999996</v>
      </c>
      <c r="Y130" s="27">
        <v>1965115.17</v>
      </c>
      <c r="Z130" s="28">
        <f t="shared" ca="1" si="46"/>
        <v>6475405.9299999997</v>
      </c>
      <c r="AB130" s="63">
        <v>2650290.77</v>
      </c>
      <c r="AC130" s="27">
        <v>353016.87</v>
      </c>
      <c r="AD130" s="27">
        <v>0</v>
      </c>
      <c r="AE130" s="28">
        <f t="shared" ca="1" si="47"/>
        <v>3003307.64</v>
      </c>
      <c r="AG130" s="16"/>
    </row>
    <row r="131" spans="1:33" ht="14.65" hidden="1" customHeight="1" outlineLevel="1" x14ac:dyDescent="0.25">
      <c r="A131" s="64" t="s">
        <v>204</v>
      </c>
      <c r="C131" s="63">
        <v>2821012.0100000002</v>
      </c>
      <c r="D131" s="27">
        <v>1083178.52</v>
      </c>
      <c r="E131" s="27">
        <v>1093887.02</v>
      </c>
      <c r="F131" s="28">
        <f t="shared" ca="1" si="48"/>
        <v>4998077.5500000007</v>
      </c>
      <c r="H131" s="63">
        <v>1730903.75</v>
      </c>
      <c r="I131" s="27">
        <v>1002302.3799999999</v>
      </c>
      <c r="J131" s="27">
        <v>1572530.6399999997</v>
      </c>
      <c r="K131" s="28">
        <f t="shared" ca="1" si="49"/>
        <v>4305736.7699999996</v>
      </c>
      <c r="M131" s="63">
        <v>1267679.3799999999</v>
      </c>
      <c r="N131" s="27">
        <v>0</v>
      </c>
      <c r="O131" s="27">
        <v>1000.3799999998882</v>
      </c>
      <c r="P131" s="28">
        <f t="shared" ca="1" si="28"/>
        <v>1268679.7599999998</v>
      </c>
      <c r="Q131" s="27"/>
      <c r="R131" s="63">
        <v>2035837.6400000001</v>
      </c>
      <c r="S131" s="27">
        <v>2705415.63</v>
      </c>
      <c r="T131" s="27">
        <v>2285253.5099999998</v>
      </c>
      <c r="U131" s="28">
        <f t="shared" ca="1" si="45"/>
        <v>7026506.7799999993</v>
      </c>
      <c r="V131" s="23"/>
      <c r="W131" s="63">
        <v>422194</v>
      </c>
      <c r="X131" s="27">
        <v>207900</v>
      </c>
      <c r="Y131" s="27">
        <v>924988.05</v>
      </c>
      <c r="Z131" s="28">
        <f t="shared" ca="1" si="46"/>
        <v>1555082.05</v>
      </c>
      <c r="AB131" s="63">
        <v>1426742.25</v>
      </c>
      <c r="AC131" s="27">
        <v>21.509999999776483</v>
      </c>
      <c r="AD131" s="27">
        <v>0</v>
      </c>
      <c r="AE131" s="28">
        <f t="shared" ca="1" si="47"/>
        <v>1426763.7599999998</v>
      </c>
      <c r="AG131" s="16"/>
    </row>
    <row r="132" spans="1:33" ht="14.65" hidden="1" customHeight="1" outlineLevel="1" x14ac:dyDescent="0.25">
      <c r="A132" s="64" t="s">
        <v>205</v>
      </c>
      <c r="C132" s="63">
        <v>2511064.27</v>
      </c>
      <c r="D132" s="27">
        <v>1256962.26</v>
      </c>
      <c r="E132" s="27">
        <v>1292517.5799999998</v>
      </c>
      <c r="F132" s="28">
        <f t="shared" ca="1" si="48"/>
        <v>5060544.1100000003</v>
      </c>
      <c r="H132" s="63">
        <v>1099263.56</v>
      </c>
      <c r="I132" s="27">
        <v>4547598.17</v>
      </c>
      <c r="J132" s="27">
        <v>2335517.79</v>
      </c>
      <c r="K132" s="28">
        <f t="shared" ca="1" si="49"/>
        <v>7982379.5200000005</v>
      </c>
      <c r="M132" s="63">
        <v>2983311.64</v>
      </c>
      <c r="N132" s="27">
        <v>1347966.66</v>
      </c>
      <c r="O132" s="27">
        <v>1921885.9200000002</v>
      </c>
      <c r="P132" s="28">
        <f t="shared" ca="1" si="28"/>
        <v>6253164.2199999997</v>
      </c>
      <c r="Q132" s="27"/>
      <c r="R132" s="63">
        <v>2410878.2999999998</v>
      </c>
      <c r="S132" s="27">
        <v>4021865.0999999996</v>
      </c>
      <c r="T132" s="27">
        <v>1982437.83</v>
      </c>
      <c r="U132" s="28">
        <f t="shared" ca="1" si="45"/>
        <v>8415181.2300000004</v>
      </c>
      <c r="V132" s="23"/>
      <c r="W132" s="63">
        <v>3608992.2399999998</v>
      </c>
      <c r="X132" s="27">
        <v>2062004.2999999998</v>
      </c>
      <c r="Y132" s="27">
        <v>1692926.9300000002</v>
      </c>
      <c r="Z132" s="28">
        <f t="shared" ca="1" si="46"/>
        <v>7363923.4699999988</v>
      </c>
      <c r="AB132" s="63">
        <v>1745265.7799999998</v>
      </c>
      <c r="AC132" s="27">
        <v>227807.86</v>
      </c>
      <c r="AD132" s="27">
        <v>0</v>
      </c>
      <c r="AE132" s="28">
        <f t="shared" ca="1" si="47"/>
        <v>1973073.6399999997</v>
      </c>
      <c r="AG132" s="16"/>
    </row>
    <row r="133" spans="1:33" ht="14.65" hidden="1" customHeight="1" outlineLevel="1" x14ac:dyDescent="0.25">
      <c r="A133" s="64" t="s">
        <v>206</v>
      </c>
      <c r="C133" s="63">
        <v>6879011.7700000005</v>
      </c>
      <c r="D133" s="27">
        <v>6216193.1499999994</v>
      </c>
      <c r="E133" s="27">
        <v>3587217.1199999996</v>
      </c>
      <c r="F133" s="28">
        <f t="shared" ca="1" si="48"/>
        <v>16682422.039999999</v>
      </c>
      <c r="H133" s="63">
        <v>4301930.7299999995</v>
      </c>
      <c r="I133" s="27">
        <v>12078754.560000001</v>
      </c>
      <c r="J133" s="27">
        <v>6805014.2300000023</v>
      </c>
      <c r="K133" s="28">
        <f t="shared" ca="1" si="49"/>
        <v>23185699.520000003</v>
      </c>
      <c r="M133" s="63">
        <v>4745677.6700000009</v>
      </c>
      <c r="N133" s="27">
        <v>4472464.21</v>
      </c>
      <c r="O133" s="27">
        <v>3459250.7100000004</v>
      </c>
      <c r="P133" s="28">
        <f t="shared" ca="1" si="28"/>
        <v>12677392.590000002</v>
      </c>
      <c r="Q133" s="27"/>
      <c r="R133" s="63">
        <v>5875568.540000001</v>
      </c>
      <c r="S133" s="27">
        <v>11943730.709999997</v>
      </c>
      <c r="T133" s="27">
        <v>9345164.2699999996</v>
      </c>
      <c r="U133" s="28">
        <f t="shared" ca="1" si="45"/>
        <v>27164463.52</v>
      </c>
      <c r="V133" s="23"/>
      <c r="W133" s="63">
        <v>5973598.2699999986</v>
      </c>
      <c r="X133" s="27">
        <v>3216493.13</v>
      </c>
      <c r="Y133" s="27">
        <v>2423639.41</v>
      </c>
      <c r="Z133" s="28">
        <f t="shared" ca="1" si="46"/>
        <v>11613730.809999999</v>
      </c>
      <c r="AB133" s="63">
        <v>6179035.669999999</v>
      </c>
      <c r="AC133" s="27">
        <v>1837155.25</v>
      </c>
      <c r="AD133" s="27">
        <v>0</v>
      </c>
      <c r="AE133" s="28">
        <f t="shared" ca="1" si="47"/>
        <v>8016190.919999999</v>
      </c>
      <c r="AG133" s="16"/>
    </row>
    <row r="134" spans="1:33" ht="14.65" hidden="1" customHeight="1" outlineLevel="1" x14ac:dyDescent="0.25">
      <c r="A134" s="64" t="s">
        <v>207</v>
      </c>
      <c r="C134" s="63">
        <v>4929378.67</v>
      </c>
      <c r="D134" s="27">
        <v>1063710.29</v>
      </c>
      <c r="E134" s="27">
        <v>1438355.3199999998</v>
      </c>
      <c r="F134" s="28">
        <f t="shared" ca="1" si="48"/>
        <v>7431444.2799999993</v>
      </c>
      <c r="H134" s="63">
        <v>129901.61000000002</v>
      </c>
      <c r="I134" s="27">
        <v>5542858.6000000006</v>
      </c>
      <c r="J134" s="27">
        <v>2898428.26</v>
      </c>
      <c r="K134" s="28">
        <f t="shared" ca="1" si="49"/>
        <v>8571188.4700000007</v>
      </c>
      <c r="M134" s="63">
        <v>1996898.56</v>
      </c>
      <c r="N134" s="27">
        <v>600859</v>
      </c>
      <c r="O134" s="27">
        <v>5077100.1300000008</v>
      </c>
      <c r="P134" s="28">
        <f t="shared" ca="1" si="28"/>
        <v>7674857.6900000013</v>
      </c>
      <c r="Q134" s="27"/>
      <c r="R134" s="63">
        <v>900592.82000000007</v>
      </c>
      <c r="S134" s="27">
        <v>4467196.3100000005</v>
      </c>
      <c r="T134" s="27">
        <v>2986015.33</v>
      </c>
      <c r="U134" s="28">
        <f t="shared" ca="1" si="45"/>
        <v>8353804.4600000009</v>
      </c>
      <c r="V134" s="23"/>
      <c r="W134" s="63">
        <v>2160694.13</v>
      </c>
      <c r="X134" s="27">
        <v>1064123.1900000002</v>
      </c>
      <c r="Y134" s="27">
        <v>1219329.4300000002</v>
      </c>
      <c r="Z134" s="28">
        <f t="shared" ca="1" si="46"/>
        <v>4444146.75</v>
      </c>
      <c r="AB134" s="63">
        <v>1421088.0299999998</v>
      </c>
      <c r="AC134" s="27">
        <v>710851</v>
      </c>
      <c r="AD134" s="27">
        <v>0</v>
      </c>
      <c r="AE134" s="28">
        <f t="shared" ca="1" si="47"/>
        <v>2131939.0299999998</v>
      </c>
      <c r="AG134" s="16"/>
    </row>
    <row r="135" spans="1:33" ht="14.65" hidden="1" customHeight="1" outlineLevel="1" x14ac:dyDescent="0.25">
      <c r="A135" s="64" t="s">
        <v>208</v>
      </c>
      <c r="C135" s="63">
        <v>1814179.62</v>
      </c>
      <c r="D135" s="27">
        <v>2601920.4600000004</v>
      </c>
      <c r="E135" s="27">
        <v>251344.28000000003</v>
      </c>
      <c r="F135" s="28">
        <f t="shared" ca="1" si="48"/>
        <v>4667444.3600000003</v>
      </c>
      <c r="H135" s="63">
        <v>0</v>
      </c>
      <c r="I135" s="27">
        <v>1238310.32</v>
      </c>
      <c r="J135" s="27">
        <v>1755170.37</v>
      </c>
      <c r="K135" s="28">
        <f t="shared" ca="1" si="49"/>
        <v>2993480.6900000004</v>
      </c>
      <c r="M135" s="63">
        <v>167151</v>
      </c>
      <c r="N135" s="27">
        <v>1156640.4900000002</v>
      </c>
      <c r="O135" s="27">
        <v>375582.23</v>
      </c>
      <c r="P135" s="28">
        <f t="shared" ca="1" si="28"/>
        <v>1699373.7200000002</v>
      </c>
      <c r="Q135" s="27"/>
      <c r="R135" s="63">
        <v>1425449.51</v>
      </c>
      <c r="S135" s="27">
        <v>3009193.87</v>
      </c>
      <c r="T135" s="27">
        <v>1328292.58</v>
      </c>
      <c r="U135" s="28">
        <f t="shared" ca="1" si="45"/>
        <v>5762935.96</v>
      </c>
      <c r="V135" s="23"/>
      <c r="W135" s="63">
        <v>1522780</v>
      </c>
      <c r="X135" s="27">
        <v>706066.04</v>
      </c>
      <c r="Y135" s="27">
        <v>494695.85000000009</v>
      </c>
      <c r="Z135" s="28">
        <f t="shared" ca="1" si="46"/>
        <v>2723541.89</v>
      </c>
      <c r="AB135" s="63">
        <v>81000.360000000102</v>
      </c>
      <c r="AC135" s="27">
        <v>176090</v>
      </c>
      <c r="AD135" s="27">
        <v>0</v>
      </c>
      <c r="AE135" s="28">
        <f t="shared" ca="1" si="47"/>
        <v>257090.3600000001</v>
      </c>
      <c r="AG135" s="16"/>
    </row>
    <row r="136" spans="1:33" ht="14.65" hidden="1" customHeight="1" outlineLevel="1" x14ac:dyDescent="0.25">
      <c r="A136" s="64" t="s">
        <v>209</v>
      </c>
      <c r="C136" s="63">
        <v>1141221.3699999999</v>
      </c>
      <c r="D136" s="27">
        <v>857108.62</v>
      </c>
      <c r="E136" s="27">
        <v>767166.33000000007</v>
      </c>
      <c r="F136" s="28">
        <f t="shared" ca="1" si="48"/>
        <v>2765496.3199999998</v>
      </c>
      <c r="H136" s="63">
        <v>973110.6</v>
      </c>
      <c r="I136" s="27">
        <v>2066013.42</v>
      </c>
      <c r="J136" s="27">
        <v>3812848.37</v>
      </c>
      <c r="K136" s="28">
        <f t="shared" ca="1" si="49"/>
        <v>6851972.3900000006</v>
      </c>
      <c r="M136" s="63">
        <v>2802102.12</v>
      </c>
      <c r="N136" s="27">
        <v>2871234.79</v>
      </c>
      <c r="O136" s="27">
        <v>2094647.92</v>
      </c>
      <c r="P136" s="28">
        <f t="shared" ca="1" si="28"/>
        <v>7767984.8300000001</v>
      </c>
      <c r="Q136" s="27"/>
      <c r="R136" s="63">
        <v>973259.42999999982</v>
      </c>
      <c r="S136" s="27">
        <v>1786204.5</v>
      </c>
      <c r="T136" s="27">
        <v>6102035.8999999985</v>
      </c>
      <c r="U136" s="28">
        <f t="shared" ca="1" si="45"/>
        <v>8861499.8299999982</v>
      </c>
      <c r="V136" s="23"/>
      <c r="W136" s="63">
        <v>3209991.3499999996</v>
      </c>
      <c r="X136" s="27">
        <v>2642470.8200000003</v>
      </c>
      <c r="Y136" s="27">
        <v>1275825.2799999996</v>
      </c>
      <c r="Z136" s="28">
        <f t="shared" ca="1" si="46"/>
        <v>7128287.4499999993</v>
      </c>
      <c r="AB136" s="63">
        <v>1562742.6300000001</v>
      </c>
      <c r="AC136" s="27">
        <v>242440.38</v>
      </c>
      <c r="AD136" s="27">
        <v>0</v>
      </c>
      <c r="AE136" s="28">
        <f t="shared" ca="1" si="47"/>
        <v>1805183.0100000002</v>
      </c>
      <c r="AG136" s="16"/>
    </row>
    <row r="137" spans="1:33" ht="14.65" hidden="1" customHeight="1" outlineLevel="1" x14ac:dyDescent="0.25">
      <c r="A137" s="64" t="s">
        <v>210</v>
      </c>
      <c r="C137" s="63">
        <v>279263.04000000004</v>
      </c>
      <c r="D137" s="27">
        <v>352532.98</v>
      </c>
      <c r="E137" s="27">
        <v>850279.71</v>
      </c>
      <c r="F137" s="28">
        <f t="shared" ca="1" si="48"/>
        <v>1482075.73</v>
      </c>
      <c r="H137" s="63">
        <v>496373.67000000004</v>
      </c>
      <c r="I137" s="27">
        <v>323427.75</v>
      </c>
      <c r="J137" s="27">
        <v>2876379.28</v>
      </c>
      <c r="K137" s="28">
        <f t="shared" ca="1" si="49"/>
        <v>3696180.6999999997</v>
      </c>
      <c r="M137" s="63">
        <v>2787698.9400000004</v>
      </c>
      <c r="N137" s="27">
        <v>2007688.22</v>
      </c>
      <c r="O137" s="27">
        <v>576992.38</v>
      </c>
      <c r="P137" s="28">
        <f t="shared" ca="1" si="28"/>
        <v>5372379.54</v>
      </c>
      <c r="Q137" s="27"/>
      <c r="R137" s="63">
        <v>706423.65</v>
      </c>
      <c r="S137" s="27">
        <v>447480</v>
      </c>
      <c r="T137" s="27">
        <v>3486408.0299999993</v>
      </c>
      <c r="U137" s="28">
        <f t="shared" ca="1" si="45"/>
        <v>4640311.68</v>
      </c>
      <c r="V137" s="23"/>
      <c r="W137" s="63">
        <v>1544244.46</v>
      </c>
      <c r="X137" s="27">
        <v>1252858.4500000002</v>
      </c>
      <c r="Y137" s="27">
        <v>0</v>
      </c>
      <c r="Z137" s="28">
        <f t="shared" ca="1" si="46"/>
        <v>2797102.91</v>
      </c>
      <c r="AB137" s="63">
        <v>470264.17</v>
      </c>
      <c r="AC137" s="27">
        <v>63000</v>
      </c>
      <c r="AD137" s="27">
        <v>0</v>
      </c>
      <c r="AE137" s="28">
        <f t="shared" ca="1" si="47"/>
        <v>533264.16999999993</v>
      </c>
      <c r="AG137" s="16"/>
    </row>
    <row r="138" spans="1:33" ht="14.65" hidden="1" customHeight="1" outlineLevel="1" x14ac:dyDescent="0.25">
      <c r="A138" s="64" t="s">
        <v>211</v>
      </c>
      <c r="C138" s="63">
        <v>651544.51</v>
      </c>
      <c r="D138" s="27">
        <v>565305.32999999996</v>
      </c>
      <c r="E138" s="27">
        <v>941417.75</v>
      </c>
      <c r="F138" s="28">
        <f t="shared" ca="1" si="48"/>
        <v>2158267.59</v>
      </c>
      <c r="H138" s="63">
        <v>642145.60000000009</v>
      </c>
      <c r="I138" s="27">
        <v>1054017.7799999998</v>
      </c>
      <c r="J138" s="27">
        <v>2104827.25</v>
      </c>
      <c r="K138" s="28">
        <f t="shared" ca="1" si="49"/>
        <v>3800990.63</v>
      </c>
      <c r="M138" s="63">
        <v>2736781.02</v>
      </c>
      <c r="N138" s="27">
        <v>1637650.25</v>
      </c>
      <c r="O138" s="27">
        <v>708466.47</v>
      </c>
      <c r="P138" s="28">
        <f t="shared" ca="1" si="28"/>
        <v>5082897.7399999993</v>
      </c>
      <c r="Q138" s="27"/>
      <c r="R138" s="63">
        <v>1465703.8199999998</v>
      </c>
      <c r="S138" s="27">
        <v>856945.46</v>
      </c>
      <c r="T138" s="27">
        <v>2153582.4</v>
      </c>
      <c r="U138" s="28">
        <f t="shared" ca="1" si="45"/>
        <v>4476231.6799999997</v>
      </c>
      <c r="V138" s="23"/>
      <c r="W138" s="63">
        <v>1116425.5100000002</v>
      </c>
      <c r="X138" s="27">
        <v>1096957.19</v>
      </c>
      <c r="Y138" s="27">
        <v>802728.16000000015</v>
      </c>
      <c r="Z138" s="28">
        <f t="shared" ca="1" si="46"/>
        <v>3016110.8600000003</v>
      </c>
      <c r="AB138" s="63">
        <v>857689.14</v>
      </c>
      <c r="AC138" s="27">
        <v>0</v>
      </c>
      <c r="AD138" s="27">
        <v>0</v>
      </c>
      <c r="AE138" s="28">
        <f t="shared" ca="1" si="47"/>
        <v>857689.14</v>
      </c>
      <c r="AG138" s="16"/>
    </row>
    <row r="139" spans="1:33" ht="14.65" hidden="1" customHeight="1" outlineLevel="1" x14ac:dyDescent="0.25">
      <c r="A139" s="64" t="s">
        <v>212</v>
      </c>
      <c r="C139" s="63">
        <v>1539386.5499999998</v>
      </c>
      <c r="D139" s="27">
        <v>2086507.4700000002</v>
      </c>
      <c r="E139" s="27">
        <v>2240860.7199999997</v>
      </c>
      <c r="F139" s="28">
        <f t="shared" ca="1" si="48"/>
        <v>5866754.7400000002</v>
      </c>
      <c r="H139" s="63">
        <v>1364265.32</v>
      </c>
      <c r="I139" s="27">
        <v>1553949.98</v>
      </c>
      <c r="J139" s="27">
        <v>6551964.79</v>
      </c>
      <c r="K139" s="28">
        <f t="shared" ca="1" si="49"/>
        <v>9470180.0899999999</v>
      </c>
      <c r="M139" s="63">
        <v>3294504.5700000003</v>
      </c>
      <c r="N139" s="27">
        <v>3024725.99</v>
      </c>
      <c r="O139" s="27">
        <v>1799909.7000000002</v>
      </c>
      <c r="P139" s="28">
        <f t="shared" ca="1" si="28"/>
        <v>8119140.2600000007</v>
      </c>
      <c r="Q139" s="27"/>
      <c r="R139" s="63">
        <v>902324.66999999993</v>
      </c>
      <c r="S139" s="27">
        <v>1820071.68</v>
      </c>
      <c r="T139" s="27">
        <v>5661366.3399999999</v>
      </c>
      <c r="U139" s="28">
        <f t="shared" ca="1" si="45"/>
        <v>8383762.6899999995</v>
      </c>
      <c r="V139" s="23"/>
      <c r="W139" s="63">
        <v>3388553.01</v>
      </c>
      <c r="X139" s="27">
        <v>1430758.29</v>
      </c>
      <c r="Y139" s="27">
        <v>2020275.65</v>
      </c>
      <c r="Z139" s="28">
        <f t="shared" ca="1" si="46"/>
        <v>6839586.9499999993</v>
      </c>
      <c r="AB139" s="63">
        <v>1781389.2000000002</v>
      </c>
      <c r="AC139" s="27">
        <v>0</v>
      </c>
      <c r="AD139" s="27">
        <v>0</v>
      </c>
      <c r="AE139" s="28">
        <f t="shared" ca="1" si="47"/>
        <v>1781389.2000000002</v>
      </c>
      <c r="AG139" s="16"/>
    </row>
    <row r="140" spans="1:33" ht="14.65" hidden="1" customHeight="1" outlineLevel="1" x14ac:dyDescent="0.25">
      <c r="A140" s="64" t="s">
        <v>213</v>
      </c>
      <c r="C140" s="63">
        <v>0.69000000003143214</v>
      </c>
      <c r="D140" s="27">
        <v>1482132.44</v>
      </c>
      <c r="E140" s="27">
        <v>2178206.42</v>
      </c>
      <c r="F140" s="28">
        <f t="shared" ca="1" si="48"/>
        <v>3660339.55</v>
      </c>
      <c r="H140" s="63">
        <v>1396584.79</v>
      </c>
      <c r="I140" s="27">
        <v>2130078.9500000002</v>
      </c>
      <c r="J140" s="27">
        <v>1655352.29</v>
      </c>
      <c r="K140" s="28">
        <f t="shared" ca="1" si="49"/>
        <v>5182016.03</v>
      </c>
      <c r="M140" s="63">
        <v>4704291.4399999995</v>
      </c>
      <c r="N140" s="27">
        <v>2368449.52</v>
      </c>
      <c r="O140" s="27">
        <v>2872930.49</v>
      </c>
      <c r="P140" s="28">
        <f t="shared" ca="1" si="28"/>
        <v>9945671.4499999993</v>
      </c>
      <c r="Q140" s="27"/>
      <c r="R140" s="63">
        <v>2589210.5099999998</v>
      </c>
      <c r="S140" s="27">
        <v>1904257.52</v>
      </c>
      <c r="T140" s="27">
        <v>980081.98</v>
      </c>
      <c r="U140" s="28">
        <f t="shared" ca="1" si="45"/>
        <v>5473550.0099999998</v>
      </c>
      <c r="V140" s="23"/>
      <c r="W140" s="63">
        <v>5436895.8599999994</v>
      </c>
      <c r="X140" s="27">
        <v>1771266.69</v>
      </c>
      <c r="Y140" s="27">
        <v>1119269.53</v>
      </c>
      <c r="Z140" s="28">
        <f t="shared" ca="1" si="46"/>
        <v>8327432.0799999991</v>
      </c>
      <c r="AB140" s="63">
        <v>1731650.22</v>
      </c>
      <c r="AC140" s="27">
        <v>320649.64</v>
      </c>
      <c r="AD140" s="27">
        <v>0</v>
      </c>
      <c r="AE140" s="28">
        <f t="shared" ca="1" si="47"/>
        <v>2052299.8599999999</v>
      </c>
      <c r="AG140" s="16"/>
    </row>
    <row r="141" spans="1:33" ht="14.65" hidden="1" customHeight="1" outlineLevel="1" x14ac:dyDescent="0.25">
      <c r="A141" s="64" t="s">
        <v>214</v>
      </c>
      <c r="C141" s="63">
        <v>10458</v>
      </c>
      <c r="D141" s="27">
        <v>355280</v>
      </c>
      <c r="E141" s="27">
        <v>243471.05</v>
      </c>
      <c r="F141" s="28">
        <f t="shared" ca="1" si="48"/>
        <v>609209.05000000005</v>
      </c>
      <c r="H141" s="63">
        <v>912936.17999999993</v>
      </c>
      <c r="I141" s="27">
        <v>1276690.06</v>
      </c>
      <c r="J141" s="27">
        <v>1469185.1199999999</v>
      </c>
      <c r="K141" s="28">
        <f t="shared" ca="1" si="49"/>
        <v>3658811.3600000003</v>
      </c>
      <c r="M141" s="63">
        <v>1151650.1399999999</v>
      </c>
      <c r="N141" s="27">
        <v>1881943.23</v>
      </c>
      <c r="O141" s="27">
        <v>2479903.5499999998</v>
      </c>
      <c r="P141" s="28">
        <f t="shared" ca="1" si="28"/>
        <v>5513496.9199999999</v>
      </c>
      <c r="Q141" s="27"/>
      <c r="R141" s="63">
        <v>387966.84</v>
      </c>
      <c r="S141" s="27">
        <v>202223.25</v>
      </c>
      <c r="T141" s="27">
        <v>1194334.44</v>
      </c>
      <c r="U141" s="28">
        <f t="shared" ca="1" si="45"/>
        <v>1784524.53</v>
      </c>
      <c r="V141" s="23"/>
      <c r="W141" s="63">
        <v>2325785.7299999995</v>
      </c>
      <c r="X141" s="27">
        <v>1345186</v>
      </c>
      <c r="Y141" s="27">
        <v>1269182.26</v>
      </c>
      <c r="Z141" s="28">
        <f t="shared" ca="1" si="46"/>
        <v>4940153.9899999993</v>
      </c>
      <c r="AB141" s="63">
        <v>724508.64</v>
      </c>
      <c r="AC141" s="27">
        <v>0</v>
      </c>
      <c r="AD141" s="27">
        <v>0</v>
      </c>
      <c r="AE141" s="28">
        <f t="shared" ca="1" si="47"/>
        <v>724508.64</v>
      </c>
      <c r="AG141" s="16"/>
    </row>
    <row r="142" spans="1:33" ht="14.65" hidden="1" customHeight="1" outlineLevel="1" x14ac:dyDescent="0.25">
      <c r="A142" s="64" t="s">
        <v>215</v>
      </c>
      <c r="C142" s="63">
        <v>113477.28000000001</v>
      </c>
      <c r="D142" s="27">
        <v>484919.85</v>
      </c>
      <c r="E142" s="27">
        <v>1351846.8599999999</v>
      </c>
      <c r="F142" s="28">
        <f t="shared" ca="1" si="48"/>
        <v>1950243.9899999998</v>
      </c>
      <c r="H142" s="63">
        <v>895682.7</v>
      </c>
      <c r="I142" s="27">
        <v>1225207.06</v>
      </c>
      <c r="J142" s="27">
        <v>839127.21</v>
      </c>
      <c r="K142" s="28">
        <f t="shared" ca="1" si="49"/>
        <v>2960016.9699999997</v>
      </c>
      <c r="M142" s="63">
        <v>2611459.88</v>
      </c>
      <c r="N142" s="27">
        <v>1399133.38</v>
      </c>
      <c r="O142" s="27">
        <v>2419602.92</v>
      </c>
      <c r="P142" s="28">
        <f t="shared" ca="1" si="28"/>
        <v>6430196.1799999997</v>
      </c>
      <c r="Q142" s="27"/>
      <c r="R142" s="63">
        <v>912732.87</v>
      </c>
      <c r="S142" s="27">
        <v>179842.51999999984</v>
      </c>
      <c r="T142" s="27">
        <v>2500751.61</v>
      </c>
      <c r="U142" s="28">
        <f t="shared" ca="1" si="45"/>
        <v>3593327</v>
      </c>
      <c r="V142" s="23"/>
      <c r="W142" s="63">
        <v>2179870.71</v>
      </c>
      <c r="X142" s="27">
        <v>1453286.0999999996</v>
      </c>
      <c r="Y142" s="27">
        <v>948112.09999999986</v>
      </c>
      <c r="Z142" s="28">
        <f t="shared" ca="1" si="46"/>
        <v>4581268.9099999992</v>
      </c>
      <c r="AB142" s="63">
        <v>1215871.83</v>
      </c>
      <c r="AC142" s="27">
        <v>174552.79999999993</v>
      </c>
      <c r="AD142" s="27">
        <v>0</v>
      </c>
      <c r="AE142" s="28">
        <f t="shared" ca="1" si="47"/>
        <v>1390424.63</v>
      </c>
      <c r="AG142" s="16"/>
    </row>
    <row r="143" spans="1:33" ht="14.65" hidden="1" customHeight="1" outlineLevel="1" x14ac:dyDescent="0.25">
      <c r="A143" s="64" t="s">
        <v>216</v>
      </c>
      <c r="C143" s="63">
        <v>288366.81000000006</v>
      </c>
      <c r="D143" s="27">
        <v>1090315.69</v>
      </c>
      <c r="E143" s="27">
        <v>1827365.51</v>
      </c>
      <c r="F143" s="28">
        <f t="shared" ca="1" si="48"/>
        <v>3206048.01</v>
      </c>
      <c r="H143" s="63">
        <v>1998220.1600000001</v>
      </c>
      <c r="I143" s="27">
        <v>2203383.75</v>
      </c>
      <c r="J143" s="27">
        <v>1746634.86</v>
      </c>
      <c r="K143" s="28">
        <f t="shared" ca="1" si="49"/>
        <v>5948238.7700000005</v>
      </c>
      <c r="M143" s="63">
        <v>3229225.08</v>
      </c>
      <c r="N143" s="27">
        <v>1426859.5000000002</v>
      </c>
      <c r="O143" s="27">
        <v>2839946.4000000004</v>
      </c>
      <c r="P143" s="28">
        <f t="shared" ca="1" si="28"/>
        <v>7496030.9800000004</v>
      </c>
      <c r="Q143" s="27"/>
      <c r="R143" s="63">
        <v>1995805.2199999997</v>
      </c>
      <c r="S143" s="27">
        <v>1372681.2</v>
      </c>
      <c r="T143" s="27">
        <v>1325483.31</v>
      </c>
      <c r="U143" s="28">
        <f t="shared" ca="1" si="45"/>
        <v>4693969.7300000004</v>
      </c>
      <c r="V143" s="23"/>
      <c r="W143" s="63">
        <v>3362823.54</v>
      </c>
      <c r="X143" s="27">
        <v>3027403.26</v>
      </c>
      <c r="Y143" s="27">
        <v>2234935.15</v>
      </c>
      <c r="Z143" s="28">
        <f t="shared" ca="1" si="46"/>
        <v>8625161.9499999993</v>
      </c>
      <c r="AB143" s="63">
        <v>662447.5</v>
      </c>
      <c r="AC143" s="27">
        <v>519.43000000005122</v>
      </c>
      <c r="AD143" s="27">
        <v>0</v>
      </c>
      <c r="AE143" s="28">
        <f t="shared" ca="1" si="47"/>
        <v>662966.93000000005</v>
      </c>
      <c r="AG143" s="16"/>
    </row>
    <row r="144" spans="1:33" ht="14.65" hidden="1" customHeight="1" outlineLevel="1" x14ac:dyDescent="0.25">
      <c r="A144" s="64" t="s">
        <v>217</v>
      </c>
      <c r="C144" s="63">
        <v>0</v>
      </c>
      <c r="D144" s="27">
        <v>0</v>
      </c>
      <c r="E144" s="27">
        <v>0</v>
      </c>
      <c r="F144" s="28">
        <f t="shared" ca="1" si="48"/>
        <v>0</v>
      </c>
      <c r="H144" s="63">
        <v>503995.17</v>
      </c>
      <c r="I144" s="27">
        <v>1152162.31</v>
      </c>
      <c r="J144" s="27">
        <v>2006126.36</v>
      </c>
      <c r="K144" s="28">
        <f t="shared" ca="1" si="49"/>
        <v>3662283.84</v>
      </c>
      <c r="M144" s="63">
        <v>849465.94000000006</v>
      </c>
      <c r="N144" s="27">
        <v>765069.23</v>
      </c>
      <c r="O144" s="27">
        <v>2828765.9800000004</v>
      </c>
      <c r="P144" s="28">
        <f t="shared" ca="1" si="28"/>
        <v>4443301.1500000004</v>
      </c>
      <c r="Q144" s="27"/>
      <c r="R144" s="63">
        <v>2744863.4</v>
      </c>
      <c r="S144" s="27">
        <v>1240253.8999999999</v>
      </c>
      <c r="T144" s="27">
        <v>2022073.58</v>
      </c>
      <c r="U144" s="28">
        <f t="shared" ca="1" si="45"/>
        <v>6007190.8799999999</v>
      </c>
      <c r="V144" s="23"/>
      <c r="W144" s="63">
        <v>790953.43000000017</v>
      </c>
      <c r="X144" s="27">
        <v>661562.10000000009</v>
      </c>
      <c r="Y144" s="27">
        <v>2278391.38</v>
      </c>
      <c r="Z144" s="28">
        <f t="shared" ca="1" si="46"/>
        <v>3730906.91</v>
      </c>
      <c r="AB144" s="63">
        <v>2635744.5700000003</v>
      </c>
      <c r="AC144" s="27">
        <v>279339</v>
      </c>
      <c r="AD144" s="27">
        <v>0</v>
      </c>
      <c r="AE144" s="28">
        <f t="shared" ca="1" si="47"/>
        <v>2915083.5700000003</v>
      </c>
      <c r="AG144" s="16"/>
    </row>
    <row r="145" spans="1:33" ht="14.65" hidden="1" customHeight="1" outlineLevel="1" x14ac:dyDescent="0.25">
      <c r="A145" s="64" t="s">
        <v>218</v>
      </c>
      <c r="C145" s="63">
        <v>0</v>
      </c>
      <c r="D145" s="27">
        <v>0</v>
      </c>
      <c r="E145" s="27">
        <v>0</v>
      </c>
      <c r="F145" s="28">
        <f t="shared" ca="1" si="48"/>
        <v>0</v>
      </c>
      <c r="H145" s="63">
        <v>24800.050000000017</v>
      </c>
      <c r="I145" s="27">
        <v>589409.92999999993</v>
      </c>
      <c r="J145" s="27">
        <v>1724869.7999999998</v>
      </c>
      <c r="K145" s="28">
        <f t="shared" ca="1" si="49"/>
        <v>2339079.7799999998</v>
      </c>
      <c r="M145" s="63">
        <v>1511178.02</v>
      </c>
      <c r="N145" s="27">
        <v>1985648.5</v>
      </c>
      <c r="O145" s="27">
        <v>2117559.7400000002</v>
      </c>
      <c r="P145" s="28">
        <f t="shared" ca="1" si="28"/>
        <v>5614386.2599999998</v>
      </c>
      <c r="Q145" s="27"/>
      <c r="R145" s="63">
        <v>1248532.6800000002</v>
      </c>
      <c r="S145" s="27">
        <v>1466596.5</v>
      </c>
      <c r="T145" s="27">
        <v>833564.41999999993</v>
      </c>
      <c r="U145" s="28">
        <f t="shared" ca="1" si="45"/>
        <v>3548693.6</v>
      </c>
      <c r="V145" s="23"/>
      <c r="W145" s="63">
        <v>178818.88</v>
      </c>
      <c r="X145" s="27">
        <v>397205</v>
      </c>
      <c r="Y145" s="27">
        <v>924434.7</v>
      </c>
      <c r="Z145" s="28">
        <f t="shared" ca="1" si="46"/>
        <v>1500458.58</v>
      </c>
      <c r="AB145" s="63">
        <v>1411956.9300000002</v>
      </c>
      <c r="AC145" s="27">
        <v>0</v>
      </c>
      <c r="AD145" s="27">
        <v>0</v>
      </c>
      <c r="AE145" s="28">
        <f t="shared" ca="1" si="47"/>
        <v>1411956.9300000002</v>
      </c>
      <c r="AG145" s="16"/>
    </row>
    <row r="146" spans="1:33" ht="14.65" hidden="1" customHeight="1" outlineLevel="1" x14ac:dyDescent="0.25">
      <c r="A146" s="64" t="s">
        <v>219</v>
      </c>
      <c r="C146" s="63">
        <v>0</v>
      </c>
      <c r="D146" s="27">
        <v>0</v>
      </c>
      <c r="E146" s="27">
        <v>0</v>
      </c>
      <c r="F146" s="28">
        <f t="shared" ca="1" si="48"/>
        <v>0</v>
      </c>
      <c r="H146" s="63">
        <v>258523.69999999995</v>
      </c>
      <c r="I146" s="27">
        <v>817466.15999999992</v>
      </c>
      <c r="J146" s="27">
        <v>1356870.6600000001</v>
      </c>
      <c r="K146" s="28">
        <f t="shared" ca="1" si="49"/>
        <v>2432860.52</v>
      </c>
      <c r="M146" s="63">
        <v>1057951.0699999998</v>
      </c>
      <c r="N146" s="27">
        <v>312692</v>
      </c>
      <c r="O146" s="27">
        <v>1285919.96</v>
      </c>
      <c r="P146" s="28">
        <f t="shared" ca="1" si="28"/>
        <v>2656563.0299999998</v>
      </c>
      <c r="Q146" s="27"/>
      <c r="R146" s="63">
        <v>2663080.96</v>
      </c>
      <c r="S146" s="27">
        <v>888592.05</v>
      </c>
      <c r="T146" s="27">
        <v>659708.16999999993</v>
      </c>
      <c r="U146" s="28">
        <f t="shared" ca="1" si="45"/>
        <v>4211381.18</v>
      </c>
      <c r="V146" s="23"/>
      <c r="W146" s="63">
        <v>290098</v>
      </c>
      <c r="X146" s="27">
        <v>253830.51</v>
      </c>
      <c r="Y146" s="27">
        <v>1234465.2899999998</v>
      </c>
      <c r="Z146" s="28">
        <f t="shared" ca="1" si="46"/>
        <v>1778393.7999999998</v>
      </c>
      <c r="AB146" s="63">
        <v>3140481.4</v>
      </c>
      <c r="AC146" s="27">
        <v>21011.880000000005</v>
      </c>
      <c r="AD146" s="27">
        <v>0</v>
      </c>
      <c r="AE146" s="28">
        <f t="shared" ca="1" si="47"/>
        <v>3161493.28</v>
      </c>
      <c r="AG146" s="16"/>
    </row>
    <row r="147" spans="1:33" ht="14.65" hidden="1" customHeight="1" outlineLevel="1" x14ac:dyDescent="0.25">
      <c r="A147" s="64" t="s">
        <v>220</v>
      </c>
      <c r="C147" s="63">
        <v>0</v>
      </c>
      <c r="D147" s="27">
        <v>0</v>
      </c>
      <c r="E147" s="27">
        <v>0</v>
      </c>
      <c r="F147" s="28">
        <f t="shared" ca="1" si="48"/>
        <v>0</v>
      </c>
      <c r="H147" s="63">
        <v>280589.28999999992</v>
      </c>
      <c r="I147" s="27">
        <v>666802.84000000008</v>
      </c>
      <c r="J147" s="27">
        <v>1084436.4200000002</v>
      </c>
      <c r="K147" s="28">
        <f t="shared" ca="1" si="49"/>
        <v>2031828.5500000003</v>
      </c>
      <c r="M147" s="63">
        <v>2095664.5</v>
      </c>
      <c r="N147" s="27">
        <v>892824.13</v>
      </c>
      <c r="O147" s="27">
        <v>2967032.87</v>
      </c>
      <c r="P147" s="28">
        <f t="shared" ca="1" si="28"/>
        <v>5955521.5</v>
      </c>
      <c r="Q147" s="27"/>
      <c r="R147" s="63">
        <v>2445229.64</v>
      </c>
      <c r="S147" s="27">
        <v>1644975.7599999995</v>
      </c>
      <c r="T147" s="27">
        <v>672691.5</v>
      </c>
      <c r="U147" s="28">
        <f t="shared" ca="1" si="45"/>
        <v>4762896.8999999994</v>
      </c>
      <c r="V147" s="23"/>
      <c r="W147" s="63">
        <v>633203.80000000005</v>
      </c>
      <c r="X147" s="27">
        <v>329820.12</v>
      </c>
      <c r="Y147" s="27">
        <v>2170610.5700000003</v>
      </c>
      <c r="Z147" s="28">
        <f t="shared" ca="1" si="46"/>
        <v>3133634.49</v>
      </c>
      <c r="AB147" s="63">
        <v>2046991.07</v>
      </c>
      <c r="AC147" s="27">
        <v>0</v>
      </c>
      <c r="AD147" s="27">
        <v>0</v>
      </c>
      <c r="AE147" s="28">
        <f t="shared" ca="1" si="47"/>
        <v>2046991.07</v>
      </c>
      <c r="AG147" s="16"/>
    </row>
    <row r="148" spans="1:33" ht="14.65" hidden="1" customHeight="1" outlineLevel="1" x14ac:dyDescent="0.25">
      <c r="A148" s="64" t="s">
        <v>221</v>
      </c>
      <c r="C148" s="63">
        <v>0</v>
      </c>
      <c r="D148" s="27">
        <v>0</v>
      </c>
      <c r="E148" s="27">
        <v>0</v>
      </c>
      <c r="F148" s="28">
        <f ca="1">SUM(C148:E148)</f>
        <v>0</v>
      </c>
      <c r="H148" s="63">
        <v>0</v>
      </c>
      <c r="I148" s="27">
        <v>0</v>
      </c>
      <c r="J148" s="27">
        <v>0</v>
      </c>
      <c r="K148" s="28">
        <f t="shared" ca="1" si="49"/>
        <v>0</v>
      </c>
      <c r="M148" s="63">
        <v>0</v>
      </c>
      <c r="N148" s="27">
        <v>0</v>
      </c>
      <c r="O148" s="27">
        <v>0</v>
      </c>
      <c r="P148" s="28">
        <f t="shared" ca="1" si="28"/>
        <v>0</v>
      </c>
      <c r="Q148" s="27"/>
      <c r="R148" s="63">
        <v>0</v>
      </c>
      <c r="S148" s="27">
        <v>0</v>
      </c>
      <c r="T148" s="27">
        <v>0</v>
      </c>
      <c r="U148" s="28">
        <f t="shared" ca="1" si="45"/>
        <v>0</v>
      </c>
      <c r="V148" s="23"/>
      <c r="W148" s="63">
        <v>0</v>
      </c>
      <c r="X148" s="27">
        <v>0</v>
      </c>
      <c r="Y148" s="27">
        <v>0.93000000005122274</v>
      </c>
      <c r="Z148" s="28">
        <f t="shared" ca="1" si="46"/>
        <v>0.93000000005122274</v>
      </c>
      <c r="AB148" s="63">
        <v>0.66999999998370185</v>
      </c>
      <c r="AC148" s="27">
        <v>0</v>
      </c>
      <c r="AD148" s="27">
        <v>0</v>
      </c>
      <c r="AE148" s="28">
        <f t="shared" ca="1" si="47"/>
        <v>0.66999999998370185</v>
      </c>
      <c r="AG148" s="16"/>
    </row>
    <row r="149" spans="1:33" ht="14.65" hidden="1" customHeight="1" outlineLevel="1" x14ac:dyDescent="0.25">
      <c r="A149" s="64" t="s">
        <v>222</v>
      </c>
      <c r="C149" s="63">
        <v>0</v>
      </c>
      <c r="D149" s="27">
        <v>0</v>
      </c>
      <c r="E149" s="27">
        <v>0</v>
      </c>
      <c r="F149" s="28">
        <f ca="1">SUM(C149:E149)</f>
        <v>0</v>
      </c>
      <c r="H149" s="63">
        <v>0</v>
      </c>
      <c r="I149" s="27">
        <v>0</v>
      </c>
      <c r="J149" s="27">
        <v>0</v>
      </c>
      <c r="K149" s="28">
        <f t="shared" ca="1" si="49"/>
        <v>0</v>
      </c>
      <c r="M149" s="63">
        <v>0</v>
      </c>
      <c r="N149" s="27">
        <v>0</v>
      </c>
      <c r="O149" s="27">
        <v>0</v>
      </c>
      <c r="P149" s="28">
        <f t="shared" ca="1" si="28"/>
        <v>0</v>
      </c>
      <c r="Q149" s="27"/>
      <c r="R149" s="63">
        <v>0</v>
      </c>
      <c r="S149" s="27">
        <v>0</v>
      </c>
      <c r="T149" s="27">
        <v>0</v>
      </c>
      <c r="U149" s="28">
        <f t="shared" ca="1" si="45"/>
        <v>0</v>
      </c>
      <c r="V149" s="23"/>
      <c r="W149" s="63">
        <v>0</v>
      </c>
      <c r="X149" s="27">
        <v>0</v>
      </c>
      <c r="Y149" s="27">
        <v>0</v>
      </c>
      <c r="Z149" s="28">
        <f t="shared" ca="1" si="46"/>
        <v>0</v>
      </c>
      <c r="AB149" s="63">
        <v>0</v>
      </c>
      <c r="AC149" s="27">
        <v>0</v>
      </c>
      <c r="AD149" s="27">
        <v>0</v>
      </c>
      <c r="AE149" s="28">
        <f t="shared" ca="1" si="47"/>
        <v>0</v>
      </c>
      <c r="AG149" s="16"/>
    </row>
    <row r="150" spans="1:33" ht="14.65" hidden="1" customHeight="1" outlineLevel="1" x14ac:dyDescent="0.25">
      <c r="A150" s="64" t="s">
        <v>223</v>
      </c>
      <c r="C150" s="63">
        <v>0</v>
      </c>
      <c r="D150" s="27">
        <v>0</v>
      </c>
      <c r="E150" s="27">
        <v>0</v>
      </c>
      <c r="F150" s="28">
        <f t="shared" ca="1" si="48"/>
        <v>0</v>
      </c>
      <c r="H150" s="63">
        <v>0</v>
      </c>
      <c r="I150" s="27">
        <v>0</v>
      </c>
      <c r="J150" s="27">
        <v>357132.92</v>
      </c>
      <c r="K150" s="28">
        <f t="shared" ca="1" si="49"/>
        <v>357132.92</v>
      </c>
      <c r="M150" s="63">
        <v>575011.10000000009</v>
      </c>
      <c r="N150" s="27">
        <v>3208096.18</v>
      </c>
      <c r="O150" s="27">
        <v>1265333.96</v>
      </c>
      <c r="P150" s="28">
        <f t="shared" ca="1" si="28"/>
        <v>5048441.24</v>
      </c>
      <c r="Q150" s="27"/>
      <c r="R150" s="63">
        <v>643906.78</v>
      </c>
      <c r="S150" s="27">
        <v>1736635.6199999999</v>
      </c>
      <c r="T150" s="27">
        <v>2123553.98</v>
      </c>
      <c r="U150" s="28">
        <f t="shared" ca="1" si="45"/>
        <v>4504096.38</v>
      </c>
      <c r="V150" s="23"/>
      <c r="W150" s="63">
        <v>1967762.2800000003</v>
      </c>
      <c r="X150" s="27">
        <v>1141724.6400000001</v>
      </c>
      <c r="Y150" s="27">
        <v>810938.98</v>
      </c>
      <c r="Z150" s="28">
        <f t="shared" ca="1" si="46"/>
        <v>3920425.9000000004</v>
      </c>
      <c r="AB150" s="63">
        <v>1930106.1599999997</v>
      </c>
      <c r="AC150" s="27">
        <v>40000</v>
      </c>
      <c r="AD150" s="27">
        <v>0</v>
      </c>
      <c r="AE150" s="28">
        <f t="shared" ca="1" si="47"/>
        <v>1970106.1599999997</v>
      </c>
      <c r="AG150" s="16"/>
    </row>
    <row r="151" spans="1:33" ht="14.65" hidden="1" customHeight="1" outlineLevel="1" x14ac:dyDescent="0.25">
      <c r="A151" s="64" t="s">
        <v>224</v>
      </c>
      <c r="C151" s="63">
        <v>0</v>
      </c>
      <c r="D151" s="27">
        <v>0</v>
      </c>
      <c r="E151" s="27">
        <v>0</v>
      </c>
      <c r="F151" s="28">
        <f t="shared" ca="1" si="48"/>
        <v>0</v>
      </c>
      <c r="H151" s="63">
        <v>0</v>
      </c>
      <c r="I151" s="27">
        <v>0</v>
      </c>
      <c r="J151" s="27">
        <v>4484.0599999999977</v>
      </c>
      <c r="K151" s="28">
        <f t="shared" ca="1" si="49"/>
        <v>4484.0599999999977</v>
      </c>
      <c r="M151" s="63">
        <v>708357.88</v>
      </c>
      <c r="N151" s="27">
        <v>2282496.48</v>
      </c>
      <c r="O151" s="27">
        <v>141778.62</v>
      </c>
      <c r="P151" s="28">
        <f t="shared" ca="1" si="28"/>
        <v>3132632.98</v>
      </c>
      <c r="Q151" s="27"/>
      <c r="R151" s="63">
        <v>690822.82000000007</v>
      </c>
      <c r="S151" s="27">
        <v>2081196.5300000003</v>
      </c>
      <c r="T151" s="27">
        <v>1175543.1299999999</v>
      </c>
      <c r="U151" s="28">
        <f t="shared" ca="1" si="45"/>
        <v>3947562.4800000004</v>
      </c>
      <c r="V151" s="23"/>
      <c r="W151" s="63">
        <v>217075.95999999996</v>
      </c>
      <c r="X151" s="27">
        <v>930883.22</v>
      </c>
      <c r="Y151" s="27">
        <v>507174.46</v>
      </c>
      <c r="Z151" s="28">
        <f t="shared" ca="1" si="46"/>
        <v>1655133.64</v>
      </c>
      <c r="AB151" s="63">
        <v>386983.11999999994</v>
      </c>
      <c r="AC151" s="27">
        <v>0</v>
      </c>
      <c r="AD151" s="27">
        <v>0</v>
      </c>
      <c r="AE151" s="28">
        <f t="shared" ca="1" si="47"/>
        <v>386983.11999999994</v>
      </c>
      <c r="AG151" s="16"/>
    </row>
    <row r="152" spans="1:33" ht="14.65" hidden="1" customHeight="1" outlineLevel="1" x14ac:dyDescent="0.25">
      <c r="A152" s="64" t="s">
        <v>225</v>
      </c>
      <c r="C152" s="63">
        <v>0</v>
      </c>
      <c r="D152" s="27">
        <v>0</v>
      </c>
      <c r="E152" s="27">
        <v>0</v>
      </c>
      <c r="F152" s="28">
        <f t="shared" ca="1" si="48"/>
        <v>0</v>
      </c>
      <c r="H152" s="63">
        <v>0</v>
      </c>
      <c r="I152" s="27">
        <v>0</v>
      </c>
      <c r="J152" s="27">
        <v>235115.33999999997</v>
      </c>
      <c r="K152" s="28">
        <f t="shared" ca="1" si="49"/>
        <v>235115.33999999997</v>
      </c>
      <c r="M152" s="63">
        <v>284516.52</v>
      </c>
      <c r="N152" s="27">
        <v>2325005.6100000003</v>
      </c>
      <c r="O152" s="27">
        <v>885653</v>
      </c>
      <c r="P152" s="28">
        <f t="shared" ca="1" si="28"/>
        <v>3495175.1300000004</v>
      </c>
      <c r="Q152" s="27"/>
      <c r="R152" s="63">
        <v>548853</v>
      </c>
      <c r="S152" s="27">
        <v>945550.31</v>
      </c>
      <c r="T152" s="27">
        <v>845960.92</v>
      </c>
      <c r="U152" s="28">
        <f t="shared" ca="1" si="45"/>
        <v>2340364.23</v>
      </c>
      <c r="V152" s="23"/>
      <c r="W152" s="63">
        <v>748604.24</v>
      </c>
      <c r="X152" s="27">
        <v>1056071.74</v>
      </c>
      <c r="Y152" s="27">
        <v>1131000.08</v>
      </c>
      <c r="Z152" s="28">
        <f t="shared" ca="1" si="46"/>
        <v>2935676.06</v>
      </c>
      <c r="AB152" s="63">
        <v>316987</v>
      </c>
      <c r="AC152" s="27">
        <v>34814</v>
      </c>
      <c r="AD152" s="27">
        <v>0</v>
      </c>
      <c r="AE152" s="28">
        <f t="shared" ca="1" si="47"/>
        <v>351801</v>
      </c>
      <c r="AG152" s="16"/>
    </row>
    <row r="153" spans="1:33" ht="14.65" hidden="1" customHeight="1" outlineLevel="1" x14ac:dyDescent="0.25">
      <c r="A153" s="64" t="s">
        <v>226</v>
      </c>
      <c r="C153" s="63">
        <v>0</v>
      </c>
      <c r="D153" s="27">
        <v>0</v>
      </c>
      <c r="E153" s="27">
        <v>0</v>
      </c>
      <c r="F153" s="28">
        <f t="shared" ca="1" si="48"/>
        <v>0</v>
      </c>
      <c r="H153" s="63">
        <v>0</v>
      </c>
      <c r="I153" s="27">
        <v>0</v>
      </c>
      <c r="J153" s="27">
        <v>186008.76000000004</v>
      </c>
      <c r="K153" s="28">
        <f t="shared" ca="1" si="49"/>
        <v>186008.76000000004</v>
      </c>
      <c r="M153" s="63">
        <v>744538.7</v>
      </c>
      <c r="N153" s="27">
        <v>386964</v>
      </c>
      <c r="O153" s="27">
        <v>1026627.44</v>
      </c>
      <c r="P153" s="28">
        <f t="shared" ca="1" si="28"/>
        <v>2158130.1399999997</v>
      </c>
      <c r="Q153" s="27"/>
      <c r="R153" s="63">
        <v>815624.24</v>
      </c>
      <c r="S153" s="27">
        <v>2243054.39</v>
      </c>
      <c r="T153" s="27">
        <v>490491.73000000016</v>
      </c>
      <c r="U153" s="28">
        <f t="shared" ca="1" si="45"/>
        <v>3549170.36</v>
      </c>
      <c r="V153" s="23"/>
      <c r="W153" s="63">
        <v>758766.9</v>
      </c>
      <c r="X153" s="27">
        <v>1250420.06</v>
      </c>
      <c r="Y153" s="27">
        <v>1646337.97</v>
      </c>
      <c r="Z153" s="28">
        <f t="shared" ca="1" si="46"/>
        <v>3655524.9299999997</v>
      </c>
      <c r="AB153" s="63">
        <v>800677.71000000008</v>
      </c>
      <c r="AC153" s="27">
        <v>0</v>
      </c>
      <c r="AD153" s="27">
        <v>0</v>
      </c>
      <c r="AE153" s="28">
        <f t="shared" ca="1" si="47"/>
        <v>800677.71000000008</v>
      </c>
      <c r="AG153" s="16"/>
    </row>
    <row r="154" spans="1:33" ht="15.75" collapsed="1" thickBot="1" x14ac:dyDescent="0.3">
      <c r="A154" s="66" t="s">
        <v>227</v>
      </c>
      <c r="C154" s="63">
        <f ca="1">SUM(C155:C177)</f>
        <v>0</v>
      </c>
      <c r="D154" s="27">
        <f ca="1">SUM(D155:D177)</f>
        <v>171382.84000000017</v>
      </c>
      <c r="E154" s="27">
        <f ca="1">SUM(E155:E177)</f>
        <v>5083313.62</v>
      </c>
      <c r="F154" s="28">
        <f ca="1">SUM(F155:F177)</f>
        <v>5254696.46</v>
      </c>
      <c r="H154" s="63">
        <f ca="1">SUM(H155:H177)</f>
        <v>8146380.5699999984</v>
      </c>
      <c r="I154" s="27">
        <f ca="1">SUM(I155:I177)</f>
        <v>11639509.059999999</v>
      </c>
      <c r="J154" s="27">
        <f ca="1">SUM(J155:J177)</f>
        <v>11317208.710000001</v>
      </c>
      <c r="K154" s="28">
        <f ca="1">SUM(K155:K177)</f>
        <v>31103098.339999996</v>
      </c>
      <c r="M154" s="63">
        <f ca="1">SUM(M155:M177)</f>
        <v>21801535.489999998</v>
      </c>
      <c r="N154" s="27">
        <f ca="1">SUM(N155:N177)</f>
        <v>23280325.319999997</v>
      </c>
      <c r="O154" s="27">
        <f ca="1">SUM(O155:O177)</f>
        <v>29052342.179999992</v>
      </c>
      <c r="P154" s="28">
        <f t="shared" ca="1" si="28"/>
        <v>74134202.98999998</v>
      </c>
      <c r="Q154" s="27"/>
      <c r="R154" s="63">
        <f ca="1">SUM(R155:R177)</f>
        <v>24861712.759999994</v>
      </c>
      <c r="S154" s="27">
        <f ca="1">SUM(S155:S177)</f>
        <v>23209192.410000004</v>
      </c>
      <c r="T154" s="27">
        <f ca="1">SUM(T155:T177)</f>
        <v>22438742.629999999</v>
      </c>
      <c r="U154" s="28">
        <f t="shared" ca="1" si="45"/>
        <v>70509647.799999997</v>
      </c>
      <c r="V154" s="23"/>
      <c r="W154" s="63">
        <f ca="1">SUM(W155:W177)</f>
        <v>31447575.020000003</v>
      </c>
      <c r="X154" s="27">
        <f ca="1">SUM(X155:X177)</f>
        <v>33191246.059999999</v>
      </c>
      <c r="Y154" s="27">
        <f ca="1">SUM(Y155:Y177)</f>
        <v>28489981.960000005</v>
      </c>
      <c r="Z154" s="28">
        <f t="shared" ca="1" si="46"/>
        <v>93128803.040000007</v>
      </c>
      <c r="AB154" s="63">
        <f ca="1">SUM(AB155:AB177)</f>
        <v>21417449.609999999</v>
      </c>
      <c r="AC154" s="27">
        <f ca="1">SUM(AC155:AC177)</f>
        <v>4699885.6499999994</v>
      </c>
      <c r="AD154" s="27">
        <f ca="1">SUM(AD155:AD177)</f>
        <v>0</v>
      </c>
      <c r="AE154" s="28">
        <f t="shared" ca="1" si="47"/>
        <v>26117335.259999998</v>
      </c>
      <c r="AG154" s="16"/>
    </row>
    <row r="155" spans="1:33" ht="14.65" hidden="1" customHeight="1" outlineLevel="1" x14ac:dyDescent="0.25">
      <c r="A155" s="77" t="s">
        <v>228</v>
      </c>
      <c r="C155" s="63">
        <v>0</v>
      </c>
      <c r="D155" s="27">
        <v>92.03000000002794</v>
      </c>
      <c r="E155" s="27">
        <v>1493912.83</v>
      </c>
      <c r="F155" s="28">
        <f t="shared" ref="F155:F177" ca="1" si="50">SUM(C155:E155)</f>
        <v>1494004.86</v>
      </c>
      <c r="H155" s="63">
        <v>927457.8</v>
      </c>
      <c r="I155" s="27">
        <v>429811.96</v>
      </c>
      <c r="J155" s="27">
        <v>175215.22000000003</v>
      </c>
      <c r="K155" s="28">
        <f t="shared" ref="K155:K177" ca="1" si="51">SUM(H155:J155)</f>
        <v>1532484.98</v>
      </c>
      <c r="M155" s="63">
        <v>1783940.6400000001</v>
      </c>
      <c r="N155" s="27">
        <v>2112805.65</v>
      </c>
      <c r="O155" s="27">
        <v>1215886.6799999997</v>
      </c>
      <c r="P155" s="28">
        <f t="shared" ca="1" si="28"/>
        <v>5112632.97</v>
      </c>
      <c r="Q155" s="27"/>
      <c r="R155" s="63">
        <v>2461285.7400000002</v>
      </c>
      <c r="S155" s="27">
        <v>759054</v>
      </c>
      <c r="T155" s="27">
        <v>158177.78999999998</v>
      </c>
      <c r="U155" s="28">
        <f t="shared" ca="1" si="45"/>
        <v>3378517.5300000003</v>
      </c>
      <c r="V155" s="23"/>
      <c r="W155" s="63">
        <v>1768339.96</v>
      </c>
      <c r="X155" s="27">
        <v>1853112.38</v>
      </c>
      <c r="Y155" s="27">
        <v>1366017.34</v>
      </c>
      <c r="Z155" s="28">
        <f t="shared" ca="1" si="46"/>
        <v>4987469.68</v>
      </c>
      <c r="AB155" s="63">
        <v>975336.98</v>
      </c>
      <c r="AC155" s="27">
        <v>219547</v>
      </c>
      <c r="AD155" s="27">
        <v>0</v>
      </c>
      <c r="AE155" s="28">
        <f t="shared" ca="1" si="47"/>
        <v>1194883.98</v>
      </c>
      <c r="AG155" s="16"/>
    </row>
    <row r="156" spans="1:33" ht="14.65" hidden="1" customHeight="1" outlineLevel="1" x14ac:dyDescent="0.25">
      <c r="A156" s="77" t="s">
        <v>229</v>
      </c>
      <c r="C156" s="63">
        <v>0</v>
      </c>
      <c r="D156" s="27">
        <v>171287.54000000007</v>
      </c>
      <c r="E156" s="27">
        <v>2791012.6599999997</v>
      </c>
      <c r="F156" s="28">
        <f t="shared" ca="1" si="50"/>
        <v>2962300.1999999997</v>
      </c>
      <c r="H156" s="63">
        <v>3222612.94</v>
      </c>
      <c r="I156" s="27">
        <v>3118652.42</v>
      </c>
      <c r="J156" s="27">
        <v>1275167.8799999999</v>
      </c>
      <c r="K156" s="28">
        <f t="shared" ca="1" si="51"/>
        <v>7616433.2399999993</v>
      </c>
      <c r="M156" s="63">
        <v>6287466.2500000019</v>
      </c>
      <c r="N156" s="27">
        <v>5877273.1800000006</v>
      </c>
      <c r="O156" s="27">
        <v>2988353.3</v>
      </c>
      <c r="P156" s="28">
        <f t="shared" ref="P156:P177" ca="1" si="52">SUM(M156:O156)</f>
        <v>15153092.730000004</v>
      </c>
      <c r="Q156" s="27"/>
      <c r="R156" s="63">
        <v>4528834.3499999987</v>
      </c>
      <c r="S156" s="27">
        <v>2241882.88</v>
      </c>
      <c r="T156" s="27">
        <v>1418626.5499999998</v>
      </c>
      <c r="U156" s="28">
        <f t="shared" ca="1" si="45"/>
        <v>8189343.7799999984</v>
      </c>
      <c r="V156" s="23"/>
      <c r="W156" s="63">
        <v>7279015.4699999988</v>
      </c>
      <c r="X156" s="27">
        <v>4495610.330000001</v>
      </c>
      <c r="Y156" s="27">
        <v>1492603.6800000002</v>
      </c>
      <c r="Z156" s="28">
        <f t="shared" ca="1" si="46"/>
        <v>13267229.48</v>
      </c>
      <c r="AB156" s="63">
        <v>2230158.62</v>
      </c>
      <c r="AC156" s="27">
        <v>316470</v>
      </c>
      <c r="AD156" s="27">
        <v>0</v>
      </c>
      <c r="AE156" s="28">
        <f t="shared" ca="1" si="47"/>
        <v>2546628.62</v>
      </c>
      <c r="AG156" s="16"/>
    </row>
    <row r="157" spans="1:33" ht="14.65" hidden="1" customHeight="1" outlineLevel="1" x14ac:dyDescent="0.25">
      <c r="A157" s="77" t="s">
        <v>230</v>
      </c>
      <c r="C157" s="63">
        <v>0</v>
      </c>
      <c r="D157" s="27">
        <v>3.2500000000582077</v>
      </c>
      <c r="E157" s="27">
        <v>156307.24</v>
      </c>
      <c r="F157" s="28">
        <f t="shared" ca="1" si="50"/>
        <v>156310.49000000005</v>
      </c>
      <c r="H157" s="63">
        <v>802373.72</v>
      </c>
      <c r="I157" s="27">
        <v>1804293.7</v>
      </c>
      <c r="J157" s="27">
        <v>1239160.82</v>
      </c>
      <c r="K157" s="28">
        <f t="shared" ca="1" si="51"/>
        <v>3845828.24</v>
      </c>
      <c r="M157" s="63">
        <v>1148122.4100000001</v>
      </c>
      <c r="N157" s="27">
        <v>1725437.46</v>
      </c>
      <c r="O157" s="27">
        <v>4109701.42</v>
      </c>
      <c r="P157" s="28">
        <f t="shared" ca="1" si="52"/>
        <v>6983261.29</v>
      </c>
      <c r="Q157" s="27"/>
      <c r="R157" s="63">
        <v>701513.09999999986</v>
      </c>
      <c r="S157" s="27">
        <v>790432</v>
      </c>
      <c r="T157" s="27">
        <v>140555.84000000003</v>
      </c>
      <c r="U157" s="28">
        <f t="shared" ca="1" si="45"/>
        <v>1632500.94</v>
      </c>
      <c r="V157" s="23"/>
      <c r="W157" s="63">
        <v>1794081.79</v>
      </c>
      <c r="X157" s="27">
        <v>1518119.25</v>
      </c>
      <c r="Y157" s="27">
        <v>681668.44000000006</v>
      </c>
      <c r="Z157" s="28">
        <f t="shared" ca="1" si="46"/>
        <v>3993869.48</v>
      </c>
      <c r="AB157" s="63">
        <v>1022414.3499999999</v>
      </c>
      <c r="AC157" s="27">
        <v>65750</v>
      </c>
      <c r="AD157" s="27">
        <v>0</v>
      </c>
      <c r="AE157" s="28">
        <f t="shared" ca="1" si="47"/>
        <v>1088164.3499999999</v>
      </c>
      <c r="AG157" s="16"/>
    </row>
    <row r="158" spans="1:33" ht="14.65" hidden="1" customHeight="1" outlineLevel="1" x14ac:dyDescent="0.25">
      <c r="A158" s="77" t="s">
        <v>231</v>
      </c>
      <c r="C158" s="63">
        <v>0</v>
      </c>
      <c r="D158" s="27">
        <v>0</v>
      </c>
      <c r="E158" s="27">
        <v>0</v>
      </c>
      <c r="F158" s="28">
        <f t="shared" ca="1" si="50"/>
        <v>0</v>
      </c>
      <c r="H158" s="63">
        <v>0</v>
      </c>
      <c r="I158" s="27">
        <v>0</v>
      </c>
      <c r="J158" s="27">
        <v>0</v>
      </c>
      <c r="K158" s="28">
        <f t="shared" ca="1" si="51"/>
        <v>0</v>
      </c>
      <c r="M158" s="63">
        <v>0</v>
      </c>
      <c r="N158" s="27">
        <v>0</v>
      </c>
      <c r="O158" s="27">
        <v>0</v>
      </c>
      <c r="P158" s="28">
        <f t="shared" ca="1" si="52"/>
        <v>0</v>
      </c>
      <c r="Q158" s="27"/>
      <c r="R158" s="63">
        <v>0</v>
      </c>
      <c r="S158" s="27">
        <v>0</v>
      </c>
      <c r="T158" s="27">
        <v>0</v>
      </c>
      <c r="U158" s="28">
        <f t="shared" ca="1" si="45"/>
        <v>0</v>
      </c>
      <c r="V158" s="23"/>
      <c r="W158" s="63">
        <v>0</v>
      </c>
      <c r="X158" s="27">
        <v>0</v>
      </c>
      <c r="Y158" s="27">
        <v>0</v>
      </c>
      <c r="Z158" s="28">
        <f t="shared" ca="1" si="46"/>
        <v>0</v>
      </c>
      <c r="AB158" s="63">
        <v>0</v>
      </c>
      <c r="AC158" s="27">
        <v>0</v>
      </c>
      <c r="AD158" s="27">
        <v>0</v>
      </c>
      <c r="AE158" s="28">
        <f t="shared" ca="1" si="47"/>
        <v>0</v>
      </c>
      <c r="AG158" s="16"/>
    </row>
    <row r="159" spans="1:33" ht="14.65" hidden="1" customHeight="1" outlineLevel="1" x14ac:dyDescent="0.25">
      <c r="A159" s="77" t="s">
        <v>232</v>
      </c>
      <c r="C159" s="63">
        <v>0</v>
      </c>
      <c r="D159" s="27">
        <v>0</v>
      </c>
      <c r="E159" s="27">
        <v>184</v>
      </c>
      <c r="F159" s="28">
        <f t="shared" ca="1" si="50"/>
        <v>184</v>
      </c>
      <c r="H159" s="63">
        <v>444694.73</v>
      </c>
      <c r="I159" s="27">
        <v>400903.39999999997</v>
      </c>
      <c r="J159" s="27">
        <v>970583.88</v>
      </c>
      <c r="K159" s="28">
        <f t="shared" ca="1" si="51"/>
        <v>1816182.0099999998</v>
      </c>
      <c r="M159" s="63">
        <v>62543.299999999988</v>
      </c>
      <c r="N159" s="27">
        <v>791341.64000000013</v>
      </c>
      <c r="O159" s="27">
        <v>1285072.56</v>
      </c>
      <c r="P159" s="28">
        <f t="shared" ca="1" si="52"/>
        <v>2138957.5</v>
      </c>
      <c r="Q159" s="27"/>
      <c r="R159" s="63">
        <v>1640726.7300000002</v>
      </c>
      <c r="S159" s="27">
        <v>695759.87999999989</v>
      </c>
      <c r="T159" s="27">
        <v>825578.51</v>
      </c>
      <c r="U159" s="28">
        <f t="shared" ca="1" si="45"/>
        <v>3162065.12</v>
      </c>
      <c r="V159" s="23"/>
      <c r="W159" s="63">
        <v>550931.71</v>
      </c>
      <c r="X159" s="27">
        <v>1032748.0199999999</v>
      </c>
      <c r="Y159" s="27">
        <v>1093354.42</v>
      </c>
      <c r="Z159" s="28">
        <f t="shared" ca="1" si="46"/>
        <v>2677034.15</v>
      </c>
      <c r="AB159" s="63">
        <v>1348384.8699999999</v>
      </c>
      <c r="AC159" s="27">
        <v>352548</v>
      </c>
      <c r="AD159" s="27">
        <v>0</v>
      </c>
      <c r="AE159" s="28">
        <f t="shared" ca="1" si="47"/>
        <v>1700932.8699999999</v>
      </c>
      <c r="AG159" s="16"/>
    </row>
    <row r="160" spans="1:33" ht="14.65" hidden="1" customHeight="1" outlineLevel="1" x14ac:dyDescent="0.25">
      <c r="A160" s="77" t="s">
        <v>233</v>
      </c>
      <c r="C160" s="63">
        <v>0</v>
      </c>
      <c r="D160" s="27">
        <v>2.0000000018626451E-2</v>
      </c>
      <c r="E160" s="27">
        <v>641896.8899999999</v>
      </c>
      <c r="F160" s="28">
        <f t="shared" ca="1" si="50"/>
        <v>641896.90999999992</v>
      </c>
      <c r="H160" s="63">
        <v>2607240.6399999987</v>
      </c>
      <c r="I160" s="27">
        <v>5617175.1699999981</v>
      </c>
      <c r="J160" s="27">
        <v>4776481.29</v>
      </c>
      <c r="K160" s="28">
        <f t="shared" ca="1" si="51"/>
        <v>13000897.099999998</v>
      </c>
      <c r="M160" s="63">
        <v>3201186.7199999997</v>
      </c>
      <c r="N160" s="27">
        <v>5782967.2000000002</v>
      </c>
      <c r="O160" s="27">
        <v>9513931.1199999992</v>
      </c>
      <c r="P160" s="28">
        <f t="shared" ca="1" si="52"/>
        <v>18498085.039999999</v>
      </c>
      <c r="Q160" s="27"/>
      <c r="R160" s="63">
        <v>3072739.63</v>
      </c>
      <c r="S160" s="27">
        <v>2250992.6399999997</v>
      </c>
      <c r="T160" s="27">
        <v>583377.80000000005</v>
      </c>
      <c r="U160" s="28">
        <f t="shared" ca="1" si="45"/>
        <v>5907110.0699999994</v>
      </c>
      <c r="V160" s="23"/>
      <c r="W160" s="63">
        <v>2172584.9900000002</v>
      </c>
      <c r="X160" s="27">
        <v>9559640.6599999964</v>
      </c>
      <c r="Y160" s="27">
        <v>7024013.8300000001</v>
      </c>
      <c r="Z160" s="28">
        <f t="shared" ca="1" si="46"/>
        <v>18756239.479999997</v>
      </c>
      <c r="AB160" s="63">
        <v>3052366.3099999996</v>
      </c>
      <c r="AC160" s="27">
        <v>35034.939999999944</v>
      </c>
      <c r="AD160" s="27">
        <v>0</v>
      </c>
      <c r="AE160" s="28">
        <f t="shared" ca="1" si="47"/>
        <v>3087401.2499999995</v>
      </c>
      <c r="AG160" s="16"/>
    </row>
    <row r="161" spans="1:33" ht="14.65" hidden="1" customHeight="1" outlineLevel="1" x14ac:dyDescent="0.25">
      <c r="A161" s="77" t="s">
        <v>234</v>
      </c>
      <c r="C161" s="63">
        <v>0</v>
      </c>
      <c r="D161" s="27">
        <v>0</v>
      </c>
      <c r="E161" s="27">
        <v>0</v>
      </c>
      <c r="F161" s="28">
        <f t="shared" ca="1" si="50"/>
        <v>0</v>
      </c>
      <c r="H161" s="63">
        <v>142000.74</v>
      </c>
      <c r="I161" s="27">
        <v>137772.68000000005</v>
      </c>
      <c r="J161" s="27">
        <v>1784949.82</v>
      </c>
      <c r="K161" s="28">
        <f t="shared" ca="1" si="51"/>
        <v>2064723.2400000002</v>
      </c>
      <c r="M161" s="63">
        <v>2633663.25</v>
      </c>
      <c r="N161" s="27">
        <v>432253.84</v>
      </c>
      <c r="O161" s="27">
        <v>2356082.06</v>
      </c>
      <c r="P161" s="28">
        <f t="shared" ca="1" si="52"/>
        <v>5421999.1500000004</v>
      </c>
      <c r="Q161" s="27"/>
      <c r="R161" s="63">
        <v>2237330</v>
      </c>
      <c r="S161" s="27">
        <v>510488.7</v>
      </c>
      <c r="T161" s="27">
        <v>485339.56000000006</v>
      </c>
      <c r="U161" s="28">
        <f t="shared" ca="1" si="45"/>
        <v>3233158.2600000002</v>
      </c>
      <c r="V161" s="23"/>
      <c r="W161" s="63">
        <v>770354.03000000014</v>
      </c>
      <c r="X161" s="27">
        <v>824559.52000000025</v>
      </c>
      <c r="Y161" s="27">
        <v>2447940.6500000004</v>
      </c>
      <c r="Z161" s="28">
        <f t="shared" ca="1" si="46"/>
        <v>4042854.2000000007</v>
      </c>
      <c r="AB161" s="63">
        <v>1782372.8900000001</v>
      </c>
      <c r="AC161" s="27">
        <v>340392</v>
      </c>
      <c r="AD161" s="27">
        <v>0</v>
      </c>
      <c r="AE161" s="28">
        <f t="shared" ca="1" si="47"/>
        <v>2122764.89</v>
      </c>
      <c r="AG161" s="16"/>
    </row>
    <row r="162" spans="1:33" ht="14.65" hidden="1" customHeight="1" outlineLevel="1" x14ac:dyDescent="0.25">
      <c r="A162" s="77" t="s">
        <v>235</v>
      </c>
      <c r="C162" s="63">
        <v>0</v>
      </c>
      <c r="D162" s="27">
        <v>0</v>
      </c>
      <c r="E162" s="27">
        <v>0</v>
      </c>
      <c r="F162" s="28">
        <f t="shared" ca="1" si="50"/>
        <v>0</v>
      </c>
      <c r="H162" s="63">
        <v>0</v>
      </c>
      <c r="I162" s="27">
        <v>0</v>
      </c>
      <c r="J162" s="27">
        <v>0</v>
      </c>
      <c r="K162" s="28">
        <f t="shared" ca="1" si="51"/>
        <v>0</v>
      </c>
      <c r="M162" s="63">
        <v>0</v>
      </c>
      <c r="N162" s="27">
        <v>0</v>
      </c>
      <c r="O162" s="27">
        <v>0</v>
      </c>
      <c r="P162" s="28">
        <f t="shared" ca="1" si="52"/>
        <v>0</v>
      </c>
      <c r="Q162" s="27"/>
      <c r="R162" s="63">
        <v>0</v>
      </c>
      <c r="S162" s="27">
        <v>0</v>
      </c>
      <c r="T162" s="27">
        <v>0</v>
      </c>
      <c r="U162" s="28">
        <f t="shared" ca="1" si="45"/>
        <v>0</v>
      </c>
      <c r="V162" s="23"/>
      <c r="W162" s="63">
        <v>0</v>
      </c>
      <c r="X162" s="27">
        <v>0</v>
      </c>
      <c r="Y162" s="27">
        <v>0</v>
      </c>
      <c r="Z162" s="28">
        <f t="shared" ca="1" si="46"/>
        <v>0</v>
      </c>
      <c r="AB162" s="63">
        <v>0</v>
      </c>
      <c r="AC162" s="27">
        <v>0</v>
      </c>
      <c r="AD162" s="27">
        <v>0</v>
      </c>
      <c r="AE162" s="28">
        <f t="shared" ca="1" si="47"/>
        <v>0</v>
      </c>
      <c r="AG162" s="16"/>
    </row>
    <row r="163" spans="1:33" ht="14.65" hidden="1" customHeight="1" outlineLevel="1" x14ac:dyDescent="0.25">
      <c r="A163" s="77" t="s">
        <v>236</v>
      </c>
      <c r="C163" s="63">
        <v>0</v>
      </c>
      <c r="D163" s="27">
        <v>0</v>
      </c>
      <c r="E163" s="27">
        <v>0</v>
      </c>
      <c r="F163" s="28">
        <f t="shared" ca="1" si="50"/>
        <v>0</v>
      </c>
      <c r="H163" s="63">
        <v>0</v>
      </c>
      <c r="I163" s="27">
        <v>0</v>
      </c>
      <c r="J163" s="27">
        <v>220655</v>
      </c>
      <c r="K163" s="28">
        <f t="shared" ca="1" si="51"/>
        <v>220655</v>
      </c>
      <c r="M163" s="63">
        <v>308586.08</v>
      </c>
      <c r="N163" s="27">
        <v>371122.29999999981</v>
      </c>
      <c r="O163" s="27">
        <v>271840</v>
      </c>
      <c r="P163" s="28">
        <f t="shared" ca="1" si="52"/>
        <v>951548.37999999989</v>
      </c>
      <c r="Q163" s="27"/>
      <c r="R163" s="63">
        <v>185108.08000000002</v>
      </c>
      <c r="S163" s="27">
        <v>609516.22</v>
      </c>
      <c r="T163" s="27">
        <v>150268.62</v>
      </c>
      <c r="U163" s="28">
        <f t="shared" ca="1" si="45"/>
        <v>944892.92</v>
      </c>
      <c r="V163" s="23"/>
      <c r="W163" s="63">
        <v>602515</v>
      </c>
      <c r="X163" s="27">
        <v>561496.6</v>
      </c>
      <c r="Y163" s="27">
        <v>285705.77</v>
      </c>
      <c r="Z163" s="28">
        <f t="shared" ca="1" si="46"/>
        <v>1449717.37</v>
      </c>
      <c r="AB163" s="63">
        <v>177693</v>
      </c>
      <c r="AC163" s="27">
        <v>154745</v>
      </c>
      <c r="AD163" s="27">
        <v>0</v>
      </c>
      <c r="AE163" s="28">
        <f t="shared" ca="1" si="47"/>
        <v>332438</v>
      </c>
      <c r="AG163" s="16"/>
    </row>
    <row r="164" spans="1:33" ht="14.65" hidden="1" customHeight="1" outlineLevel="1" x14ac:dyDescent="0.25">
      <c r="A164" s="77" t="s">
        <v>237</v>
      </c>
      <c r="C164" s="63">
        <v>0</v>
      </c>
      <c r="D164" s="27">
        <v>0</v>
      </c>
      <c r="E164" s="27">
        <v>0</v>
      </c>
      <c r="F164" s="28">
        <f t="shared" ca="1" si="50"/>
        <v>0</v>
      </c>
      <c r="H164" s="63">
        <v>0</v>
      </c>
      <c r="I164" s="27">
        <v>130899.72999999998</v>
      </c>
      <c r="J164" s="27">
        <v>731455.97</v>
      </c>
      <c r="K164" s="28">
        <f t="shared" ca="1" si="51"/>
        <v>862355.7</v>
      </c>
      <c r="M164" s="63">
        <v>4635430.0199999996</v>
      </c>
      <c r="N164" s="27">
        <v>3869662.8799999994</v>
      </c>
      <c r="O164" s="27">
        <v>1408617.87</v>
      </c>
      <c r="P164" s="28">
        <f t="shared" ca="1" si="52"/>
        <v>9913710.7699999996</v>
      </c>
      <c r="Q164" s="27"/>
      <c r="R164" s="63">
        <v>2270268.9299999997</v>
      </c>
      <c r="S164" s="27">
        <v>8318731.2499999991</v>
      </c>
      <c r="T164" s="27">
        <v>4427908.91</v>
      </c>
      <c r="U164" s="28">
        <f t="shared" ca="1" si="45"/>
        <v>15016909.09</v>
      </c>
      <c r="V164" s="23"/>
      <c r="W164" s="63">
        <v>1449718.8199999998</v>
      </c>
      <c r="X164" s="27">
        <v>2877615.99</v>
      </c>
      <c r="Y164" s="27">
        <v>2747150.58</v>
      </c>
      <c r="Z164" s="28">
        <f t="shared" ca="1" si="46"/>
        <v>7074485.3900000006</v>
      </c>
      <c r="AB164" s="63">
        <v>1691515.27</v>
      </c>
      <c r="AC164" s="27">
        <v>1116604.1000000001</v>
      </c>
      <c r="AD164" s="27">
        <v>0</v>
      </c>
      <c r="AE164" s="28">
        <f t="shared" ca="1" si="47"/>
        <v>2808119.37</v>
      </c>
      <c r="AG164" s="16"/>
    </row>
    <row r="165" spans="1:33" ht="14.65" hidden="1" customHeight="1" outlineLevel="1" x14ac:dyDescent="0.25">
      <c r="A165" s="77" t="s">
        <v>238</v>
      </c>
      <c r="C165" s="63">
        <v>0</v>
      </c>
      <c r="D165" s="27">
        <v>0</v>
      </c>
      <c r="E165" s="27">
        <v>0</v>
      </c>
      <c r="F165" s="28">
        <f t="shared" ca="1" si="50"/>
        <v>0</v>
      </c>
      <c r="H165" s="63">
        <v>0</v>
      </c>
      <c r="I165" s="27">
        <v>0</v>
      </c>
      <c r="J165" s="27">
        <v>143537.47999999995</v>
      </c>
      <c r="K165" s="28">
        <f t="shared" ca="1" si="51"/>
        <v>143537.47999999995</v>
      </c>
      <c r="M165" s="63">
        <v>553979.34000000008</v>
      </c>
      <c r="N165" s="27">
        <v>281378.62</v>
      </c>
      <c r="O165" s="27">
        <v>146989</v>
      </c>
      <c r="P165" s="28">
        <f t="shared" ca="1" si="52"/>
        <v>982346.96000000008</v>
      </c>
      <c r="Q165" s="27"/>
      <c r="R165" s="63">
        <v>431386.05000000005</v>
      </c>
      <c r="S165" s="27">
        <v>897828.86</v>
      </c>
      <c r="T165" s="27">
        <v>334904.36000000004</v>
      </c>
      <c r="U165" s="28">
        <f t="shared" ca="1" si="45"/>
        <v>1664119.2700000003</v>
      </c>
      <c r="V165" s="23"/>
      <c r="W165" s="63">
        <v>663703.16999999993</v>
      </c>
      <c r="X165" s="27">
        <v>664752.99</v>
      </c>
      <c r="Y165" s="27">
        <v>71560.049999999988</v>
      </c>
      <c r="Z165" s="28">
        <f t="shared" ca="1" si="46"/>
        <v>1400016.21</v>
      </c>
      <c r="AB165" s="63">
        <v>498349.21</v>
      </c>
      <c r="AC165" s="27">
        <v>183774.36</v>
      </c>
      <c r="AD165" s="27">
        <v>0</v>
      </c>
      <c r="AE165" s="28">
        <f t="shared" ca="1" si="47"/>
        <v>682123.57000000007</v>
      </c>
      <c r="AG165" s="16"/>
    </row>
    <row r="166" spans="1:33" ht="15" hidden="1" customHeight="1" outlineLevel="1" x14ac:dyDescent="0.25">
      <c r="A166" s="77" t="s">
        <v>239</v>
      </c>
      <c r="C166" s="63">
        <v>0</v>
      </c>
      <c r="D166" s="27">
        <v>0</v>
      </c>
      <c r="E166" s="27">
        <v>0</v>
      </c>
      <c r="F166" s="28">
        <f t="shared" ca="1" si="50"/>
        <v>0</v>
      </c>
      <c r="H166" s="63">
        <v>0</v>
      </c>
      <c r="I166" s="27">
        <v>0</v>
      </c>
      <c r="J166" s="27">
        <v>0</v>
      </c>
      <c r="K166" s="28">
        <f t="shared" ca="1" si="51"/>
        <v>0</v>
      </c>
      <c r="M166" s="63">
        <v>0</v>
      </c>
      <c r="N166" s="27">
        <v>0</v>
      </c>
      <c r="O166" s="27">
        <v>0</v>
      </c>
      <c r="P166" s="28">
        <f t="shared" ca="1" si="52"/>
        <v>0</v>
      </c>
      <c r="Q166" s="27"/>
      <c r="R166" s="63">
        <v>0</v>
      </c>
      <c r="S166" s="27">
        <v>0</v>
      </c>
      <c r="T166" s="27">
        <v>0</v>
      </c>
      <c r="U166" s="28">
        <f t="shared" ca="1" si="45"/>
        <v>0</v>
      </c>
      <c r="V166" s="23"/>
      <c r="W166" s="63">
        <v>0</v>
      </c>
      <c r="X166" s="27">
        <v>0</v>
      </c>
      <c r="Y166" s="27">
        <v>0</v>
      </c>
      <c r="Z166" s="28">
        <f t="shared" ca="1" si="46"/>
        <v>0</v>
      </c>
      <c r="AB166" s="63">
        <v>0</v>
      </c>
      <c r="AC166" s="27">
        <v>0</v>
      </c>
      <c r="AD166" s="27">
        <v>0</v>
      </c>
      <c r="AE166" s="28">
        <f t="shared" ca="1" si="47"/>
        <v>0</v>
      </c>
      <c r="AG166" s="16"/>
    </row>
    <row r="167" spans="1:33" ht="14.65" hidden="1" customHeight="1" outlineLevel="1" x14ac:dyDescent="0.25">
      <c r="A167" s="77" t="s">
        <v>240</v>
      </c>
      <c r="C167" s="63">
        <v>0</v>
      </c>
      <c r="D167" s="27">
        <v>0</v>
      </c>
      <c r="E167" s="27">
        <v>0</v>
      </c>
      <c r="F167" s="28">
        <f t="shared" ca="1" si="50"/>
        <v>0</v>
      </c>
      <c r="H167" s="63">
        <v>0</v>
      </c>
      <c r="I167" s="27">
        <v>0</v>
      </c>
      <c r="J167" s="27">
        <v>0</v>
      </c>
      <c r="K167" s="28">
        <f t="shared" ca="1" si="51"/>
        <v>0</v>
      </c>
      <c r="M167" s="63">
        <v>214.3300000000163</v>
      </c>
      <c r="N167" s="27">
        <v>566318.34000000008</v>
      </c>
      <c r="O167" s="27">
        <v>979649.5</v>
      </c>
      <c r="P167" s="28">
        <f t="shared" ca="1" si="52"/>
        <v>1546182.1700000002</v>
      </c>
      <c r="Q167" s="27"/>
      <c r="R167" s="63">
        <v>1016150.2999999999</v>
      </c>
      <c r="S167" s="27">
        <v>1046730.4299999999</v>
      </c>
      <c r="T167" s="27">
        <v>777493.0199999999</v>
      </c>
      <c r="U167" s="28">
        <f t="shared" ca="1" si="45"/>
        <v>2840373.75</v>
      </c>
      <c r="V167" s="23"/>
      <c r="W167" s="63">
        <v>1687442.01</v>
      </c>
      <c r="X167" s="27">
        <v>924628.05</v>
      </c>
      <c r="Y167" s="27">
        <v>1397461.26</v>
      </c>
      <c r="Z167" s="28">
        <f t="shared" ca="1" si="46"/>
        <v>4009531.3200000003</v>
      </c>
      <c r="AB167" s="63">
        <v>377954.79000000004</v>
      </c>
      <c r="AC167" s="27">
        <v>141043</v>
      </c>
      <c r="AD167" s="27">
        <v>0</v>
      </c>
      <c r="AE167" s="28">
        <f t="shared" ca="1" si="47"/>
        <v>518997.79000000004</v>
      </c>
      <c r="AG167" s="16"/>
    </row>
    <row r="168" spans="1:33" ht="14.65" hidden="1" customHeight="1" outlineLevel="1" x14ac:dyDescent="0.25">
      <c r="A168" s="77" t="s">
        <v>241</v>
      </c>
      <c r="C168" s="63">
        <v>0</v>
      </c>
      <c r="D168" s="27">
        <v>0</v>
      </c>
      <c r="E168" s="27">
        <v>0</v>
      </c>
      <c r="F168" s="28">
        <f t="shared" ca="1" si="50"/>
        <v>0</v>
      </c>
      <c r="H168" s="63">
        <v>0</v>
      </c>
      <c r="I168" s="27">
        <v>0</v>
      </c>
      <c r="J168" s="27">
        <v>1.3500000000058208</v>
      </c>
      <c r="K168" s="28">
        <f t="shared" ca="1" si="51"/>
        <v>1.3500000000058208</v>
      </c>
      <c r="M168" s="63">
        <v>952129.89999999991</v>
      </c>
      <c r="N168" s="27">
        <v>474739.4</v>
      </c>
      <c r="O168" s="27">
        <v>2354176.7000000002</v>
      </c>
      <c r="P168" s="28">
        <f t="shared" ca="1" si="52"/>
        <v>3781046</v>
      </c>
      <c r="Q168" s="27"/>
      <c r="R168" s="63">
        <v>2906242.4799999995</v>
      </c>
      <c r="S168" s="27">
        <v>2240268.5800000005</v>
      </c>
      <c r="T168" s="27">
        <v>5982367.4300000006</v>
      </c>
      <c r="U168" s="28">
        <f t="shared" ca="1" si="45"/>
        <v>11128878.490000002</v>
      </c>
      <c r="V168" s="23"/>
      <c r="W168" s="63">
        <v>2697190.86</v>
      </c>
      <c r="X168" s="27">
        <v>2155357.2599999998</v>
      </c>
      <c r="Y168" s="27">
        <v>3855255.46</v>
      </c>
      <c r="Z168" s="28">
        <f t="shared" ca="1" si="46"/>
        <v>8707803.5799999982</v>
      </c>
      <c r="AB168" s="63">
        <v>2042272.83</v>
      </c>
      <c r="AC168" s="27">
        <v>393267.80000000005</v>
      </c>
      <c r="AD168" s="27">
        <v>0</v>
      </c>
      <c r="AE168" s="28">
        <f t="shared" ca="1" si="47"/>
        <v>2435540.63</v>
      </c>
      <c r="AG168" s="16"/>
    </row>
    <row r="169" spans="1:33" ht="14.65" hidden="1" customHeight="1" outlineLevel="1" x14ac:dyDescent="0.25">
      <c r="A169" s="77" t="s">
        <v>242</v>
      </c>
      <c r="C169" s="63">
        <v>0</v>
      </c>
      <c r="D169" s="27">
        <v>0</v>
      </c>
      <c r="E169" s="27">
        <v>0</v>
      </c>
      <c r="F169" s="28">
        <f t="shared" ca="1" si="50"/>
        <v>0</v>
      </c>
      <c r="H169" s="63">
        <v>0</v>
      </c>
      <c r="I169" s="27">
        <v>0</v>
      </c>
      <c r="J169" s="27">
        <v>0</v>
      </c>
      <c r="K169" s="28">
        <f t="shared" ca="1" si="51"/>
        <v>0</v>
      </c>
      <c r="M169" s="63">
        <v>234273.25000000003</v>
      </c>
      <c r="N169" s="27">
        <v>543718</v>
      </c>
      <c r="O169" s="27">
        <v>366545.39999999997</v>
      </c>
      <c r="P169" s="28">
        <f t="shared" ca="1" si="52"/>
        <v>1144536.6499999999</v>
      </c>
      <c r="Q169" s="27"/>
      <c r="R169" s="63">
        <v>0</v>
      </c>
      <c r="S169" s="27">
        <v>112300.30000000002</v>
      </c>
      <c r="T169" s="27">
        <v>1498679.8599999999</v>
      </c>
      <c r="U169" s="28">
        <f t="shared" ca="1" si="45"/>
        <v>1610980.16</v>
      </c>
      <c r="V169" s="23"/>
      <c r="W169" s="63">
        <v>1890382.58</v>
      </c>
      <c r="X169" s="27">
        <v>744245.2</v>
      </c>
      <c r="Y169" s="27">
        <v>1183352.6800000002</v>
      </c>
      <c r="Z169" s="28">
        <f t="shared" ca="1" si="46"/>
        <v>3817980.4600000004</v>
      </c>
      <c r="AB169" s="63">
        <v>991429.55999999994</v>
      </c>
      <c r="AC169" s="27">
        <v>187400.76</v>
      </c>
      <c r="AD169" s="27">
        <v>0</v>
      </c>
      <c r="AE169" s="28">
        <f t="shared" ca="1" si="47"/>
        <v>1178830.3199999998</v>
      </c>
      <c r="AG169" s="16"/>
    </row>
    <row r="170" spans="1:33" ht="15" hidden="1" customHeight="1" outlineLevel="1" x14ac:dyDescent="0.25">
      <c r="A170" s="77" t="s">
        <v>243</v>
      </c>
      <c r="C170" s="63">
        <v>0</v>
      </c>
      <c r="D170" s="27">
        <v>0</v>
      </c>
      <c r="E170" s="27">
        <v>0</v>
      </c>
      <c r="F170" s="28">
        <f t="shared" ca="1" si="50"/>
        <v>0</v>
      </c>
      <c r="H170" s="63">
        <v>0</v>
      </c>
      <c r="I170" s="27">
        <v>0</v>
      </c>
      <c r="J170" s="27">
        <v>0</v>
      </c>
      <c r="K170" s="28">
        <f t="shared" ca="1" si="51"/>
        <v>0</v>
      </c>
      <c r="M170" s="63">
        <v>0</v>
      </c>
      <c r="N170" s="27">
        <v>0</v>
      </c>
      <c r="O170" s="27">
        <v>0</v>
      </c>
      <c r="P170" s="28">
        <f t="shared" ca="1" si="52"/>
        <v>0</v>
      </c>
      <c r="Q170" s="27"/>
      <c r="R170" s="63">
        <v>0</v>
      </c>
      <c r="S170" s="27">
        <v>0</v>
      </c>
      <c r="T170" s="27">
        <v>0</v>
      </c>
      <c r="U170" s="28">
        <f t="shared" ca="1" si="45"/>
        <v>0</v>
      </c>
      <c r="V170" s="23"/>
      <c r="W170" s="63">
        <v>0</v>
      </c>
      <c r="X170" s="27">
        <v>0</v>
      </c>
      <c r="Y170" s="27">
        <v>0</v>
      </c>
      <c r="Z170" s="28">
        <f t="shared" ca="1" si="46"/>
        <v>0</v>
      </c>
      <c r="AB170" s="63">
        <v>0</v>
      </c>
      <c r="AC170" s="27">
        <v>0</v>
      </c>
      <c r="AD170" s="27">
        <v>0</v>
      </c>
      <c r="AE170" s="28">
        <f t="shared" ca="1" si="47"/>
        <v>0</v>
      </c>
      <c r="AG170" s="16"/>
    </row>
    <row r="171" spans="1:33" ht="14.65" hidden="1" customHeight="1" outlineLevel="1" x14ac:dyDescent="0.25">
      <c r="A171" s="77" t="s">
        <v>244</v>
      </c>
      <c r="C171" s="63">
        <v>0</v>
      </c>
      <c r="D171" s="27">
        <v>0</v>
      </c>
      <c r="E171" s="27">
        <v>0</v>
      </c>
      <c r="F171" s="28">
        <f t="shared" ca="1" si="50"/>
        <v>0</v>
      </c>
      <c r="H171" s="63">
        <v>0</v>
      </c>
      <c r="I171" s="27">
        <v>0</v>
      </c>
      <c r="J171" s="27">
        <v>0</v>
      </c>
      <c r="K171" s="28">
        <f t="shared" ca="1" si="51"/>
        <v>0</v>
      </c>
      <c r="M171" s="63">
        <v>0</v>
      </c>
      <c r="N171" s="27">
        <v>0</v>
      </c>
      <c r="O171" s="27">
        <v>727247.83</v>
      </c>
      <c r="P171" s="28">
        <f t="shared" ca="1" si="52"/>
        <v>727247.83</v>
      </c>
      <c r="Q171" s="27"/>
      <c r="R171" s="63">
        <v>426376.83999999997</v>
      </c>
      <c r="S171" s="27">
        <v>527537.30000000005</v>
      </c>
      <c r="T171" s="27">
        <v>1975647.3000000003</v>
      </c>
      <c r="U171" s="28">
        <f t="shared" ca="1" si="45"/>
        <v>2929561.4400000004</v>
      </c>
      <c r="V171" s="23"/>
      <c r="W171" s="63">
        <v>1557774.46</v>
      </c>
      <c r="X171" s="27">
        <v>747578.51</v>
      </c>
      <c r="Y171" s="27">
        <v>753609.24</v>
      </c>
      <c r="Z171" s="28">
        <f t="shared" ca="1" si="46"/>
        <v>3058962.21</v>
      </c>
      <c r="AB171" s="63">
        <v>1048170.6299999999</v>
      </c>
      <c r="AC171" s="27">
        <v>350636.47</v>
      </c>
      <c r="AD171" s="27">
        <v>0</v>
      </c>
      <c r="AE171" s="28">
        <f t="shared" ca="1" si="47"/>
        <v>1398807.0999999999</v>
      </c>
      <c r="AG171" s="16"/>
    </row>
    <row r="172" spans="1:33" ht="14.65" hidden="1" customHeight="1" outlineLevel="1" x14ac:dyDescent="0.25">
      <c r="A172" s="77" t="s">
        <v>245</v>
      </c>
      <c r="C172" s="63">
        <v>0</v>
      </c>
      <c r="D172" s="27">
        <v>0</v>
      </c>
      <c r="E172" s="27">
        <v>0</v>
      </c>
      <c r="F172" s="28">
        <f t="shared" ca="1" si="50"/>
        <v>0</v>
      </c>
      <c r="H172" s="63">
        <v>0</v>
      </c>
      <c r="I172" s="27">
        <v>0</v>
      </c>
      <c r="J172" s="27">
        <v>0</v>
      </c>
      <c r="K172" s="28">
        <f t="shared" ca="1" si="51"/>
        <v>0</v>
      </c>
      <c r="M172" s="63">
        <v>0</v>
      </c>
      <c r="N172" s="27">
        <v>451306.81</v>
      </c>
      <c r="O172" s="27">
        <v>1118750.45</v>
      </c>
      <c r="P172" s="28">
        <f t="shared" ca="1" si="52"/>
        <v>1570057.26</v>
      </c>
      <c r="Q172" s="27"/>
      <c r="R172" s="63">
        <v>2209370.8800000004</v>
      </c>
      <c r="S172" s="27">
        <v>1355840.55</v>
      </c>
      <c r="T172" s="27">
        <v>2932257.56</v>
      </c>
      <c r="U172" s="28">
        <f t="shared" ca="1" si="45"/>
        <v>6497468.9900000002</v>
      </c>
      <c r="V172" s="23"/>
      <c r="W172" s="63">
        <v>5427948.1799999997</v>
      </c>
      <c r="X172" s="27">
        <v>3351853.84</v>
      </c>
      <c r="Y172" s="27">
        <v>2113620.33</v>
      </c>
      <c r="Z172" s="28">
        <f t="shared" ca="1" si="46"/>
        <v>10893422.35</v>
      </c>
      <c r="AB172" s="63">
        <v>2101406.2599999998</v>
      </c>
      <c r="AC172" s="27">
        <v>556795.22</v>
      </c>
      <c r="AD172" s="27">
        <v>0</v>
      </c>
      <c r="AE172" s="28">
        <f t="shared" ca="1" si="47"/>
        <v>2658201.4799999995</v>
      </c>
      <c r="AG172" s="16"/>
    </row>
    <row r="173" spans="1:33" ht="14.65" hidden="1" customHeight="1" outlineLevel="1" x14ac:dyDescent="0.25">
      <c r="A173" s="77" t="s">
        <v>246</v>
      </c>
      <c r="C173" s="63">
        <v>0</v>
      </c>
      <c r="D173" s="27">
        <v>0</v>
      </c>
      <c r="E173" s="27">
        <v>0</v>
      </c>
      <c r="F173" s="28">
        <f t="shared" ca="1" si="50"/>
        <v>0</v>
      </c>
      <c r="H173" s="63">
        <v>0</v>
      </c>
      <c r="I173" s="27">
        <v>0</v>
      </c>
      <c r="J173" s="27">
        <v>0</v>
      </c>
      <c r="K173" s="28">
        <f t="shared" ca="1" si="51"/>
        <v>0</v>
      </c>
      <c r="M173" s="63">
        <v>0</v>
      </c>
      <c r="N173" s="27">
        <v>0</v>
      </c>
      <c r="O173" s="27">
        <v>0</v>
      </c>
      <c r="P173" s="28">
        <f t="shared" ca="1" si="52"/>
        <v>0</v>
      </c>
      <c r="Q173" s="27"/>
      <c r="R173" s="63">
        <v>0</v>
      </c>
      <c r="S173" s="27">
        <v>0</v>
      </c>
      <c r="T173" s="27">
        <v>0</v>
      </c>
      <c r="U173" s="28">
        <f t="shared" ca="1" si="45"/>
        <v>0</v>
      </c>
      <c r="V173" s="23"/>
      <c r="W173" s="63">
        <v>0</v>
      </c>
      <c r="X173" s="27">
        <v>0</v>
      </c>
      <c r="Y173" s="27">
        <v>0</v>
      </c>
      <c r="Z173" s="28">
        <f t="shared" ca="1" si="46"/>
        <v>0</v>
      </c>
      <c r="AB173" s="63">
        <v>0</v>
      </c>
      <c r="AC173" s="27">
        <v>0</v>
      </c>
      <c r="AD173" s="27">
        <v>0</v>
      </c>
      <c r="AE173" s="28">
        <f t="shared" ca="1" si="47"/>
        <v>0</v>
      </c>
      <c r="AG173" s="16"/>
    </row>
    <row r="174" spans="1:33" ht="15" hidden="1" customHeight="1" outlineLevel="1" x14ac:dyDescent="0.25">
      <c r="A174" s="77" t="s">
        <v>247</v>
      </c>
      <c r="C174" s="63">
        <v>0</v>
      </c>
      <c r="D174" s="27">
        <v>0</v>
      </c>
      <c r="E174" s="27">
        <v>0</v>
      </c>
      <c r="F174" s="28">
        <f t="shared" ca="1" si="50"/>
        <v>0</v>
      </c>
      <c r="H174" s="63">
        <v>0</v>
      </c>
      <c r="I174" s="27">
        <v>0</v>
      </c>
      <c r="J174" s="27">
        <v>0</v>
      </c>
      <c r="K174" s="28">
        <f t="shared" ca="1" si="51"/>
        <v>0</v>
      </c>
      <c r="M174" s="63">
        <v>0</v>
      </c>
      <c r="N174" s="27">
        <v>0</v>
      </c>
      <c r="O174" s="27">
        <v>0</v>
      </c>
      <c r="P174" s="28">
        <f t="shared" ca="1" si="52"/>
        <v>0</v>
      </c>
      <c r="Q174" s="27"/>
      <c r="R174" s="63">
        <v>0</v>
      </c>
      <c r="S174" s="27">
        <v>0</v>
      </c>
      <c r="T174" s="27">
        <v>0</v>
      </c>
      <c r="U174" s="28">
        <f t="shared" ca="1" si="45"/>
        <v>0</v>
      </c>
      <c r="V174" s="23"/>
      <c r="W174" s="63">
        <v>0</v>
      </c>
      <c r="X174" s="27">
        <v>0</v>
      </c>
      <c r="Y174" s="27">
        <v>0</v>
      </c>
      <c r="Z174" s="28">
        <f t="shared" ca="1" si="46"/>
        <v>0</v>
      </c>
      <c r="AB174" s="63">
        <v>0</v>
      </c>
      <c r="AC174" s="27">
        <v>0</v>
      </c>
      <c r="AD174" s="27">
        <v>0</v>
      </c>
      <c r="AE174" s="28">
        <f t="shared" ca="1" si="47"/>
        <v>0</v>
      </c>
      <c r="AG174" s="16"/>
    </row>
    <row r="175" spans="1:33" ht="15" hidden="1" customHeight="1" outlineLevel="1" x14ac:dyDescent="0.25">
      <c r="A175" s="77" t="s">
        <v>248</v>
      </c>
      <c r="C175" s="63">
        <v>0</v>
      </c>
      <c r="D175" s="27">
        <v>0</v>
      </c>
      <c r="E175" s="27">
        <v>0</v>
      </c>
      <c r="F175" s="28">
        <f ca="1">SUM(C175:E175)</f>
        <v>0</v>
      </c>
      <c r="H175" s="63">
        <v>0</v>
      </c>
      <c r="I175" s="27">
        <v>0</v>
      </c>
      <c r="J175" s="27">
        <v>0</v>
      </c>
      <c r="K175" s="28">
        <f ca="1">SUM(H175:J175)</f>
        <v>0</v>
      </c>
      <c r="M175" s="63">
        <v>0</v>
      </c>
      <c r="N175" s="27">
        <v>0</v>
      </c>
      <c r="O175" s="27">
        <v>0</v>
      </c>
      <c r="P175" s="28">
        <f ca="1">SUM(M175:O175)</f>
        <v>0</v>
      </c>
      <c r="Q175" s="27"/>
      <c r="R175" s="63">
        <v>0</v>
      </c>
      <c r="S175" s="27">
        <v>0</v>
      </c>
      <c r="T175" s="27">
        <v>0</v>
      </c>
      <c r="U175" s="28">
        <f ca="1">SUM(R175:T175)</f>
        <v>0</v>
      </c>
      <c r="V175" s="23"/>
      <c r="W175" s="63">
        <v>0</v>
      </c>
      <c r="X175" s="27">
        <v>0</v>
      </c>
      <c r="Y175" s="27">
        <v>0</v>
      </c>
      <c r="Z175" s="28">
        <f ca="1">SUM(W175:Y175)</f>
        <v>0</v>
      </c>
      <c r="AB175" s="63">
        <v>0</v>
      </c>
      <c r="AC175" s="27">
        <v>0</v>
      </c>
      <c r="AD175" s="27">
        <v>0</v>
      </c>
      <c r="AE175" s="28">
        <f ca="1">SUM(AB175:AD175)</f>
        <v>0</v>
      </c>
      <c r="AG175" s="16"/>
    </row>
    <row r="176" spans="1:33" ht="14.65" hidden="1" customHeight="1" outlineLevel="1" x14ac:dyDescent="0.25">
      <c r="A176" s="77" t="s">
        <v>249</v>
      </c>
      <c r="C176" s="63">
        <v>0</v>
      </c>
      <c r="D176" s="27">
        <v>0</v>
      </c>
      <c r="E176" s="27">
        <v>0</v>
      </c>
      <c r="F176" s="28">
        <f t="shared" ca="1" si="50"/>
        <v>0</v>
      </c>
      <c r="H176" s="63">
        <v>0</v>
      </c>
      <c r="I176" s="27">
        <v>0</v>
      </c>
      <c r="J176" s="27">
        <v>0</v>
      </c>
      <c r="K176" s="28">
        <f t="shared" ca="1" si="51"/>
        <v>0</v>
      </c>
      <c r="M176" s="63">
        <v>0</v>
      </c>
      <c r="N176" s="27">
        <v>0</v>
      </c>
      <c r="O176" s="27">
        <v>71596</v>
      </c>
      <c r="P176" s="28">
        <f t="shared" ca="1" si="52"/>
        <v>71596</v>
      </c>
      <c r="Q176" s="27"/>
      <c r="R176" s="63">
        <v>485254.11</v>
      </c>
      <c r="S176" s="27">
        <v>415863</v>
      </c>
      <c r="T176" s="27">
        <v>0.32000000000698492</v>
      </c>
      <c r="U176" s="28">
        <f t="shared" ca="1" si="45"/>
        <v>901117.42999999993</v>
      </c>
      <c r="V176" s="23"/>
      <c r="W176" s="63">
        <v>405276.94</v>
      </c>
      <c r="X176" s="27">
        <v>466129.5</v>
      </c>
      <c r="Y176" s="27">
        <v>1012500.8400000001</v>
      </c>
      <c r="Z176" s="28">
        <f t="shared" ca="1" si="46"/>
        <v>1883907.28</v>
      </c>
      <c r="AB176" s="63">
        <v>808312.67999999993</v>
      </c>
      <c r="AC176" s="27">
        <v>142446</v>
      </c>
      <c r="AD176" s="27">
        <v>0</v>
      </c>
      <c r="AE176" s="28">
        <f t="shared" ca="1" si="47"/>
        <v>950758.67999999993</v>
      </c>
      <c r="AG176" s="16"/>
    </row>
    <row r="177" spans="1:33" ht="15" hidden="1" customHeight="1" outlineLevel="1" thickBot="1" x14ac:dyDescent="0.3">
      <c r="A177" s="77" t="s">
        <v>250</v>
      </c>
      <c r="C177" s="63">
        <v>0</v>
      </c>
      <c r="D177" s="27">
        <v>0</v>
      </c>
      <c r="E177" s="27">
        <v>0</v>
      </c>
      <c r="F177" s="28">
        <f t="shared" ca="1" si="50"/>
        <v>0</v>
      </c>
      <c r="H177" s="63">
        <v>0</v>
      </c>
      <c r="I177" s="27">
        <v>0</v>
      </c>
      <c r="J177" s="27">
        <v>0</v>
      </c>
      <c r="K177" s="28">
        <f t="shared" ca="1" si="51"/>
        <v>0</v>
      </c>
      <c r="M177" s="63">
        <v>0</v>
      </c>
      <c r="N177" s="27">
        <v>0</v>
      </c>
      <c r="O177" s="27">
        <v>137902.28999999998</v>
      </c>
      <c r="P177" s="28">
        <f t="shared" ca="1" si="52"/>
        <v>137902.28999999998</v>
      </c>
      <c r="Q177" s="27"/>
      <c r="R177" s="63">
        <v>289125.54000000004</v>
      </c>
      <c r="S177" s="27">
        <v>435965.82</v>
      </c>
      <c r="T177" s="27">
        <v>747559.20000000007</v>
      </c>
      <c r="U177" s="28">
        <f t="shared" ca="1" si="45"/>
        <v>1472650.56</v>
      </c>
      <c r="V177" s="23"/>
      <c r="W177" s="63">
        <v>730315.05</v>
      </c>
      <c r="X177" s="27">
        <v>1413797.9600000002</v>
      </c>
      <c r="Y177" s="27">
        <v>964167.39</v>
      </c>
      <c r="Z177" s="28">
        <f t="shared" ca="1" si="46"/>
        <v>3108280.4000000004</v>
      </c>
      <c r="AB177" s="63">
        <v>1269311.3600000001</v>
      </c>
      <c r="AC177" s="27">
        <v>143431</v>
      </c>
      <c r="AD177" s="27">
        <v>0</v>
      </c>
      <c r="AE177" s="28">
        <f t="shared" ca="1" si="47"/>
        <v>1412742.36</v>
      </c>
      <c r="AG177" s="16"/>
    </row>
    <row r="178" spans="1:33" ht="15.75" collapsed="1" thickBot="1" x14ac:dyDescent="0.3">
      <c r="A178" s="67" t="s">
        <v>251</v>
      </c>
      <c r="C178" s="68">
        <f ca="1">SUM(C154,C119,C114)</f>
        <v>61739104.159999996</v>
      </c>
      <c r="D178" s="69">
        <f t="shared" ref="D178:P178" ca="1" si="53">SUM(D154,D119,D114)</f>
        <v>66487974.849999994</v>
      </c>
      <c r="E178" s="69">
        <f t="shared" ca="1" si="53"/>
        <v>70785948.739999995</v>
      </c>
      <c r="F178" s="70">
        <f t="shared" ca="1" si="53"/>
        <v>199013027.75</v>
      </c>
      <c r="H178" s="68">
        <f t="shared" ca="1" si="53"/>
        <v>91757320.88000001</v>
      </c>
      <c r="I178" s="69">
        <f t="shared" ca="1" si="53"/>
        <v>92151432.390000015</v>
      </c>
      <c r="J178" s="69">
        <f t="shared" ca="1" si="53"/>
        <v>80525480.560000002</v>
      </c>
      <c r="K178" s="70">
        <f t="shared" ca="1" si="53"/>
        <v>264434233.83000001</v>
      </c>
      <c r="M178" s="68">
        <f t="shared" ca="1" si="53"/>
        <v>121366267.92999999</v>
      </c>
      <c r="N178" s="69">
        <f t="shared" ca="1" si="53"/>
        <v>124622090.53999999</v>
      </c>
      <c r="O178" s="69">
        <f t="shared" ca="1" si="53"/>
        <v>131813553.97</v>
      </c>
      <c r="P178" s="70">
        <f t="shared" ca="1" si="53"/>
        <v>377801912.44</v>
      </c>
      <c r="Q178" s="71"/>
      <c r="R178" s="68">
        <f ca="1">SUM(R154,R119,R114)</f>
        <v>141940761.50999999</v>
      </c>
      <c r="S178" s="69">
        <f ca="1">SUM(S154,S119,S114)</f>
        <v>109910870.09000003</v>
      </c>
      <c r="T178" s="69">
        <f ca="1">SUM(T154,T119,T114)</f>
        <v>104420499.13999999</v>
      </c>
      <c r="U178" s="70">
        <f ca="1">SUM(U154,U119,U114)</f>
        <v>356272130.74000007</v>
      </c>
      <c r="V178" s="23"/>
      <c r="W178" s="68">
        <f ca="1">SUM(W154,W119,W114)</f>
        <v>130246620.49000001</v>
      </c>
      <c r="X178" s="69">
        <f ca="1">SUM(X154,X119,X114)</f>
        <v>125816977.47999999</v>
      </c>
      <c r="Y178" s="69">
        <f ca="1">SUM(Y154,Y119,Y114)</f>
        <v>103705207.90000001</v>
      </c>
      <c r="Z178" s="70">
        <f ca="1">SUM(Z154,Z119,Z114)</f>
        <v>359768805.87</v>
      </c>
      <c r="AB178" s="68">
        <f ca="1">SUM(AB154,AB119,AB114)</f>
        <v>109788689.34</v>
      </c>
      <c r="AC178" s="69">
        <f ca="1">SUM(AC154,AC119,AC114)</f>
        <v>17106405.689999998</v>
      </c>
      <c r="AD178" s="69">
        <f ca="1">SUM(AD154,AD119,AD114)</f>
        <v>0</v>
      </c>
      <c r="AE178" s="70">
        <f ca="1">SUM(AE154,AE119,AE114)</f>
        <v>126895095.03</v>
      </c>
      <c r="AG178" s="16"/>
    </row>
    <row r="179" spans="1:33" x14ac:dyDescent="0.25">
      <c r="A179" s="78" t="s">
        <v>252</v>
      </c>
      <c r="C179" s="63">
        <f ca="1">SUM(C180:C182)</f>
        <v>0</v>
      </c>
      <c r="D179" s="27">
        <f ca="1">SUM(D180:D182)</f>
        <v>0</v>
      </c>
      <c r="E179" s="27">
        <f ca="1">SUM(E180:E182)</f>
        <v>0</v>
      </c>
      <c r="F179" s="28">
        <f ca="1">SUM(F180:F182)</f>
        <v>0</v>
      </c>
      <c r="H179" s="63">
        <f ca="1">SUM(H180:H182)</f>
        <v>0</v>
      </c>
      <c r="I179" s="27">
        <f ca="1">SUM(I180:I182)</f>
        <v>447082.79000000004</v>
      </c>
      <c r="J179" s="27">
        <f ca="1">SUM(J180:J182)</f>
        <v>4657266.1800000006</v>
      </c>
      <c r="K179" s="28">
        <f ca="1">SUM(K180:K182)</f>
        <v>5104348.9700000007</v>
      </c>
      <c r="M179" s="63">
        <f ca="1">SUM(M180:M182)</f>
        <v>10513044.919999998</v>
      </c>
      <c r="N179" s="27">
        <f ca="1">SUM(N180:N182)</f>
        <v>11782879.08</v>
      </c>
      <c r="O179" s="27">
        <f ca="1">SUM(O180:O182)</f>
        <v>6258984.1299999999</v>
      </c>
      <c r="P179" s="28">
        <f t="shared" ref="P179:P184" ca="1" si="54">SUM(M179:O179)</f>
        <v>28554908.129999999</v>
      </c>
      <c r="Q179" s="27"/>
      <c r="R179" s="63">
        <f ca="1">SUM(R180:R182)</f>
        <v>14142432.82</v>
      </c>
      <c r="S179" s="27">
        <f ca="1">SUM(S180:S182)</f>
        <v>16828678.219999999</v>
      </c>
      <c r="T179" s="27">
        <f ca="1">SUM(T180:T182)</f>
        <v>11851701.67</v>
      </c>
      <c r="U179" s="28">
        <f t="shared" ref="U179:U184" ca="1" si="55">SUM(R179:T179)</f>
        <v>42822812.710000001</v>
      </c>
      <c r="V179" s="23"/>
      <c r="W179" s="63">
        <f ca="1">SUM(W180:W182)</f>
        <v>11289021.75</v>
      </c>
      <c r="X179" s="27">
        <f ca="1">SUM(X180:X182)</f>
        <v>7673540.6500000004</v>
      </c>
      <c r="Y179" s="27">
        <f ca="1">SUM(Y180:Y182)</f>
        <v>5251525.7200000007</v>
      </c>
      <c r="Z179" s="28">
        <f t="shared" ref="Z179:Z184" ca="1" si="56">SUM(W179:Y179)</f>
        <v>24214088.119999997</v>
      </c>
      <c r="AB179" s="63">
        <f ca="1">SUM(AB180:AB182)</f>
        <v>10856321.85</v>
      </c>
      <c r="AC179" s="27">
        <f ca="1">SUM(AC180:AC182)</f>
        <v>3290108.29</v>
      </c>
      <c r="AD179" s="27">
        <f ca="1">SUM(AD180:AD182)</f>
        <v>0</v>
      </c>
      <c r="AE179" s="28">
        <f t="shared" ref="AE179:AE184" ca="1" si="57">SUM(AB179:AD179)</f>
        <v>14146430.140000001</v>
      </c>
      <c r="AG179" s="16"/>
    </row>
    <row r="180" spans="1:33" ht="14.65" hidden="1" customHeight="1" outlineLevel="1" x14ac:dyDescent="0.25">
      <c r="A180" s="77" t="s">
        <v>253</v>
      </c>
      <c r="C180" s="63">
        <v>0</v>
      </c>
      <c r="D180" s="27">
        <v>0</v>
      </c>
      <c r="E180" s="27">
        <v>0</v>
      </c>
      <c r="F180" s="28">
        <f ca="1">SUM(C180:E180)</f>
        <v>0</v>
      </c>
      <c r="H180" s="63">
        <v>0</v>
      </c>
      <c r="I180" s="27">
        <v>114786.09000000001</v>
      </c>
      <c r="J180" s="27">
        <v>1350049.6800000002</v>
      </c>
      <c r="K180" s="28">
        <f ca="1">SUM(H180:J180)</f>
        <v>1464835.7700000003</v>
      </c>
      <c r="M180" s="63">
        <v>4570361.6599999983</v>
      </c>
      <c r="N180" s="27">
        <v>4880862.99</v>
      </c>
      <c r="O180" s="27">
        <v>2839864.29</v>
      </c>
      <c r="P180" s="28">
        <f t="shared" ca="1" si="54"/>
        <v>12291088.939999998</v>
      </c>
      <c r="Q180" s="27"/>
      <c r="R180" s="63">
        <v>4741298.45</v>
      </c>
      <c r="S180" s="27">
        <v>5997263.6899999985</v>
      </c>
      <c r="T180" s="27">
        <v>6219521.419999999</v>
      </c>
      <c r="U180" s="28">
        <f t="shared" ca="1" si="55"/>
        <v>16958083.559999999</v>
      </c>
      <c r="V180" s="23"/>
      <c r="W180" s="63">
        <v>4683467.919999999</v>
      </c>
      <c r="X180" s="27">
        <v>2757756.86</v>
      </c>
      <c r="Y180" s="27">
        <v>2667004.2800000007</v>
      </c>
      <c r="Z180" s="28">
        <f t="shared" ca="1" si="56"/>
        <v>10108229.060000001</v>
      </c>
      <c r="AB180" s="63">
        <v>5034287.26</v>
      </c>
      <c r="AC180" s="27">
        <v>675060.46</v>
      </c>
      <c r="AD180" s="27">
        <v>0</v>
      </c>
      <c r="AE180" s="28">
        <f t="shared" ca="1" si="57"/>
        <v>5709347.7199999997</v>
      </c>
      <c r="AG180" s="16"/>
    </row>
    <row r="181" spans="1:33" ht="14.65" hidden="1" customHeight="1" outlineLevel="1" x14ac:dyDescent="0.25">
      <c r="A181" s="77" t="s">
        <v>254</v>
      </c>
      <c r="C181" s="63">
        <v>0</v>
      </c>
      <c r="D181" s="27">
        <v>0</v>
      </c>
      <c r="E181" s="27">
        <v>0</v>
      </c>
      <c r="F181" s="28">
        <f ca="1">SUM(C181:E181)</f>
        <v>0</v>
      </c>
      <c r="H181" s="63">
        <v>0</v>
      </c>
      <c r="I181" s="27">
        <v>212501.44000000006</v>
      </c>
      <c r="J181" s="27">
        <v>1290933.1800000002</v>
      </c>
      <c r="K181" s="28">
        <f ca="1">SUM(H181:J181)</f>
        <v>1503434.62</v>
      </c>
      <c r="M181" s="63">
        <v>2416124.17</v>
      </c>
      <c r="N181" s="27">
        <v>3422123.7699999996</v>
      </c>
      <c r="O181" s="27">
        <v>1535831.6700000002</v>
      </c>
      <c r="P181" s="28">
        <f t="shared" ca="1" si="54"/>
        <v>7374079.6099999994</v>
      </c>
      <c r="Q181" s="27"/>
      <c r="R181" s="63">
        <v>5292415.2300000004</v>
      </c>
      <c r="S181" s="27">
        <v>5244343.6599999983</v>
      </c>
      <c r="T181" s="27">
        <v>3174593.17</v>
      </c>
      <c r="U181" s="28">
        <f t="shared" ca="1" si="55"/>
        <v>13711352.059999999</v>
      </c>
      <c r="V181" s="23"/>
      <c r="W181" s="63">
        <v>3597986.1999999997</v>
      </c>
      <c r="X181" s="27">
        <v>1882559.97</v>
      </c>
      <c r="Y181" s="27">
        <v>1816960.7300000002</v>
      </c>
      <c r="Z181" s="28">
        <f t="shared" ca="1" si="56"/>
        <v>7297506.9000000004</v>
      </c>
      <c r="AB181" s="63">
        <v>2442618.9299999997</v>
      </c>
      <c r="AC181" s="27">
        <v>1527958.73</v>
      </c>
      <c r="AD181" s="27">
        <v>0</v>
      </c>
      <c r="AE181" s="28">
        <f t="shared" ca="1" si="57"/>
        <v>3970577.6599999997</v>
      </c>
      <c r="AG181" s="16"/>
    </row>
    <row r="182" spans="1:33" ht="15" hidden="1" customHeight="1" outlineLevel="1" x14ac:dyDescent="0.25">
      <c r="A182" s="77" t="s">
        <v>255</v>
      </c>
      <c r="C182" s="63">
        <v>0</v>
      </c>
      <c r="D182" s="27">
        <v>0</v>
      </c>
      <c r="E182" s="27">
        <v>0</v>
      </c>
      <c r="F182" s="28">
        <f ca="1">SUM(C182:E182)</f>
        <v>0</v>
      </c>
      <c r="H182" s="63">
        <v>0</v>
      </c>
      <c r="I182" s="27">
        <v>119795.25999999992</v>
      </c>
      <c r="J182" s="27">
        <v>2016283.32</v>
      </c>
      <c r="K182" s="28">
        <f ca="1">SUM(H182:J182)</f>
        <v>2136078.58</v>
      </c>
      <c r="M182" s="63">
        <v>3526559.0900000008</v>
      </c>
      <c r="N182" s="27">
        <v>3479892.32</v>
      </c>
      <c r="O182" s="27">
        <v>1883288.17</v>
      </c>
      <c r="P182" s="28">
        <f t="shared" ca="1" si="54"/>
        <v>8889739.5800000001</v>
      </c>
      <c r="Q182" s="27"/>
      <c r="R182" s="63">
        <v>4108719.1399999997</v>
      </c>
      <c r="S182" s="27">
        <v>5587070.8700000001</v>
      </c>
      <c r="T182" s="27">
        <v>2457587.0799999996</v>
      </c>
      <c r="U182" s="28">
        <f t="shared" ca="1" si="55"/>
        <v>12153377.09</v>
      </c>
      <c r="V182" s="23"/>
      <c r="W182" s="63">
        <v>3007567.63</v>
      </c>
      <c r="X182" s="27">
        <v>3033223.8200000003</v>
      </c>
      <c r="Y182" s="27">
        <v>767560.71</v>
      </c>
      <c r="Z182" s="28">
        <f t="shared" ca="1" si="56"/>
        <v>6808352.1600000001</v>
      </c>
      <c r="AB182" s="63">
        <v>3379415.6600000006</v>
      </c>
      <c r="AC182" s="27">
        <v>1087089.1000000001</v>
      </c>
      <c r="AD182" s="27">
        <v>0</v>
      </c>
      <c r="AE182" s="28">
        <f t="shared" ca="1" si="57"/>
        <v>4466504.7600000007</v>
      </c>
      <c r="AG182" s="16"/>
    </row>
    <row r="183" spans="1:33" ht="15.75" collapsed="1" thickBot="1" x14ac:dyDescent="0.3">
      <c r="A183" s="78" t="s">
        <v>256</v>
      </c>
      <c r="C183" s="63">
        <f ca="1">SUM(C184:C187)</f>
        <v>0</v>
      </c>
      <c r="D183" s="27">
        <f t="shared" ref="D183:K183" ca="1" si="58">SUM(D184:D187)</f>
        <v>0</v>
      </c>
      <c r="E183" s="27">
        <f t="shared" ca="1" si="58"/>
        <v>0</v>
      </c>
      <c r="F183" s="28">
        <f t="shared" ca="1" si="58"/>
        <v>0</v>
      </c>
      <c r="H183" s="63">
        <f t="shared" ca="1" si="58"/>
        <v>0</v>
      </c>
      <c r="I183" s="27">
        <f t="shared" ca="1" si="58"/>
        <v>0</v>
      </c>
      <c r="J183" s="27">
        <f t="shared" ca="1" si="58"/>
        <v>0</v>
      </c>
      <c r="K183" s="28">
        <f t="shared" ca="1" si="58"/>
        <v>0</v>
      </c>
      <c r="M183" s="63">
        <f ca="1">SUM(M184:M187)</f>
        <v>0</v>
      </c>
      <c r="N183" s="27">
        <f ca="1">SUM(N184:N187)</f>
        <v>0</v>
      </c>
      <c r="O183" s="27">
        <f ca="1">SUM(O184:O187)</f>
        <v>0</v>
      </c>
      <c r="P183" s="28">
        <f t="shared" ca="1" si="54"/>
        <v>0</v>
      </c>
      <c r="Q183" s="27"/>
      <c r="R183" s="63">
        <f ca="1">SUM(R184:R187)</f>
        <v>0</v>
      </c>
      <c r="S183" s="27">
        <f ca="1">SUM(S184:S187)</f>
        <v>463419.57000000007</v>
      </c>
      <c r="T183" s="27">
        <f ca="1">SUM(T184:T187)</f>
        <v>864643.09</v>
      </c>
      <c r="U183" s="28">
        <f t="shared" ca="1" si="55"/>
        <v>1328062.6600000001</v>
      </c>
      <c r="V183" s="23"/>
      <c r="W183" s="63">
        <f ca="1">SUM(W184:W187)</f>
        <v>1526492.36</v>
      </c>
      <c r="X183" s="27">
        <f ca="1">SUM(X184:X187)</f>
        <v>2009106.35</v>
      </c>
      <c r="Y183" s="27">
        <f ca="1">SUM(Y184:Y187)</f>
        <v>1980319.57</v>
      </c>
      <c r="Z183" s="28">
        <f t="shared" ca="1" si="56"/>
        <v>5515918.2800000003</v>
      </c>
      <c r="AB183" s="63">
        <f ca="1">SUM(AB184:AB187)</f>
        <v>2312417.96</v>
      </c>
      <c r="AC183" s="27">
        <f ca="1">SUM(AC184:AC187)</f>
        <v>493735.35</v>
      </c>
      <c r="AD183" s="27">
        <f ca="1">SUM(AD184:AD187)</f>
        <v>0</v>
      </c>
      <c r="AE183" s="28">
        <f t="shared" ca="1" si="57"/>
        <v>2806153.31</v>
      </c>
      <c r="AG183" s="16"/>
    </row>
    <row r="184" spans="1:33" ht="14.65" hidden="1" customHeight="1" outlineLevel="1" x14ac:dyDescent="0.25">
      <c r="A184" s="77" t="s">
        <v>257</v>
      </c>
      <c r="C184" s="63">
        <v>0</v>
      </c>
      <c r="D184" s="27">
        <v>0</v>
      </c>
      <c r="E184" s="27">
        <v>0</v>
      </c>
      <c r="F184" s="28">
        <f ca="1">SUM(C184:E184)</f>
        <v>0</v>
      </c>
      <c r="H184" s="63">
        <v>0</v>
      </c>
      <c r="I184" s="27">
        <v>0</v>
      </c>
      <c r="J184" s="27">
        <v>0</v>
      </c>
      <c r="K184" s="28">
        <f ca="1">SUM(H184:J184)</f>
        <v>0</v>
      </c>
      <c r="M184" s="63">
        <v>0</v>
      </c>
      <c r="N184" s="27">
        <v>0</v>
      </c>
      <c r="O184" s="27">
        <v>0</v>
      </c>
      <c r="P184" s="28">
        <f t="shared" ca="1" si="54"/>
        <v>0</v>
      </c>
      <c r="Q184" s="27"/>
      <c r="R184" s="63">
        <v>0</v>
      </c>
      <c r="S184" s="27">
        <v>463418.55000000005</v>
      </c>
      <c r="T184" s="27">
        <v>736076.49</v>
      </c>
      <c r="U184" s="28">
        <f t="shared" ca="1" si="55"/>
        <v>1199495.04</v>
      </c>
      <c r="V184" s="23"/>
      <c r="W184" s="63">
        <v>893501.58000000007</v>
      </c>
      <c r="X184" s="27">
        <v>403547.68</v>
      </c>
      <c r="Y184" s="27">
        <v>739496.01</v>
      </c>
      <c r="Z184" s="28">
        <f t="shared" ca="1" si="56"/>
        <v>2036545.27</v>
      </c>
      <c r="AB184" s="63">
        <v>1131456.8899999999</v>
      </c>
      <c r="AC184" s="27">
        <v>367662.43</v>
      </c>
      <c r="AD184" s="27">
        <v>0</v>
      </c>
      <c r="AE184" s="28">
        <f t="shared" ca="1" si="57"/>
        <v>1499119.3199999998</v>
      </c>
      <c r="AG184" s="16"/>
    </row>
    <row r="185" spans="1:33" ht="14.65" hidden="1" customHeight="1" outlineLevel="1" x14ac:dyDescent="0.25">
      <c r="A185" s="77" t="s">
        <v>258</v>
      </c>
      <c r="C185" s="63">
        <v>0</v>
      </c>
      <c r="D185" s="27">
        <v>0</v>
      </c>
      <c r="E185" s="27">
        <v>0</v>
      </c>
      <c r="F185" s="28">
        <f ca="1">SUM(C185:E185)</f>
        <v>0</v>
      </c>
      <c r="H185" s="63">
        <v>0</v>
      </c>
      <c r="I185" s="27">
        <v>0</v>
      </c>
      <c r="J185" s="27">
        <v>0</v>
      </c>
      <c r="K185" s="28">
        <f ca="1">SUM(H185:J185)</f>
        <v>0</v>
      </c>
      <c r="M185" s="63">
        <v>0</v>
      </c>
      <c r="N185" s="27">
        <v>0</v>
      </c>
      <c r="O185" s="27">
        <v>0</v>
      </c>
      <c r="P185" s="28">
        <f ca="1">SUM(M185:O185)</f>
        <v>0</v>
      </c>
      <c r="Q185" s="27"/>
      <c r="R185" s="63">
        <v>0</v>
      </c>
      <c r="S185" s="27">
        <v>0</v>
      </c>
      <c r="T185" s="27">
        <v>0</v>
      </c>
      <c r="U185" s="28">
        <f ca="1">SUM(R185:T185)</f>
        <v>0</v>
      </c>
      <c r="V185" s="23"/>
      <c r="W185" s="63">
        <v>0</v>
      </c>
      <c r="X185" s="27">
        <v>0</v>
      </c>
      <c r="Y185" s="27">
        <v>0</v>
      </c>
      <c r="Z185" s="28">
        <f ca="1">SUM(W185:Y185)</f>
        <v>0</v>
      </c>
      <c r="AB185" s="63">
        <v>0</v>
      </c>
      <c r="AC185" s="27">
        <v>0</v>
      </c>
      <c r="AD185" s="27">
        <v>0</v>
      </c>
      <c r="AE185" s="28">
        <f ca="1">SUM(AB185:AD185)</f>
        <v>0</v>
      </c>
      <c r="AG185" s="16"/>
    </row>
    <row r="186" spans="1:33" ht="14.65" hidden="1" customHeight="1" outlineLevel="1" x14ac:dyDescent="0.25">
      <c r="A186" s="77" t="s">
        <v>259</v>
      </c>
      <c r="C186" s="63">
        <v>0</v>
      </c>
      <c r="D186" s="27">
        <v>0</v>
      </c>
      <c r="E186" s="27">
        <v>0</v>
      </c>
      <c r="F186" s="28">
        <f ca="1">SUM(C186:E186)</f>
        <v>0</v>
      </c>
      <c r="H186" s="63">
        <v>0</v>
      </c>
      <c r="I186" s="27">
        <v>0</v>
      </c>
      <c r="J186" s="27">
        <v>0</v>
      </c>
      <c r="K186" s="28">
        <f ca="1">SUM(H186:J186)</f>
        <v>0</v>
      </c>
      <c r="M186" s="63">
        <v>0</v>
      </c>
      <c r="N186" s="27">
        <v>0</v>
      </c>
      <c r="O186" s="27">
        <v>0</v>
      </c>
      <c r="P186" s="28">
        <f ca="1">SUM(M186:O186)</f>
        <v>0</v>
      </c>
      <c r="Q186" s="27"/>
      <c r="R186" s="63">
        <v>0</v>
      </c>
      <c r="S186" s="27">
        <v>1.0199999999895226</v>
      </c>
      <c r="T186" s="27">
        <v>128566.59999999999</v>
      </c>
      <c r="U186" s="28">
        <f ca="1">SUM(R186:T186)</f>
        <v>128567.61999999998</v>
      </c>
      <c r="V186" s="23"/>
      <c r="W186" s="63">
        <v>504283.04000000004</v>
      </c>
      <c r="X186" s="27">
        <v>983869.63000000012</v>
      </c>
      <c r="Y186" s="27">
        <v>939469.56</v>
      </c>
      <c r="Z186" s="28">
        <f ca="1">SUM(W186:Y186)</f>
        <v>2427622.2300000004</v>
      </c>
      <c r="AB186" s="63">
        <v>849380.48</v>
      </c>
      <c r="AC186" s="27">
        <v>126072.92000000001</v>
      </c>
      <c r="AD186" s="27">
        <v>0</v>
      </c>
      <c r="AE186" s="28">
        <f ca="1">SUM(AB186:AD186)</f>
        <v>975453.4</v>
      </c>
      <c r="AG186" s="16"/>
    </row>
    <row r="187" spans="1:33" ht="15" hidden="1" customHeight="1" outlineLevel="1" thickBot="1" x14ac:dyDescent="0.3">
      <c r="A187" s="77" t="s">
        <v>260</v>
      </c>
      <c r="C187" s="63">
        <v>0</v>
      </c>
      <c r="D187" s="27">
        <v>0</v>
      </c>
      <c r="E187" s="27">
        <v>0</v>
      </c>
      <c r="F187" s="28">
        <f ca="1">SUM(C187:E187)</f>
        <v>0</v>
      </c>
      <c r="H187" s="63">
        <v>0</v>
      </c>
      <c r="I187" s="27">
        <v>0</v>
      </c>
      <c r="J187" s="27">
        <v>0</v>
      </c>
      <c r="K187" s="28">
        <f ca="1">SUM(H187:J187)</f>
        <v>0</v>
      </c>
      <c r="M187" s="63">
        <v>0</v>
      </c>
      <c r="N187" s="27">
        <v>0</v>
      </c>
      <c r="O187" s="27">
        <v>0</v>
      </c>
      <c r="P187" s="28">
        <f ca="1">SUM(M187:O187)</f>
        <v>0</v>
      </c>
      <c r="Q187" s="27"/>
      <c r="R187" s="63">
        <v>0</v>
      </c>
      <c r="S187" s="27">
        <v>0</v>
      </c>
      <c r="T187" s="27">
        <v>0</v>
      </c>
      <c r="U187" s="28">
        <f ca="1">SUM(R187:T187)</f>
        <v>0</v>
      </c>
      <c r="V187" s="23"/>
      <c r="W187" s="63">
        <v>128707.74000000002</v>
      </c>
      <c r="X187" s="27">
        <v>621689.03999999992</v>
      </c>
      <c r="Y187" s="27">
        <v>301354</v>
      </c>
      <c r="Z187" s="28">
        <f ca="1">SUM(W187:Y187)</f>
        <v>1051750.7799999998</v>
      </c>
      <c r="AB187" s="63">
        <v>331580.59000000003</v>
      </c>
      <c r="AC187" s="27">
        <v>0</v>
      </c>
      <c r="AD187" s="27">
        <v>0</v>
      </c>
      <c r="AE187" s="28">
        <f ca="1">SUM(AB187:AD187)</f>
        <v>331580.59000000003</v>
      </c>
      <c r="AG187" s="16"/>
    </row>
    <row r="188" spans="1:33" ht="15.75" collapsed="1" thickBot="1" x14ac:dyDescent="0.3">
      <c r="A188" s="67" t="s">
        <v>261</v>
      </c>
      <c r="C188" s="68">
        <f ca="1">SUM(C183,C179)</f>
        <v>0</v>
      </c>
      <c r="D188" s="69">
        <f t="shared" ref="D188:U188" ca="1" si="59">SUM(D183,D179)</f>
        <v>0</v>
      </c>
      <c r="E188" s="69">
        <f t="shared" ca="1" si="59"/>
        <v>0</v>
      </c>
      <c r="F188" s="70">
        <f t="shared" ca="1" si="59"/>
        <v>0</v>
      </c>
      <c r="G188">
        <f t="shared" ca="1" si="59"/>
        <v>0</v>
      </c>
      <c r="H188" s="68">
        <f t="shared" ca="1" si="59"/>
        <v>0</v>
      </c>
      <c r="I188" s="69">
        <f t="shared" ca="1" si="59"/>
        <v>447082.79000000004</v>
      </c>
      <c r="J188" s="69">
        <f t="shared" ca="1" si="59"/>
        <v>4657266.1800000006</v>
      </c>
      <c r="K188" s="70">
        <f t="shared" ca="1" si="59"/>
        <v>5104348.9700000007</v>
      </c>
      <c r="L188">
        <f t="shared" ca="1" si="59"/>
        <v>0</v>
      </c>
      <c r="M188" s="68">
        <f t="shared" ca="1" si="59"/>
        <v>10513044.919999998</v>
      </c>
      <c r="N188" s="69">
        <f t="shared" ca="1" si="59"/>
        <v>11782879.08</v>
      </c>
      <c r="O188" s="69">
        <f t="shared" ca="1" si="59"/>
        <v>6258984.1299999999</v>
      </c>
      <c r="P188" s="70">
        <f t="shared" ca="1" si="59"/>
        <v>28554908.129999999</v>
      </c>
      <c r="Q188" s="71">
        <f t="shared" ca="1" si="59"/>
        <v>0</v>
      </c>
      <c r="R188" s="68">
        <f t="shared" ca="1" si="59"/>
        <v>14142432.82</v>
      </c>
      <c r="S188" s="69">
        <f t="shared" ca="1" si="59"/>
        <v>17292097.789999999</v>
      </c>
      <c r="T188" s="69">
        <f t="shared" ca="1" si="59"/>
        <v>12716344.76</v>
      </c>
      <c r="U188" s="70">
        <f t="shared" ca="1" si="59"/>
        <v>44150875.370000005</v>
      </c>
      <c r="V188" s="23"/>
      <c r="W188" s="68">
        <f ca="1">SUM(W183,W179)</f>
        <v>12815514.109999999</v>
      </c>
      <c r="X188" s="69">
        <f ca="1">SUM(X183,X179)</f>
        <v>9682647</v>
      </c>
      <c r="Y188" s="69">
        <f ca="1">SUM(Y183,Y179)</f>
        <v>7231845.290000001</v>
      </c>
      <c r="Z188" s="70">
        <f ca="1">SUM(Z183,Z179)</f>
        <v>29730006.399999999</v>
      </c>
      <c r="AB188" s="68">
        <f ca="1">SUM(AB183,AB179)</f>
        <v>13168739.809999999</v>
      </c>
      <c r="AC188" s="69">
        <f ca="1">SUM(AC183,AC179)</f>
        <v>3783843.64</v>
      </c>
      <c r="AD188" s="69">
        <f ca="1">SUM(AD183,AD179)</f>
        <v>0</v>
      </c>
      <c r="AE188" s="70">
        <f ca="1">SUM(AE183,AE179)</f>
        <v>16952583.449999999</v>
      </c>
      <c r="AG188" s="16"/>
    </row>
    <row r="189" spans="1:33" ht="15.75" thickBot="1" x14ac:dyDescent="0.3">
      <c r="A189" s="66" t="s">
        <v>262</v>
      </c>
      <c r="C189" s="63">
        <f ca="1">SUM(C190:C196)</f>
        <v>0</v>
      </c>
      <c r="D189" s="27">
        <f t="shared" ref="D189:P189" ca="1" si="60">SUM(D190:D196)</f>
        <v>0</v>
      </c>
      <c r="E189" s="27">
        <f t="shared" ca="1" si="60"/>
        <v>0</v>
      </c>
      <c r="F189" s="28">
        <f ca="1">SUM(F190:F196)</f>
        <v>0</v>
      </c>
      <c r="G189">
        <f t="shared" ca="1" si="60"/>
        <v>0</v>
      </c>
      <c r="H189" s="63">
        <f t="shared" ca="1" si="60"/>
        <v>0</v>
      </c>
      <c r="I189" s="27">
        <f t="shared" ca="1" si="60"/>
        <v>812704.12000000023</v>
      </c>
      <c r="J189" s="27">
        <f t="shared" ca="1" si="60"/>
        <v>10523670.679999998</v>
      </c>
      <c r="K189" s="28">
        <f t="shared" ca="1" si="60"/>
        <v>11336374.799999999</v>
      </c>
      <c r="L189">
        <f t="shared" ca="1" si="60"/>
        <v>0</v>
      </c>
      <c r="M189" s="63">
        <f t="shared" ca="1" si="60"/>
        <v>20124276.390000001</v>
      </c>
      <c r="N189" s="27">
        <f t="shared" ca="1" si="60"/>
        <v>25779220</v>
      </c>
      <c r="O189" s="27">
        <f t="shared" ca="1" si="60"/>
        <v>28966072.5</v>
      </c>
      <c r="P189" s="28">
        <f t="shared" ca="1" si="60"/>
        <v>74869568.890000015</v>
      </c>
      <c r="Q189" s="27"/>
      <c r="R189" s="63">
        <f ca="1">SUM(R190:R196)</f>
        <v>28880107.149999999</v>
      </c>
      <c r="S189" s="27">
        <f ca="1">SUM(S190:S196)</f>
        <v>29717274.900000002</v>
      </c>
      <c r="T189" s="27">
        <f ca="1">SUM(T190:T196)</f>
        <v>34319199.190000005</v>
      </c>
      <c r="U189" s="28">
        <f ca="1">SUM(U190:U196)</f>
        <v>92916581.24000001</v>
      </c>
      <c r="V189" s="23"/>
      <c r="W189" s="63">
        <f ca="1">SUM(W190:W196)</f>
        <v>25685577.659999996</v>
      </c>
      <c r="X189" s="27">
        <f ca="1">SUM(X190:X196)</f>
        <v>36135575.539999999</v>
      </c>
      <c r="Y189" s="27">
        <f ca="1">SUM(Y190:Y196)</f>
        <v>20480499.800000001</v>
      </c>
      <c r="Z189" s="28">
        <f ca="1">SUM(Z190:Z196)</f>
        <v>82301653</v>
      </c>
      <c r="AB189" s="63">
        <f ca="1">SUM(AB190:AB196)</f>
        <v>25848510.000000004</v>
      </c>
      <c r="AC189" s="27">
        <f ca="1">SUM(AC190:AC196)</f>
        <v>8005813.290000001</v>
      </c>
      <c r="AD189" s="27">
        <f ca="1">SUM(AD190:AD196)</f>
        <v>0</v>
      </c>
      <c r="AE189" s="28">
        <f ca="1">SUM(AE190:AE196)</f>
        <v>33854323.289999999</v>
      </c>
      <c r="AG189" s="16"/>
    </row>
    <row r="190" spans="1:33" ht="14.65" hidden="1" customHeight="1" outlineLevel="1" x14ac:dyDescent="0.25">
      <c r="A190" s="64" t="s">
        <v>263</v>
      </c>
      <c r="C190" s="63">
        <v>0</v>
      </c>
      <c r="D190" s="27">
        <v>0</v>
      </c>
      <c r="E190" s="27">
        <v>0</v>
      </c>
      <c r="F190" s="28">
        <f t="shared" ref="F190:F196" ca="1" si="61">SUM(C190:E190)</f>
        <v>0</v>
      </c>
      <c r="H190" s="63">
        <v>0</v>
      </c>
      <c r="I190" s="27">
        <v>0</v>
      </c>
      <c r="J190" s="27">
        <v>662574.55000000005</v>
      </c>
      <c r="K190" s="28">
        <f t="shared" ref="K190:K196" ca="1" si="62">SUM(H190:J190)</f>
        <v>662574.55000000005</v>
      </c>
      <c r="M190" s="63">
        <v>5659001.7699999996</v>
      </c>
      <c r="N190" s="27">
        <v>6795108.3600000013</v>
      </c>
      <c r="O190" s="27">
        <v>12903269.15</v>
      </c>
      <c r="P190" s="28">
        <f t="shared" ref="P190:P196" ca="1" si="63">SUM(M190:O190)</f>
        <v>25357379.280000001</v>
      </c>
      <c r="Q190" s="27"/>
      <c r="R190" s="63">
        <v>6731364.7799999984</v>
      </c>
      <c r="S190" s="27">
        <v>4446737.82</v>
      </c>
      <c r="T190" s="27">
        <v>3522786.1800000011</v>
      </c>
      <c r="U190" s="28">
        <f t="shared" ref="U190:U196" ca="1" si="64">SUM(R190:T190)</f>
        <v>14700888.779999999</v>
      </c>
      <c r="V190" s="23"/>
      <c r="W190" s="63">
        <v>1748118.41</v>
      </c>
      <c r="X190" s="27">
        <v>1433112.8900000001</v>
      </c>
      <c r="Y190" s="27">
        <v>1730328.33</v>
      </c>
      <c r="Z190" s="28">
        <f t="shared" ref="Z190:Z196" ca="1" si="65">SUM(W190:Y190)</f>
        <v>4911559.63</v>
      </c>
      <c r="AB190" s="63">
        <v>715610.15999999992</v>
      </c>
      <c r="AC190" s="27">
        <v>413438.03</v>
      </c>
      <c r="AD190" s="27">
        <v>0</v>
      </c>
      <c r="AE190" s="28">
        <f t="shared" ref="AE190:AE196" ca="1" si="66">SUM(AB190:AD190)</f>
        <v>1129048.19</v>
      </c>
      <c r="AG190" s="16"/>
    </row>
    <row r="191" spans="1:33" ht="15" hidden="1" customHeight="1" outlineLevel="1" x14ac:dyDescent="0.25">
      <c r="A191" s="64" t="s">
        <v>264</v>
      </c>
      <c r="C191" s="63">
        <v>0</v>
      </c>
      <c r="D191" s="27">
        <v>0</v>
      </c>
      <c r="E191" s="27">
        <v>0</v>
      </c>
      <c r="F191" s="28">
        <f t="shared" ca="1" si="61"/>
        <v>0</v>
      </c>
      <c r="H191" s="63">
        <v>0</v>
      </c>
      <c r="I191" s="27">
        <v>812704.12000000023</v>
      </c>
      <c r="J191" s="27">
        <v>9861096.1299999971</v>
      </c>
      <c r="K191" s="28">
        <f t="shared" ca="1" si="62"/>
        <v>10673800.249999998</v>
      </c>
      <c r="M191" s="63">
        <v>14465274.620000003</v>
      </c>
      <c r="N191" s="27">
        <v>18759088.289999999</v>
      </c>
      <c r="O191" s="27">
        <v>10590201.110000001</v>
      </c>
      <c r="P191" s="28">
        <f t="shared" ca="1" si="63"/>
        <v>43814564.020000003</v>
      </c>
      <c r="Q191" s="27"/>
      <c r="R191" s="63">
        <v>8314693.46</v>
      </c>
      <c r="S191" s="27">
        <v>7362520.6800000006</v>
      </c>
      <c r="T191" s="27">
        <v>5733629.5200000005</v>
      </c>
      <c r="U191" s="28">
        <f t="shared" ca="1" si="64"/>
        <v>21410843.66</v>
      </c>
      <c r="V191" s="23"/>
      <c r="W191" s="63">
        <v>1788782.1099999999</v>
      </c>
      <c r="X191" s="27">
        <v>4038246.3</v>
      </c>
      <c r="Y191" s="27">
        <v>1663241.2400000002</v>
      </c>
      <c r="Z191" s="28">
        <f t="shared" ca="1" si="65"/>
        <v>7490269.6500000004</v>
      </c>
      <c r="AB191" s="63">
        <v>7125801.870000001</v>
      </c>
      <c r="AC191" s="27">
        <v>5314798.4200000009</v>
      </c>
      <c r="AD191" s="27">
        <v>0</v>
      </c>
      <c r="AE191" s="28">
        <f t="shared" ca="1" si="66"/>
        <v>12440600.290000003</v>
      </c>
      <c r="AG191" s="16"/>
    </row>
    <row r="192" spans="1:33" ht="15" hidden="1" customHeight="1" outlineLevel="1" x14ac:dyDescent="0.25">
      <c r="A192" s="64" t="s">
        <v>265</v>
      </c>
      <c r="C192" s="63">
        <v>0</v>
      </c>
      <c r="D192" s="27">
        <v>0</v>
      </c>
      <c r="E192" s="27">
        <v>0</v>
      </c>
      <c r="F192" s="28">
        <f t="shared" ca="1" si="61"/>
        <v>0</v>
      </c>
      <c r="H192" s="63">
        <v>0</v>
      </c>
      <c r="I192" s="27">
        <v>0</v>
      </c>
      <c r="J192" s="27">
        <v>0</v>
      </c>
      <c r="K192" s="28">
        <f t="shared" ca="1" si="62"/>
        <v>0</v>
      </c>
      <c r="M192" s="63">
        <v>0</v>
      </c>
      <c r="N192" s="27">
        <v>225023.34999999998</v>
      </c>
      <c r="O192" s="27">
        <v>5471374.8100000005</v>
      </c>
      <c r="P192" s="28">
        <f t="shared" ca="1" si="63"/>
        <v>5696398.1600000001</v>
      </c>
      <c r="Q192" s="27"/>
      <c r="R192" s="63">
        <v>10804227.100000001</v>
      </c>
      <c r="S192" s="27">
        <v>11574495.959999999</v>
      </c>
      <c r="T192" s="27">
        <v>8055182.4400000013</v>
      </c>
      <c r="U192" s="28">
        <f t="shared" ca="1" si="64"/>
        <v>30433905.500000004</v>
      </c>
      <c r="V192" s="23"/>
      <c r="W192" s="63">
        <v>1993359.5599999998</v>
      </c>
      <c r="X192" s="27">
        <v>1724725.9</v>
      </c>
      <c r="Y192" s="27">
        <v>2544562.54</v>
      </c>
      <c r="Z192" s="28">
        <f t="shared" ca="1" si="65"/>
        <v>6262648</v>
      </c>
      <c r="AB192" s="63">
        <v>1953756.07</v>
      </c>
      <c r="AC192" s="27">
        <v>142816</v>
      </c>
      <c r="AD192" s="27">
        <v>0</v>
      </c>
      <c r="AE192" s="28">
        <f t="shared" ca="1" si="66"/>
        <v>2096572.07</v>
      </c>
      <c r="AG192" s="16"/>
    </row>
    <row r="193" spans="1:33" ht="15" hidden="1" customHeight="1" outlineLevel="1" x14ac:dyDescent="0.25">
      <c r="A193" s="64" t="s">
        <v>266</v>
      </c>
      <c r="C193" s="63">
        <v>0</v>
      </c>
      <c r="D193" s="27">
        <v>0</v>
      </c>
      <c r="E193" s="27">
        <v>0</v>
      </c>
      <c r="F193" s="28">
        <f t="shared" ca="1" si="61"/>
        <v>0</v>
      </c>
      <c r="H193" s="63">
        <v>0</v>
      </c>
      <c r="I193" s="27">
        <v>0</v>
      </c>
      <c r="J193" s="27">
        <v>0</v>
      </c>
      <c r="K193" s="28">
        <f t="shared" ca="1" si="62"/>
        <v>0</v>
      </c>
      <c r="M193" s="63">
        <v>0</v>
      </c>
      <c r="N193" s="27">
        <v>0</v>
      </c>
      <c r="O193" s="27">
        <v>1227.4300000000512</v>
      </c>
      <c r="P193" s="28">
        <f t="shared" ca="1" si="63"/>
        <v>1227.4300000000512</v>
      </c>
      <c r="Q193" s="27"/>
      <c r="R193" s="63">
        <v>3029821.81</v>
      </c>
      <c r="S193" s="27">
        <v>6333514.620000001</v>
      </c>
      <c r="T193" s="27">
        <v>12064400.59</v>
      </c>
      <c r="U193" s="28">
        <f t="shared" ca="1" si="64"/>
        <v>21427737.020000003</v>
      </c>
      <c r="V193" s="23"/>
      <c r="W193" s="63">
        <v>12160370.41</v>
      </c>
      <c r="X193" s="27">
        <v>7476664.209999999</v>
      </c>
      <c r="Y193" s="27">
        <v>1577163.31</v>
      </c>
      <c r="Z193" s="28">
        <f t="shared" ca="1" si="65"/>
        <v>21214197.929999996</v>
      </c>
      <c r="AB193" s="63">
        <v>1691912.39</v>
      </c>
      <c r="AC193" s="27">
        <v>192134.5</v>
      </c>
      <c r="AD193" s="27">
        <v>0</v>
      </c>
      <c r="AE193" s="28">
        <f t="shared" ca="1" si="66"/>
        <v>1884046.89</v>
      </c>
      <c r="AG193" s="16"/>
    </row>
    <row r="194" spans="1:33" ht="15" hidden="1" customHeight="1" outlineLevel="1" x14ac:dyDescent="0.25">
      <c r="A194" s="64" t="s">
        <v>267</v>
      </c>
      <c r="C194" s="63">
        <v>0</v>
      </c>
      <c r="D194" s="27">
        <v>0</v>
      </c>
      <c r="E194" s="27">
        <v>0</v>
      </c>
      <c r="F194" s="28">
        <f t="shared" ca="1" si="61"/>
        <v>0</v>
      </c>
      <c r="H194" s="63">
        <v>0</v>
      </c>
      <c r="I194" s="27">
        <v>0</v>
      </c>
      <c r="J194" s="27">
        <v>0</v>
      </c>
      <c r="K194" s="28">
        <f ca="1">SUM(H194:J194)</f>
        <v>0</v>
      </c>
      <c r="M194" s="63">
        <v>0</v>
      </c>
      <c r="N194" s="27">
        <v>0</v>
      </c>
      <c r="O194" s="27">
        <v>0</v>
      </c>
      <c r="P194" s="28">
        <f ca="1">SUM(M194:O194)</f>
        <v>0</v>
      </c>
      <c r="Q194" s="27"/>
      <c r="R194" s="63">
        <v>0</v>
      </c>
      <c r="S194" s="27">
        <v>0</v>
      </c>
      <c r="T194" s="27">
        <v>0.58000000007450581</v>
      </c>
      <c r="U194" s="28">
        <f ca="1">SUM(R194:T194)</f>
        <v>0.58000000007450581</v>
      </c>
      <c r="V194" s="23"/>
      <c r="W194" s="63">
        <v>664636.09000000008</v>
      </c>
      <c r="X194" s="27">
        <v>5351594.99</v>
      </c>
      <c r="Y194" s="27">
        <v>1489862.4800000002</v>
      </c>
      <c r="Z194" s="28">
        <f t="shared" ca="1" si="65"/>
        <v>7506093.5600000005</v>
      </c>
      <c r="AB194" s="63">
        <v>4006907</v>
      </c>
      <c r="AC194" s="27">
        <v>0</v>
      </c>
      <c r="AD194" s="27">
        <v>0</v>
      </c>
      <c r="AE194" s="28">
        <f t="shared" ca="1" si="66"/>
        <v>4006907</v>
      </c>
      <c r="AG194" s="16"/>
    </row>
    <row r="195" spans="1:33" ht="15" hidden="1" customHeight="1" outlineLevel="1" x14ac:dyDescent="0.25">
      <c r="A195" s="64" t="s">
        <v>268</v>
      </c>
      <c r="C195" s="63">
        <v>0</v>
      </c>
      <c r="D195" s="27">
        <v>0</v>
      </c>
      <c r="E195" s="27">
        <v>0</v>
      </c>
      <c r="F195" s="28">
        <f t="shared" ca="1" si="61"/>
        <v>0</v>
      </c>
      <c r="H195" s="63">
        <v>0</v>
      </c>
      <c r="I195" s="27">
        <v>0</v>
      </c>
      <c r="J195" s="27">
        <v>0</v>
      </c>
      <c r="K195" s="28">
        <f t="shared" ca="1" si="62"/>
        <v>0</v>
      </c>
      <c r="M195" s="63">
        <v>0</v>
      </c>
      <c r="N195" s="27">
        <v>0</v>
      </c>
      <c r="O195" s="27">
        <v>0</v>
      </c>
      <c r="P195" s="28">
        <f t="shared" ca="1" si="63"/>
        <v>0</v>
      </c>
      <c r="Q195" s="27"/>
      <c r="R195" s="63">
        <v>0</v>
      </c>
      <c r="S195" s="27">
        <v>0</v>
      </c>
      <c r="T195" s="27">
        <v>4781.0299999999988</v>
      </c>
      <c r="U195" s="28">
        <f t="shared" ca="1" si="64"/>
        <v>4781.0299999999988</v>
      </c>
      <c r="V195" s="23"/>
      <c r="W195" s="63">
        <v>1910644.4500000002</v>
      </c>
      <c r="X195" s="27">
        <v>1861235.2999999998</v>
      </c>
      <c r="Y195" s="27">
        <v>7443792.1300000008</v>
      </c>
      <c r="Z195" s="28">
        <f t="shared" ca="1" si="65"/>
        <v>11215671.880000001</v>
      </c>
      <c r="AB195" s="63">
        <v>8291624.9099999992</v>
      </c>
      <c r="AC195" s="27">
        <v>898615.33999999985</v>
      </c>
      <c r="AD195" s="27">
        <v>0</v>
      </c>
      <c r="AE195" s="28">
        <f t="shared" ca="1" si="66"/>
        <v>9190240.25</v>
      </c>
      <c r="AG195" s="16"/>
    </row>
    <row r="196" spans="1:33" ht="15" hidden="1" customHeight="1" outlineLevel="1" thickBot="1" x14ac:dyDescent="0.3">
      <c r="A196" s="64" t="s">
        <v>269</v>
      </c>
      <c r="C196" s="63">
        <v>0</v>
      </c>
      <c r="D196" s="27">
        <v>0</v>
      </c>
      <c r="E196" s="27">
        <v>0</v>
      </c>
      <c r="F196" s="28">
        <f t="shared" ca="1" si="61"/>
        <v>0</v>
      </c>
      <c r="H196" s="63">
        <v>0</v>
      </c>
      <c r="I196" s="27">
        <v>0</v>
      </c>
      <c r="J196" s="27">
        <v>0</v>
      </c>
      <c r="K196" s="28">
        <f t="shared" ca="1" si="62"/>
        <v>0</v>
      </c>
      <c r="M196" s="63">
        <v>0</v>
      </c>
      <c r="N196" s="27">
        <v>0</v>
      </c>
      <c r="O196" s="27">
        <v>0</v>
      </c>
      <c r="P196" s="28">
        <f t="shared" ca="1" si="63"/>
        <v>0</v>
      </c>
      <c r="Q196" s="27"/>
      <c r="R196" s="63">
        <v>0</v>
      </c>
      <c r="S196" s="27">
        <v>5.8199999999778811</v>
      </c>
      <c r="T196" s="27">
        <v>4938418.8499999987</v>
      </c>
      <c r="U196" s="28">
        <f t="shared" ca="1" si="64"/>
        <v>4938424.669999999</v>
      </c>
      <c r="V196" s="23"/>
      <c r="W196" s="63">
        <v>5419666.6299999999</v>
      </c>
      <c r="X196" s="27">
        <v>14249995.950000001</v>
      </c>
      <c r="Y196" s="27">
        <v>4031549.77</v>
      </c>
      <c r="Z196" s="28">
        <f t="shared" ca="1" si="65"/>
        <v>23701212.350000001</v>
      </c>
      <c r="AB196" s="63">
        <v>2062897.6</v>
      </c>
      <c r="AC196" s="27">
        <v>1044011</v>
      </c>
      <c r="AD196" s="27">
        <v>0</v>
      </c>
      <c r="AE196" s="28">
        <f t="shared" ca="1" si="66"/>
        <v>3106908.6</v>
      </c>
      <c r="AG196" s="16"/>
    </row>
    <row r="197" spans="1:33" ht="15.75" collapsed="1" thickBot="1" x14ac:dyDescent="0.3">
      <c r="A197" s="67" t="s">
        <v>270</v>
      </c>
      <c r="C197" s="68">
        <f ca="1">SUM(C189)</f>
        <v>0</v>
      </c>
      <c r="D197" s="69">
        <f t="shared" ref="D197:P197" ca="1" si="67">SUM(D189)</f>
        <v>0</v>
      </c>
      <c r="E197" s="69">
        <f t="shared" ca="1" si="67"/>
        <v>0</v>
      </c>
      <c r="F197" s="70">
        <f t="shared" ca="1" si="67"/>
        <v>0</v>
      </c>
      <c r="H197" s="68">
        <f t="shared" ca="1" si="67"/>
        <v>0</v>
      </c>
      <c r="I197" s="69">
        <f t="shared" ca="1" si="67"/>
        <v>812704.12000000023</v>
      </c>
      <c r="J197" s="69">
        <f t="shared" ca="1" si="67"/>
        <v>10523670.679999998</v>
      </c>
      <c r="K197" s="70">
        <f t="shared" ca="1" si="67"/>
        <v>11336374.799999999</v>
      </c>
      <c r="M197" s="68">
        <f t="shared" ca="1" si="67"/>
        <v>20124276.390000001</v>
      </c>
      <c r="N197" s="69">
        <f t="shared" ca="1" si="67"/>
        <v>25779220</v>
      </c>
      <c r="O197" s="69">
        <f t="shared" ca="1" si="67"/>
        <v>28966072.5</v>
      </c>
      <c r="P197" s="70">
        <f t="shared" ca="1" si="67"/>
        <v>74869568.890000015</v>
      </c>
      <c r="Q197" s="71"/>
      <c r="R197" s="68">
        <f ca="1">SUM(R189)</f>
        <v>28880107.149999999</v>
      </c>
      <c r="S197" s="69">
        <f ca="1">SUM(S189)</f>
        <v>29717274.900000002</v>
      </c>
      <c r="T197" s="69">
        <f ca="1">SUM(T189)</f>
        <v>34319199.190000005</v>
      </c>
      <c r="U197" s="70">
        <f ca="1">SUM(U189)</f>
        <v>92916581.24000001</v>
      </c>
      <c r="V197" s="23"/>
      <c r="W197" s="68">
        <f ca="1">SUM(W189)</f>
        <v>25685577.659999996</v>
      </c>
      <c r="X197" s="69">
        <f ca="1">SUM(X189)</f>
        <v>36135575.539999999</v>
      </c>
      <c r="Y197" s="69">
        <f ca="1">SUM(Y189)</f>
        <v>20480499.800000001</v>
      </c>
      <c r="Z197" s="70">
        <f ca="1">SUM(Z189)</f>
        <v>82301653</v>
      </c>
      <c r="AB197" s="68">
        <f ca="1">SUM(AB189)</f>
        <v>25848510.000000004</v>
      </c>
      <c r="AC197" s="69">
        <f ca="1">SUM(AC189)</f>
        <v>8005813.290000001</v>
      </c>
      <c r="AD197" s="69">
        <f ca="1">SUM(AD189)</f>
        <v>0</v>
      </c>
      <c r="AE197" s="70">
        <f ca="1">SUM(AE189)</f>
        <v>33854323.289999999</v>
      </c>
      <c r="AG197" s="16"/>
    </row>
    <row r="198" spans="1:33" ht="15.75" thickBot="1" x14ac:dyDescent="0.3">
      <c r="A198" s="66" t="s">
        <v>271</v>
      </c>
      <c r="C198" s="63">
        <f t="shared" ref="C198:P198" ca="1" si="68">SUM(C199:C203)</f>
        <v>0</v>
      </c>
      <c r="D198" s="27">
        <f t="shared" ca="1" si="68"/>
        <v>0</v>
      </c>
      <c r="E198" s="27">
        <f t="shared" ca="1" si="68"/>
        <v>0</v>
      </c>
      <c r="F198" s="28">
        <f t="shared" ca="1" si="68"/>
        <v>0</v>
      </c>
      <c r="G198">
        <f t="shared" ca="1" si="68"/>
        <v>0</v>
      </c>
      <c r="H198" s="63">
        <f t="shared" ca="1" si="68"/>
        <v>0</v>
      </c>
      <c r="I198" s="27">
        <f t="shared" ca="1" si="68"/>
        <v>0</v>
      </c>
      <c r="J198" s="27">
        <f t="shared" ca="1" si="68"/>
        <v>0</v>
      </c>
      <c r="K198" s="28">
        <f t="shared" ca="1" si="68"/>
        <v>0</v>
      </c>
      <c r="L198">
        <f t="shared" ca="1" si="68"/>
        <v>0</v>
      </c>
      <c r="M198" s="63">
        <f t="shared" ca="1" si="68"/>
        <v>0</v>
      </c>
      <c r="N198" s="27">
        <f t="shared" ca="1" si="68"/>
        <v>0</v>
      </c>
      <c r="O198" s="27">
        <f t="shared" ca="1" si="68"/>
        <v>0</v>
      </c>
      <c r="P198" s="28">
        <f t="shared" ca="1" si="68"/>
        <v>0</v>
      </c>
      <c r="Q198" s="27"/>
      <c r="R198" s="63">
        <f ca="1">SUM(R199:R203)</f>
        <v>0</v>
      </c>
      <c r="S198" s="27">
        <f ca="1">SUM(S199:S203)</f>
        <v>0</v>
      </c>
      <c r="T198" s="27">
        <f ca="1">SUM(T199:T203)</f>
        <v>0</v>
      </c>
      <c r="U198" s="28">
        <f ca="1">SUM(U199:U203)</f>
        <v>0</v>
      </c>
      <c r="V198" s="23"/>
      <c r="W198" s="63">
        <f ca="1">SUM(W199:W203)</f>
        <v>0</v>
      </c>
      <c r="X198" s="27">
        <f ca="1">SUM(X199:X203)</f>
        <v>0</v>
      </c>
      <c r="Y198" s="27">
        <f ca="1">SUM(Y199:Y203)</f>
        <v>0</v>
      </c>
      <c r="Z198" s="28">
        <f ca="1">SUM(Z199:Z203)</f>
        <v>0</v>
      </c>
      <c r="AB198" s="63">
        <f ca="1">SUM(AB199:AB203)</f>
        <v>1539466.58</v>
      </c>
      <c r="AC198" s="27">
        <f ca="1">SUM(AC199:AC203)</f>
        <v>0.30000000004656613</v>
      </c>
      <c r="AD198" s="27">
        <f ca="1">SUM(AD199:AD203)</f>
        <v>0</v>
      </c>
      <c r="AE198" s="28">
        <f ca="1">SUM(AE199:AE203)</f>
        <v>1539466.88</v>
      </c>
      <c r="AG198" s="16"/>
    </row>
    <row r="199" spans="1:33" ht="14.65" hidden="1" customHeight="1" outlineLevel="1" x14ac:dyDescent="0.25">
      <c r="A199" s="64" t="s">
        <v>272</v>
      </c>
      <c r="C199" s="63">
        <v>0</v>
      </c>
      <c r="D199" s="27">
        <v>0</v>
      </c>
      <c r="E199" s="27">
        <v>0</v>
      </c>
      <c r="F199" s="28">
        <f ca="1">SUM(C199:E199)</f>
        <v>0</v>
      </c>
      <c r="H199" s="63">
        <v>0</v>
      </c>
      <c r="I199" s="27">
        <v>0</v>
      </c>
      <c r="J199" s="27">
        <v>0</v>
      </c>
      <c r="K199" s="28">
        <f ca="1">SUM(H199:J199)</f>
        <v>0</v>
      </c>
      <c r="M199" s="63">
        <v>0</v>
      </c>
      <c r="N199" s="27">
        <v>0</v>
      </c>
      <c r="O199" s="27">
        <v>0</v>
      </c>
      <c r="P199" s="28">
        <f ca="1">SUM(M199:O199)</f>
        <v>0</v>
      </c>
      <c r="Q199" s="27"/>
      <c r="R199" s="63">
        <v>0</v>
      </c>
      <c r="S199" s="27">
        <v>0</v>
      </c>
      <c r="T199" s="27">
        <v>0</v>
      </c>
      <c r="U199" s="28">
        <f ca="1">SUM(R199:T199)</f>
        <v>0</v>
      </c>
      <c r="V199" s="23"/>
      <c r="W199" s="63">
        <v>0</v>
      </c>
      <c r="X199" s="27">
        <v>0</v>
      </c>
      <c r="Y199" s="27">
        <v>0</v>
      </c>
      <c r="Z199" s="28">
        <f ca="1">SUM(W199:Y199)</f>
        <v>0</v>
      </c>
      <c r="AB199" s="63">
        <v>496036.1</v>
      </c>
      <c r="AC199" s="27">
        <v>0</v>
      </c>
      <c r="AD199" s="27">
        <v>0</v>
      </c>
      <c r="AE199" s="28">
        <f ca="1">SUM(AB199:AD199)</f>
        <v>496036.1</v>
      </c>
      <c r="AG199" s="16"/>
    </row>
    <row r="200" spans="1:33" ht="15" hidden="1" customHeight="1" outlineLevel="1" x14ac:dyDescent="0.25">
      <c r="A200" s="64" t="s">
        <v>273</v>
      </c>
      <c r="C200" s="63">
        <v>0</v>
      </c>
      <c r="D200" s="27">
        <v>0</v>
      </c>
      <c r="E200" s="27">
        <v>0</v>
      </c>
      <c r="F200" s="28">
        <f ca="1">SUM(C200:E200)</f>
        <v>0</v>
      </c>
      <c r="H200" s="63">
        <v>0</v>
      </c>
      <c r="I200" s="27">
        <v>0</v>
      </c>
      <c r="J200" s="27">
        <v>0</v>
      </c>
      <c r="K200" s="28">
        <f ca="1">SUM(H200:J200)</f>
        <v>0</v>
      </c>
      <c r="M200" s="63">
        <v>0</v>
      </c>
      <c r="N200" s="27">
        <v>0</v>
      </c>
      <c r="O200" s="27">
        <v>0</v>
      </c>
      <c r="P200" s="28">
        <f ca="1">SUM(M200:O200)</f>
        <v>0</v>
      </c>
      <c r="Q200" s="27"/>
      <c r="R200" s="63">
        <v>0</v>
      </c>
      <c r="S200" s="27">
        <v>0</v>
      </c>
      <c r="T200" s="27">
        <v>0</v>
      </c>
      <c r="U200" s="28">
        <f ca="1">SUM(R200:T200)</f>
        <v>0</v>
      </c>
      <c r="V200" s="23"/>
      <c r="W200" s="63">
        <v>0</v>
      </c>
      <c r="X200" s="27">
        <v>0</v>
      </c>
      <c r="Y200" s="27">
        <v>0</v>
      </c>
      <c r="Z200" s="28">
        <f ca="1">SUM(W200:Y200)</f>
        <v>0</v>
      </c>
      <c r="AB200" s="63">
        <v>46891</v>
      </c>
      <c r="AC200" s="27">
        <v>0</v>
      </c>
      <c r="AD200" s="27">
        <v>0</v>
      </c>
      <c r="AE200" s="28">
        <f ca="1">SUM(AB200:AD200)</f>
        <v>46891</v>
      </c>
      <c r="AG200" s="16"/>
    </row>
    <row r="201" spans="1:33" ht="15" hidden="1" customHeight="1" outlineLevel="1" x14ac:dyDescent="0.25">
      <c r="A201" s="64" t="s">
        <v>274</v>
      </c>
      <c r="C201" s="63">
        <v>0</v>
      </c>
      <c r="D201" s="27">
        <v>0</v>
      </c>
      <c r="E201" s="27">
        <v>0</v>
      </c>
      <c r="F201" s="28">
        <f ca="1">SUM(C201:E201)</f>
        <v>0</v>
      </c>
      <c r="H201" s="63">
        <v>0</v>
      </c>
      <c r="I201" s="27">
        <v>0</v>
      </c>
      <c r="J201" s="27">
        <v>0</v>
      </c>
      <c r="K201" s="28">
        <f ca="1">SUM(H201:J201)</f>
        <v>0</v>
      </c>
      <c r="M201" s="63">
        <v>0</v>
      </c>
      <c r="N201" s="27">
        <v>0</v>
      </c>
      <c r="O201" s="27">
        <v>0</v>
      </c>
      <c r="P201" s="28">
        <f ca="1">SUM(M201:O201)</f>
        <v>0</v>
      </c>
      <c r="Q201" s="27"/>
      <c r="R201" s="63">
        <v>0</v>
      </c>
      <c r="S201" s="27">
        <v>0</v>
      </c>
      <c r="T201" s="27">
        <v>0</v>
      </c>
      <c r="U201" s="28">
        <f ca="1">SUM(R201:T201)</f>
        <v>0</v>
      </c>
      <c r="V201" s="23"/>
      <c r="W201" s="63">
        <v>0</v>
      </c>
      <c r="X201" s="27">
        <v>0</v>
      </c>
      <c r="Y201" s="27">
        <v>0</v>
      </c>
      <c r="Z201" s="28">
        <f ca="1">SUM(W201:Y201)</f>
        <v>0</v>
      </c>
      <c r="AB201" s="63">
        <v>48299.479999999981</v>
      </c>
      <c r="AC201" s="27">
        <v>2.9103830456733704E-11</v>
      </c>
      <c r="AD201" s="27">
        <v>0</v>
      </c>
      <c r="AE201" s="28">
        <f ca="1">SUM(AB201:AD201)</f>
        <v>48299.48000000001</v>
      </c>
      <c r="AG201" s="16"/>
    </row>
    <row r="202" spans="1:33" ht="15" hidden="1" customHeight="1" outlineLevel="1" x14ac:dyDescent="0.25">
      <c r="A202" s="64" t="s">
        <v>275</v>
      </c>
      <c r="C202" s="63">
        <v>0</v>
      </c>
      <c r="D202" s="27">
        <v>0</v>
      </c>
      <c r="E202" s="27">
        <v>0</v>
      </c>
      <c r="F202" s="28">
        <f ca="1">SUM(C202:E202)</f>
        <v>0</v>
      </c>
      <c r="H202" s="63">
        <v>0</v>
      </c>
      <c r="I202" s="27">
        <v>0</v>
      </c>
      <c r="J202" s="27">
        <v>0</v>
      </c>
      <c r="K202" s="28">
        <f ca="1">SUM(H202:J202)</f>
        <v>0</v>
      </c>
      <c r="M202" s="63">
        <v>0</v>
      </c>
      <c r="N202" s="27">
        <v>0</v>
      </c>
      <c r="O202" s="27">
        <v>0</v>
      </c>
      <c r="P202" s="28">
        <f ca="1">SUM(M202:O202)</f>
        <v>0</v>
      </c>
      <c r="Q202" s="27"/>
      <c r="R202" s="63">
        <v>0</v>
      </c>
      <c r="S202" s="27">
        <v>0</v>
      </c>
      <c r="T202" s="27">
        <v>0</v>
      </c>
      <c r="U202" s="28">
        <f ca="1">SUM(R202:T202)</f>
        <v>0</v>
      </c>
      <c r="V202" s="23"/>
      <c r="W202" s="63">
        <v>0</v>
      </c>
      <c r="X202" s="27">
        <v>0</v>
      </c>
      <c r="Y202" s="27">
        <v>0</v>
      </c>
      <c r="Z202" s="28">
        <f ca="1">SUM(W202:Y202)</f>
        <v>0</v>
      </c>
      <c r="AB202" s="63">
        <v>0</v>
      </c>
      <c r="AC202" s="27">
        <v>0.3000000000174623</v>
      </c>
      <c r="AD202" s="27">
        <v>0</v>
      </c>
      <c r="AE202" s="28">
        <f ca="1">SUM(AB202:AD202)</f>
        <v>0.3000000000174623</v>
      </c>
      <c r="AG202" s="16"/>
    </row>
    <row r="203" spans="1:33" ht="15" hidden="1" customHeight="1" outlineLevel="1" thickBot="1" x14ac:dyDescent="0.3">
      <c r="A203" s="64" t="s">
        <v>276</v>
      </c>
      <c r="C203" s="63">
        <v>0</v>
      </c>
      <c r="D203" s="27">
        <v>0</v>
      </c>
      <c r="E203" s="27">
        <v>0</v>
      </c>
      <c r="F203" s="28">
        <f ca="1">SUM(C203:E203)</f>
        <v>0</v>
      </c>
      <c r="H203" s="63">
        <v>0</v>
      </c>
      <c r="I203" s="27">
        <v>0</v>
      </c>
      <c r="J203" s="27">
        <v>0</v>
      </c>
      <c r="K203" s="28">
        <f ca="1">SUM(H203:J203)</f>
        <v>0</v>
      </c>
      <c r="M203" s="63">
        <v>0</v>
      </c>
      <c r="N203" s="27">
        <v>0</v>
      </c>
      <c r="O203" s="27">
        <v>0</v>
      </c>
      <c r="P203" s="28">
        <f ca="1">SUM(M203:O203)</f>
        <v>0</v>
      </c>
      <c r="Q203" s="27"/>
      <c r="R203" s="63">
        <v>0</v>
      </c>
      <c r="S203" s="27">
        <v>0</v>
      </c>
      <c r="T203" s="27">
        <v>0</v>
      </c>
      <c r="U203" s="28">
        <f ca="1">SUM(R203:T203)</f>
        <v>0</v>
      </c>
      <c r="V203" s="23"/>
      <c r="W203" s="63">
        <v>0</v>
      </c>
      <c r="X203" s="27">
        <v>0</v>
      </c>
      <c r="Y203" s="27">
        <v>0</v>
      </c>
      <c r="Z203" s="28">
        <f ca="1">SUM(W203:Y203)</f>
        <v>0</v>
      </c>
      <c r="AB203" s="63">
        <v>948240</v>
      </c>
      <c r="AC203" s="27">
        <v>0</v>
      </c>
      <c r="AD203" s="27">
        <v>0</v>
      </c>
      <c r="AE203" s="28">
        <f ca="1">SUM(AB203:AD203)</f>
        <v>948240</v>
      </c>
      <c r="AG203" s="16"/>
    </row>
    <row r="204" spans="1:33" ht="15.75" collapsed="1" thickBot="1" x14ac:dyDescent="0.3">
      <c r="A204" s="67" t="s">
        <v>277</v>
      </c>
      <c r="C204" s="68">
        <f ca="1">SUM(C198)</f>
        <v>0</v>
      </c>
      <c r="D204" s="69">
        <f ca="1">SUM(D198)</f>
        <v>0</v>
      </c>
      <c r="E204" s="69">
        <f ca="1">SUM(E198)</f>
        <v>0</v>
      </c>
      <c r="F204" s="70">
        <f ca="1">SUM(F198)</f>
        <v>0</v>
      </c>
      <c r="H204" s="68">
        <f ca="1">SUM(H198)</f>
        <v>0</v>
      </c>
      <c r="I204" s="69">
        <f ca="1">SUM(I198)</f>
        <v>0</v>
      </c>
      <c r="J204" s="69">
        <f ca="1">SUM(J198)</f>
        <v>0</v>
      </c>
      <c r="K204" s="70">
        <f ca="1">SUM(K198)</f>
        <v>0</v>
      </c>
      <c r="M204" s="68">
        <f ca="1">SUM(M198)</f>
        <v>0</v>
      </c>
      <c r="N204" s="69">
        <f ca="1">SUM(N198)</f>
        <v>0</v>
      </c>
      <c r="O204" s="69">
        <f ca="1">SUM(O198)</f>
        <v>0</v>
      </c>
      <c r="P204" s="70">
        <f ca="1">SUM(P198)</f>
        <v>0</v>
      </c>
      <c r="Q204" s="71"/>
      <c r="R204" s="68">
        <f ca="1">SUM(R198)</f>
        <v>0</v>
      </c>
      <c r="S204" s="69">
        <f ca="1">SUM(S198)</f>
        <v>0</v>
      </c>
      <c r="T204" s="69">
        <f ca="1">SUM(T198)</f>
        <v>0</v>
      </c>
      <c r="U204" s="70">
        <f ca="1">SUM(U198)</f>
        <v>0</v>
      </c>
      <c r="V204" s="23"/>
      <c r="W204" s="68">
        <f ca="1">SUM(W198)</f>
        <v>0</v>
      </c>
      <c r="X204" s="69">
        <f ca="1">SUM(X198)</f>
        <v>0</v>
      </c>
      <c r="Y204" s="69">
        <f ca="1">SUM(Y198)</f>
        <v>0</v>
      </c>
      <c r="Z204" s="70">
        <f ca="1">SUM(Z198)</f>
        <v>0</v>
      </c>
      <c r="AB204" s="68">
        <f ca="1">SUM(AB198)</f>
        <v>1539466.58</v>
      </c>
      <c r="AC204" s="69">
        <f ca="1">SUM(AC198)</f>
        <v>0.30000000004656613</v>
      </c>
      <c r="AD204" s="69">
        <f ca="1">SUM(AD198)</f>
        <v>0</v>
      </c>
      <c r="AE204" s="70">
        <f ca="1">SUM(AE198)</f>
        <v>1539466.88</v>
      </c>
      <c r="AG204" s="16"/>
    </row>
    <row r="205" spans="1:33" ht="15.75" thickBot="1" x14ac:dyDescent="0.3">
      <c r="A205" s="79" t="s">
        <v>59</v>
      </c>
      <c r="C205" s="80">
        <f ca="1">SUM(C40,C73,C91,,C113,C178,C188,C197,C204)</f>
        <v>601830378.41999996</v>
      </c>
      <c r="D205" s="81">
        <f ca="1">SUM(D40,D73,D91,,D113,D178,D188,D197,D204)</f>
        <v>645762909.8599999</v>
      </c>
      <c r="E205" s="81">
        <f ca="1">SUM(E40,E73,E91,,E113,E178,E188,E197,E204)</f>
        <v>673108266.29000008</v>
      </c>
      <c r="F205" s="82">
        <f ca="1">SUM(F40,F73,F91,,F113,F178,F188,F197,F204)</f>
        <v>1920701554.5699997</v>
      </c>
      <c r="H205" s="83">
        <f ca="1">SUM(H40,H73,H91,,H113,H178,H188,H197,H204)</f>
        <v>874378489.63</v>
      </c>
      <c r="I205" s="84">
        <f ca="1">SUM(I40,I73,I91,,I113,I178,I188,I197,I204)</f>
        <v>1039953187.99</v>
      </c>
      <c r="J205" s="84">
        <f ca="1">SUM(J40,J73,J91,,J113,J178,J188,J197,J204)</f>
        <v>839161497.28999996</v>
      </c>
      <c r="K205" s="85">
        <f ca="1">SUM(K40,K73,K91,,K113,K178,K188,K197,K204)</f>
        <v>2753493174.9099998</v>
      </c>
      <c r="M205" s="83">
        <f ca="1">SUM(M40,M73,M91,,M113,M178,M188,M197,M204)</f>
        <v>1000240715.11</v>
      </c>
      <c r="N205" s="84">
        <f ca="1">SUM(N40,N73,N91,,N113,N178,N188,N197,N204)</f>
        <v>783103425.39999998</v>
      </c>
      <c r="O205" s="84">
        <f ca="1">SUM(O40,O73,O91,,O113,O178,O188,O197,O204)</f>
        <v>796239067.21000004</v>
      </c>
      <c r="P205" s="85">
        <f ca="1">SUM(P40,P73,P91,,P113,P178,P188,P197,P204)</f>
        <v>2579583207.7199998</v>
      </c>
      <c r="Q205" s="27"/>
      <c r="R205" s="83">
        <f ca="1">SUM(R40,R73,R91,,R113,R178,R188,R197,R204)</f>
        <v>896337262.78000009</v>
      </c>
      <c r="S205" s="84">
        <f ca="1">SUM(S40,S73,S91,,S113,S178,S188,S197,S204)</f>
        <v>759252894.11000001</v>
      </c>
      <c r="T205" s="84">
        <f ca="1">SUM(T40,T73,T91,,T113,T178,T188,T197,T204)</f>
        <v>699053424.68999994</v>
      </c>
      <c r="U205" s="85">
        <f ca="1">SUM(U40,U73,U91,,U113,U178,U188,U197,U204)</f>
        <v>2354643581.5799999</v>
      </c>
      <c r="V205" s="23"/>
      <c r="W205" s="83">
        <f ca="1">SUM(W40,W73,W91,,W113,W178,W188,W197,W204)</f>
        <v>783083916.46000004</v>
      </c>
      <c r="X205" s="84">
        <f ca="1">SUM(X40,X73,X91,,X113,X178,X188,X197,X204)</f>
        <v>679398501.69999993</v>
      </c>
      <c r="Y205" s="84">
        <f ca="1">SUM(Y40,Y73,Y91,,Y113,Y178,Y188,Y197,Y204)</f>
        <v>595619874.42999995</v>
      </c>
      <c r="Z205" s="85">
        <f ca="1">SUM(Z40,Z73,Z91,,Z113,Z178,Z188,Z197,Z204)</f>
        <v>2058102292.5900002</v>
      </c>
      <c r="AB205" s="83">
        <f ca="1">SUM(AB40,AB73,AB91,,AB113,AB178,AB188,AB197,AB204)</f>
        <v>699873007.72000003</v>
      </c>
      <c r="AC205" s="84">
        <f ca="1">SUM(AC40,AC73,AC91,,AC113,AC178,AC188,AC197,AC204)</f>
        <v>126934438.63999999</v>
      </c>
      <c r="AD205" s="84">
        <f ca="1">SUM(AD40,AD73,AD91,,AD113,AD178,AD188,AD197,AD204)</f>
        <v>0</v>
      </c>
      <c r="AE205" s="85">
        <f ca="1">SUM(AE40,AE73,AE91,,AE113,AE178,AE188,AE197,AE204)</f>
        <v>826807446.36000001</v>
      </c>
      <c r="AG205" s="16"/>
    </row>
    <row r="206" spans="1:33" x14ac:dyDescent="0.25">
      <c r="A206" s="86"/>
      <c r="C206" s="87"/>
      <c r="D206" s="87"/>
      <c r="E206" s="87"/>
      <c r="F206" s="87"/>
      <c r="H206" s="27"/>
      <c r="I206" s="27"/>
      <c r="J206" s="27"/>
      <c r="K206" s="27"/>
      <c r="M206" s="27"/>
      <c r="N206" s="27"/>
      <c r="O206" s="27"/>
      <c r="P206" s="27"/>
      <c r="Q206" s="27"/>
      <c r="R206" s="27"/>
      <c r="S206" s="27"/>
      <c r="T206" s="27"/>
      <c r="U206" s="27"/>
      <c r="V206" s="23"/>
      <c r="W206" s="16"/>
      <c r="AB206" s="16"/>
    </row>
    <row r="207" spans="1:33" x14ac:dyDescent="0.25">
      <c r="A207" s="86"/>
      <c r="C207" s="87"/>
      <c r="D207" s="87"/>
      <c r="E207" s="87"/>
      <c r="F207" s="87"/>
      <c r="H207" s="27"/>
      <c r="I207" s="27"/>
      <c r="J207" s="27"/>
      <c r="K207" s="27"/>
      <c r="M207" s="27"/>
      <c r="N207" s="27"/>
      <c r="O207" s="27"/>
      <c r="P207" s="27"/>
      <c r="Q207" s="27"/>
      <c r="R207" s="27"/>
      <c r="S207" s="27"/>
      <c r="T207" s="27"/>
      <c r="U207" s="27"/>
      <c r="V207" s="23"/>
      <c r="W207" s="16"/>
      <c r="AB207" s="16"/>
    </row>
    <row r="208" spans="1:33" x14ac:dyDescent="0.25">
      <c r="A208" s="86"/>
      <c r="C208" s="87"/>
      <c r="D208" s="87"/>
      <c r="E208" s="87"/>
      <c r="F208" s="87"/>
      <c r="H208" s="27"/>
      <c r="I208" s="27"/>
      <c r="J208" s="27"/>
      <c r="K208" s="27"/>
      <c r="M208" s="27"/>
      <c r="N208" s="27"/>
      <c r="O208" s="27"/>
      <c r="P208" s="27"/>
      <c r="Q208" s="27"/>
      <c r="R208" s="27"/>
      <c r="S208" s="27"/>
      <c r="T208" s="27"/>
      <c r="U208" s="27"/>
      <c r="V208" s="23"/>
      <c r="W208" s="16"/>
      <c r="AB208" s="16"/>
    </row>
    <row r="209" spans="1:28" x14ac:dyDescent="0.25">
      <c r="A209" s="86"/>
      <c r="C209" s="87"/>
      <c r="D209" s="87"/>
      <c r="E209" s="87"/>
      <c r="F209" s="87"/>
      <c r="H209" s="27"/>
      <c r="I209" s="27"/>
      <c r="J209" s="27"/>
      <c r="K209" s="27"/>
      <c r="M209" s="27"/>
      <c r="N209" s="27"/>
      <c r="O209" s="27"/>
      <c r="P209" s="27"/>
      <c r="Q209" s="27"/>
      <c r="R209" s="27"/>
      <c r="S209" s="27"/>
      <c r="T209" s="27"/>
      <c r="U209" s="27"/>
      <c r="V209" s="23"/>
      <c r="W209" s="16"/>
      <c r="AB209" s="16"/>
    </row>
    <row r="210" spans="1:28" x14ac:dyDescent="0.25">
      <c r="A210" s="86"/>
      <c r="C210" s="87"/>
      <c r="D210" s="87"/>
      <c r="E210" s="87"/>
      <c r="F210" s="87"/>
      <c r="H210" s="27"/>
      <c r="I210" s="27"/>
      <c r="J210" s="27"/>
      <c r="K210" s="27"/>
      <c r="M210" s="27"/>
      <c r="N210" s="27"/>
      <c r="O210" s="27"/>
      <c r="P210" s="27"/>
      <c r="Q210" s="27"/>
      <c r="R210" s="27"/>
      <c r="S210" s="27"/>
      <c r="T210" s="27"/>
      <c r="U210" s="27"/>
      <c r="V210" s="23"/>
      <c r="W210" s="16"/>
      <c r="AB210" s="16"/>
    </row>
    <row r="211" spans="1:28" x14ac:dyDescent="0.25">
      <c r="A211" s="86"/>
      <c r="C211" s="87"/>
      <c r="D211" s="87"/>
      <c r="E211" s="87"/>
      <c r="F211" s="87"/>
      <c r="H211" s="27"/>
      <c r="I211" s="27"/>
      <c r="J211" s="27"/>
      <c r="K211" s="27"/>
      <c r="M211" s="27"/>
      <c r="N211" s="27"/>
      <c r="O211" s="27"/>
      <c r="P211" s="27"/>
      <c r="Q211" s="27"/>
      <c r="R211" s="27"/>
      <c r="S211" s="27"/>
      <c r="T211" s="27"/>
      <c r="U211" s="27"/>
      <c r="V211" s="23"/>
      <c r="W211" s="16"/>
      <c r="AB211" s="16"/>
    </row>
    <row r="212" spans="1:28" x14ac:dyDescent="0.25">
      <c r="A212" s="86"/>
      <c r="C212" s="87"/>
      <c r="D212" s="87"/>
      <c r="E212" s="87"/>
      <c r="F212" s="87"/>
      <c r="H212" s="27"/>
      <c r="I212" s="27"/>
      <c r="J212" s="27"/>
      <c r="K212" s="27"/>
      <c r="M212" s="27"/>
      <c r="N212" s="27"/>
      <c r="O212" s="27"/>
      <c r="P212" s="27"/>
      <c r="Q212" s="27"/>
      <c r="R212" s="27"/>
      <c r="S212" s="27"/>
      <c r="T212" s="27"/>
      <c r="U212" s="27"/>
      <c r="V212" s="23"/>
      <c r="W212" s="16"/>
      <c r="AB212" s="16"/>
    </row>
    <row r="213" spans="1:28" x14ac:dyDescent="0.25">
      <c r="A213" s="86"/>
      <c r="C213" s="87"/>
      <c r="D213" s="87"/>
      <c r="E213" s="87"/>
      <c r="F213" s="87"/>
      <c r="H213" s="27"/>
      <c r="I213" s="27"/>
      <c r="J213" s="27"/>
      <c r="K213" s="27"/>
      <c r="M213" s="27"/>
      <c r="N213" s="27"/>
      <c r="O213" s="27"/>
      <c r="P213" s="27"/>
      <c r="Q213" s="27"/>
      <c r="R213" s="27"/>
      <c r="S213" s="27"/>
      <c r="T213" s="27"/>
      <c r="U213" s="27"/>
      <c r="V213" s="23"/>
      <c r="W213" s="16"/>
      <c r="AB213" s="16"/>
    </row>
    <row r="214" spans="1:28" x14ac:dyDescent="0.25">
      <c r="A214" s="86"/>
      <c r="C214" s="87"/>
      <c r="D214" s="87"/>
      <c r="E214" s="87"/>
      <c r="F214" s="87"/>
      <c r="H214" s="27"/>
      <c r="I214" s="27"/>
      <c r="J214" s="27"/>
      <c r="K214" s="27"/>
      <c r="M214" s="27"/>
      <c r="N214" s="27"/>
      <c r="O214" s="27"/>
      <c r="P214" s="27"/>
      <c r="Q214" s="27"/>
      <c r="R214" s="27"/>
      <c r="S214" s="27"/>
      <c r="T214" s="27"/>
      <c r="U214" s="27"/>
      <c r="V214" s="23"/>
      <c r="W214" s="16"/>
      <c r="AB214" s="16"/>
    </row>
    <row r="215" spans="1:28" x14ac:dyDescent="0.25">
      <c r="A215" s="86"/>
      <c r="C215" s="87"/>
      <c r="D215" s="87"/>
      <c r="E215" s="87"/>
      <c r="F215" s="87"/>
      <c r="H215" s="27"/>
      <c r="I215" s="27"/>
      <c r="J215" s="27"/>
      <c r="K215" s="27"/>
      <c r="M215" s="27"/>
      <c r="N215" s="27"/>
      <c r="O215" s="27"/>
      <c r="P215" s="27"/>
      <c r="Q215" s="27"/>
      <c r="R215" s="27"/>
      <c r="S215" s="27"/>
      <c r="T215" s="27"/>
      <c r="U215" s="27"/>
      <c r="V215" s="23"/>
      <c r="W215" s="16"/>
      <c r="AB215" s="16"/>
    </row>
    <row r="216" spans="1:28" x14ac:dyDescent="0.25">
      <c r="A216" s="86"/>
      <c r="C216" s="87"/>
      <c r="D216" s="87"/>
      <c r="E216" s="87"/>
      <c r="F216" s="87"/>
      <c r="H216" s="27"/>
      <c r="I216" s="27"/>
      <c r="J216" s="27"/>
      <c r="K216" s="27"/>
      <c r="M216" s="27"/>
      <c r="N216" s="27"/>
      <c r="O216" s="27"/>
      <c r="P216" s="27"/>
      <c r="Q216" s="27"/>
      <c r="R216" s="27"/>
      <c r="S216" s="27"/>
      <c r="T216" s="27"/>
      <c r="U216" s="27"/>
      <c r="V216" s="23"/>
      <c r="W216" s="16"/>
      <c r="AB216" s="16"/>
    </row>
    <row r="217" spans="1:28" x14ac:dyDescent="0.25">
      <c r="A217" s="86"/>
      <c r="C217" s="87"/>
      <c r="D217" s="87"/>
      <c r="E217" s="87"/>
      <c r="F217" s="87"/>
      <c r="H217" s="27"/>
      <c r="I217" s="27"/>
      <c r="J217" s="27"/>
      <c r="K217" s="27"/>
      <c r="M217" s="27"/>
      <c r="N217" s="27"/>
      <c r="O217" s="27"/>
      <c r="P217" s="27"/>
      <c r="Q217" s="27"/>
      <c r="R217" s="27"/>
      <c r="S217" s="27"/>
      <c r="T217" s="27"/>
      <c r="U217" s="27"/>
      <c r="V217" s="23"/>
      <c r="W217" s="16"/>
      <c r="AB217" s="16"/>
    </row>
    <row r="218" spans="1:28" x14ac:dyDescent="0.25">
      <c r="A218" s="86"/>
      <c r="C218" s="87"/>
      <c r="D218" s="87"/>
      <c r="E218" s="87"/>
      <c r="F218" s="87"/>
      <c r="H218" s="27"/>
      <c r="I218" s="27"/>
      <c r="J218" s="27"/>
      <c r="K218" s="27"/>
      <c r="M218" s="27"/>
      <c r="N218" s="27"/>
      <c r="O218" s="27"/>
      <c r="P218" s="27"/>
      <c r="Q218" s="27"/>
      <c r="R218" s="27"/>
      <c r="S218" s="27"/>
      <c r="T218" s="27"/>
      <c r="U218" s="27"/>
      <c r="V218" s="23"/>
      <c r="W218" s="16"/>
      <c r="AB218" s="16"/>
    </row>
    <row r="219" spans="1:28" x14ac:dyDescent="0.25">
      <c r="A219" s="86"/>
      <c r="C219" s="87"/>
      <c r="D219" s="87"/>
      <c r="E219" s="87"/>
      <c r="F219" s="87"/>
      <c r="H219" s="27"/>
      <c r="I219" s="27"/>
      <c r="J219" s="27"/>
      <c r="K219" s="27"/>
      <c r="M219" s="27"/>
      <c r="N219" s="27"/>
      <c r="O219" s="27"/>
      <c r="P219" s="27"/>
      <c r="Q219" s="27"/>
      <c r="R219" s="27"/>
      <c r="S219" s="27"/>
      <c r="T219" s="27"/>
      <c r="U219" s="27"/>
      <c r="V219" s="23"/>
      <c r="W219" s="16"/>
      <c r="AB219" s="16"/>
    </row>
    <row r="220" spans="1:28" x14ac:dyDescent="0.25">
      <c r="A220" s="86"/>
      <c r="C220" s="87"/>
      <c r="D220" s="87"/>
      <c r="E220" s="87"/>
      <c r="F220" s="87"/>
      <c r="H220" s="27"/>
      <c r="I220" s="27"/>
      <c r="J220" s="27"/>
      <c r="K220" s="27"/>
      <c r="M220" s="27"/>
      <c r="N220" s="27"/>
      <c r="O220" s="27"/>
      <c r="P220" s="27"/>
      <c r="Q220" s="27"/>
      <c r="R220" s="27"/>
      <c r="S220" s="27"/>
      <c r="T220" s="27"/>
      <c r="U220" s="27"/>
      <c r="V220" s="23"/>
      <c r="W220" s="16"/>
      <c r="AB220" s="16"/>
    </row>
    <row r="221" spans="1:28" x14ac:dyDescent="0.25">
      <c r="A221" s="86"/>
      <c r="C221" s="87"/>
      <c r="D221" s="87"/>
      <c r="E221" s="87"/>
      <c r="F221" s="87"/>
      <c r="H221" s="27"/>
      <c r="I221" s="27"/>
      <c r="J221" s="27"/>
      <c r="K221" s="27"/>
      <c r="M221" s="27"/>
      <c r="N221" s="27"/>
      <c r="O221" s="27"/>
      <c r="P221" s="27"/>
      <c r="Q221" s="27"/>
      <c r="R221" s="27"/>
      <c r="S221" s="27"/>
      <c r="T221" s="27"/>
      <c r="U221" s="27"/>
      <c r="V221" s="23"/>
      <c r="W221" s="16"/>
      <c r="AB221" s="16"/>
    </row>
    <row r="222" spans="1:28" x14ac:dyDescent="0.25">
      <c r="A222" s="86"/>
      <c r="C222" s="87"/>
      <c r="D222" s="87"/>
      <c r="E222" s="87"/>
      <c r="F222" s="87"/>
      <c r="H222" s="27"/>
      <c r="I222" s="27"/>
      <c r="J222" s="27"/>
      <c r="K222" s="27"/>
      <c r="M222" s="27"/>
      <c r="N222" s="27"/>
      <c r="O222" s="27"/>
      <c r="P222" s="27"/>
      <c r="Q222" s="27"/>
      <c r="R222" s="27"/>
      <c r="S222" s="27"/>
      <c r="T222" s="27"/>
      <c r="U222" s="27"/>
      <c r="V222" s="23"/>
      <c r="W222" s="16"/>
      <c r="AB222" s="16"/>
    </row>
    <row r="223" spans="1:28" x14ac:dyDescent="0.25">
      <c r="A223" s="86"/>
      <c r="C223" s="87"/>
      <c r="D223" s="87"/>
      <c r="E223" s="87"/>
      <c r="F223" s="87"/>
      <c r="H223" s="27"/>
      <c r="I223" s="27"/>
      <c r="J223" s="27"/>
      <c r="K223" s="27"/>
      <c r="M223" s="27"/>
      <c r="N223" s="27"/>
      <c r="O223" s="27"/>
      <c r="P223" s="27"/>
      <c r="Q223" s="27"/>
      <c r="R223" s="27"/>
      <c r="S223" s="27"/>
      <c r="T223" s="27"/>
      <c r="U223" s="27"/>
      <c r="V223" s="23"/>
      <c r="W223" s="16"/>
      <c r="AB223" s="16"/>
    </row>
    <row r="224" spans="1:28" x14ac:dyDescent="0.25">
      <c r="A224" s="86"/>
      <c r="C224" s="87"/>
      <c r="D224" s="87"/>
      <c r="E224" s="87"/>
      <c r="F224" s="87"/>
      <c r="H224" s="27"/>
      <c r="I224" s="27"/>
      <c r="J224" s="27"/>
      <c r="K224" s="27"/>
      <c r="M224" s="27"/>
      <c r="N224" s="27"/>
      <c r="O224" s="27"/>
      <c r="P224" s="27"/>
      <c r="Q224" s="27"/>
      <c r="R224" s="27"/>
      <c r="S224" s="27"/>
      <c r="T224" s="27"/>
      <c r="U224" s="27"/>
      <c r="V224" s="23"/>
      <c r="W224" s="16"/>
      <c r="AB224" s="16"/>
    </row>
    <row r="225" spans="1:31" x14ac:dyDescent="0.25">
      <c r="A225" s="86"/>
      <c r="C225" s="87"/>
      <c r="D225" s="87"/>
      <c r="E225" s="87"/>
      <c r="F225" s="87"/>
      <c r="H225" s="27"/>
      <c r="I225" s="27"/>
      <c r="J225" s="27"/>
      <c r="K225" s="27"/>
      <c r="M225" s="27"/>
      <c r="N225" s="27"/>
      <c r="O225" s="27"/>
      <c r="P225" s="27"/>
      <c r="Q225" s="27"/>
      <c r="R225" s="27"/>
      <c r="S225" s="27"/>
      <c r="T225" s="27"/>
      <c r="U225" s="27"/>
      <c r="V225" s="23"/>
      <c r="W225" s="16"/>
      <c r="AB225" s="16"/>
    </row>
    <row r="226" spans="1:31" x14ac:dyDescent="0.25">
      <c r="A226" s="86"/>
      <c r="C226" s="87"/>
      <c r="D226" s="87"/>
      <c r="E226" s="87"/>
      <c r="F226" s="87"/>
      <c r="H226" s="27"/>
      <c r="I226" s="27"/>
      <c r="J226" s="27"/>
      <c r="K226" s="27"/>
      <c r="M226" s="27"/>
      <c r="N226" s="27"/>
      <c r="O226" s="27"/>
      <c r="P226" s="27"/>
      <c r="Q226" s="27"/>
      <c r="R226" s="27"/>
      <c r="S226" s="27"/>
      <c r="T226" s="27"/>
      <c r="U226" s="27"/>
      <c r="V226" s="23"/>
      <c r="W226" s="16"/>
      <c r="AB226" s="16"/>
    </row>
    <row r="227" spans="1:31" x14ac:dyDescent="0.25">
      <c r="A227" s="86"/>
      <c r="C227" s="87"/>
      <c r="D227" s="87"/>
      <c r="E227" s="87"/>
      <c r="F227" s="87"/>
      <c r="H227" s="27"/>
      <c r="I227" s="27"/>
      <c r="J227" s="27"/>
      <c r="K227" s="27"/>
      <c r="M227" s="27"/>
      <c r="N227" s="27"/>
      <c r="O227" s="27"/>
      <c r="P227" s="27"/>
      <c r="Q227" s="27"/>
      <c r="R227" s="27"/>
      <c r="S227" s="27"/>
      <c r="T227" s="27"/>
      <c r="U227" s="27"/>
      <c r="V227" s="23"/>
      <c r="W227" s="16"/>
      <c r="AB227" s="16"/>
    </row>
    <row r="228" spans="1:31" x14ac:dyDescent="0.25">
      <c r="A228" s="86"/>
      <c r="C228" s="87"/>
      <c r="D228" s="87"/>
      <c r="E228" s="87"/>
      <c r="F228" s="87"/>
      <c r="H228" s="27"/>
      <c r="I228" s="27"/>
      <c r="J228" s="27"/>
      <c r="K228" s="27"/>
      <c r="M228" s="27"/>
      <c r="N228" s="27"/>
      <c r="O228" s="27"/>
      <c r="P228" s="27"/>
      <c r="Q228" s="27"/>
      <c r="R228" s="27"/>
      <c r="S228" s="27"/>
      <c r="T228" s="27"/>
      <c r="U228" s="27"/>
      <c r="V228" s="23"/>
      <c r="W228" s="16"/>
      <c r="AB228" s="16"/>
    </row>
    <row r="229" spans="1:31" x14ac:dyDescent="0.25">
      <c r="A229" s="86"/>
      <c r="C229" s="87"/>
      <c r="D229" s="87"/>
      <c r="E229" s="87"/>
      <c r="F229" s="87"/>
      <c r="H229" s="27"/>
      <c r="I229" s="27"/>
      <c r="J229" s="27"/>
      <c r="K229" s="27"/>
      <c r="M229" s="27"/>
      <c r="N229" s="27"/>
      <c r="O229" s="27"/>
      <c r="P229" s="27"/>
      <c r="Q229" s="27"/>
      <c r="R229" s="27"/>
      <c r="S229" s="27"/>
      <c r="T229" s="27"/>
      <c r="U229" s="27"/>
      <c r="V229" s="23"/>
      <c r="W229" s="16"/>
      <c r="AB229" s="16"/>
    </row>
    <row r="230" spans="1:31" x14ac:dyDescent="0.25">
      <c r="A230" s="86"/>
      <c r="C230" s="87"/>
      <c r="D230" s="87"/>
      <c r="E230" s="87"/>
      <c r="F230" s="87"/>
      <c r="H230" s="27"/>
      <c r="I230" s="27"/>
      <c r="J230" s="27"/>
      <c r="K230" s="27"/>
      <c r="M230" s="27"/>
      <c r="N230" s="27"/>
      <c r="O230" s="27"/>
      <c r="P230" s="27"/>
      <c r="Q230" s="27"/>
      <c r="R230" s="27"/>
      <c r="S230" s="27"/>
      <c r="T230" s="27"/>
      <c r="U230" s="27"/>
      <c r="V230" s="23"/>
      <c r="W230" s="16"/>
      <c r="AB230" s="16"/>
    </row>
    <row r="231" spans="1:31" s="23" customFormat="1" x14ac:dyDescent="0.25">
      <c r="F231" s="23">
        <f ca="1">SUM(Summary!K25:K27)</f>
        <v>1920701554.5699999</v>
      </c>
      <c r="H231" s="27"/>
      <c r="I231" s="27"/>
      <c r="J231" s="27"/>
      <c r="K231" s="27">
        <f ca="1">SUM(Summary!K28:K30)</f>
        <v>2753493174.9099979</v>
      </c>
      <c r="M231" s="27"/>
      <c r="N231" s="27"/>
      <c r="O231" s="27"/>
      <c r="P231" s="27">
        <f ca="1">SUM(Summary!K31:K33)</f>
        <v>2579583207.7199998</v>
      </c>
      <c r="Q231" s="27"/>
      <c r="R231" s="27"/>
      <c r="S231" s="27"/>
      <c r="T231" s="27"/>
      <c r="U231" s="27">
        <f ca="1">SUM(Summary!K34,Summary!K35,Summary!K36)</f>
        <v>2354643581.5799975</v>
      </c>
      <c r="W231" s="16"/>
      <c r="Z231" s="23">
        <f ca="1">SUM(Summary!K38,Summary!K39,Summary!K40)</f>
        <v>2058102292.5899999</v>
      </c>
      <c r="AB231" s="16"/>
      <c r="AE231" s="23">
        <f ca="1">SUM(Summary!K41,Summary!K42)</f>
        <v>826807446.3599999</v>
      </c>
    </row>
    <row r="232" spans="1:31" x14ac:dyDescent="0.25">
      <c r="F232" s="16"/>
      <c r="V232" s="23"/>
    </row>
    <row r="233" spans="1:31" x14ac:dyDescent="0.25">
      <c r="V233" s="23"/>
    </row>
    <row r="234" spans="1:31" x14ac:dyDescent="0.25">
      <c r="F234" s="16">
        <f ca="1">F231-F205</f>
        <v>0</v>
      </c>
      <c r="K234" s="16">
        <f ca="1">K231-K205</f>
        <v>0</v>
      </c>
      <c r="P234" s="16">
        <f ca="1">P231-P205</f>
        <v>0</v>
      </c>
      <c r="Q234" s="16"/>
      <c r="R234" s="16"/>
      <c r="S234" s="16"/>
      <c r="T234" s="16"/>
      <c r="U234" s="16">
        <f ca="1">U231-U205</f>
        <v>0</v>
      </c>
      <c r="V234" s="23"/>
      <c r="Z234" s="16">
        <f ca="1">Z231-Z205</f>
        <v>0</v>
      </c>
      <c r="AE234" s="16">
        <f ca="1">AE231-AE205</f>
        <v>0</v>
      </c>
    </row>
  </sheetData>
  <mergeCells count="6">
    <mergeCell ref="C5:F5"/>
    <mergeCell ref="H5:K5"/>
    <mergeCell ref="M5:P5"/>
    <mergeCell ref="R5:U5"/>
    <mergeCell ref="W5:Z5"/>
    <mergeCell ref="AB5:AE5"/>
  </mergeCells>
  <printOptions horizontalCentered="1" verticalCentered="1"/>
  <pageMargins left="0.70866141732283472" right="0.70866141732283472" top="1.5354330708661419" bottom="0.74803149606299213" header="0.31496062992125984" footer="0.31496062992125984"/>
  <pageSetup paperSize="8" scale="68" fitToWidth="0" orientation="landscape" r:id="rId1"/>
  <headerFooter>
    <oddHeader>&amp;L&amp;"Aptos Narrow,Regular"SOBHA LLC&amp;C&amp;"Aptos Narrow,Regular"&amp;48Dues Quarterwise&amp;R&amp;D</oddHeader>
    <oddFooter>&amp;L&amp;"Aptos Narrow,Regular"COLLECTIONS&amp;R&amp;P/&amp;N</oddFooter>
  </headerFooter>
  <colBreaks count="1" manualBreakCount="1">
    <brk id="21" min="4" max="20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2917-FA27-4A2B-9BA2-243819BEEB0B}">
  <sheetPr>
    <tabColor rgb="FFFF0000"/>
    <pageSetUpPr fitToPage="1"/>
  </sheetPr>
  <dimension ref="A1:Z167"/>
  <sheetViews>
    <sheetView zoomScale="70" zoomScaleNormal="70" zoomScaleSheetLayoutView="90" workbookViewId="0">
      <selection activeCell="B6" sqref="B6:I6"/>
    </sheetView>
  </sheetViews>
  <sheetFormatPr defaultColWidth="23.28515625" defaultRowHeight="15" x14ac:dyDescent="0.25"/>
  <cols>
    <col min="1" max="1" width="6.7109375" customWidth="1"/>
    <col min="2" max="2" width="5.28515625" customWidth="1"/>
  </cols>
  <sheetData>
    <row r="1" spans="1:26" ht="19.5" thickBot="1" x14ac:dyDescent="0.35">
      <c r="C1" s="1" t="s">
        <v>67</v>
      </c>
      <c r="K1" s="51" t="str">
        <f ca="1">IF(AND(D40=D41,D75=D40,D110=D111,F40=D146),"Ok")</f>
        <v>Ok</v>
      </c>
      <c r="P1" s="88"/>
    </row>
    <row r="2" spans="1:26" ht="18.75" x14ac:dyDescent="0.3">
      <c r="C2" s="1" t="s">
        <v>278</v>
      </c>
      <c r="P2" s="88"/>
    </row>
    <row r="3" spans="1:26" ht="18.75" x14ac:dyDescent="0.3">
      <c r="C3" s="1" t="s">
        <v>279</v>
      </c>
      <c r="P3" s="88"/>
    </row>
    <row r="4" spans="1:26" ht="18.75" x14ac:dyDescent="0.3">
      <c r="C4" s="1" t="s">
        <v>280</v>
      </c>
      <c r="P4" s="88"/>
    </row>
    <row r="5" spans="1:26" ht="18.75" x14ac:dyDescent="0.3">
      <c r="C5" s="1" t="s">
        <v>281</v>
      </c>
      <c r="P5" s="88"/>
    </row>
    <row r="6" spans="1:26" ht="19.5" thickBot="1" x14ac:dyDescent="0.35">
      <c r="C6" s="1"/>
      <c r="P6" s="88"/>
    </row>
    <row r="7" spans="1:26" ht="24" thickBot="1" x14ac:dyDescent="0.4">
      <c r="C7" s="89" t="str">
        <f ca="1">_xlfn.CONCAT("Dues collected - booking amount vs non booking amount")</f>
        <v>Dues collected - booking amount vs non booking amount</v>
      </c>
      <c r="D7" s="90"/>
      <c r="E7" s="90"/>
      <c r="F7" s="90"/>
      <c r="G7" s="90"/>
      <c r="H7" s="91"/>
      <c r="I7" s="88"/>
      <c r="J7" s="88"/>
      <c r="K7" s="88"/>
      <c r="L7" s="88"/>
      <c r="M7" s="88"/>
      <c r="N7" s="88"/>
      <c r="O7" s="88"/>
      <c r="P7" s="92"/>
      <c r="Q7" s="92"/>
      <c r="R7" s="92"/>
      <c r="S7" s="92"/>
      <c r="T7" s="92"/>
      <c r="U7" s="92"/>
      <c r="V7" s="88"/>
      <c r="W7" s="88"/>
    </row>
    <row r="8" spans="1:26" s="93" customFormat="1" ht="73.150000000000006" customHeight="1" x14ac:dyDescent="0.25">
      <c r="C8" s="94" t="s">
        <v>282</v>
      </c>
      <c r="D8" s="95" t="s">
        <v>283</v>
      </c>
      <c r="E8" s="95" t="s">
        <v>284</v>
      </c>
      <c r="F8" s="95" t="s">
        <v>285</v>
      </c>
      <c r="G8" s="95" t="s">
        <v>286</v>
      </c>
      <c r="H8" s="96" t="s">
        <v>287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x14ac:dyDescent="0.25">
      <c r="A9" s="88">
        <v>2024</v>
      </c>
      <c r="B9" t="s">
        <v>70</v>
      </c>
      <c r="C9" s="98" t="s">
        <v>26</v>
      </c>
      <c r="D9" s="99">
        <v>393488606.06000024</v>
      </c>
      <c r="E9" s="99">
        <f ca="1">D9-F9</f>
        <v>345606367.06000024</v>
      </c>
      <c r="F9" s="99">
        <v>47882239</v>
      </c>
      <c r="G9" s="100">
        <f ca="1">'Dues summary'!$E9/'Dues summary'!$D9</f>
        <v>0.878313531160547</v>
      </c>
      <c r="H9" s="101">
        <f ca="1">F9/'Dues summary'!$D9</f>
        <v>0.12168646883945296</v>
      </c>
      <c r="I9" s="102"/>
      <c r="J9" s="102"/>
      <c r="K9" s="102"/>
      <c r="L9" s="102"/>
      <c r="M9" s="102"/>
      <c r="N9" s="102"/>
      <c r="O9" s="102"/>
      <c r="P9" s="103"/>
      <c r="Q9" s="104"/>
      <c r="R9" s="104"/>
      <c r="S9" s="104"/>
      <c r="T9" s="105"/>
      <c r="U9" s="105"/>
      <c r="V9" s="102"/>
      <c r="W9" s="102"/>
      <c r="X9" s="105"/>
      <c r="Y9" s="105"/>
      <c r="Z9" s="105"/>
    </row>
    <row r="10" spans="1:26" x14ac:dyDescent="0.25">
      <c r="A10" s="88">
        <v>2024</v>
      </c>
      <c r="B10" t="s">
        <v>71</v>
      </c>
      <c r="C10" s="106" t="s">
        <v>28</v>
      </c>
      <c r="D10" s="107">
        <v>422731739.89999998</v>
      </c>
      <c r="E10" s="107">
        <f t="shared" ref="E10:E33" ca="1" si="0">D10-F10</f>
        <v>382804339.89999998</v>
      </c>
      <c r="F10" s="107">
        <v>39927400</v>
      </c>
      <c r="G10" s="108">
        <f ca="1">'Dues summary'!$E10/'Dues summary'!$D10</f>
        <v>0.90554908413206658</v>
      </c>
      <c r="H10" s="109">
        <f ca="1">F10/'Dues summary'!$D10</f>
        <v>9.4450915867933388E-2</v>
      </c>
      <c r="I10" s="102"/>
      <c r="J10" s="102"/>
      <c r="K10" s="102"/>
      <c r="L10" s="102"/>
      <c r="M10" s="102"/>
      <c r="N10" s="102"/>
      <c r="O10" s="102"/>
      <c r="P10" s="103"/>
      <c r="Q10" s="104"/>
      <c r="R10" s="104"/>
      <c r="S10" s="104"/>
      <c r="T10" s="105"/>
      <c r="U10" s="105"/>
      <c r="V10" s="102"/>
      <c r="W10" s="102"/>
      <c r="X10" s="105"/>
      <c r="Y10" s="105"/>
      <c r="Z10" s="105"/>
    </row>
    <row r="11" spans="1:26" x14ac:dyDescent="0.25">
      <c r="A11" s="88">
        <v>2024</v>
      </c>
      <c r="B11" t="s">
        <v>72</v>
      </c>
      <c r="C11" s="98" t="s">
        <v>29</v>
      </c>
      <c r="D11" s="99">
        <v>400133608.58999997</v>
      </c>
      <c r="E11" s="99">
        <f t="shared" ca="1" si="0"/>
        <v>362068989.58999997</v>
      </c>
      <c r="F11" s="99">
        <v>38064619</v>
      </c>
      <c r="G11" s="100">
        <f ca="1">'Dues summary'!$E11/'Dues summary'!$D11</f>
        <v>0.90487022788679761</v>
      </c>
      <c r="H11" s="101">
        <f ca="1">F11/'Dues summary'!$D11</f>
        <v>9.5129772113202338E-2</v>
      </c>
      <c r="I11" s="102"/>
      <c r="J11" s="102"/>
      <c r="K11" s="102"/>
      <c r="L11" s="102"/>
      <c r="M11" s="102"/>
      <c r="N11" s="102"/>
      <c r="O11" s="102"/>
      <c r="P11" s="103"/>
      <c r="Q11" s="104"/>
      <c r="R11" s="104"/>
      <c r="S11" s="104"/>
      <c r="T11" s="105"/>
      <c r="U11" s="105"/>
      <c r="V11" s="102"/>
      <c r="W11" s="102"/>
      <c r="X11" s="105"/>
      <c r="Y11" s="105"/>
      <c r="Z11" s="105"/>
    </row>
    <row r="12" spans="1:26" x14ac:dyDescent="0.25">
      <c r="A12" s="88">
        <v>2024</v>
      </c>
      <c r="B12" t="s">
        <v>73</v>
      </c>
      <c r="C12" s="106" t="s">
        <v>30</v>
      </c>
      <c r="D12" s="107">
        <v>405586207.61000055</v>
      </c>
      <c r="E12" s="107">
        <f t="shared" ca="1" si="0"/>
        <v>355920488.61000055</v>
      </c>
      <c r="F12" s="107">
        <v>49665719</v>
      </c>
      <c r="G12" s="108">
        <f ca="1">'Dues summary'!$E12/'Dues summary'!$D12</f>
        <v>0.87754583842319156</v>
      </c>
      <c r="H12" s="109">
        <f ca="1">F12/'Dues summary'!$D12</f>
        <v>0.12245416157680848</v>
      </c>
      <c r="I12" s="102"/>
      <c r="J12" s="102"/>
      <c r="K12" s="102"/>
      <c r="L12" s="102"/>
      <c r="M12" s="102"/>
      <c r="N12" s="102"/>
      <c r="O12" s="102"/>
      <c r="P12" s="103"/>
      <c r="Q12" s="104"/>
      <c r="R12" s="104"/>
      <c r="S12" s="104"/>
      <c r="T12" s="105"/>
      <c r="U12" s="105"/>
      <c r="V12" s="102"/>
      <c r="W12" s="102"/>
      <c r="X12" s="105"/>
      <c r="Y12" s="105"/>
      <c r="Z12" s="105"/>
    </row>
    <row r="13" spans="1:26" x14ac:dyDescent="0.25">
      <c r="A13" s="88">
        <v>2024</v>
      </c>
      <c r="B13" t="s">
        <v>74</v>
      </c>
      <c r="C13" s="98" t="s">
        <v>31</v>
      </c>
      <c r="D13" s="99">
        <v>460034554.73000038</v>
      </c>
      <c r="E13" s="99">
        <f t="shared" ca="1" si="0"/>
        <v>388671337.73000038</v>
      </c>
      <c r="F13" s="99">
        <v>71363217</v>
      </c>
      <c r="G13" s="100">
        <f ca="1">'Dues summary'!$E13/'Dues summary'!$D13</f>
        <v>0.8448742246288784</v>
      </c>
      <c r="H13" s="101">
        <f ca="1">F13/'Dues summary'!$D13</f>
        <v>0.15512577537112163</v>
      </c>
      <c r="I13" s="102"/>
      <c r="J13" s="102"/>
      <c r="K13" s="102"/>
      <c r="L13" s="102"/>
      <c r="M13" s="102"/>
      <c r="N13" s="102"/>
      <c r="O13" s="102"/>
      <c r="P13" s="103"/>
      <c r="Q13" s="104"/>
      <c r="R13" s="104"/>
      <c r="S13" s="104"/>
      <c r="T13" s="105"/>
      <c r="U13" s="105"/>
      <c r="V13" s="102"/>
      <c r="W13" s="102"/>
      <c r="X13" s="105"/>
      <c r="Y13" s="105"/>
      <c r="Z13" s="105"/>
    </row>
    <row r="14" spans="1:26" x14ac:dyDescent="0.25">
      <c r="A14" s="88">
        <v>2024</v>
      </c>
      <c r="B14" t="s">
        <v>75</v>
      </c>
      <c r="C14" s="106" t="s">
        <v>33</v>
      </c>
      <c r="D14" s="107">
        <v>422516860.17999989</v>
      </c>
      <c r="E14" s="107">
        <f t="shared" ca="1" si="0"/>
        <v>381273928.17999989</v>
      </c>
      <c r="F14" s="107">
        <v>41242932</v>
      </c>
      <c r="G14" s="108">
        <f ca="1">'Dues summary'!$E14/'Dues summary'!$D14</f>
        <v>0.90238748820004544</v>
      </c>
      <c r="H14" s="109">
        <f ca="1">F14/'Dues summary'!$D14</f>
        <v>9.7612511799954588E-2</v>
      </c>
      <c r="I14" s="102"/>
      <c r="J14" s="102"/>
      <c r="K14" s="102"/>
      <c r="L14" s="102"/>
      <c r="M14" s="102"/>
      <c r="N14" s="102"/>
      <c r="O14" s="102"/>
      <c r="P14" s="103"/>
      <c r="Q14" s="104"/>
      <c r="R14" s="104"/>
      <c r="S14" s="104"/>
      <c r="T14" s="105"/>
      <c r="U14" s="105"/>
      <c r="V14" s="102"/>
      <c r="W14" s="102"/>
      <c r="X14" s="105"/>
      <c r="Y14" s="105"/>
      <c r="Z14" s="105"/>
    </row>
    <row r="15" spans="1:26" x14ac:dyDescent="0.25">
      <c r="A15" s="88">
        <v>2024</v>
      </c>
      <c r="B15" t="s">
        <v>76</v>
      </c>
      <c r="C15" s="98" t="s">
        <v>34</v>
      </c>
      <c r="D15" s="99">
        <v>464860460.95000035</v>
      </c>
      <c r="E15" s="99">
        <f t="shared" ca="1" si="0"/>
        <v>416756751.95000035</v>
      </c>
      <c r="F15" s="99">
        <v>48103709</v>
      </c>
      <c r="G15" s="100">
        <f ca="1">'Dues summary'!$E15/'Dues summary'!$D15</f>
        <v>0.89652011078401017</v>
      </c>
      <c r="H15" s="101">
        <f ca="1">F15/'Dues summary'!$D15</f>
        <v>0.10347988921598983</v>
      </c>
      <c r="I15" s="102"/>
      <c r="J15" s="102"/>
      <c r="K15" s="102"/>
      <c r="L15" s="102"/>
      <c r="M15" s="102"/>
      <c r="N15" s="102"/>
      <c r="O15" s="102"/>
      <c r="P15" s="103"/>
      <c r="Q15" s="104"/>
      <c r="R15" s="104"/>
      <c r="S15" s="104"/>
      <c r="T15" s="105"/>
      <c r="U15" s="105"/>
      <c r="V15" s="102"/>
      <c r="W15" s="102"/>
      <c r="X15" s="105"/>
      <c r="Y15" s="105"/>
      <c r="Z15" s="105"/>
    </row>
    <row r="16" spans="1:26" x14ac:dyDescent="0.25">
      <c r="A16" s="88">
        <v>2024</v>
      </c>
      <c r="B16" t="s">
        <v>77</v>
      </c>
      <c r="C16" s="106" t="s">
        <v>35</v>
      </c>
      <c r="D16" s="107">
        <v>439909059.08999944</v>
      </c>
      <c r="E16" s="107">
        <f t="shared" ca="1" si="0"/>
        <v>402839241.08999944</v>
      </c>
      <c r="F16" s="107">
        <v>37069818</v>
      </c>
      <c r="G16" s="108">
        <f ca="1">'Dues summary'!$E16/'Dues summary'!$D16</f>
        <v>0.91573299700469224</v>
      </c>
      <c r="H16" s="109">
        <f ca="1">F16/'Dues summary'!$D16</f>
        <v>8.426700299530776E-2</v>
      </c>
      <c r="I16" s="102"/>
      <c r="J16" s="102"/>
      <c r="K16" s="102"/>
      <c r="L16" s="102"/>
      <c r="M16" s="102"/>
      <c r="N16" s="102"/>
      <c r="O16" s="102"/>
      <c r="P16" s="103"/>
      <c r="Q16" s="104"/>
      <c r="R16" s="104"/>
      <c r="S16" s="104"/>
      <c r="T16" s="105"/>
      <c r="U16" s="105"/>
      <c r="V16" s="102"/>
      <c r="W16" s="102"/>
      <c r="X16" s="105"/>
      <c r="Y16" s="105"/>
      <c r="Z16" s="105"/>
    </row>
    <row r="17" spans="1:26" x14ac:dyDescent="0.25">
      <c r="A17" s="88">
        <v>2024</v>
      </c>
      <c r="B17" t="s">
        <v>78</v>
      </c>
      <c r="C17" s="98" t="s">
        <v>36</v>
      </c>
      <c r="D17" s="99">
        <v>467772104.0600003</v>
      </c>
      <c r="E17" s="99">
        <f t="shared" ca="1" si="0"/>
        <v>428432229.0600003</v>
      </c>
      <c r="F17" s="99">
        <v>39339875</v>
      </c>
      <c r="G17" s="100">
        <f ca="1">'Dues summary'!$E17/'Dues summary'!$D17</f>
        <v>0.91589948468805238</v>
      </c>
      <c r="H17" s="101">
        <f ca="1">F17/'Dues summary'!$D17</f>
        <v>8.4100515311947593E-2</v>
      </c>
      <c r="I17" s="102"/>
      <c r="J17" s="102"/>
      <c r="K17" s="102"/>
      <c r="L17" s="102"/>
      <c r="M17" s="102"/>
      <c r="N17" s="102"/>
      <c r="O17" s="102"/>
      <c r="P17" s="103"/>
      <c r="Q17" s="104"/>
      <c r="R17" s="104"/>
      <c r="S17" s="104"/>
      <c r="T17" s="105"/>
      <c r="U17" s="105"/>
      <c r="V17" s="110"/>
      <c r="W17" s="110"/>
      <c r="X17" s="105"/>
      <c r="Y17" s="105"/>
      <c r="Z17" s="105"/>
    </row>
    <row r="18" spans="1:26" x14ac:dyDescent="0.25">
      <c r="A18" s="88">
        <v>2024</v>
      </c>
      <c r="B18" t="s">
        <v>79</v>
      </c>
      <c r="C18" s="106" t="s">
        <v>37</v>
      </c>
      <c r="D18" s="107">
        <v>568750710.74000037</v>
      </c>
      <c r="E18" s="107">
        <f t="shared" ca="1" si="0"/>
        <v>533104186.74000037</v>
      </c>
      <c r="F18" s="107">
        <v>35646524</v>
      </c>
      <c r="G18" s="108">
        <f ca="1">'Dues summary'!$E18/'Dues summary'!$D18</f>
        <v>0.93732487128917974</v>
      </c>
      <c r="H18" s="109">
        <f ca="1">F18/'Dues summary'!$D18</f>
        <v>6.2675128710820219E-2</v>
      </c>
      <c r="I18" s="102"/>
      <c r="J18" s="102"/>
      <c r="K18" s="102"/>
      <c r="L18" s="102"/>
      <c r="M18" s="102"/>
      <c r="N18" s="102"/>
      <c r="O18" s="102"/>
      <c r="P18" s="103"/>
      <c r="Q18" s="104"/>
      <c r="R18" s="104"/>
      <c r="S18" s="104"/>
      <c r="T18" s="105"/>
      <c r="U18" s="105"/>
      <c r="V18" s="102"/>
      <c r="W18" s="102"/>
      <c r="X18" s="105"/>
      <c r="Y18" s="105"/>
      <c r="Z18" s="105"/>
    </row>
    <row r="19" spans="1:26" x14ac:dyDescent="0.25">
      <c r="A19" s="88">
        <v>2024</v>
      </c>
      <c r="B19" t="s">
        <v>80</v>
      </c>
      <c r="C19" s="98" t="s">
        <v>38</v>
      </c>
      <c r="D19" s="99">
        <v>555339061.85000026</v>
      </c>
      <c r="E19" s="99">
        <f t="shared" ca="1" si="0"/>
        <v>526465645.85000026</v>
      </c>
      <c r="F19" s="99">
        <v>28873416</v>
      </c>
      <c r="G19" s="100">
        <f ca="1">'Dues summary'!$E19/'Dues summary'!$D19</f>
        <v>0.9480075903470323</v>
      </c>
      <c r="H19" s="101">
        <f ca="1">F19/'Dues summary'!$D19</f>
        <v>5.1992409652967739E-2</v>
      </c>
      <c r="I19" s="102"/>
      <c r="J19" s="102"/>
      <c r="K19" s="102"/>
      <c r="L19" s="102"/>
      <c r="M19" s="102"/>
      <c r="N19" s="102"/>
      <c r="O19" s="102"/>
      <c r="P19" s="103"/>
      <c r="Q19" s="104"/>
      <c r="R19" s="104"/>
      <c r="S19" s="104"/>
      <c r="T19" s="105"/>
      <c r="U19" s="105"/>
      <c r="V19" s="102"/>
      <c r="W19" s="102"/>
      <c r="X19" s="105"/>
      <c r="Y19" s="105"/>
      <c r="Z19" s="105"/>
    </row>
    <row r="20" spans="1:26" x14ac:dyDescent="0.25">
      <c r="A20" s="88">
        <v>2024</v>
      </c>
      <c r="B20" t="s">
        <v>81</v>
      </c>
      <c r="C20" s="106" t="s">
        <v>39</v>
      </c>
      <c r="D20" s="107">
        <v>525022351.93000013</v>
      </c>
      <c r="E20" s="107">
        <f t="shared" ca="1" si="0"/>
        <v>498865353.93000013</v>
      </c>
      <c r="F20" s="107">
        <v>26156998</v>
      </c>
      <c r="G20" s="108">
        <f ca="1">'Dues summary'!$E20/'Dues summary'!$D20</f>
        <v>0.95017926778955986</v>
      </c>
      <c r="H20" s="109">
        <f ca="1">F20/'Dues summary'!$D20</f>
        <v>4.9820732210440144E-2</v>
      </c>
      <c r="I20" s="102"/>
      <c r="J20" s="102"/>
      <c r="K20" s="102"/>
      <c r="L20" s="102"/>
      <c r="M20" s="102"/>
      <c r="N20" s="102"/>
      <c r="O20" s="102"/>
      <c r="P20" s="103"/>
      <c r="Q20" s="104"/>
      <c r="R20" s="104"/>
      <c r="S20" s="104"/>
      <c r="T20" s="105"/>
      <c r="U20" s="105"/>
      <c r="V20" s="102"/>
      <c r="W20" s="102"/>
      <c r="X20" s="105"/>
      <c r="Y20" s="105"/>
      <c r="Z20" s="105"/>
    </row>
    <row r="21" spans="1:26" x14ac:dyDescent="0.25">
      <c r="A21" s="88"/>
      <c r="C21" s="111" t="s">
        <v>24</v>
      </c>
      <c r="D21" s="112">
        <f ca="1">SUM(D9:D20)</f>
        <v>5526145325.6900024</v>
      </c>
      <c r="E21" s="112">
        <f ca="1">SUM(E9:E20)</f>
        <v>5022808859.6900015</v>
      </c>
      <c r="F21" s="112">
        <f ca="1">SUM(F9:F20)</f>
        <v>503336466</v>
      </c>
      <c r="G21" s="113">
        <f ca="1">'Dues summary'!$E21/'Dues summary'!$D21</f>
        <v>0.90891725853460914</v>
      </c>
      <c r="H21" s="114">
        <f ca="1">F21/'Dues summary'!$D21</f>
        <v>9.1082741465390735E-2</v>
      </c>
      <c r="I21" s="102"/>
      <c r="J21" s="102"/>
      <c r="K21" s="102"/>
      <c r="L21" s="102"/>
      <c r="M21" s="102"/>
      <c r="N21" s="102"/>
      <c r="O21" s="102"/>
      <c r="P21" s="103"/>
      <c r="Q21" s="104"/>
      <c r="R21" s="104"/>
      <c r="S21" s="104"/>
      <c r="T21" s="105"/>
      <c r="U21" s="105"/>
      <c r="V21" s="102"/>
      <c r="W21" s="102"/>
      <c r="X21" s="105"/>
      <c r="Y21" s="105"/>
      <c r="Z21" s="105"/>
    </row>
    <row r="22" spans="1:26" x14ac:dyDescent="0.25">
      <c r="A22" s="88">
        <v>2025</v>
      </c>
      <c r="B22" t="s">
        <v>70</v>
      </c>
      <c r="C22" s="106" t="s">
        <v>41</v>
      </c>
      <c r="D22" s="107">
        <v>601830378.41999972</v>
      </c>
      <c r="E22" s="107">
        <f t="shared" ca="1" si="0"/>
        <v>565167516.41999972</v>
      </c>
      <c r="F22" s="107">
        <v>36662862</v>
      </c>
      <c r="G22" s="108">
        <f ca="1">'Dues summary'!$E22/'Dues summary'!$D22</f>
        <v>0.93908107115454698</v>
      </c>
      <c r="H22" s="109">
        <f ca="1">F22/'Dues summary'!$D22</f>
        <v>6.0918928845452976E-2</v>
      </c>
      <c r="I22" s="102"/>
      <c r="J22" s="102"/>
      <c r="K22" s="102"/>
      <c r="L22" s="102"/>
      <c r="M22" s="102"/>
      <c r="N22" s="102"/>
      <c r="O22" s="102"/>
      <c r="P22" s="103"/>
      <c r="Q22" s="104"/>
      <c r="R22" s="104"/>
      <c r="S22" s="104"/>
      <c r="T22" s="105"/>
      <c r="U22" s="105"/>
      <c r="V22" s="102"/>
      <c r="W22" s="102"/>
      <c r="X22" s="105"/>
      <c r="Y22" s="105"/>
      <c r="Z22" s="105"/>
    </row>
    <row r="23" spans="1:26" x14ac:dyDescent="0.25">
      <c r="A23" s="88">
        <v>2025</v>
      </c>
      <c r="B23" t="s">
        <v>71</v>
      </c>
      <c r="C23" s="98" t="s">
        <v>42</v>
      </c>
      <c r="D23" s="99">
        <v>645762909.86000025</v>
      </c>
      <c r="E23" s="99">
        <f t="shared" ca="1" si="0"/>
        <v>620541030.86000025</v>
      </c>
      <c r="F23" s="99">
        <v>25221879</v>
      </c>
      <c r="G23" s="100">
        <f ca="1">'Dues summary'!$E23/'Dues summary'!$D23</f>
        <v>0.96094250906192791</v>
      </c>
      <c r="H23" s="101">
        <f ca="1">F23/'Dues summary'!$D23</f>
        <v>3.9057490938072051E-2</v>
      </c>
      <c r="I23" s="102"/>
      <c r="J23" s="102"/>
      <c r="K23" s="102"/>
      <c r="L23" s="102"/>
      <c r="M23" s="102"/>
      <c r="N23" s="102"/>
      <c r="O23" s="102"/>
      <c r="P23" s="103"/>
      <c r="Q23" s="104"/>
      <c r="R23" s="104"/>
      <c r="S23" s="104"/>
      <c r="T23" s="105"/>
      <c r="U23" s="105"/>
      <c r="V23" s="110"/>
      <c r="W23" s="110"/>
      <c r="X23" s="105"/>
      <c r="Y23" s="105"/>
      <c r="Z23" s="105"/>
    </row>
    <row r="24" spans="1:26" x14ac:dyDescent="0.25">
      <c r="A24" s="88">
        <v>2025</v>
      </c>
      <c r="B24" t="s">
        <v>72</v>
      </c>
      <c r="C24" s="106" t="s">
        <v>43</v>
      </c>
      <c r="D24" s="107">
        <v>673108266.28999996</v>
      </c>
      <c r="E24" s="107">
        <f t="shared" ca="1" si="0"/>
        <v>651171947.28999996</v>
      </c>
      <c r="F24" s="107">
        <v>21936319</v>
      </c>
      <c r="G24" s="108">
        <f ca="1">'Dues summary'!$E24/'Dues summary'!$D24</f>
        <v>0.96741041508685166</v>
      </c>
      <c r="H24" s="109">
        <f ca="1">F24/'Dues summary'!$D24</f>
        <v>3.2589584913148312E-2</v>
      </c>
      <c r="I24" s="102"/>
      <c r="J24" s="102"/>
      <c r="K24" s="102"/>
      <c r="L24" s="102"/>
      <c r="M24" s="102"/>
      <c r="N24" s="102"/>
      <c r="O24" s="102"/>
      <c r="P24" s="103"/>
      <c r="Q24" s="104"/>
      <c r="R24" s="104"/>
      <c r="S24" s="104"/>
      <c r="T24" s="105"/>
      <c r="U24" s="105"/>
      <c r="V24" s="102"/>
      <c r="W24" s="102"/>
      <c r="X24" s="105"/>
      <c r="Y24" s="105"/>
      <c r="Z24" s="105"/>
    </row>
    <row r="25" spans="1:26" x14ac:dyDescent="0.25">
      <c r="A25" s="88">
        <v>2025</v>
      </c>
      <c r="B25" t="s">
        <v>73</v>
      </c>
      <c r="C25" s="98" t="s">
        <v>44</v>
      </c>
      <c r="D25" s="99">
        <v>874378489.62999988</v>
      </c>
      <c r="E25" s="99">
        <f t="shared" ca="1" si="0"/>
        <v>849064622.62999988</v>
      </c>
      <c r="F25" s="99">
        <v>25313867</v>
      </c>
      <c r="G25" s="100">
        <f ca="1">'Dues summary'!$E25/'Dues summary'!$D25</f>
        <v>0.97104930267587919</v>
      </c>
      <c r="H25" s="101">
        <f ca="1">F25/'Dues summary'!$D25</f>
        <v>2.8950697324120773E-2</v>
      </c>
      <c r="I25" s="102"/>
      <c r="J25" s="102"/>
      <c r="K25" s="102"/>
      <c r="L25" s="102"/>
      <c r="M25" s="102"/>
      <c r="N25" s="102"/>
      <c r="O25" s="102"/>
      <c r="P25" s="103"/>
      <c r="Q25" s="104"/>
      <c r="R25" s="104"/>
      <c r="S25" s="104"/>
      <c r="T25" s="105"/>
      <c r="U25" s="105"/>
      <c r="V25" s="110"/>
      <c r="W25" s="110"/>
      <c r="X25" s="105"/>
      <c r="Y25" s="105"/>
      <c r="Z25" s="105"/>
    </row>
    <row r="26" spans="1:26" x14ac:dyDescent="0.25">
      <c r="A26" s="88">
        <v>2025</v>
      </c>
      <c r="B26" t="s">
        <v>74</v>
      </c>
      <c r="C26" s="106" t="s">
        <v>45</v>
      </c>
      <c r="D26" s="107">
        <v>1039953187.9899994</v>
      </c>
      <c r="E26" s="107">
        <f t="shared" ca="1" si="0"/>
        <v>1016914661.9899994</v>
      </c>
      <c r="F26" s="107">
        <v>23038526</v>
      </c>
      <c r="G26" s="108">
        <f ca="1">'Dues summary'!$E26/'Dues summary'!$D26</f>
        <v>0.97784657399384645</v>
      </c>
      <c r="H26" s="109">
        <f ca="1">F26/'Dues summary'!$D26</f>
        <v>2.2153426006153602E-2</v>
      </c>
      <c r="I26" s="102"/>
      <c r="J26" s="102"/>
      <c r="K26" s="102"/>
      <c r="L26" s="102"/>
      <c r="M26" s="102"/>
      <c r="N26" s="102"/>
      <c r="O26" s="102"/>
      <c r="P26" s="103"/>
      <c r="Q26" s="104"/>
      <c r="R26" s="104"/>
      <c r="S26" s="104"/>
      <c r="T26" s="105"/>
      <c r="U26" s="105"/>
      <c r="V26" s="102"/>
      <c r="W26" s="102"/>
      <c r="X26" s="105"/>
      <c r="Y26" s="105"/>
      <c r="Z26" s="105"/>
    </row>
    <row r="27" spans="1:26" x14ac:dyDescent="0.25">
      <c r="A27" s="88">
        <v>2025</v>
      </c>
      <c r="B27" t="s">
        <v>75</v>
      </c>
      <c r="C27" s="98" t="s">
        <v>46</v>
      </c>
      <c r="D27" s="99">
        <v>839161497.28999877</v>
      </c>
      <c r="E27" s="99">
        <f t="shared" ca="1" si="0"/>
        <v>816702341.28999877</v>
      </c>
      <c r="F27" s="99">
        <v>22459156</v>
      </c>
      <c r="G27" s="100">
        <f ca="1">'Dues summary'!$E27/'Dues summary'!$D27</f>
        <v>0.97323619342339951</v>
      </c>
      <c r="H27" s="101">
        <f ca="1">F27/'Dues summary'!$D27</f>
        <v>2.6763806576600511E-2</v>
      </c>
      <c r="I27" s="102"/>
      <c r="J27" s="102"/>
      <c r="K27" s="102"/>
      <c r="L27" s="102"/>
      <c r="M27" s="102"/>
      <c r="N27" s="102"/>
      <c r="O27" s="102"/>
      <c r="P27" s="103"/>
      <c r="Q27" s="104"/>
      <c r="R27" s="104"/>
      <c r="S27" s="104"/>
      <c r="T27" s="105"/>
      <c r="U27" s="105"/>
      <c r="V27" s="110"/>
      <c r="W27" s="110"/>
      <c r="X27" s="105"/>
      <c r="Y27" s="105"/>
      <c r="Z27" s="105"/>
    </row>
    <row r="28" spans="1:26" x14ac:dyDescent="0.25">
      <c r="A28" s="88">
        <v>2025</v>
      </c>
      <c r="B28" t="s">
        <v>76</v>
      </c>
      <c r="C28" s="106" t="s">
        <v>47</v>
      </c>
      <c r="D28" s="107">
        <v>1000240715.110001</v>
      </c>
      <c r="E28" s="107">
        <f t="shared" ca="1" si="0"/>
        <v>982589622.11000097</v>
      </c>
      <c r="F28" s="107">
        <v>17651093</v>
      </c>
      <c r="G28" s="108">
        <f ca="1">'Dues summary'!$E28/'Dues summary'!$D28</f>
        <v>0.98235315486226849</v>
      </c>
      <c r="H28" s="109">
        <f ca="1">F28/'Dues summary'!$D28</f>
        <v>1.7646845137731501E-2</v>
      </c>
      <c r="I28" s="102"/>
      <c r="J28" s="102"/>
      <c r="K28" s="102"/>
      <c r="L28" s="102"/>
      <c r="M28" s="102"/>
      <c r="N28" s="102"/>
      <c r="O28" s="102"/>
      <c r="P28" s="103"/>
      <c r="Q28" s="104"/>
      <c r="R28" s="104"/>
      <c r="S28" s="104"/>
      <c r="T28" s="105"/>
      <c r="U28" s="105"/>
      <c r="V28" s="102"/>
      <c r="W28" s="102"/>
      <c r="X28" s="105"/>
      <c r="Y28" s="105"/>
      <c r="Z28" s="105"/>
    </row>
    <row r="29" spans="1:26" x14ac:dyDescent="0.25">
      <c r="A29" s="88">
        <v>2025</v>
      </c>
      <c r="B29" t="s">
        <v>77</v>
      </c>
      <c r="C29" s="98" t="s">
        <v>48</v>
      </c>
      <c r="D29" s="99">
        <v>783103425.39999866</v>
      </c>
      <c r="E29" s="99">
        <f t="shared" ca="1" si="0"/>
        <v>769334397.39999866</v>
      </c>
      <c r="F29" s="99">
        <v>13769028</v>
      </c>
      <c r="G29" s="100">
        <f ca="1">'Dues summary'!$E29/'Dues summary'!$D29</f>
        <v>0.98241735695005172</v>
      </c>
      <c r="H29" s="101">
        <f ca="1">F29/'Dues summary'!$D29</f>
        <v>1.7582643049948308E-2</v>
      </c>
      <c r="I29" s="102"/>
      <c r="J29" s="102"/>
      <c r="K29" s="102"/>
      <c r="L29" s="102"/>
      <c r="M29" s="102"/>
      <c r="N29" s="102"/>
      <c r="O29" s="102"/>
      <c r="P29" s="103"/>
      <c r="Q29" s="104"/>
      <c r="R29" s="104"/>
      <c r="S29" s="104"/>
      <c r="T29" s="105"/>
      <c r="U29" s="105"/>
      <c r="V29" s="110"/>
      <c r="W29" s="110"/>
      <c r="X29" s="105"/>
      <c r="Y29" s="105"/>
      <c r="Z29" s="105"/>
    </row>
    <row r="30" spans="1:26" x14ac:dyDescent="0.25">
      <c r="A30" s="88">
        <v>2025</v>
      </c>
      <c r="B30" t="s">
        <v>78</v>
      </c>
      <c r="C30" s="106" t="s">
        <v>49</v>
      </c>
      <c r="D30" s="107">
        <v>796239067.21000016</v>
      </c>
      <c r="E30" s="107">
        <f t="shared" ca="1" si="0"/>
        <v>783315609.21000016</v>
      </c>
      <c r="F30" s="107">
        <v>12923458</v>
      </c>
      <c r="G30" s="108">
        <f ca="1">'Dues summary'!$E30/'Dues summary'!$D30</f>
        <v>0.98376937463608327</v>
      </c>
      <c r="H30" s="109">
        <f ca="1">F30/'Dues summary'!$D30</f>
        <v>1.6230625363916697E-2</v>
      </c>
      <c r="I30" s="102"/>
      <c r="J30" s="102"/>
      <c r="K30" s="102"/>
      <c r="L30" s="102"/>
      <c r="M30" s="102"/>
      <c r="N30" s="102"/>
      <c r="O30" s="102"/>
      <c r="P30" s="103"/>
      <c r="Q30" s="104"/>
      <c r="R30" s="104"/>
      <c r="S30" s="104"/>
      <c r="T30" s="105"/>
      <c r="U30" s="105"/>
      <c r="V30" s="102"/>
      <c r="W30" s="102"/>
      <c r="X30" s="105"/>
      <c r="Y30" s="105"/>
      <c r="Z30" s="105"/>
    </row>
    <row r="31" spans="1:26" x14ac:dyDescent="0.25">
      <c r="A31" s="88">
        <v>2025</v>
      </c>
      <c r="B31" t="s">
        <v>79</v>
      </c>
      <c r="C31" s="98" t="s">
        <v>50</v>
      </c>
      <c r="D31" s="99">
        <v>896337262.78000164</v>
      </c>
      <c r="E31" s="99">
        <f t="shared" ca="1" si="0"/>
        <v>882233451.78000164</v>
      </c>
      <c r="F31" s="99">
        <v>14103811</v>
      </c>
      <c r="G31" s="100">
        <f ca="1">'Dues summary'!$E31/'Dues summary'!$D31</f>
        <v>0.98426506228664767</v>
      </c>
      <c r="H31" s="101">
        <f ca="1">F31/'Dues summary'!$D31</f>
        <v>1.5734937713352277E-2</v>
      </c>
      <c r="I31" s="102"/>
      <c r="J31" s="102"/>
      <c r="K31" s="102"/>
      <c r="L31" s="102"/>
      <c r="M31" s="102"/>
      <c r="N31" s="102"/>
      <c r="O31" s="102"/>
      <c r="P31" s="103"/>
      <c r="Q31" s="104"/>
      <c r="R31" s="104"/>
      <c r="S31" s="104"/>
      <c r="T31" s="105"/>
      <c r="U31" s="105"/>
      <c r="V31" s="110"/>
      <c r="W31" s="110"/>
      <c r="X31" s="105"/>
      <c r="Y31" s="105"/>
      <c r="Z31" s="105"/>
    </row>
    <row r="32" spans="1:26" x14ac:dyDescent="0.25">
      <c r="A32" s="88">
        <v>2025</v>
      </c>
      <c r="B32" t="s">
        <v>80</v>
      </c>
      <c r="C32" s="106" t="s">
        <v>51</v>
      </c>
      <c r="D32" s="107">
        <v>759252894.10999739</v>
      </c>
      <c r="E32" s="107">
        <f t="shared" ca="1" si="0"/>
        <v>725872890.10999739</v>
      </c>
      <c r="F32" s="107">
        <v>33380004</v>
      </c>
      <c r="G32" s="108">
        <f ca="1">'Dues summary'!$E32/'Dues summary'!$D32</f>
        <v>0.95603572372400591</v>
      </c>
      <c r="H32" s="109">
        <f ca="1">F32/'Dues summary'!$D32</f>
        <v>4.3964276275994078E-2</v>
      </c>
      <c r="I32" s="102"/>
      <c r="J32" s="102"/>
      <c r="K32" s="102"/>
      <c r="L32" s="102"/>
      <c r="M32" s="102"/>
      <c r="N32" s="102"/>
      <c r="O32" s="102"/>
      <c r="P32" s="103"/>
      <c r="Q32" s="104"/>
      <c r="R32" s="104"/>
      <c r="S32" s="104"/>
      <c r="T32" s="105"/>
      <c r="U32" s="105"/>
      <c r="V32" s="102"/>
      <c r="W32" s="102"/>
      <c r="X32" s="105"/>
      <c r="Y32" s="105"/>
      <c r="Z32" s="105"/>
    </row>
    <row r="33" spans="1:26" x14ac:dyDescent="0.25">
      <c r="A33" s="88">
        <v>2025</v>
      </c>
      <c r="B33" t="s">
        <v>81</v>
      </c>
      <c r="C33" s="98" t="s">
        <v>52</v>
      </c>
      <c r="D33" s="99">
        <v>699053424.68999863</v>
      </c>
      <c r="E33" s="99">
        <f t="shared" ca="1" si="0"/>
        <v>683316626.68999863</v>
      </c>
      <c r="F33" s="99">
        <v>15736798</v>
      </c>
      <c r="G33" s="100">
        <f ca="1">'Dues summary'!$E33/'Dues summary'!$D33</f>
        <v>0.97748841870422332</v>
      </c>
      <c r="H33" s="101">
        <f ca="1">F33/'Dues summary'!$D33</f>
        <v>2.2511581295776673E-2</v>
      </c>
      <c r="I33" s="102"/>
      <c r="J33" s="102"/>
      <c r="K33" s="102"/>
      <c r="L33" s="102"/>
      <c r="M33" s="102"/>
      <c r="N33" s="102"/>
      <c r="O33" s="102"/>
      <c r="P33" s="103"/>
      <c r="Q33" s="104"/>
      <c r="R33" s="104"/>
      <c r="S33" s="104"/>
      <c r="T33" s="105"/>
      <c r="U33" s="105"/>
      <c r="V33" s="110"/>
      <c r="W33" s="110"/>
      <c r="X33" s="105"/>
      <c r="Y33" s="105"/>
      <c r="Z33" s="105"/>
    </row>
    <row r="34" spans="1:26" x14ac:dyDescent="0.25">
      <c r="A34" s="88"/>
      <c r="C34" s="111" t="s">
        <v>40</v>
      </c>
      <c r="D34" s="112">
        <f ca="1">SUM(D22:D33)</f>
        <v>9608421518.779995</v>
      </c>
      <c r="E34" s="112">
        <f ca="1">SUM(E22:E33)</f>
        <v>9346224717.779995</v>
      </c>
      <c r="F34" s="112">
        <f ca="1">SUM(F22:F33)</f>
        <v>262196801</v>
      </c>
      <c r="G34" s="113">
        <f ca="1">'Dues summary'!$E34/'Dues summary'!$D34</f>
        <v>0.97271177159666367</v>
      </c>
      <c r="H34" s="114">
        <f ca="1">F34/'Dues summary'!$D34</f>
        <v>2.7288228403336303E-2</v>
      </c>
      <c r="I34" s="102"/>
      <c r="J34" s="102"/>
      <c r="K34" s="102"/>
      <c r="L34" s="102"/>
      <c r="M34" s="102"/>
      <c r="N34" s="102"/>
      <c r="O34" s="102"/>
      <c r="P34" s="103"/>
      <c r="Q34" s="104"/>
      <c r="R34" s="104"/>
      <c r="S34" s="104"/>
      <c r="T34" s="105"/>
      <c r="U34" s="105"/>
      <c r="V34" s="102"/>
      <c r="W34" s="102"/>
      <c r="X34" s="105"/>
      <c r="Y34" s="105"/>
      <c r="Z34" s="105"/>
    </row>
    <row r="35" spans="1:26" x14ac:dyDescent="0.25">
      <c r="A35" s="88">
        <v>2026</v>
      </c>
      <c r="B35" t="s">
        <v>70</v>
      </c>
      <c r="C35" s="106" t="s">
        <v>54</v>
      </c>
      <c r="D35" s="107">
        <v>783083916.46000004</v>
      </c>
      <c r="E35" s="107">
        <f ca="1">D35-F35</f>
        <v>774293441.46000004</v>
      </c>
      <c r="F35" s="107">
        <v>8790475</v>
      </c>
      <c r="G35" s="108">
        <f ca="1">'Dues summary'!$E35/'Dues summary'!$D35</f>
        <v>0.98877454278496979</v>
      </c>
      <c r="H35" s="109">
        <f ca="1">F35/'Dues summary'!$D35</f>
        <v>1.1225457215030182E-2</v>
      </c>
      <c r="I35" s="102"/>
      <c r="J35" s="102"/>
      <c r="K35" s="102"/>
      <c r="L35" s="102"/>
      <c r="M35" s="102"/>
      <c r="N35" s="102"/>
      <c r="O35" s="102"/>
      <c r="P35" s="103"/>
      <c r="Q35" s="104"/>
      <c r="R35" s="104"/>
      <c r="S35" s="104"/>
      <c r="T35" s="105"/>
      <c r="U35" s="105"/>
      <c r="V35" s="102"/>
      <c r="W35" s="102"/>
      <c r="X35" s="105"/>
      <c r="Y35" s="105"/>
      <c r="Z35" s="105"/>
    </row>
    <row r="36" spans="1:26" x14ac:dyDescent="0.25">
      <c r="A36" s="88">
        <v>2026</v>
      </c>
      <c r="B36" t="s">
        <v>71</v>
      </c>
      <c r="C36" s="98" t="s">
        <v>55</v>
      </c>
      <c r="D36" s="99">
        <v>679398501.69999981</v>
      </c>
      <c r="E36" s="99">
        <f ca="1">D36-F36</f>
        <v>670091725.69999981</v>
      </c>
      <c r="F36" s="99">
        <v>9306776</v>
      </c>
      <c r="G36" s="100">
        <f ca="1">'Dues summary'!$E36/'Dues summary'!$D36</f>
        <v>0.9863014475647025</v>
      </c>
      <c r="H36" s="101">
        <f ca="1">F36/'Dues summary'!$D36</f>
        <v>1.3698552435297492E-2</v>
      </c>
      <c r="I36" s="102"/>
      <c r="J36" s="102"/>
      <c r="K36" s="102"/>
      <c r="L36" s="102"/>
      <c r="M36" s="102"/>
      <c r="N36" s="102"/>
      <c r="O36" s="102"/>
      <c r="P36" s="103"/>
      <c r="Q36" s="104"/>
      <c r="R36" s="104"/>
      <c r="S36" s="104"/>
      <c r="T36" s="105"/>
      <c r="U36" s="105"/>
      <c r="V36" s="110"/>
      <c r="W36" s="110"/>
      <c r="X36" s="105"/>
      <c r="Y36" s="105"/>
      <c r="Z36" s="105"/>
    </row>
    <row r="37" spans="1:26" x14ac:dyDescent="0.25">
      <c r="A37" s="88">
        <v>2026</v>
      </c>
      <c r="B37" t="s">
        <v>72</v>
      </c>
      <c r="C37" s="106" t="s">
        <v>56</v>
      </c>
      <c r="D37" s="107">
        <v>595619874.43000007</v>
      </c>
      <c r="E37" s="107">
        <f ca="1">D37-F37</f>
        <v>588799298.43000007</v>
      </c>
      <c r="F37" s="107">
        <v>6820576</v>
      </c>
      <c r="G37" s="108">
        <f ca="1">'Dues summary'!$E37/'Dues summary'!$D37</f>
        <v>0.9885487770089485</v>
      </c>
      <c r="H37" s="109">
        <f ca="1">F37/'Dues summary'!$D37</f>
        <v>1.145122299105146E-2</v>
      </c>
      <c r="I37" s="102"/>
      <c r="J37" s="102"/>
      <c r="K37" s="102"/>
      <c r="L37" s="102"/>
      <c r="M37" s="102"/>
      <c r="N37" s="102"/>
      <c r="O37" s="102"/>
      <c r="P37" s="103"/>
      <c r="Q37" s="104"/>
      <c r="R37" s="104"/>
      <c r="S37" s="104"/>
      <c r="T37" s="105"/>
      <c r="U37" s="105"/>
      <c r="V37" s="110"/>
      <c r="W37" s="110"/>
      <c r="X37" s="105"/>
      <c r="Y37" s="105"/>
      <c r="Z37" s="105"/>
    </row>
    <row r="38" spans="1:26" x14ac:dyDescent="0.25">
      <c r="A38" s="88">
        <v>2026</v>
      </c>
      <c r="B38" t="s">
        <v>73</v>
      </c>
      <c r="C38" s="98" t="s">
        <v>57</v>
      </c>
      <c r="D38" s="99">
        <v>699873007.71999991</v>
      </c>
      <c r="E38" s="99">
        <f ca="1">D38-F38</f>
        <v>695745247.71999991</v>
      </c>
      <c r="F38" s="99">
        <v>4127760</v>
      </c>
      <c r="G38" s="100">
        <f ca="1">'Dues summary'!$E38/'Dues summary'!$D38</f>
        <v>0.99410213002292069</v>
      </c>
      <c r="H38" s="101">
        <f ca="1">F38/'Dues summary'!$D38</f>
        <v>5.8978699770793333E-3</v>
      </c>
      <c r="I38" s="102"/>
      <c r="J38" s="102"/>
      <c r="K38" s="102"/>
      <c r="L38" s="102"/>
      <c r="M38" s="102"/>
      <c r="N38" s="102"/>
      <c r="O38" s="102"/>
      <c r="P38" s="103"/>
      <c r="Q38" s="104"/>
      <c r="R38" s="104"/>
      <c r="S38" s="104"/>
      <c r="T38" s="105"/>
      <c r="U38" s="105"/>
      <c r="V38" s="110"/>
      <c r="W38" s="110"/>
      <c r="X38" s="105"/>
      <c r="Y38" s="105"/>
      <c r="Z38" s="105"/>
    </row>
    <row r="39" spans="1:26" x14ac:dyDescent="0.25">
      <c r="A39" s="88">
        <v>2026</v>
      </c>
      <c r="B39" t="s">
        <v>74</v>
      </c>
      <c r="C39" s="106" t="s">
        <v>58</v>
      </c>
      <c r="D39" s="107">
        <v>126934438.64000002</v>
      </c>
      <c r="E39" s="107">
        <f ca="1">D39-F39</f>
        <v>126626984.64000002</v>
      </c>
      <c r="F39" s="107">
        <v>307454</v>
      </c>
      <c r="G39" s="108">
        <f ca="1">'Dues summary'!$E39/'Dues summary'!$D39</f>
        <v>0.99757785197386839</v>
      </c>
      <c r="H39" s="109">
        <f ca="1">F39/'Dues summary'!$D39</f>
        <v>2.4221480261316102E-3</v>
      </c>
      <c r="I39" s="102"/>
      <c r="J39" s="102"/>
      <c r="K39" s="102"/>
      <c r="L39" s="102"/>
      <c r="M39" s="102"/>
      <c r="N39" s="102"/>
      <c r="O39" s="102"/>
      <c r="P39" s="103"/>
      <c r="Q39" s="104"/>
      <c r="R39" s="104"/>
      <c r="S39" s="104"/>
      <c r="T39" s="105"/>
      <c r="U39" s="105"/>
      <c r="V39" s="110"/>
      <c r="W39" s="110"/>
      <c r="X39" s="105"/>
      <c r="Y39" s="105"/>
      <c r="Z39" s="105"/>
    </row>
    <row r="40" spans="1:26" x14ac:dyDescent="0.25">
      <c r="C40" s="115" t="s">
        <v>59</v>
      </c>
      <c r="D40" s="116">
        <f ca="1">D21+D34+D35+D36+D37+D38+D39</f>
        <v>18019476583.419998</v>
      </c>
      <c r="E40" s="116">
        <f ca="1">E21+E34+E35+E36+E37+E38+E39</f>
        <v>17224590275.419998</v>
      </c>
      <c r="F40" s="116">
        <f ca="1">F21+F34+F35+F36+F37+F38+F39</f>
        <v>794886308</v>
      </c>
      <c r="G40" s="117">
        <f ca="1">'Dues summary'!$E40/'Dues summary'!$D40</f>
        <v>0.95588738083927549</v>
      </c>
      <c r="H40" s="118">
        <f ca="1">F40/'Dues summary'!$D40</f>
        <v>4.411261916072453E-2</v>
      </c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20"/>
      <c r="U40" s="120"/>
      <c r="V40" s="119"/>
      <c r="W40" s="119"/>
      <c r="X40" s="120"/>
      <c r="Y40" s="120"/>
      <c r="Z40" s="120"/>
    </row>
    <row r="41" spans="1:26" ht="15.75" thickBot="1" x14ac:dyDescent="0.3">
      <c r="C41" s="119"/>
      <c r="D41" s="119">
        <f ca="1">SUM(Summary!K11,Summary!K24,Summary!K37)</f>
        <v>18019476583.419998</v>
      </c>
      <c r="E41" s="119"/>
      <c r="F41" s="119"/>
      <c r="G41" s="120"/>
      <c r="H41" s="120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20"/>
      <c r="U41" s="120"/>
      <c r="V41" s="119"/>
      <c r="W41" s="119"/>
      <c r="X41" s="120"/>
      <c r="Y41" s="120"/>
      <c r="Z41" s="120"/>
    </row>
    <row r="42" spans="1:26" ht="24" thickBot="1" x14ac:dyDescent="0.4">
      <c r="C42" s="89" t="str">
        <f ca="1">_xlfn.CONCAT("Dues collection ageing monthwise")</f>
        <v>Dues collection ageing monthwise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1"/>
      <c r="O42" s="88"/>
      <c r="P42" s="92"/>
      <c r="Q42" s="92"/>
      <c r="R42" s="92"/>
      <c r="S42" s="92"/>
      <c r="T42" s="92"/>
      <c r="U42" s="92"/>
      <c r="V42" s="92"/>
      <c r="W42" s="92"/>
    </row>
    <row r="43" spans="1:26" ht="36" customHeight="1" x14ac:dyDescent="0.25">
      <c r="C43" s="94" t="s">
        <v>282</v>
      </c>
      <c r="D43" s="95" t="s">
        <v>283</v>
      </c>
      <c r="E43" s="95" t="s">
        <v>288</v>
      </c>
      <c r="F43" s="95" t="s">
        <v>289</v>
      </c>
      <c r="G43" s="95" t="s">
        <v>290</v>
      </c>
      <c r="H43" s="95" t="s">
        <v>291</v>
      </c>
      <c r="I43" s="95" t="s">
        <v>292</v>
      </c>
      <c r="J43" s="95" t="s">
        <v>293</v>
      </c>
      <c r="K43" s="95" t="s">
        <v>294</v>
      </c>
      <c r="L43" s="95" t="s">
        <v>295</v>
      </c>
      <c r="M43" s="95" t="s">
        <v>296</v>
      </c>
      <c r="N43" s="96" t="s">
        <v>297</v>
      </c>
      <c r="O43" s="121"/>
      <c r="P43" s="97"/>
      <c r="Q43" s="97"/>
      <c r="R43" s="97"/>
      <c r="S43" s="97"/>
      <c r="T43" s="97"/>
      <c r="U43" s="97"/>
      <c r="V43" s="97"/>
      <c r="W43" s="97"/>
    </row>
    <row r="44" spans="1:26" x14ac:dyDescent="0.25">
      <c r="A44" s="88">
        <v>2024</v>
      </c>
      <c r="B44" t="s">
        <v>70</v>
      </c>
      <c r="C44" s="98" t="s">
        <v>26</v>
      </c>
      <c r="D44" s="99">
        <v>393488606.06000024</v>
      </c>
      <c r="E44" s="99">
        <v>203312781.35999984</v>
      </c>
      <c r="F44" s="99">
        <v>50805561.239999965</v>
      </c>
      <c r="G44" s="99">
        <v>31576443.799999997</v>
      </c>
      <c r="H44" s="99">
        <v>20899865.889999997</v>
      </c>
      <c r="I44" s="99">
        <v>86893953.769999936</v>
      </c>
      <c r="J44" s="100">
        <f ca="1">'Dues summary'!$E44/'Dues summary'!$D44</f>
        <v>0.51669293145682127</v>
      </c>
      <c r="K44" s="100">
        <f ca="1">'Dues summary'!$F44/'Dues summary'!$D44</f>
        <v>0.12911571124947133</v>
      </c>
      <c r="L44" s="100">
        <f ca="1">'Dues summary'!$G44/'Dues summary'!$D44</f>
        <v>8.0247415843052727E-2</v>
      </c>
      <c r="M44" s="100">
        <f ca="1">$H44/'Dues summary'!$D44</f>
        <v>5.311428480552529E-2</v>
      </c>
      <c r="N44" s="101">
        <f ca="1">$I44/'Dues summary'!$D44</f>
        <v>0.22082965664512813</v>
      </c>
      <c r="O44" s="122"/>
      <c r="P44" s="103"/>
      <c r="Q44" s="104"/>
      <c r="R44" s="104"/>
      <c r="S44" s="104"/>
      <c r="T44" s="104"/>
      <c r="U44" s="105"/>
      <c r="V44" s="105"/>
      <c r="W44" s="105"/>
    </row>
    <row r="45" spans="1:26" x14ac:dyDescent="0.25">
      <c r="A45" s="88">
        <v>2024</v>
      </c>
      <c r="B45" t="s">
        <v>71</v>
      </c>
      <c r="C45" s="106" t="s">
        <v>28</v>
      </c>
      <c r="D45" s="107">
        <v>422731739.89999998</v>
      </c>
      <c r="E45" s="107">
        <v>228618910.46000028</v>
      </c>
      <c r="F45" s="107">
        <v>50741842.720000014</v>
      </c>
      <c r="G45" s="107">
        <v>16340507.570000006</v>
      </c>
      <c r="H45" s="107">
        <v>18323670.43</v>
      </c>
      <c r="I45" s="107">
        <v>108706808.71999997</v>
      </c>
      <c r="J45" s="108">
        <f ca="1">'Dues summary'!$E45/'Dues summary'!$D45</f>
        <v>0.54081321292335804</v>
      </c>
      <c r="K45" s="108">
        <f ca="1">'Dues summary'!$F45/'Dues summary'!$D45</f>
        <v>0.12003319819799511</v>
      </c>
      <c r="L45" s="108">
        <f ca="1">'Dues summary'!$G45/'Dues summary'!$D45</f>
        <v>3.865455566186126E-2</v>
      </c>
      <c r="M45" s="108">
        <f ca="1">$H45/'Dues summary'!$D45</f>
        <v>4.3345859088637598E-2</v>
      </c>
      <c r="N45" s="109">
        <f ca="1">$I45/'Dues summary'!$D45</f>
        <v>0.2571531741281487</v>
      </c>
      <c r="O45" s="122"/>
      <c r="P45" s="103"/>
      <c r="Q45" s="104"/>
      <c r="R45" s="104"/>
      <c r="S45" s="104"/>
      <c r="T45" s="104"/>
      <c r="U45" s="105"/>
      <c r="V45" s="105"/>
      <c r="W45" s="105"/>
    </row>
    <row r="46" spans="1:26" x14ac:dyDescent="0.25">
      <c r="A46" s="88">
        <v>2024</v>
      </c>
      <c r="B46" t="s">
        <v>72</v>
      </c>
      <c r="C46" s="98" t="s">
        <v>29</v>
      </c>
      <c r="D46" s="99">
        <v>400133608.58999997</v>
      </c>
      <c r="E46" s="99">
        <v>221413238.00000012</v>
      </c>
      <c r="F46" s="99">
        <v>66172533.599999972</v>
      </c>
      <c r="G46" s="99">
        <v>34851782.590000011</v>
      </c>
      <c r="H46" s="99">
        <v>14415821.65</v>
      </c>
      <c r="I46" s="99">
        <v>63280232.750000015</v>
      </c>
      <c r="J46" s="100">
        <f ca="1">'Dues summary'!$E46/'Dues summary'!$D46</f>
        <v>0.55334826479640431</v>
      </c>
      <c r="K46" s="100">
        <f ca="1">'Dues summary'!$F46/'Dues summary'!$D46</f>
        <v>0.16537609483287413</v>
      </c>
      <c r="L46" s="100">
        <f ca="1">'Dues summary'!$G46/'Dues summary'!$D46</f>
        <v>8.7100363083249935E-2</v>
      </c>
      <c r="M46" s="100">
        <f ca="1">$H46/'Dues summary'!$D46</f>
        <v>3.6027520159575707E-2</v>
      </c>
      <c r="N46" s="101">
        <f ca="1">$I46/'Dues summary'!$D46</f>
        <v>0.15814775712789625</v>
      </c>
      <c r="O46" s="122"/>
      <c r="P46" s="103"/>
      <c r="Q46" s="104"/>
      <c r="R46" s="104"/>
      <c r="S46" s="104"/>
      <c r="T46" s="104"/>
      <c r="U46" s="105"/>
      <c r="V46" s="105"/>
      <c r="W46" s="105"/>
    </row>
    <row r="47" spans="1:26" x14ac:dyDescent="0.25">
      <c r="A47" s="88">
        <v>2024</v>
      </c>
      <c r="B47" t="s">
        <v>73</v>
      </c>
      <c r="C47" s="106" t="s">
        <v>30</v>
      </c>
      <c r="D47" s="107">
        <v>405586207.61000055</v>
      </c>
      <c r="E47" s="107">
        <v>227038971.5999999</v>
      </c>
      <c r="F47" s="107">
        <v>55826212.860000014</v>
      </c>
      <c r="G47" s="107">
        <v>35067678.390000015</v>
      </c>
      <c r="H47" s="107">
        <v>20433597.289999995</v>
      </c>
      <c r="I47" s="107">
        <v>67219747.469999984</v>
      </c>
      <c r="J47" s="108">
        <f ca="1">'Dues summary'!$E47/'Dues summary'!$D47</f>
        <v>0.55977981336661653</v>
      </c>
      <c r="K47" s="108">
        <f ca="1">'Dues summary'!$F47/'Dues summary'!$D47</f>
        <v>0.13764327241048793</v>
      </c>
      <c r="L47" s="108">
        <f ca="1">'Dues summary'!$G47/'Dues summary'!$D47</f>
        <v>8.6461713273346896E-2</v>
      </c>
      <c r="M47" s="108">
        <f ca="1">$H47/'Dues summary'!$D47</f>
        <v>5.0380404724335019E-2</v>
      </c>
      <c r="N47" s="109">
        <f ca="1">$I47/'Dues summary'!$D47</f>
        <v>0.16573479622521203</v>
      </c>
      <c r="O47" s="122"/>
      <c r="P47" s="103"/>
      <c r="Q47" s="104"/>
      <c r="R47" s="104"/>
      <c r="S47" s="104"/>
      <c r="T47" s="104"/>
      <c r="U47" s="105"/>
      <c r="V47" s="105"/>
      <c r="W47" s="105"/>
    </row>
    <row r="48" spans="1:26" x14ac:dyDescent="0.25">
      <c r="A48" s="88">
        <v>2024</v>
      </c>
      <c r="B48" t="s">
        <v>74</v>
      </c>
      <c r="C48" s="98" t="s">
        <v>31</v>
      </c>
      <c r="D48" s="99">
        <v>460034554.73000038</v>
      </c>
      <c r="E48" s="99">
        <v>244362149.29999995</v>
      </c>
      <c r="F48" s="99">
        <v>82812132.089999974</v>
      </c>
      <c r="G48" s="99">
        <v>34557481.360000007</v>
      </c>
      <c r="H48" s="99">
        <v>24538274.769999996</v>
      </c>
      <c r="I48" s="99">
        <v>73764517.210000008</v>
      </c>
      <c r="J48" s="100">
        <f ca="1">'Dues summary'!$E48/'Dues summary'!$D48</f>
        <v>0.53118216183438427</v>
      </c>
      <c r="K48" s="100">
        <f ca="1">'Dues summary'!$F48/'Dues summary'!$D48</f>
        <v>0.18001285172719989</v>
      </c>
      <c r="L48" s="100">
        <f ca="1">'Dues summary'!$G48/'Dues summary'!$D48</f>
        <v>7.5119316591950785E-2</v>
      </c>
      <c r="M48" s="100">
        <f ca="1">$H48/'Dues summary'!$D48</f>
        <v>5.3340068735492692E-2</v>
      </c>
      <c r="N48" s="101">
        <f ca="1">$I48/'Dues summary'!$D48</f>
        <v>0.16034560111097146</v>
      </c>
      <c r="O48" s="122"/>
      <c r="P48" s="103"/>
      <c r="Q48" s="104"/>
      <c r="R48" s="104"/>
      <c r="S48" s="104"/>
      <c r="T48" s="104"/>
      <c r="U48" s="105"/>
      <c r="V48" s="105"/>
      <c r="W48" s="105"/>
    </row>
    <row r="49" spans="1:23" x14ac:dyDescent="0.25">
      <c r="A49" s="88">
        <v>2024</v>
      </c>
      <c r="B49" t="s">
        <v>75</v>
      </c>
      <c r="C49" s="106" t="s">
        <v>33</v>
      </c>
      <c r="D49" s="107">
        <v>422516860.17999989</v>
      </c>
      <c r="E49" s="107">
        <v>222987978.70999989</v>
      </c>
      <c r="F49" s="107">
        <v>81036697.820000008</v>
      </c>
      <c r="G49" s="107">
        <v>29297415.499999996</v>
      </c>
      <c r="H49" s="107">
        <v>20234443.760000002</v>
      </c>
      <c r="I49" s="107">
        <v>68960324.389999941</v>
      </c>
      <c r="J49" s="108">
        <f ca="1">'Dues summary'!$E49/'Dues summary'!$D49</f>
        <v>0.52776113742538688</v>
      </c>
      <c r="K49" s="108">
        <f ca="1">'Dues summary'!$F49/'Dues summary'!$D49</f>
        <v>0.19179518134608142</v>
      </c>
      <c r="L49" s="108">
        <f ca="1">'Dues summary'!$G49/'Dues summary'!$D49</f>
        <v>6.9340228192358438E-2</v>
      </c>
      <c r="M49" s="108">
        <f ca="1">$H49/'Dues summary'!$D49</f>
        <v>4.7890263482928845E-2</v>
      </c>
      <c r="N49" s="109">
        <f ca="1">$I49/'Dues summary'!$D49</f>
        <v>0.16321318955324429</v>
      </c>
      <c r="O49" s="122"/>
      <c r="P49" s="103"/>
      <c r="Q49" s="104"/>
      <c r="R49" s="104"/>
      <c r="S49" s="104"/>
      <c r="T49" s="104"/>
      <c r="U49" s="105"/>
      <c r="V49" s="105"/>
      <c r="W49" s="105"/>
    </row>
    <row r="50" spans="1:23" x14ac:dyDescent="0.25">
      <c r="A50" s="88">
        <v>2024</v>
      </c>
      <c r="B50" t="s">
        <v>76</v>
      </c>
      <c r="C50" s="98" t="s">
        <v>34</v>
      </c>
      <c r="D50" s="99">
        <v>464860460.95000035</v>
      </c>
      <c r="E50" s="99">
        <v>296400219.1400001</v>
      </c>
      <c r="F50" s="99">
        <v>51473442.79999999</v>
      </c>
      <c r="G50" s="99">
        <v>30945865.779999986</v>
      </c>
      <c r="H50" s="99">
        <v>20118223.010000009</v>
      </c>
      <c r="I50" s="99">
        <v>65922710.219999932</v>
      </c>
      <c r="J50" s="100">
        <f ca="1">'Dues summary'!$E50/'Dues summary'!$D50</f>
        <v>0.63761116300205289</v>
      </c>
      <c r="K50" s="100">
        <f ca="1">'Dues summary'!$F50/'Dues summary'!$D50</f>
        <v>0.11072880385397284</v>
      </c>
      <c r="L50" s="100">
        <f ca="1">'Dues summary'!$G50/'Dues summary'!$D50</f>
        <v>6.657022564740879E-2</v>
      </c>
      <c r="M50" s="100">
        <f ca="1">$H50/'Dues summary'!$D50</f>
        <v>4.3277982749674836E-2</v>
      </c>
      <c r="N50" s="101">
        <f ca="1">$I50/'Dues summary'!$D50</f>
        <v>0.14181182474688997</v>
      </c>
      <c r="O50" s="122"/>
      <c r="P50" s="103"/>
      <c r="Q50" s="104"/>
      <c r="R50" s="104"/>
      <c r="S50" s="104"/>
      <c r="T50" s="104"/>
      <c r="U50" s="105"/>
      <c r="V50" s="105"/>
      <c r="W50" s="105"/>
    </row>
    <row r="51" spans="1:23" x14ac:dyDescent="0.25">
      <c r="A51" s="88">
        <v>2024</v>
      </c>
      <c r="B51" t="s">
        <v>77</v>
      </c>
      <c r="C51" s="106" t="s">
        <v>35</v>
      </c>
      <c r="D51" s="107">
        <v>439909059.08999944</v>
      </c>
      <c r="E51" s="107">
        <v>283343729.23000014</v>
      </c>
      <c r="F51" s="107">
        <v>44883286.350000009</v>
      </c>
      <c r="G51" s="107">
        <v>34625029.560000002</v>
      </c>
      <c r="H51" s="107">
        <v>19817044.750000007</v>
      </c>
      <c r="I51" s="107">
        <v>57239969.199999973</v>
      </c>
      <c r="J51" s="108">
        <f ca="1">'Dues summary'!$E51/'Dues summary'!$D51</f>
        <v>0.6440961452717705</v>
      </c>
      <c r="K51" s="108">
        <f ca="1">'Dues summary'!$F51/'Dues summary'!$D51</f>
        <v>0.10202855663587845</v>
      </c>
      <c r="L51" s="108">
        <f ca="1">'Dues summary'!$G51/'Dues summary'!$D51</f>
        <v>7.8709516988865164E-2</v>
      </c>
      <c r="M51" s="108">
        <f ca="1">$H51/'Dues summary'!$D51</f>
        <v>4.5048048773975599E-2</v>
      </c>
      <c r="N51" s="109">
        <f ca="1">$I51/'Dues summary'!$D51</f>
        <v>0.13011773232951188</v>
      </c>
      <c r="O51" s="122"/>
      <c r="P51" s="103"/>
      <c r="Q51" s="104"/>
      <c r="R51" s="104"/>
      <c r="S51" s="104"/>
      <c r="T51" s="104"/>
      <c r="U51" s="105"/>
      <c r="V51" s="105"/>
      <c r="W51" s="105"/>
    </row>
    <row r="52" spans="1:23" x14ac:dyDescent="0.25">
      <c r="A52" s="88">
        <v>2024</v>
      </c>
      <c r="B52" t="s">
        <v>78</v>
      </c>
      <c r="C52" s="98" t="s">
        <v>36</v>
      </c>
      <c r="D52" s="99">
        <v>467772104.0600003</v>
      </c>
      <c r="E52" s="99">
        <v>320878434.54999971</v>
      </c>
      <c r="F52" s="99">
        <v>52913805.32000003</v>
      </c>
      <c r="G52" s="99">
        <v>24500029.32</v>
      </c>
      <c r="H52" s="99">
        <v>15554607.459999997</v>
      </c>
      <c r="I52" s="99">
        <v>53925227.410000004</v>
      </c>
      <c r="J52" s="100">
        <f ca="1">'Dues summary'!$E52/'Dues summary'!$D52</f>
        <v>0.68597171948680635</v>
      </c>
      <c r="K52" s="100">
        <f ca="1">'Dues summary'!$F52/'Dues summary'!$D52</f>
        <v>0.11311877057382813</v>
      </c>
      <c r="L52" s="100">
        <f ca="1">'Dues summary'!$G52/'Dues summary'!$D52</f>
        <v>5.2375994864493729E-2</v>
      </c>
      <c r="M52" s="100">
        <f ca="1">$H52/'Dues summary'!$D52</f>
        <v>3.3252533284893866E-2</v>
      </c>
      <c r="N52" s="101">
        <f ca="1">$I52/'Dues summary'!$D52</f>
        <v>0.11528098178997676</v>
      </c>
      <c r="O52" s="122"/>
      <c r="P52" s="103"/>
      <c r="Q52" s="104"/>
      <c r="R52" s="104"/>
      <c r="S52" s="104"/>
      <c r="T52" s="104"/>
      <c r="U52" s="105"/>
      <c r="V52" s="105"/>
      <c r="W52" s="105"/>
    </row>
    <row r="53" spans="1:23" x14ac:dyDescent="0.25">
      <c r="A53" s="88">
        <v>2024</v>
      </c>
      <c r="B53" t="s">
        <v>79</v>
      </c>
      <c r="C53" s="106" t="s">
        <v>37</v>
      </c>
      <c r="D53" s="107">
        <v>568750710.74000037</v>
      </c>
      <c r="E53" s="107">
        <v>438457400.10000008</v>
      </c>
      <c r="F53" s="107">
        <v>53796617.730000004</v>
      </c>
      <c r="G53" s="107">
        <v>21597797.07</v>
      </c>
      <c r="H53" s="107">
        <v>10839083.73</v>
      </c>
      <c r="I53" s="107">
        <v>44059812.109999985</v>
      </c>
      <c r="J53" s="108">
        <f ca="1">'Dues summary'!$E53/'Dues summary'!$D53</f>
        <v>0.77091314669220201</v>
      </c>
      <c r="K53" s="108">
        <f ca="1">'Dues summary'!$F53/'Dues summary'!$D53</f>
        <v>9.4587341543723683E-2</v>
      </c>
      <c r="L53" s="108">
        <f ca="1">'Dues summary'!$G53/'Dues summary'!$D53</f>
        <v>3.7974101240065533E-2</v>
      </c>
      <c r="M53" s="108">
        <f ca="1">$H53/'Dues summary'!$D53</f>
        <v>1.905770581965039E-2</v>
      </c>
      <c r="N53" s="109">
        <f ca="1">$I53/'Dues summary'!$D53</f>
        <v>7.7467704704357834E-2</v>
      </c>
      <c r="O53" s="122"/>
      <c r="P53" s="103"/>
      <c r="Q53" s="104"/>
      <c r="R53" s="104"/>
      <c r="S53" s="104"/>
      <c r="T53" s="104"/>
      <c r="U53" s="105"/>
      <c r="V53" s="105"/>
      <c r="W53" s="105"/>
    </row>
    <row r="54" spans="1:23" x14ac:dyDescent="0.25">
      <c r="A54" s="88">
        <v>2024</v>
      </c>
      <c r="B54" t="s">
        <v>80</v>
      </c>
      <c r="C54" s="98" t="s">
        <v>38</v>
      </c>
      <c r="D54" s="99">
        <v>555339061.85000026</v>
      </c>
      <c r="E54" s="99">
        <v>416583514.4600001</v>
      </c>
      <c r="F54" s="99">
        <v>57375249.849999987</v>
      </c>
      <c r="G54" s="99">
        <v>23894296.760000002</v>
      </c>
      <c r="H54" s="99">
        <v>12627987.020000001</v>
      </c>
      <c r="I54" s="99">
        <v>44858013.759999938</v>
      </c>
      <c r="J54" s="100">
        <f ca="1">'Dues summary'!$E54/'Dues summary'!$D54</f>
        <v>0.75014264811885556</v>
      </c>
      <c r="K54" s="100">
        <f ca="1">'Dues summary'!$F54/'Dues summary'!$D54</f>
        <v>0.10331571069188955</v>
      </c>
      <c r="L54" s="100">
        <f ca="1">'Dues summary'!$G54/'Dues summary'!$D54</f>
        <v>4.3026501107991506E-2</v>
      </c>
      <c r="M54" s="100">
        <f ca="1">$H54/'Dues summary'!$D54</f>
        <v>2.2739237859358219E-2</v>
      </c>
      <c r="N54" s="101">
        <f ca="1">$I54/'Dues summary'!$D54</f>
        <v>8.0775902221904755E-2</v>
      </c>
      <c r="O54" s="122"/>
      <c r="P54" s="103"/>
      <c r="Q54" s="104"/>
      <c r="R54" s="104"/>
      <c r="S54" s="104"/>
      <c r="T54" s="104"/>
      <c r="U54" s="105"/>
      <c r="V54" s="105"/>
      <c r="W54" s="105"/>
    </row>
    <row r="55" spans="1:23" x14ac:dyDescent="0.25">
      <c r="A55" s="88">
        <v>2024</v>
      </c>
      <c r="B55" t="s">
        <v>81</v>
      </c>
      <c r="C55" s="106" t="s">
        <v>39</v>
      </c>
      <c r="D55" s="107">
        <v>525022351.93000013</v>
      </c>
      <c r="E55" s="107">
        <v>372927322.52999991</v>
      </c>
      <c r="F55" s="107">
        <v>71111225.359999999</v>
      </c>
      <c r="G55" s="107">
        <v>24024290.84999999</v>
      </c>
      <c r="H55" s="107">
        <v>13571501.890000001</v>
      </c>
      <c r="I55" s="107">
        <v>43388011.300000042</v>
      </c>
      <c r="J55" s="108">
        <f ca="1">'Dues summary'!$E55/'Dues summary'!$D55</f>
        <v>0.71030751578310203</v>
      </c>
      <c r="K55" s="108">
        <f ca="1">'Dues summary'!$F55/'Dues summary'!$D55</f>
        <v>0.13544418651623633</v>
      </c>
      <c r="L55" s="108">
        <f ca="1">'Dues summary'!$G55/'Dues summary'!$D55</f>
        <v>4.5758605822563317E-2</v>
      </c>
      <c r="M55" s="108">
        <f ca="1">$H55/'Dues summary'!$D55</f>
        <v>2.5849379250446568E-2</v>
      </c>
      <c r="N55" s="109">
        <f ca="1">$I55/'Dues summary'!$D55</f>
        <v>8.2640312627651424E-2</v>
      </c>
      <c r="O55" s="122"/>
      <c r="P55" s="103"/>
      <c r="Q55" s="104"/>
      <c r="R55" s="104"/>
      <c r="S55" s="104"/>
      <c r="T55" s="104"/>
      <c r="U55" s="105"/>
      <c r="V55" s="105"/>
      <c r="W55" s="105"/>
    </row>
    <row r="56" spans="1:23" x14ac:dyDescent="0.25">
      <c r="A56" s="88"/>
      <c r="C56" s="115" t="s">
        <v>24</v>
      </c>
      <c r="D56" s="116">
        <f t="shared" ref="D56:I56" ca="1" si="1">SUM(D44:D55)</f>
        <v>5526145325.6900024</v>
      </c>
      <c r="E56" s="116">
        <f t="shared" ca="1" si="1"/>
        <v>3476324649.4399996</v>
      </c>
      <c r="F56" s="116">
        <f t="shared" ca="1" si="1"/>
        <v>718948607.74000001</v>
      </c>
      <c r="G56" s="116">
        <f t="shared" ca="1" si="1"/>
        <v>341278618.54999995</v>
      </c>
      <c r="H56" s="116">
        <f t="shared" ca="1" si="1"/>
        <v>211374121.65000004</v>
      </c>
      <c r="I56" s="116">
        <f t="shared" ca="1" si="1"/>
        <v>778219328.3099997</v>
      </c>
      <c r="J56" s="117">
        <f ca="1">'Dues summary'!$E56/'Dues summary'!$D56</f>
        <v>0.62906862642196992</v>
      </c>
      <c r="K56" s="117">
        <f ca="1">'Dues summary'!$F56/'Dues summary'!$D56</f>
        <v>0.1300994753789308</v>
      </c>
      <c r="L56" s="117">
        <f ca="1">'Dues summary'!$G56/'Dues summary'!$D56</f>
        <v>6.1757083543109215E-2</v>
      </c>
      <c r="M56" s="117">
        <f ca="1">$H56/'Dues summary'!$D56</f>
        <v>3.8249830431958023E-2</v>
      </c>
      <c r="N56" s="118">
        <f ca="1">$I56/'Dues summary'!$D56</f>
        <v>0.14082498422403145</v>
      </c>
      <c r="O56" s="122"/>
      <c r="P56" s="103"/>
      <c r="Q56" s="104"/>
      <c r="R56" s="104"/>
      <c r="S56" s="104"/>
      <c r="T56" s="104"/>
      <c r="U56" s="105"/>
      <c r="V56" s="105"/>
      <c r="W56" s="105"/>
    </row>
    <row r="57" spans="1:23" x14ac:dyDescent="0.25">
      <c r="A57" s="88">
        <v>2025</v>
      </c>
      <c r="B57" t="s">
        <v>70</v>
      </c>
      <c r="C57" s="106" t="s">
        <v>41</v>
      </c>
      <c r="D57" s="107">
        <v>601830378.41999972</v>
      </c>
      <c r="E57" s="107">
        <v>426059563.81</v>
      </c>
      <c r="F57" s="107">
        <v>81941269.400000066</v>
      </c>
      <c r="G57" s="107">
        <v>30856515.669999991</v>
      </c>
      <c r="H57" s="107">
        <v>17276109.480000004</v>
      </c>
      <c r="I57" s="107">
        <v>45696920.059999973</v>
      </c>
      <c r="J57" s="108">
        <f ca="1">'Dues summary'!$E57/'Dues summary'!$D57</f>
        <v>0.70793961070649969</v>
      </c>
      <c r="K57" s="108">
        <f ca="1">'Dues summary'!$F57/'Dues summary'!$D57</f>
        <v>0.13615342850442763</v>
      </c>
      <c r="L57" s="108">
        <f ca="1">'Dues summary'!$G57/'Dues summary'!$D57</f>
        <v>5.1271116873509062E-2</v>
      </c>
      <c r="M57" s="108">
        <f ca="1">$H57/'Dues summary'!$D57</f>
        <v>2.8705944564239853E-2</v>
      </c>
      <c r="N57" s="109">
        <f ca="1">$I57/'Dues summary'!$D57</f>
        <v>7.5929899351324256E-2</v>
      </c>
      <c r="O57" s="122"/>
      <c r="P57" s="103"/>
      <c r="Q57" s="104"/>
      <c r="R57" s="104"/>
      <c r="S57" s="104"/>
      <c r="T57" s="104"/>
      <c r="U57" s="105"/>
      <c r="V57" s="105"/>
      <c r="W57" s="105"/>
    </row>
    <row r="58" spans="1:23" x14ac:dyDescent="0.25">
      <c r="A58" s="88">
        <v>2025</v>
      </c>
      <c r="B58" t="s">
        <v>71</v>
      </c>
      <c r="C58" s="98" t="s">
        <v>42</v>
      </c>
      <c r="D58" s="99">
        <v>645762909.86000025</v>
      </c>
      <c r="E58" s="99">
        <v>490850942.56000078</v>
      </c>
      <c r="F58" s="99">
        <v>52470955.140000001</v>
      </c>
      <c r="G58" s="99">
        <v>32284928.460000001</v>
      </c>
      <c r="H58" s="99">
        <v>21362438.57</v>
      </c>
      <c r="I58" s="99">
        <v>48793645.129999943</v>
      </c>
      <c r="J58" s="100">
        <f ca="1">'Dues summary'!$E58/'Dues summary'!$D58</f>
        <v>0.7601101504365062</v>
      </c>
      <c r="K58" s="100">
        <f ca="1">'Dues summary'!$F58/'Dues summary'!$D58</f>
        <v>8.12542100805628E-2</v>
      </c>
      <c r="L58" s="100">
        <f ca="1">'Dues summary'!$G58/'Dues summary'!$D58</f>
        <v>4.9995018244388317E-2</v>
      </c>
      <c r="M58" s="100">
        <f ca="1">$H58/'Dues summary'!$D58</f>
        <v>3.3080931474728584E-2</v>
      </c>
      <c r="N58" s="101">
        <f ca="1">$I58/'Dues summary'!$D58</f>
        <v>7.555968976381483E-2</v>
      </c>
      <c r="O58" s="122"/>
      <c r="P58" s="103"/>
      <c r="Q58" s="104"/>
      <c r="R58" s="104"/>
      <c r="S58" s="104"/>
      <c r="T58" s="104"/>
      <c r="U58" s="105"/>
      <c r="V58" s="105"/>
      <c r="W58" s="105"/>
    </row>
    <row r="59" spans="1:23" x14ac:dyDescent="0.25">
      <c r="A59" s="88">
        <v>2025</v>
      </c>
      <c r="B59" t="s">
        <v>72</v>
      </c>
      <c r="C59" s="106" t="s">
        <v>43</v>
      </c>
      <c r="D59" s="107">
        <v>673108266.28999996</v>
      </c>
      <c r="E59" s="107">
        <v>530358547.84999973</v>
      </c>
      <c r="F59" s="107">
        <v>60238448.75000003</v>
      </c>
      <c r="G59" s="107">
        <v>21034618.98</v>
      </c>
      <c r="H59" s="107">
        <v>17232856.620000001</v>
      </c>
      <c r="I59" s="107">
        <v>44243794.089999929</v>
      </c>
      <c r="J59" s="108">
        <f ca="1">'Dues summary'!$E59/'Dues summary'!$D59</f>
        <v>0.7879245797606973</v>
      </c>
      <c r="K59" s="108">
        <f ca="1">'Dues summary'!$F59/'Dues summary'!$D59</f>
        <v>8.9492956433322238E-2</v>
      </c>
      <c r="L59" s="108">
        <f ca="1">'Dues summary'!$G59/'Dues summary'!$D59</f>
        <v>3.1249978693527896E-2</v>
      </c>
      <c r="M59" s="108">
        <f ca="1">$H59/'Dues summary'!$D59</f>
        <v>2.5601909058379398E-2</v>
      </c>
      <c r="N59" s="109">
        <f ca="1">$I59/'Dues summary'!$D59</f>
        <v>6.5730576054072801E-2</v>
      </c>
      <c r="O59" s="122"/>
      <c r="P59" s="103"/>
      <c r="Q59" s="104"/>
      <c r="R59" s="104"/>
      <c r="S59" s="104"/>
      <c r="T59" s="104"/>
      <c r="U59" s="105"/>
      <c r="V59" s="105"/>
      <c r="W59" s="105"/>
    </row>
    <row r="60" spans="1:23" x14ac:dyDescent="0.25">
      <c r="A60" s="88">
        <v>2025</v>
      </c>
      <c r="B60" t="s">
        <v>73</v>
      </c>
      <c r="C60" s="98" t="s">
        <v>44</v>
      </c>
      <c r="D60" s="99">
        <v>874378489.62999988</v>
      </c>
      <c r="E60" s="99">
        <v>712990039.00999916</v>
      </c>
      <c r="F60" s="99">
        <v>76513889.219999999</v>
      </c>
      <c r="G60" s="99">
        <v>26375740</v>
      </c>
      <c r="H60" s="99">
        <v>12767239.719999999</v>
      </c>
      <c r="I60" s="99">
        <v>45731581.680000059</v>
      </c>
      <c r="J60" s="100">
        <f ca="1">'Dues summary'!$E60/'Dues summary'!$D60</f>
        <v>0.81542495322787101</v>
      </c>
      <c r="K60" s="100">
        <f ca="1">'Dues summary'!$F60/'Dues summary'!$D60</f>
        <v>8.7506600548210481E-2</v>
      </c>
      <c r="L60" s="100">
        <f ca="1">'Dues summary'!$G60/'Dues summary'!$D60</f>
        <v>3.0165129074894215E-2</v>
      </c>
      <c r="M60" s="100">
        <f ca="1">$H60/'Dues summary'!$D60</f>
        <v>1.4601502520267345E-2</v>
      </c>
      <c r="N60" s="101">
        <f ca="1">$I60/'Dues summary'!$D60</f>
        <v>5.2301814628756181E-2</v>
      </c>
      <c r="O60" s="122"/>
      <c r="P60" s="103"/>
      <c r="Q60" s="104"/>
      <c r="R60" s="104"/>
      <c r="S60" s="104"/>
      <c r="T60" s="104"/>
      <c r="U60" s="105"/>
      <c r="V60" s="105"/>
      <c r="W60" s="105"/>
    </row>
    <row r="61" spans="1:23" x14ac:dyDescent="0.25">
      <c r="A61" s="88">
        <v>2025</v>
      </c>
      <c r="B61" t="s">
        <v>74</v>
      </c>
      <c r="C61" s="106" t="s">
        <v>45</v>
      </c>
      <c r="D61" s="107">
        <v>1039953187.9899994</v>
      </c>
      <c r="E61" s="107">
        <v>746323375.41000056</v>
      </c>
      <c r="F61" s="107">
        <v>179669464.08000004</v>
      </c>
      <c r="G61" s="107">
        <v>43016612.719999999</v>
      </c>
      <c r="H61" s="107">
        <v>15294949.99</v>
      </c>
      <c r="I61" s="107">
        <v>55648785.790000066</v>
      </c>
      <c r="J61" s="108">
        <f ca="1">'Dues summary'!$E61/'Dues summary'!$D61</f>
        <v>0.71765093278138736</v>
      </c>
      <c r="K61" s="108">
        <f ca="1">'Dues summary'!$F61/'Dues summary'!$D61</f>
        <v>0.17276687658149456</v>
      </c>
      <c r="L61" s="108">
        <f ca="1">'Dues summary'!$G61/'Dues summary'!$D61</f>
        <v>4.1363989472585433E-2</v>
      </c>
      <c r="M61" s="108">
        <f ca="1">$H61/'Dues summary'!$D61</f>
        <v>1.4707344683044601E-2</v>
      </c>
      <c r="N61" s="109">
        <f ca="1">$I61/'Dues summary'!$D61</f>
        <v>5.3510856481489247E-2</v>
      </c>
      <c r="O61" s="122"/>
      <c r="P61" s="103"/>
      <c r="Q61" s="104"/>
      <c r="R61" s="104"/>
      <c r="S61" s="104"/>
      <c r="T61" s="104"/>
      <c r="U61" s="105"/>
      <c r="V61" s="105"/>
      <c r="W61" s="105"/>
    </row>
    <row r="62" spans="1:23" x14ac:dyDescent="0.25">
      <c r="A62" s="88">
        <v>2025</v>
      </c>
      <c r="B62" t="s">
        <v>75</v>
      </c>
      <c r="C62" s="98" t="s">
        <v>46</v>
      </c>
      <c r="D62" s="99">
        <v>839161497.28999877</v>
      </c>
      <c r="E62" s="99">
        <v>582321793.02999961</v>
      </c>
      <c r="F62" s="99">
        <v>95322020.670000017</v>
      </c>
      <c r="G62" s="99">
        <v>101043376.79999998</v>
      </c>
      <c r="H62" s="99">
        <v>15753822.97000001</v>
      </c>
      <c r="I62" s="99">
        <v>44720483.81999997</v>
      </c>
      <c r="J62" s="100">
        <f ca="1">'Dues summary'!$E62/'Dues summary'!$D62</f>
        <v>0.69393292579623667</v>
      </c>
      <c r="K62" s="100">
        <f ca="1">'Dues summary'!$F62/'Dues summary'!$D62</f>
        <v>0.11359198554489743</v>
      </c>
      <c r="L62" s="100">
        <f ca="1">'Dues summary'!$G62/'Dues summary'!$D62</f>
        <v>0.12040992958603444</v>
      </c>
      <c r="M62" s="100">
        <f ca="1">$H62/'Dues summary'!$D62</f>
        <v>1.8773290982576837E-2</v>
      </c>
      <c r="N62" s="101">
        <f ca="1">$I62/'Dues summary'!$D62</f>
        <v>5.3291868090255566E-2</v>
      </c>
      <c r="O62" s="122"/>
      <c r="P62" s="103"/>
      <c r="Q62" s="104"/>
      <c r="R62" s="104"/>
      <c r="S62" s="104"/>
      <c r="T62" s="104"/>
      <c r="U62" s="105"/>
      <c r="V62" s="105"/>
      <c r="W62" s="105"/>
    </row>
    <row r="63" spans="1:23" x14ac:dyDescent="0.25">
      <c r="A63" s="88">
        <v>2025</v>
      </c>
      <c r="B63" t="s">
        <v>76</v>
      </c>
      <c r="C63" s="106" t="s">
        <v>47</v>
      </c>
      <c r="D63" s="107">
        <v>1000240715.110001</v>
      </c>
      <c r="E63" s="107">
        <v>630025208.7299993</v>
      </c>
      <c r="F63" s="107">
        <v>64869375.899999991</v>
      </c>
      <c r="G63" s="107">
        <v>51909250.01000002</v>
      </c>
      <c r="H63" s="107">
        <v>197380859.34000012</v>
      </c>
      <c r="I63" s="107">
        <v>56056021.129999921</v>
      </c>
      <c r="J63" s="108">
        <f ca="1">'Dues summary'!$E63/'Dues summary'!$D63</f>
        <v>0.62987358863982312</v>
      </c>
      <c r="K63" s="108">
        <f ca="1">'Dues summary'!$F63/'Dues summary'!$D63</f>
        <v>6.4853764618915774E-2</v>
      </c>
      <c r="L63" s="108">
        <f ca="1">'Dues summary'!$G63/'Dues summary'!$D63</f>
        <v>5.1896757676267287E-2</v>
      </c>
      <c r="M63" s="108">
        <f ca="1">$H63/'Dues summary'!$D63</f>
        <v>0.19733335821896958</v>
      </c>
      <c r="N63" s="109">
        <f ca="1">$I63/'Dues summary'!$D63</f>
        <v>5.6042530846022585E-2</v>
      </c>
      <c r="O63" s="122"/>
      <c r="P63" s="103"/>
      <c r="Q63" s="104"/>
      <c r="R63" s="104"/>
      <c r="S63" s="104"/>
      <c r="T63" s="104"/>
      <c r="U63" s="105"/>
      <c r="V63" s="105"/>
      <c r="W63" s="105"/>
    </row>
    <row r="64" spans="1:23" x14ac:dyDescent="0.25">
      <c r="A64" s="88">
        <v>2025</v>
      </c>
      <c r="B64" t="s">
        <v>77</v>
      </c>
      <c r="C64" s="98" t="s">
        <v>48</v>
      </c>
      <c r="D64" s="99">
        <v>783103425.39999866</v>
      </c>
      <c r="E64" s="99">
        <v>576755752.59000027</v>
      </c>
      <c r="F64" s="99">
        <v>48538604.099999987</v>
      </c>
      <c r="G64" s="99">
        <v>37383034.910000026</v>
      </c>
      <c r="H64" s="99">
        <v>32946421.129999995</v>
      </c>
      <c r="I64" s="99">
        <v>87479612.669999942</v>
      </c>
      <c r="J64" s="100">
        <f ca="1">'Dues summary'!$E64/'Dues summary'!$D64</f>
        <v>0.73650010188041404</v>
      </c>
      <c r="K64" s="100">
        <f ca="1">'Dues summary'!$F64/'Dues summary'!$D64</f>
        <v>6.1982367239942951E-2</v>
      </c>
      <c r="L64" s="100">
        <f ca="1">'Dues summary'!$G64/'Dues summary'!$D64</f>
        <v>4.7737034084489254E-2</v>
      </c>
      <c r="M64" s="100">
        <f ca="1">$H64/'Dues summary'!$D64</f>
        <v>4.2071609012783222E-2</v>
      </c>
      <c r="N64" s="101">
        <f ca="1">$I64/'Dues summary'!$D64</f>
        <v>0.11170888778237247</v>
      </c>
      <c r="O64" s="122"/>
      <c r="P64" s="103"/>
      <c r="Q64" s="104"/>
      <c r="R64" s="104"/>
      <c r="S64" s="104"/>
      <c r="T64" s="104"/>
      <c r="U64" s="105"/>
      <c r="V64" s="105"/>
      <c r="W64" s="105"/>
    </row>
    <row r="65" spans="1:26" x14ac:dyDescent="0.25">
      <c r="A65" s="88">
        <v>2025</v>
      </c>
      <c r="B65" t="s">
        <v>78</v>
      </c>
      <c r="C65" s="106" t="s">
        <v>49</v>
      </c>
      <c r="D65" s="107">
        <v>796239067.21000016</v>
      </c>
      <c r="E65" s="107">
        <v>631756101.32999945</v>
      </c>
      <c r="F65" s="107">
        <v>58212156.740000002</v>
      </c>
      <c r="G65" s="107">
        <v>26160658.229999997</v>
      </c>
      <c r="H65" s="107">
        <v>20585742.45000001</v>
      </c>
      <c r="I65" s="107">
        <v>59524408.459999971</v>
      </c>
      <c r="J65" s="108">
        <f ca="1">'Dues summary'!$E65/'Dues summary'!$D65</f>
        <v>0.79342514999126512</v>
      </c>
      <c r="K65" s="108">
        <f ca="1">'Dues summary'!$F65/'Dues summary'!$D65</f>
        <v>7.3108892965995501E-2</v>
      </c>
      <c r="L65" s="108">
        <f ca="1">'Dues summary'!$G65/'Dues summary'!$D65</f>
        <v>3.2855280916655127E-2</v>
      </c>
      <c r="M65" s="108">
        <f ca="1">$H65/'Dues summary'!$D65</f>
        <v>2.5853720694881108E-2</v>
      </c>
      <c r="N65" s="109">
        <f ca="1">$I65/'Dues summary'!$D65</f>
        <v>7.4756955431202171E-2</v>
      </c>
      <c r="O65" s="122"/>
      <c r="P65" s="103"/>
      <c r="Q65" s="104"/>
      <c r="R65" s="104"/>
      <c r="S65" s="104"/>
      <c r="T65" s="104"/>
      <c r="U65" s="105"/>
      <c r="V65" s="105"/>
      <c r="W65" s="105"/>
    </row>
    <row r="66" spans="1:26" x14ac:dyDescent="0.25">
      <c r="A66" s="88">
        <v>2025</v>
      </c>
      <c r="B66" t="s">
        <v>79</v>
      </c>
      <c r="C66" s="98" t="s">
        <v>50</v>
      </c>
      <c r="D66" s="99">
        <v>896337262.78000164</v>
      </c>
      <c r="E66" s="99">
        <v>681956753.05000114</v>
      </c>
      <c r="F66" s="99">
        <v>67429361.230000019</v>
      </c>
      <c r="G66" s="99">
        <v>28987726.25</v>
      </c>
      <c r="H66" s="99">
        <v>25633562.490000006</v>
      </c>
      <c r="I66" s="99">
        <v>92329859.760000125</v>
      </c>
      <c r="J66" s="100">
        <f ca="1">'Dues summary'!$E66/'Dues summary'!$D66</f>
        <v>0.76082606555361032</v>
      </c>
      <c r="K66" s="100">
        <f ca="1">'Dues summary'!$F66/'Dues summary'!$D66</f>
        <v>7.5227667118141425E-2</v>
      </c>
      <c r="L66" s="100">
        <f ca="1">'Dues summary'!$G66/'Dues summary'!$D66</f>
        <v>3.2340199893167658E-2</v>
      </c>
      <c r="M66" s="100">
        <f ca="1">$H66/'Dues summary'!$D66</f>
        <v>2.8598122106959136E-2</v>
      </c>
      <c r="N66" s="101">
        <f ca="1">$I66/'Dues summary'!$D66</f>
        <v>0.1030079453281211</v>
      </c>
      <c r="O66" s="122"/>
      <c r="P66" s="103"/>
      <c r="Q66" s="104"/>
      <c r="R66" s="104"/>
      <c r="S66" s="104"/>
      <c r="T66" s="104"/>
      <c r="U66" s="105"/>
      <c r="V66" s="105"/>
      <c r="W66" s="105"/>
    </row>
    <row r="67" spans="1:26" x14ac:dyDescent="0.25">
      <c r="A67" s="88">
        <v>2025</v>
      </c>
      <c r="B67" t="s">
        <v>80</v>
      </c>
      <c r="C67" s="106" t="s">
        <v>51</v>
      </c>
      <c r="D67" s="107">
        <v>759252894.10999739</v>
      </c>
      <c r="E67" s="107">
        <v>584626047.74000144</v>
      </c>
      <c r="F67" s="107">
        <v>89288614.550000042</v>
      </c>
      <c r="G67" s="107">
        <v>18085917.550000001</v>
      </c>
      <c r="H67" s="107">
        <v>14474111.450000009</v>
      </c>
      <c r="I67" s="107">
        <v>52778202.819999956</v>
      </c>
      <c r="J67" s="108">
        <f ca="1">'Dues summary'!$E67/'Dues summary'!$D67</f>
        <v>0.7700017375966739</v>
      </c>
      <c r="K67" s="108">
        <f ca="1">'Dues summary'!$F67/'Dues summary'!$D67</f>
        <v>0.11760062456484266</v>
      </c>
      <c r="L67" s="108">
        <f ca="1">'Dues summary'!$G67/'Dues summary'!$D67</f>
        <v>2.3820676470651409E-2</v>
      </c>
      <c r="M67" s="108">
        <f ca="1">$H67/'Dues summary'!$D67</f>
        <v>1.9063623678335376E-2</v>
      </c>
      <c r="N67" s="109">
        <f ca="1">$I67/'Dues summary'!$D67</f>
        <v>6.9513337689502006E-2</v>
      </c>
      <c r="O67" s="122"/>
      <c r="P67" s="103"/>
      <c r="Q67" s="104"/>
      <c r="R67" s="104"/>
      <c r="S67" s="104"/>
      <c r="T67" s="104"/>
      <c r="U67" s="105"/>
      <c r="V67" s="105"/>
      <c r="W67" s="105"/>
    </row>
    <row r="68" spans="1:26" x14ac:dyDescent="0.25">
      <c r="A68" s="88">
        <v>2025</v>
      </c>
      <c r="B68" t="s">
        <v>81</v>
      </c>
      <c r="C68" s="98" t="s">
        <v>52</v>
      </c>
      <c r="D68" s="99">
        <v>699053424.68999863</v>
      </c>
      <c r="E68" s="99">
        <v>534125991.31</v>
      </c>
      <c r="F68" s="99">
        <v>60011137.310000002</v>
      </c>
      <c r="G68" s="99">
        <v>26429567.920000006</v>
      </c>
      <c r="H68" s="99">
        <v>13774042.169999989</v>
      </c>
      <c r="I68" s="99">
        <v>64712685.979999937</v>
      </c>
      <c r="J68" s="100">
        <f ca="1">'Dues summary'!$E68/'Dues summary'!$D68</f>
        <v>0.76407034490513059</v>
      </c>
      <c r="K68" s="100">
        <f ca="1">'Dues summary'!$F68/'Dues summary'!$D68</f>
        <v>8.5846281829764962E-2</v>
      </c>
      <c r="L68" s="100">
        <f ca="1">'Dues summary'!$G68/'Dues summary'!$D68</f>
        <v>3.7807651012825565E-2</v>
      </c>
      <c r="M68" s="100">
        <f ca="1">$H68/'Dues summary'!$D68</f>
        <v>1.970384763669273E-2</v>
      </c>
      <c r="N68" s="101">
        <f ca="1">$I68/'Dues summary'!$D68</f>
        <v>9.2571874615587996E-2</v>
      </c>
      <c r="O68" s="123"/>
      <c r="P68" s="103"/>
      <c r="Q68" s="104"/>
      <c r="R68" s="104"/>
      <c r="S68" s="104"/>
      <c r="T68" s="104"/>
      <c r="U68" s="105"/>
      <c r="V68" s="105"/>
      <c r="W68" s="105"/>
    </row>
    <row r="69" spans="1:26" x14ac:dyDescent="0.25">
      <c r="A69" s="88"/>
      <c r="C69" s="115" t="s">
        <v>40</v>
      </c>
      <c r="D69" s="116">
        <f t="shared" ref="D69:I69" ca="1" si="2">SUM(D57:D68)</f>
        <v>9608421518.779995</v>
      </c>
      <c r="E69" s="116">
        <f t="shared" ca="1" si="2"/>
        <v>7128150116.4200029</v>
      </c>
      <c r="F69" s="116">
        <f t="shared" ca="1" si="2"/>
        <v>934505297.09000039</v>
      </c>
      <c r="G69" s="116">
        <f t="shared" ca="1" si="2"/>
        <v>443567947.50000006</v>
      </c>
      <c r="H69" s="116">
        <f t="shared" ca="1" si="2"/>
        <v>404482156.38000011</v>
      </c>
      <c r="I69" s="116">
        <f t="shared" ca="1" si="2"/>
        <v>697716001.38999987</v>
      </c>
      <c r="J69" s="117">
        <f ca="1">'Dues summary'!$E69/'Dues summary'!$D69</f>
        <v>0.74186484247051243</v>
      </c>
      <c r="K69" s="117">
        <f ca="1">'Dues summary'!$F69/'Dues summary'!$D69</f>
        <v>9.725898216095924E-2</v>
      </c>
      <c r="L69" s="117">
        <f ca="1">'Dues summary'!$G69/'Dues summary'!$D69</f>
        <v>4.6164497116725267E-2</v>
      </c>
      <c r="M69" s="117">
        <f ca="1">$H69/'Dues summary'!$D69</f>
        <v>4.2096629044575701E-2</v>
      </c>
      <c r="N69" s="118">
        <f ca="1">$I69/'Dues summary'!$D69</f>
        <v>7.2615049207228222E-2</v>
      </c>
      <c r="O69" s="122"/>
      <c r="P69" s="103"/>
      <c r="Q69" s="104"/>
      <c r="R69" s="104"/>
      <c r="S69" s="104"/>
      <c r="T69" s="104"/>
      <c r="U69" s="105"/>
      <c r="V69" s="105"/>
      <c r="W69" s="105"/>
    </row>
    <row r="70" spans="1:26" x14ac:dyDescent="0.25">
      <c r="A70" s="88">
        <v>2026</v>
      </c>
      <c r="B70" t="s">
        <v>70</v>
      </c>
      <c r="C70" s="106" t="s">
        <v>54</v>
      </c>
      <c r="D70" s="107">
        <v>783083916.46000004</v>
      </c>
      <c r="E70" s="107">
        <v>628872096.99000025</v>
      </c>
      <c r="F70" s="107">
        <v>40591975.369999982</v>
      </c>
      <c r="G70" s="107">
        <v>30895618.759999998</v>
      </c>
      <c r="H70" s="107">
        <v>24242251.369999997</v>
      </c>
      <c r="I70" s="107">
        <v>58481973.970000073</v>
      </c>
      <c r="J70" s="108">
        <f ca="1">'Dues summary'!$E70/'Dues summary'!$D70</f>
        <v>0.8030711444475479</v>
      </c>
      <c r="K70" s="108">
        <f ca="1">'Dues summary'!$F70/'Dues summary'!$D70</f>
        <v>5.1836047857424516E-2</v>
      </c>
      <c r="L70" s="108">
        <f ca="1">'Dues summary'!$G70/'Dues summary'!$D70</f>
        <v>3.9453777699414862E-2</v>
      </c>
      <c r="M70" s="108">
        <f ca="1">$H70/'Dues summary'!$D70</f>
        <v>3.0957411920282101E-2</v>
      </c>
      <c r="N70" s="109">
        <f ca="1">$I70/'Dues summary'!$D70</f>
        <v>7.4681618075330927E-2</v>
      </c>
      <c r="O70" s="122"/>
      <c r="P70" s="103"/>
      <c r="Q70" s="104"/>
      <c r="R70" s="104"/>
      <c r="S70" s="104"/>
      <c r="T70" s="104"/>
      <c r="U70" s="105"/>
      <c r="V70" s="105"/>
      <c r="W70" s="105"/>
    </row>
    <row r="71" spans="1:26" x14ac:dyDescent="0.25">
      <c r="A71" s="88">
        <v>2026</v>
      </c>
      <c r="B71" t="s">
        <v>71</v>
      </c>
      <c r="C71" s="98" t="s">
        <v>55</v>
      </c>
      <c r="D71" s="99">
        <v>679398501.69999981</v>
      </c>
      <c r="E71" s="99">
        <v>522789334.55999959</v>
      </c>
      <c r="F71" s="99">
        <v>48314796.159999996</v>
      </c>
      <c r="G71" s="99">
        <v>18544740.559999999</v>
      </c>
      <c r="H71" s="99">
        <v>9959002.5600000024</v>
      </c>
      <c r="I71" s="99">
        <v>79790627.860000029</v>
      </c>
      <c r="J71" s="100">
        <f ca="1">'Dues summary'!$E71/'Dues summary'!$D71</f>
        <v>0.76948850086049536</v>
      </c>
      <c r="K71" s="100">
        <f ca="1">'Dues summary'!$F71/'Dues summary'!$D71</f>
        <v>7.1114075228464704E-2</v>
      </c>
      <c r="L71" s="100">
        <f ca="1">'Dues summary'!$G71/'Dues summary'!$D71</f>
        <v>2.7295821986061355E-2</v>
      </c>
      <c r="M71" s="100">
        <f ca="1">$H71/'Dues summary'!$D71</f>
        <v>1.4658558320456191E-2</v>
      </c>
      <c r="N71" s="101">
        <f ca="1">$I71/'Dues summary'!$D71</f>
        <v>0.11744304360452205</v>
      </c>
      <c r="O71" s="122"/>
      <c r="P71" s="103"/>
      <c r="Q71" s="104"/>
      <c r="R71" s="104"/>
      <c r="S71" s="104"/>
      <c r="T71" s="104"/>
      <c r="U71" s="105"/>
      <c r="V71" s="105"/>
      <c r="W71" s="105"/>
    </row>
    <row r="72" spans="1:26" x14ac:dyDescent="0.25">
      <c r="A72" s="88">
        <v>2026</v>
      </c>
      <c r="B72" t="s">
        <v>72</v>
      </c>
      <c r="C72" s="106" t="s">
        <v>56</v>
      </c>
      <c r="D72" s="107">
        <v>595619874.43000007</v>
      </c>
      <c r="E72" s="107">
        <v>499825428.92999983</v>
      </c>
      <c r="F72" s="107">
        <v>43140856.829999998</v>
      </c>
      <c r="G72" s="107">
        <v>16197023.820000002</v>
      </c>
      <c r="H72" s="107">
        <v>10205834.800000006</v>
      </c>
      <c r="I72" s="107">
        <v>26250730.050000019</v>
      </c>
      <c r="J72" s="108">
        <f ca="1">'Dues summary'!$E72/'Dues summary'!$D72</f>
        <v>0.83916848713002701</v>
      </c>
      <c r="K72" s="108">
        <f ca="1">'Dues summary'!$F72/'Dues summary'!$D72</f>
        <v>7.2430183548333069E-2</v>
      </c>
      <c r="L72" s="108">
        <f ca="1">'Dues summary'!$G72/'Dues summary'!$D72</f>
        <v>2.7193558367239388E-2</v>
      </c>
      <c r="M72" s="108">
        <f ca="1">$H72/'Dues summary'!$D72</f>
        <v>1.7134812383093913E-2</v>
      </c>
      <c r="N72" s="109">
        <f ca="1">$I72/'Dues summary'!$D72</f>
        <v>4.4072958571306241E-2</v>
      </c>
      <c r="O72" s="122"/>
      <c r="P72" s="103"/>
      <c r="Q72" s="104"/>
      <c r="R72" s="104"/>
      <c r="S72" s="104"/>
      <c r="T72" s="104"/>
      <c r="U72" s="105"/>
      <c r="V72" s="105"/>
      <c r="W72" s="105"/>
    </row>
    <row r="73" spans="1:26" x14ac:dyDescent="0.25">
      <c r="A73" s="88">
        <v>2026</v>
      </c>
      <c r="B73" t="s">
        <v>73</v>
      </c>
      <c r="C73" s="98" t="s">
        <v>57</v>
      </c>
      <c r="D73" s="99">
        <v>699873007.71999991</v>
      </c>
      <c r="E73" s="99">
        <v>568349647.1900003</v>
      </c>
      <c r="F73" s="99">
        <v>70227247.529999986</v>
      </c>
      <c r="G73" s="99">
        <v>17690413.089999996</v>
      </c>
      <c r="H73" s="99">
        <v>12693802.670000006</v>
      </c>
      <c r="I73" s="99">
        <v>30911897.239999965</v>
      </c>
      <c r="J73" s="100">
        <f ca="1">'Dues summary'!$E73/'Dues summary'!$D73</f>
        <v>0.81207539213654245</v>
      </c>
      <c r="K73" s="100">
        <f ca="1">'Dues summary'!$F73/'Dues summary'!$D73</f>
        <v>0.10034284328064269</v>
      </c>
      <c r="L73" s="100">
        <f ca="1">'Dues summary'!$G73/'Dues summary'!$D73</f>
        <v>2.5276604319447404E-2</v>
      </c>
      <c r="M73" s="100">
        <f ca="1">$H73/'Dues summary'!$D73</f>
        <v>1.8137294237640395E-2</v>
      </c>
      <c r="N73" s="101">
        <f ca="1">$I73/'Dues summary'!$D73</f>
        <v>4.4167866025727587E-2</v>
      </c>
      <c r="O73" s="122"/>
      <c r="P73" s="103"/>
      <c r="Q73" s="104"/>
      <c r="R73" s="104"/>
      <c r="S73" s="104"/>
      <c r="T73" s="104"/>
      <c r="U73" s="105"/>
      <c r="V73" s="105"/>
      <c r="W73" s="105"/>
    </row>
    <row r="74" spans="1:26" x14ac:dyDescent="0.25">
      <c r="A74" s="88">
        <v>2026</v>
      </c>
      <c r="B74" t="s">
        <v>74</v>
      </c>
      <c r="C74" s="106" t="s">
        <v>58</v>
      </c>
      <c r="D74" s="107">
        <v>126934438.64000002</v>
      </c>
      <c r="E74" s="107">
        <v>100388715.23000002</v>
      </c>
      <c r="F74" s="107">
        <v>11197795.089999998</v>
      </c>
      <c r="G74" s="107">
        <v>928261.0499999997</v>
      </c>
      <c r="H74" s="107">
        <v>1503653.12</v>
      </c>
      <c r="I74" s="107">
        <v>12916014.150000004</v>
      </c>
      <c r="J74" s="108">
        <f ca="1">'Dues summary'!$E74/'Dues summary'!$D74</f>
        <v>0.79087059670790705</v>
      </c>
      <c r="K74" s="108">
        <f ca="1">'Dues summary'!$F74/'Dues summary'!$D74</f>
        <v>8.8217155328178296E-2</v>
      </c>
      <c r="L74" s="108">
        <f ca="1">'Dues summary'!$G74/'Dues summary'!$D74</f>
        <v>7.3129172819099931E-3</v>
      </c>
      <c r="M74" s="108">
        <f ca="1">$H74/'Dues summary'!$D74</f>
        <v>1.1845903571248503E-2</v>
      </c>
      <c r="N74" s="109">
        <f ca="1">$I74/'Dues summary'!$D74</f>
        <v>0.10175342711075626</v>
      </c>
      <c r="O74" s="122"/>
      <c r="P74" s="103"/>
      <c r="Q74" s="104"/>
      <c r="R74" s="104"/>
      <c r="S74" s="104"/>
      <c r="T74" s="104"/>
      <c r="U74" s="105"/>
      <c r="V74" s="105"/>
      <c r="W74" s="105"/>
    </row>
    <row r="75" spans="1:26" ht="15.75" thickBot="1" x14ac:dyDescent="0.3">
      <c r="C75" s="124" t="s">
        <v>59</v>
      </c>
      <c r="D75" s="125">
        <f t="shared" ref="D75:I75" ca="1" si="3">D56+D69+D70+D71+D72+D73+D74</f>
        <v>18019476583.419998</v>
      </c>
      <c r="E75" s="125">
        <f t="shared" ca="1" si="3"/>
        <v>12924699988.760002</v>
      </c>
      <c r="F75" s="125">
        <f t="shared" ca="1" si="3"/>
        <v>1866926575.8100002</v>
      </c>
      <c r="G75" s="125">
        <f t="shared" ca="1" si="3"/>
        <v>869102623.32999992</v>
      </c>
      <c r="H75" s="125">
        <f t="shared" ca="1" si="3"/>
        <v>674460822.55000019</v>
      </c>
      <c r="I75" s="125">
        <f t="shared" ca="1" si="3"/>
        <v>1684286572.9699998</v>
      </c>
      <c r="J75" s="126">
        <f ca="1">'Dues summary'!$E75/'Dues summary'!$D75</f>
        <v>0.71726278668117482</v>
      </c>
      <c r="K75" s="126">
        <f ca="1">'Dues summary'!$F75/'Dues summary'!$D75</f>
        <v>0.10360603800932755</v>
      </c>
      <c r="L75" s="126">
        <f ca="1">'Dues summary'!$G75/'Dues summary'!$D75</f>
        <v>4.8231291253469304E-2</v>
      </c>
      <c r="M75" s="126">
        <f ca="1">$H75/'Dues summary'!$D75</f>
        <v>3.7429545715583219E-2</v>
      </c>
      <c r="N75" s="127">
        <f ca="1">$I75/'Dues summary'!$D75</f>
        <v>9.3470338340445366E-2</v>
      </c>
      <c r="O75" s="128"/>
      <c r="P75" s="129"/>
      <c r="Q75" s="130"/>
      <c r="R75" s="130"/>
      <c r="S75" s="130"/>
      <c r="T75" s="130"/>
      <c r="U75" s="120"/>
      <c r="V75" s="120"/>
      <c r="W75" s="120"/>
    </row>
    <row r="76" spans="1:26" ht="15.75" thickBot="1" x14ac:dyDescent="0.3">
      <c r="C76" s="119"/>
      <c r="D76" s="119"/>
      <c r="E76" s="119"/>
      <c r="F76" s="119"/>
      <c r="G76" s="120"/>
      <c r="H76" s="120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20"/>
      <c r="U76" s="120"/>
      <c r="V76" s="119"/>
      <c r="W76" s="119"/>
      <c r="X76" s="120"/>
      <c r="Y76" s="120"/>
      <c r="Z76" s="120"/>
    </row>
    <row r="77" spans="1:26" ht="22.9" customHeight="1" thickBot="1" x14ac:dyDescent="0.4">
      <c r="C77" s="89" t="str">
        <f ca="1">_xlfn.CONCAT("New sales collection aging ")</f>
        <v xml:space="preserve">New sales collection aging </v>
      </c>
      <c r="D77" s="90"/>
      <c r="E77" s="90"/>
      <c r="F77" s="90"/>
      <c r="G77" s="90"/>
      <c r="H77" s="90"/>
      <c r="I77" s="90"/>
      <c r="J77" s="91"/>
      <c r="K77" s="102"/>
      <c r="L77" s="88"/>
      <c r="M77" s="88"/>
      <c r="N77" s="88"/>
      <c r="O77" s="121"/>
      <c r="P77" s="88"/>
      <c r="Q77" s="121"/>
      <c r="R77" s="88"/>
      <c r="S77" s="88"/>
      <c r="T77" s="88"/>
      <c r="U77" s="88"/>
      <c r="V77" s="88"/>
      <c r="W77" s="88"/>
    </row>
    <row r="78" spans="1:26" ht="60" x14ac:dyDescent="0.25">
      <c r="C78" s="94" t="s">
        <v>282</v>
      </c>
      <c r="D78" s="95" t="s">
        <v>298</v>
      </c>
      <c r="E78" s="95" t="s">
        <v>299</v>
      </c>
      <c r="F78" s="95" t="s">
        <v>300</v>
      </c>
      <c r="G78" s="95" t="s">
        <v>301</v>
      </c>
      <c r="H78" s="131">
        <v>0.3</v>
      </c>
      <c r="I78" s="95" t="s">
        <v>302</v>
      </c>
      <c r="J78" s="96" t="s">
        <v>303</v>
      </c>
      <c r="K78" s="88"/>
      <c r="L78" s="88"/>
      <c r="M78" s="88"/>
      <c r="N78" s="88"/>
      <c r="O78" s="123"/>
      <c r="P78" s="88"/>
      <c r="Q78" s="123"/>
      <c r="R78" s="132"/>
      <c r="S78" s="132"/>
      <c r="T78" s="132"/>
      <c r="U78" s="123"/>
      <c r="V78" s="123"/>
      <c r="W78" s="88"/>
    </row>
    <row r="79" spans="1:26" x14ac:dyDescent="0.25">
      <c r="A79" s="88">
        <v>2024</v>
      </c>
      <c r="B79" t="s">
        <v>70</v>
      </c>
      <c r="C79" s="98" t="s">
        <v>26</v>
      </c>
      <c r="D79" s="99">
        <v>212004087</v>
      </c>
      <c r="E79" s="133">
        <v>208903076</v>
      </c>
      <c r="F79" s="133">
        <v>2629453</v>
      </c>
      <c r="G79" s="133">
        <f ca="1">D79-SUM(E79:F79)</f>
        <v>471558</v>
      </c>
      <c r="H79" s="134">
        <f t="shared" ref="H79:H106" ca="1" si="4">E79/D79</f>
        <v>0.98537287160883835</v>
      </c>
      <c r="I79" s="134">
        <f t="shared" ref="I79:I106" ca="1" si="5">F79/D79</f>
        <v>1.2402841082964595E-2</v>
      </c>
      <c r="J79" s="135">
        <f t="shared" ref="J79:J106" ca="1" si="6">G79/D79</f>
        <v>2.2242873081970349E-3</v>
      </c>
      <c r="K79" s="88"/>
      <c r="L79" s="88"/>
      <c r="M79" s="88"/>
      <c r="N79" s="88"/>
      <c r="O79" s="123"/>
      <c r="P79" s="88"/>
      <c r="Q79" s="123"/>
      <c r="R79" s="132"/>
      <c r="S79" s="132"/>
      <c r="T79" s="132"/>
      <c r="U79" s="123"/>
      <c r="V79" s="123"/>
      <c r="W79" s="88"/>
    </row>
    <row r="80" spans="1:26" x14ac:dyDescent="0.25">
      <c r="A80" s="88">
        <v>2024</v>
      </c>
      <c r="B80" t="s">
        <v>71</v>
      </c>
      <c r="C80" s="106" t="s">
        <v>28</v>
      </c>
      <c r="D80" s="107">
        <v>238989502</v>
      </c>
      <c r="E80" s="136">
        <v>233880564</v>
      </c>
      <c r="F80" s="136">
        <v>4798092</v>
      </c>
      <c r="G80" s="136">
        <f t="shared" ref="G80:G90" ca="1" si="7">D80-SUM(E80:F80)</f>
        <v>310846</v>
      </c>
      <c r="H80" s="137">
        <f t="shared" ca="1" si="4"/>
        <v>0.97862275138763211</v>
      </c>
      <c r="I80" s="137">
        <f t="shared" ca="1" si="5"/>
        <v>2.0076580602272649E-2</v>
      </c>
      <c r="J80" s="138">
        <f t="shared" ca="1" si="6"/>
        <v>1.3006680100952719E-3</v>
      </c>
      <c r="K80" s="88"/>
      <c r="L80" s="88"/>
      <c r="M80" s="88"/>
      <c r="N80" s="88"/>
      <c r="O80" s="123"/>
      <c r="P80" s="88"/>
      <c r="Q80" s="123"/>
      <c r="R80" s="132"/>
      <c r="S80" s="132"/>
      <c r="T80" s="132"/>
      <c r="U80" s="123"/>
      <c r="V80" s="123"/>
      <c r="W80" s="88"/>
    </row>
    <row r="81" spans="1:23" x14ac:dyDescent="0.25">
      <c r="A81" s="88">
        <v>2024</v>
      </c>
      <c r="B81" t="s">
        <v>72</v>
      </c>
      <c r="C81" s="98" t="s">
        <v>29</v>
      </c>
      <c r="D81" s="99">
        <v>325507505</v>
      </c>
      <c r="E81" s="133">
        <v>322500970</v>
      </c>
      <c r="F81" s="133">
        <v>2803599</v>
      </c>
      <c r="G81" s="133">
        <f t="shared" ca="1" si="7"/>
        <v>202936</v>
      </c>
      <c r="H81" s="134">
        <f t="shared" ca="1" si="4"/>
        <v>0.99076354629672825</v>
      </c>
      <c r="I81" s="134">
        <f t="shared" ca="1" si="5"/>
        <v>8.6130087845439993E-3</v>
      </c>
      <c r="J81" s="135">
        <f t="shared" ca="1" si="6"/>
        <v>6.2344491872775719E-4</v>
      </c>
      <c r="K81" s="88"/>
      <c r="L81" s="88"/>
      <c r="M81" s="88"/>
      <c r="N81" s="88"/>
      <c r="O81" s="123"/>
      <c r="P81" s="88"/>
      <c r="Q81" s="123"/>
      <c r="R81" s="132"/>
      <c r="S81" s="132"/>
      <c r="T81" s="132"/>
      <c r="U81" s="123"/>
      <c r="V81" s="123"/>
      <c r="W81" s="88"/>
    </row>
    <row r="82" spans="1:23" x14ac:dyDescent="0.25">
      <c r="A82" s="88">
        <v>2024</v>
      </c>
      <c r="B82" t="s">
        <v>73</v>
      </c>
      <c r="C82" s="106" t="s">
        <v>30</v>
      </c>
      <c r="D82" s="107">
        <v>247240968</v>
      </c>
      <c r="E82" s="136">
        <v>239796304</v>
      </c>
      <c r="F82" s="136">
        <v>6042134</v>
      </c>
      <c r="G82" s="136">
        <f t="shared" ca="1" si="7"/>
        <v>1402530</v>
      </c>
      <c r="H82" s="137">
        <f t="shared" ca="1" si="4"/>
        <v>0.96988903554203854</v>
      </c>
      <c r="I82" s="137">
        <f t="shared" ca="1" si="5"/>
        <v>2.4438239539654287E-2</v>
      </c>
      <c r="J82" s="138">
        <f t="shared" ca="1" si="6"/>
        <v>5.6727249183072285E-3</v>
      </c>
      <c r="K82" s="88"/>
      <c r="L82" s="88"/>
      <c r="M82" s="88"/>
      <c r="N82" s="88"/>
      <c r="O82" s="123"/>
      <c r="P82" s="88">
        <v>0</v>
      </c>
      <c r="Q82" s="123"/>
      <c r="R82" s="132"/>
      <c r="S82" s="132"/>
      <c r="T82" s="132"/>
      <c r="U82" s="123"/>
      <c r="V82" s="123"/>
      <c r="W82" s="88"/>
    </row>
    <row r="83" spans="1:23" x14ac:dyDescent="0.25">
      <c r="A83" s="88">
        <v>2024</v>
      </c>
      <c r="B83" t="s">
        <v>74</v>
      </c>
      <c r="C83" s="98" t="s">
        <v>31</v>
      </c>
      <c r="D83" s="99">
        <v>243818421</v>
      </c>
      <c r="E83" s="133">
        <v>238224101</v>
      </c>
      <c r="F83" s="133">
        <v>3948820</v>
      </c>
      <c r="G83" s="133">
        <f t="shared" ca="1" si="7"/>
        <v>1645500</v>
      </c>
      <c r="H83" s="134">
        <f t="shared" ca="1" si="4"/>
        <v>0.97705538417870408</v>
      </c>
      <c r="I83" s="134">
        <f t="shared" ca="1" si="5"/>
        <v>1.6195741010069129E-2</v>
      </c>
      <c r="J83" s="135">
        <f t="shared" ca="1" si="6"/>
        <v>6.748874811226835E-3</v>
      </c>
      <c r="K83" s="88"/>
      <c r="L83" s="88"/>
      <c r="M83" s="88"/>
      <c r="N83" s="88"/>
      <c r="O83" s="123"/>
      <c r="P83" s="88"/>
      <c r="Q83" s="123"/>
      <c r="R83" s="132"/>
      <c r="S83" s="132"/>
      <c r="T83" s="132"/>
      <c r="U83" s="123"/>
      <c r="V83" s="123"/>
      <c r="W83" s="88"/>
    </row>
    <row r="84" spans="1:23" x14ac:dyDescent="0.25">
      <c r="A84" s="88">
        <v>2024</v>
      </c>
      <c r="B84" t="s">
        <v>75</v>
      </c>
      <c r="C84" s="106" t="s">
        <v>33</v>
      </c>
      <c r="D84" s="107">
        <v>192285683</v>
      </c>
      <c r="E84" s="136">
        <v>190926704</v>
      </c>
      <c r="F84" s="136">
        <v>1232179</v>
      </c>
      <c r="G84" s="136">
        <f t="shared" ca="1" si="7"/>
        <v>126800</v>
      </c>
      <c r="H84" s="137">
        <f t="shared" ca="1" si="4"/>
        <v>0.99293250033597147</v>
      </c>
      <c r="I84" s="137">
        <f t="shared" ca="1" si="5"/>
        <v>6.4080641926939508E-3</v>
      </c>
      <c r="J84" s="138">
        <f t="shared" ca="1" si="6"/>
        <v>6.5943547133459754E-4</v>
      </c>
      <c r="K84" s="88"/>
      <c r="L84" s="88"/>
      <c r="M84" s="88"/>
      <c r="N84" s="88"/>
      <c r="O84" s="123"/>
      <c r="P84" s="88"/>
      <c r="Q84" s="123"/>
      <c r="R84" s="132"/>
      <c r="S84" s="132"/>
      <c r="T84" s="132"/>
      <c r="U84" s="123"/>
      <c r="V84" s="123"/>
      <c r="W84" s="88"/>
    </row>
    <row r="85" spans="1:23" x14ac:dyDescent="0.25">
      <c r="A85" s="88">
        <v>2024</v>
      </c>
      <c r="B85" t="s">
        <v>76</v>
      </c>
      <c r="C85" s="98" t="s">
        <v>34</v>
      </c>
      <c r="D85" s="99">
        <v>194700434</v>
      </c>
      <c r="E85" s="133">
        <v>192550119</v>
      </c>
      <c r="F85" s="133">
        <v>2007254</v>
      </c>
      <c r="G85" s="133">
        <f t="shared" ca="1" si="7"/>
        <v>143061</v>
      </c>
      <c r="H85" s="134">
        <f t="shared" ca="1" si="4"/>
        <v>0.98895577705800075</v>
      </c>
      <c r="I85" s="134">
        <f t="shared" ca="1" si="5"/>
        <v>1.030944800051139E-2</v>
      </c>
      <c r="J85" s="135">
        <f t="shared" ca="1" si="6"/>
        <v>7.3477494148780373E-4</v>
      </c>
      <c r="K85" s="88"/>
      <c r="L85" s="88"/>
      <c r="M85" s="88"/>
      <c r="N85" s="88"/>
      <c r="O85" s="123"/>
      <c r="P85" s="88"/>
      <c r="Q85" s="123"/>
      <c r="R85" s="132"/>
      <c r="S85" s="132"/>
      <c r="T85" s="132"/>
      <c r="U85" s="123"/>
      <c r="V85" s="123"/>
      <c r="W85" s="88"/>
    </row>
    <row r="86" spans="1:23" x14ac:dyDescent="0.25">
      <c r="A86" s="88">
        <v>2024</v>
      </c>
      <c r="B86" t="s">
        <v>77</v>
      </c>
      <c r="C86" s="106" t="s">
        <v>35</v>
      </c>
      <c r="D86" s="107">
        <v>247529835</v>
      </c>
      <c r="E86" s="136">
        <v>246073098</v>
      </c>
      <c r="F86" s="136">
        <v>1202937</v>
      </c>
      <c r="G86" s="136">
        <f t="shared" ca="1" si="7"/>
        <v>253800</v>
      </c>
      <c r="H86" s="137">
        <f t="shared" ca="1" si="4"/>
        <v>0.99411490336104336</v>
      </c>
      <c r="I86" s="137">
        <f t="shared" ca="1" si="5"/>
        <v>4.8597656924871295E-3</v>
      </c>
      <c r="J86" s="138">
        <f t="shared" ca="1" si="6"/>
        <v>1.0253309464695437E-3</v>
      </c>
      <c r="K86" s="88"/>
      <c r="L86" s="88"/>
      <c r="M86" s="88"/>
      <c r="N86" s="88"/>
      <c r="O86" s="123"/>
      <c r="P86" s="88"/>
      <c r="Q86" s="123"/>
      <c r="R86" s="132"/>
      <c r="S86" s="132"/>
      <c r="T86" s="132"/>
      <c r="U86" s="123"/>
      <c r="V86" s="123"/>
      <c r="W86" s="88"/>
    </row>
    <row r="87" spans="1:23" x14ac:dyDescent="0.25">
      <c r="A87" s="88">
        <v>2024</v>
      </c>
      <c r="B87" t="s">
        <v>78</v>
      </c>
      <c r="C87" s="98" t="s">
        <v>36</v>
      </c>
      <c r="D87" s="99">
        <v>265105888</v>
      </c>
      <c r="E87" s="133">
        <v>258604032</v>
      </c>
      <c r="F87" s="133">
        <v>4811787</v>
      </c>
      <c r="G87" s="133">
        <f t="shared" ca="1" si="7"/>
        <v>1690069</v>
      </c>
      <c r="H87" s="134">
        <f t="shared" ca="1" si="4"/>
        <v>0.97547449417645526</v>
      </c>
      <c r="I87" s="134">
        <f t="shared" ca="1" si="5"/>
        <v>1.8150434289863831E-2</v>
      </c>
      <c r="J87" s="135">
        <f t="shared" ca="1" si="6"/>
        <v>6.3750715336809115E-3</v>
      </c>
      <c r="K87" s="88"/>
      <c r="L87" s="88"/>
      <c r="M87" s="88"/>
      <c r="N87" s="88"/>
      <c r="O87" s="123"/>
      <c r="P87" s="88"/>
      <c r="Q87" s="123"/>
      <c r="R87" s="132"/>
      <c r="S87" s="132"/>
      <c r="T87" s="132"/>
      <c r="U87" s="123"/>
      <c r="V87" s="123"/>
      <c r="W87" s="88"/>
    </row>
    <row r="88" spans="1:23" x14ac:dyDescent="0.25">
      <c r="A88" s="88">
        <v>2024</v>
      </c>
      <c r="B88" t="s">
        <v>79</v>
      </c>
      <c r="C88" s="106" t="s">
        <v>37</v>
      </c>
      <c r="D88" s="107">
        <v>323373274</v>
      </c>
      <c r="E88" s="136">
        <v>319476484</v>
      </c>
      <c r="F88" s="136">
        <v>3131682</v>
      </c>
      <c r="G88" s="136">
        <f t="shared" ca="1" si="7"/>
        <v>765108</v>
      </c>
      <c r="H88" s="137">
        <f t="shared" ca="1" si="4"/>
        <v>0.98794956072962292</v>
      </c>
      <c r="I88" s="137">
        <f t="shared" ca="1" si="5"/>
        <v>9.684418137783396E-3</v>
      </c>
      <c r="J88" s="138">
        <f t="shared" ca="1" si="6"/>
        <v>2.3660211325936603E-3</v>
      </c>
      <c r="K88" s="88"/>
      <c r="L88" s="88"/>
      <c r="M88" s="88"/>
      <c r="N88" s="88"/>
      <c r="O88" s="123"/>
      <c r="P88" s="88"/>
      <c r="Q88" s="123"/>
      <c r="R88" s="132"/>
      <c r="S88" s="132"/>
      <c r="T88" s="132"/>
      <c r="U88" s="123"/>
      <c r="V88" s="123"/>
      <c r="W88" s="88"/>
    </row>
    <row r="89" spans="1:23" x14ac:dyDescent="0.25">
      <c r="A89" s="88">
        <v>2024</v>
      </c>
      <c r="B89" t="s">
        <v>80</v>
      </c>
      <c r="C89" s="98" t="s">
        <v>38</v>
      </c>
      <c r="D89" s="99">
        <v>363909082</v>
      </c>
      <c r="E89" s="133">
        <v>356695801</v>
      </c>
      <c r="F89" s="133">
        <v>7012555</v>
      </c>
      <c r="G89" s="133">
        <f t="shared" ca="1" si="7"/>
        <v>200726</v>
      </c>
      <c r="H89" s="134">
        <f t="shared" ca="1" si="4"/>
        <v>0.98017834300711404</v>
      </c>
      <c r="I89" s="134">
        <f t="shared" ca="1" si="5"/>
        <v>1.9270074166491947E-2</v>
      </c>
      <c r="J89" s="135">
        <f t="shared" ca="1" si="6"/>
        <v>5.5158282639398374E-4</v>
      </c>
      <c r="K89" s="88"/>
      <c r="L89" s="88"/>
      <c r="M89" s="88"/>
      <c r="N89" s="88"/>
      <c r="O89" s="123"/>
      <c r="P89" s="88"/>
      <c r="Q89" s="123"/>
      <c r="R89" s="132"/>
      <c r="S89" s="132"/>
      <c r="T89" s="132"/>
      <c r="U89" s="123"/>
      <c r="V89" s="123"/>
      <c r="W89" s="88"/>
    </row>
    <row r="90" spans="1:23" x14ac:dyDescent="0.25">
      <c r="A90" s="88">
        <v>2024</v>
      </c>
      <c r="B90" t="s">
        <v>81</v>
      </c>
      <c r="C90" s="106" t="s">
        <v>39</v>
      </c>
      <c r="D90" s="107">
        <v>361019000</v>
      </c>
      <c r="E90" s="136">
        <v>349777407</v>
      </c>
      <c r="F90" s="136">
        <v>8449774</v>
      </c>
      <c r="G90" s="136">
        <f t="shared" ca="1" si="7"/>
        <v>2791819</v>
      </c>
      <c r="H90" s="137">
        <f t="shared" ca="1" si="4"/>
        <v>0.96886149205443484</v>
      </c>
      <c r="I90" s="137">
        <f t="shared" ca="1" si="5"/>
        <v>2.3405344317058104E-2</v>
      </c>
      <c r="J90" s="138">
        <f t="shared" ca="1" si="6"/>
        <v>7.733163628507087E-3</v>
      </c>
      <c r="K90" s="88"/>
      <c r="L90" s="88"/>
      <c r="M90" s="88"/>
      <c r="N90" s="88"/>
      <c r="O90" s="123"/>
      <c r="P90" s="88"/>
      <c r="Q90" s="123"/>
      <c r="R90" s="132"/>
      <c r="S90" s="132"/>
      <c r="T90" s="132"/>
      <c r="U90" s="123"/>
      <c r="V90" s="123"/>
      <c r="W90" s="88"/>
    </row>
    <row r="91" spans="1:23" x14ac:dyDescent="0.25">
      <c r="A91" s="88"/>
      <c r="C91" s="115" t="s">
        <v>24</v>
      </c>
      <c r="D91" s="116">
        <f ca="1">SUM(D79:D90)</f>
        <v>3215483679</v>
      </c>
      <c r="E91" s="139">
        <f ca="1">SUM(E79:E90)</f>
        <v>3157408660</v>
      </c>
      <c r="F91" s="139">
        <f ca="1">SUM(F79:F90)</f>
        <v>48070266</v>
      </c>
      <c r="G91" s="139">
        <f ca="1">SUM(G79:G90)</f>
        <v>10004753</v>
      </c>
      <c r="H91" s="140">
        <f ca="1">E91/D91</f>
        <v>0.98193894766772349</v>
      </c>
      <c r="I91" s="140">
        <f ca="1">F91/D91</f>
        <v>1.4949622140501618E-2</v>
      </c>
      <c r="J91" s="141">
        <f ca="1">G91/D91</f>
        <v>3.1114301917748903E-3</v>
      </c>
      <c r="K91" s="88"/>
      <c r="L91" s="88"/>
      <c r="M91" s="88"/>
      <c r="N91" s="88"/>
      <c r="O91" s="123"/>
      <c r="P91" s="88"/>
      <c r="Q91" s="123"/>
      <c r="R91" s="132"/>
      <c r="S91" s="132"/>
      <c r="T91" s="132"/>
      <c r="U91" s="123"/>
      <c r="V91" s="123"/>
      <c r="W91" s="88"/>
    </row>
    <row r="92" spans="1:23" x14ac:dyDescent="0.25">
      <c r="A92" s="88">
        <v>2025</v>
      </c>
      <c r="B92" t="s">
        <v>70</v>
      </c>
      <c r="C92" s="106" t="s">
        <v>41</v>
      </c>
      <c r="D92" s="107">
        <v>338848056</v>
      </c>
      <c r="E92" s="136">
        <v>333214267</v>
      </c>
      <c r="F92" s="136">
        <v>5295156</v>
      </c>
      <c r="G92" s="136">
        <f t="shared" ref="G92:G103" ca="1" si="8">D92-SUM(E92:F92)</f>
        <v>338633</v>
      </c>
      <c r="H92" s="137">
        <f t="shared" ca="1" si="4"/>
        <v>0.98337370127925416</v>
      </c>
      <c r="I92" s="137">
        <f t="shared" ca="1" si="5"/>
        <v>1.562693338869266E-2</v>
      </c>
      <c r="J92" s="138">
        <f t="shared" ca="1" si="6"/>
        <v>9.9936533205313705E-4</v>
      </c>
      <c r="K92" s="88"/>
      <c r="L92" s="88"/>
      <c r="M92" s="88"/>
      <c r="N92" s="88"/>
      <c r="O92" s="123"/>
      <c r="P92" s="88"/>
      <c r="Q92" s="123"/>
      <c r="R92" s="132"/>
      <c r="S92" s="132"/>
      <c r="T92" s="132"/>
      <c r="U92" s="123"/>
      <c r="V92" s="123"/>
      <c r="W92" s="88"/>
    </row>
    <row r="93" spans="1:23" x14ac:dyDescent="0.25">
      <c r="A93" s="88">
        <v>2025</v>
      </c>
      <c r="B93" t="s">
        <v>71</v>
      </c>
      <c r="C93" s="98" t="s">
        <v>42</v>
      </c>
      <c r="D93" s="99">
        <v>378552326</v>
      </c>
      <c r="E93" s="133">
        <v>376571721</v>
      </c>
      <c r="F93" s="133">
        <v>1639018</v>
      </c>
      <c r="G93" s="133">
        <f t="shared" ca="1" si="8"/>
        <v>341587</v>
      </c>
      <c r="H93" s="134">
        <f t="shared" ca="1" si="4"/>
        <v>0.99476794920023814</v>
      </c>
      <c r="I93" s="134">
        <f t="shared" ca="1" si="5"/>
        <v>4.3296999844613295E-3</v>
      </c>
      <c r="J93" s="135">
        <f t="shared" ca="1" si="6"/>
        <v>9.0235081530049823E-4</v>
      </c>
      <c r="K93" s="88"/>
      <c r="L93" s="88"/>
      <c r="M93" s="88"/>
      <c r="N93" s="88"/>
      <c r="O93" s="123"/>
      <c r="P93" s="88"/>
      <c r="Q93" s="123"/>
      <c r="R93" s="132"/>
      <c r="S93" s="132"/>
      <c r="T93" s="132"/>
      <c r="U93" s="123"/>
      <c r="V93" s="123"/>
      <c r="W93" s="88"/>
    </row>
    <row r="94" spans="1:23" x14ac:dyDescent="0.25">
      <c r="A94" s="88">
        <v>2025</v>
      </c>
      <c r="B94" t="s">
        <v>72</v>
      </c>
      <c r="C94" s="106" t="s">
        <v>43</v>
      </c>
      <c r="D94" s="107">
        <v>380926920</v>
      </c>
      <c r="E94" s="136">
        <v>374279153</v>
      </c>
      <c r="F94" s="136">
        <v>5786113</v>
      </c>
      <c r="G94" s="136">
        <f t="shared" ca="1" si="8"/>
        <v>861654</v>
      </c>
      <c r="H94" s="137">
        <f t="shared" ca="1" si="4"/>
        <v>0.98254844525033835</v>
      </c>
      <c r="I94" s="137">
        <f t="shared" ca="1" si="5"/>
        <v>1.5189561819364197E-2</v>
      </c>
      <c r="J94" s="138">
        <f t="shared" ca="1" si="6"/>
        <v>2.2619929302974966E-3</v>
      </c>
      <c r="K94" s="88"/>
      <c r="L94" s="88"/>
      <c r="M94" s="88"/>
      <c r="N94" s="88"/>
      <c r="O94" s="123"/>
      <c r="P94" s="88"/>
      <c r="Q94" s="123"/>
      <c r="R94" s="132"/>
      <c r="S94" s="132"/>
      <c r="T94" s="132"/>
      <c r="U94" s="123"/>
      <c r="V94" s="123"/>
      <c r="W94" s="88"/>
    </row>
    <row r="95" spans="1:23" x14ac:dyDescent="0.25">
      <c r="A95" s="88">
        <v>2025</v>
      </c>
      <c r="B95" t="s">
        <v>73</v>
      </c>
      <c r="C95" s="98" t="s">
        <v>44</v>
      </c>
      <c r="D95" s="99">
        <v>367121996</v>
      </c>
      <c r="E95" s="133">
        <v>363634290</v>
      </c>
      <c r="F95" s="133">
        <v>2494252</v>
      </c>
      <c r="G95" s="133">
        <f t="shared" ca="1" si="8"/>
        <v>993454</v>
      </c>
      <c r="H95" s="134">
        <f t="shared" ca="1" si="4"/>
        <v>0.99049987187365374</v>
      </c>
      <c r="I95" s="134">
        <f t="shared" ca="1" si="5"/>
        <v>6.794068530832459E-3</v>
      </c>
      <c r="J95" s="135">
        <f t="shared" ca="1" si="6"/>
        <v>2.7060595955138577E-3</v>
      </c>
      <c r="K95" s="88"/>
      <c r="L95" s="88"/>
      <c r="M95" s="88"/>
      <c r="N95" s="88"/>
      <c r="O95" s="123"/>
      <c r="P95" s="88"/>
      <c r="Q95" s="123"/>
      <c r="R95" s="132"/>
      <c r="S95" s="132"/>
      <c r="T95" s="132"/>
      <c r="U95" s="123"/>
      <c r="V95" s="123"/>
      <c r="W95" s="88"/>
    </row>
    <row r="96" spans="1:23" x14ac:dyDescent="0.25">
      <c r="A96" s="88">
        <v>2025</v>
      </c>
      <c r="B96" t="s">
        <v>74</v>
      </c>
      <c r="C96" s="106" t="s">
        <v>45</v>
      </c>
      <c r="D96" s="107">
        <v>485635021</v>
      </c>
      <c r="E96" s="136">
        <v>480178300</v>
      </c>
      <c r="F96" s="136">
        <v>5025289</v>
      </c>
      <c r="G96" s="136">
        <f t="shared" ca="1" si="8"/>
        <v>431432</v>
      </c>
      <c r="H96" s="137">
        <f t="shared" ca="1" si="4"/>
        <v>0.98876374074348317</v>
      </c>
      <c r="I96" s="137">
        <f t="shared" ca="1" si="5"/>
        <v>1.0347871925818134E-2</v>
      </c>
      <c r="J96" s="138">
        <f t="shared" ca="1" si="6"/>
        <v>8.8838733069870597E-4</v>
      </c>
      <c r="K96" s="88"/>
      <c r="L96" s="88"/>
      <c r="M96" s="88"/>
      <c r="N96" s="88"/>
      <c r="O96" s="123"/>
      <c r="P96" s="88"/>
      <c r="Q96" s="123"/>
      <c r="R96" s="132"/>
      <c r="S96" s="132"/>
      <c r="T96" s="132"/>
      <c r="U96" s="123"/>
      <c r="V96" s="123"/>
      <c r="W96" s="88"/>
    </row>
    <row r="97" spans="1:26" x14ac:dyDescent="0.25">
      <c r="A97" s="88">
        <v>2025</v>
      </c>
      <c r="B97" t="s">
        <v>75</v>
      </c>
      <c r="C97" s="98" t="s">
        <v>46</v>
      </c>
      <c r="D97" s="99">
        <v>296353229</v>
      </c>
      <c r="E97" s="133">
        <v>291323169</v>
      </c>
      <c r="F97" s="133">
        <v>4713758</v>
      </c>
      <c r="G97" s="133">
        <f t="shared" ca="1" si="8"/>
        <v>316302</v>
      </c>
      <c r="H97" s="134">
        <f t="shared" ca="1" si="4"/>
        <v>0.98302680886260907</v>
      </c>
      <c r="I97" s="134">
        <f t="shared" ca="1" si="5"/>
        <v>1.5905876969540291E-2</v>
      </c>
      <c r="J97" s="135">
        <f t="shared" ca="1" si="6"/>
        <v>1.0673141678506901E-3</v>
      </c>
      <c r="K97" s="88"/>
      <c r="L97" s="88"/>
      <c r="M97" s="88"/>
      <c r="N97" s="88"/>
      <c r="O97" s="123"/>
      <c r="P97" s="88"/>
      <c r="Q97" s="123"/>
      <c r="R97" s="132"/>
      <c r="S97" s="132"/>
      <c r="T97" s="132"/>
      <c r="U97" s="123"/>
      <c r="V97" s="123"/>
      <c r="W97" s="88"/>
    </row>
    <row r="98" spans="1:26" x14ac:dyDescent="0.25">
      <c r="A98" s="88">
        <v>2025</v>
      </c>
      <c r="B98" t="s">
        <v>76</v>
      </c>
      <c r="C98" s="106" t="s">
        <v>47</v>
      </c>
      <c r="D98" s="107">
        <v>262770133</v>
      </c>
      <c r="E98" s="136">
        <v>259268640</v>
      </c>
      <c r="F98" s="136">
        <v>3048813</v>
      </c>
      <c r="G98" s="136">
        <f t="shared" ca="1" si="8"/>
        <v>452680</v>
      </c>
      <c r="H98" s="137">
        <f t="shared" ca="1" si="4"/>
        <v>0.98667469183036871</v>
      </c>
      <c r="I98" s="137">
        <f t="shared" ca="1" si="5"/>
        <v>1.1602585747444896E-2</v>
      </c>
      <c r="J98" s="138">
        <f t="shared" ca="1" si="6"/>
        <v>1.7227224221863905E-3</v>
      </c>
      <c r="K98" s="88"/>
      <c r="L98" s="88"/>
      <c r="M98" s="88"/>
      <c r="N98" s="88"/>
      <c r="O98" s="123"/>
      <c r="P98" s="88"/>
      <c r="Q98" s="123"/>
      <c r="R98" s="132"/>
      <c r="S98" s="132"/>
      <c r="T98" s="132"/>
      <c r="U98" s="123"/>
      <c r="V98" s="123"/>
      <c r="W98" s="88"/>
    </row>
    <row r="99" spans="1:26" x14ac:dyDescent="0.25">
      <c r="A99" s="88">
        <v>2025</v>
      </c>
      <c r="B99" t="s">
        <v>77</v>
      </c>
      <c r="C99" s="98" t="s">
        <v>48</v>
      </c>
      <c r="D99" s="99">
        <v>224969722</v>
      </c>
      <c r="E99" s="133">
        <v>222742568</v>
      </c>
      <c r="F99" s="133">
        <v>1545591</v>
      </c>
      <c r="G99" s="133">
        <f t="shared" ca="1" si="8"/>
        <v>681563</v>
      </c>
      <c r="H99" s="134">
        <f t="shared" ca="1" si="4"/>
        <v>0.99010020557344158</v>
      </c>
      <c r="I99" s="134">
        <f t="shared" ca="1" si="5"/>
        <v>6.8702178509159554E-3</v>
      </c>
      <c r="J99" s="135">
        <f t="shared" ca="1" si="6"/>
        <v>3.0295765756424768E-3</v>
      </c>
      <c r="K99" s="88"/>
      <c r="L99" s="88"/>
      <c r="M99" s="88"/>
      <c r="N99" s="88"/>
      <c r="O99" s="123"/>
      <c r="P99" s="88"/>
      <c r="Q99" s="123"/>
      <c r="R99" s="132"/>
      <c r="S99" s="132"/>
      <c r="T99" s="132"/>
      <c r="U99" s="123"/>
      <c r="V99" s="123"/>
      <c r="W99" s="88"/>
    </row>
    <row r="100" spans="1:26" x14ac:dyDescent="0.25">
      <c r="A100" s="88">
        <v>2025</v>
      </c>
      <c r="B100" t="s">
        <v>78</v>
      </c>
      <c r="C100" s="106" t="s">
        <v>49</v>
      </c>
      <c r="D100" s="107">
        <v>288019909</v>
      </c>
      <c r="E100" s="136">
        <v>286413566</v>
      </c>
      <c r="F100" s="136">
        <v>802896</v>
      </c>
      <c r="G100" s="136">
        <f t="shared" ca="1" si="8"/>
        <v>803447</v>
      </c>
      <c r="H100" s="137">
        <f t="shared" ca="1" si="4"/>
        <v>0.99442280568181141</v>
      </c>
      <c r="I100" s="137">
        <f t="shared" ca="1" si="5"/>
        <v>2.7876406279956152E-3</v>
      </c>
      <c r="J100" s="138">
        <f t="shared" ca="1" si="6"/>
        <v>2.7895536901929928E-3</v>
      </c>
      <c r="K100" s="88"/>
      <c r="L100" s="88"/>
      <c r="M100" s="88"/>
      <c r="N100" s="88"/>
      <c r="O100" s="123"/>
      <c r="P100" s="88"/>
      <c r="Q100" s="123"/>
      <c r="R100" s="132"/>
      <c r="S100" s="132"/>
      <c r="T100" s="132"/>
      <c r="U100" s="123"/>
      <c r="V100" s="123"/>
      <c r="W100" s="88"/>
    </row>
    <row r="101" spans="1:26" x14ac:dyDescent="0.25">
      <c r="A101" s="88">
        <v>2025</v>
      </c>
      <c r="B101" t="s">
        <v>79</v>
      </c>
      <c r="C101" s="98" t="s">
        <v>50</v>
      </c>
      <c r="D101" s="99">
        <v>280841968</v>
      </c>
      <c r="E101" s="133">
        <v>270425436</v>
      </c>
      <c r="F101" s="133">
        <v>9775980</v>
      </c>
      <c r="G101" s="133">
        <f t="shared" ca="1" si="8"/>
        <v>640552</v>
      </c>
      <c r="H101" s="134">
        <f t="shared" ca="1" si="4"/>
        <v>0.96290963179691147</v>
      </c>
      <c r="I101" s="134">
        <f t="shared" ca="1" si="5"/>
        <v>3.4809541001364866E-2</v>
      </c>
      <c r="J101" s="135">
        <f t="shared" ca="1" si="6"/>
        <v>2.28082720172364E-3</v>
      </c>
      <c r="K101" s="88"/>
      <c r="L101" s="88"/>
      <c r="M101" s="88"/>
      <c r="N101" s="88"/>
      <c r="O101" s="123"/>
      <c r="P101" s="88"/>
      <c r="Q101" s="123"/>
      <c r="R101" s="132"/>
      <c r="S101" s="132"/>
      <c r="T101" s="132"/>
      <c r="U101" s="123"/>
      <c r="V101" s="123"/>
      <c r="W101" s="88"/>
    </row>
    <row r="102" spans="1:26" x14ac:dyDescent="0.25">
      <c r="A102" s="88">
        <v>2025</v>
      </c>
      <c r="B102" t="s">
        <v>80</v>
      </c>
      <c r="C102" s="106" t="s">
        <v>51</v>
      </c>
      <c r="D102" s="107">
        <v>235254193</v>
      </c>
      <c r="E102" s="136">
        <v>226594001</v>
      </c>
      <c r="F102" s="136">
        <v>1973261</v>
      </c>
      <c r="G102" s="136">
        <f t="shared" ca="1" si="8"/>
        <v>6686931</v>
      </c>
      <c r="H102" s="137">
        <f t="shared" ca="1" si="4"/>
        <v>0.96318793773847844</v>
      </c>
      <c r="I102" s="137">
        <f t="shared" ca="1" si="5"/>
        <v>8.3877824868354208E-3</v>
      </c>
      <c r="J102" s="138">
        <f t="shared" ca="1" si="6"/>
        <v>2.84242797746861E-2</v>
      </c>
      <c r="K102" s="88"/>
      <c r="L102" s="88"/>
      <c r="M102" s="88"/>
      <c r="N102" s="88"/>
      <c r="O102" s="123"/>
      <c r="P102" s="88"/>
      <c r="Q102" s="123"/>
      <c r="R102" s="132"/>
      <c r="S102" s="132"/>
      <c r="T102" s="132"/>
      <c r="U102" s="123"/>
      <c r="V102" s="123"/>
      <c r="W102" s="88"/>
    </row>
    <row r="103" spans="1:26" x14ac:dyDescent="0.25">
      <c r="A103" s="88">
        <v>2025</v>
      </c>
      <c r="B103" t="s">
        <v>81</v>
      </c>
      <c r="C103" s="98" t="s">
        <v>52</v>
      </c>
      <c r="D103" s="99">
        <v>282002410</v>
      </c>
      <c r="E103" s="133">
        <v>277699893</v>
      </c>
      <c r="F103" s="133">
        <v>4196538</v>
      </c>
      <c r="G103" s="133">
        <f t="shared" ca="1" si="8"/>
        <v>105979</v>
      </c>
      <c r="H103" s="134">
        <f t="shared" ca="1" si="4"/>
        <v>0.98474297790575616</v>
      </c>
      <c r="I103" s="134">
        <f t="shared" ca="1" si="5"/>
        <v>1.4881213249205921E-2</v>
      </c>
      <c r="J103" s="135">
        <f t="shared" ca="1" si="6"/>
        <v>3.758088450378846E-4</v>
      </c>
      <c r="K103" s="88"/>
      <c r="L103" s="88"/>
      <c r="M103" s="88"/>
      <c r="N103" s="88"/>
      <c r="O103" s="123"/>
      <c r="P103" s="88"/>
      <c r="Q103" s="123"/>
      <c r="R103" s="132"/>
      <c r="S103" s="132"/>
      <c r="T103" s="132"/>
      <c r="U103" s="123"/>
      <c r="V103" s="123"/>
      <c r="W103" s="88"/>
    </row>
    <row r="104" spans="1:26" x14ac:dyDescent="0.25">
      <c r="A104" s="88"/>
      <c r="C104" s="115" t="s">
        <v>40</v>
      </c>
      <c r="D104" s="116">
        <f ca="1">SUM(D92:D103)</f>
        <v>3821295883</v>
      </c>
      <c r="E104" s="139">
        <f ca="1">SUM(E92:E103)</f>
        <v>3762345004</v>
      </c>
      <c r="F104" s="139">
        <f ca="1">SUM(F92:F103)</f>
        <v>46296665</v>
      </c>
      <c r="G104" s="139">
        <f ca="1">SUM(G92:G103)</f>
        <v>12654214</v>
      </c>
      <c r="H104" s="140">
        <f t="shared" ca="1" si="4"/>
        <v>0.98457306609983852</v>
      </c>
      <c r="I104" s="140">
        <f t="shared" ca="1" si="5"/>
        <v>1.2115435814840304E-2</v>
      </c>
      <c r="J104" s="141">
        <f t="shared" ca="1" si="6"/>
        <v>3.3114980853211256E-3</v>
      </c>
      <c r="K104" s="88"/>
      <c r="L104" s="88"/>
      <c r="M104" s="88"/>
      <c r="N104" s="88"/>
      <c r="O104" s="123"/>
      <c r="P104" s="88"/>
      <c r="Q104" s="123"/>
      <c r="R104" s="132"/>
      <c r="S104" s="132"/>
      <c r="T104" s="132"/>
      <c r="U104" s="123"/>
      <c r="V104" s="123"/>
      <c r="W104" s="88"/>
    </row>
    <row r="105" spans="1:26" x14ac:dyDescent="0.25">
      <c r="A105" s="88">
        <v>2026</v>
      </c>
      <c r="B105" t="s">
        <v>70</v>
      </c>
      <c r="C105" s="106" t="s">
        <v>54</v>
      </c>
      <c r="D105" s="107">
        <v>231454801</v>
      </c>
      <c r="E105" s="136">
        <v>226040901</v>
      </c>
      <c r="F105" s="136">
        <v>4726374</v>
      </c>
      <c r="G105" s="136">
        <f ca="1">D105-SUM(E105:F105)</f>
        <v>687526</v>
      </c>
      <c r="H105" s="137">
        <f t="shared" ca="1" si="4"/>
        <v>0.97660925599033044</v>
      </c>
      <c r="I105" s="137">
        <f t="shared" ca="1" si="5"/>
        <v>2.0420289316012072E-2</v>
      </c>
      <c r="J105" s="138">
        <f t="shared" ca="1" si="6"/>
        <v>2.9704546936574453E-3</v>
      </c>
      <c r="K105" s="88"/>
      <c r="L105" s="88"/>
      <c r="M105" s="88"/>
      <c r="N105" s="88"/>
      <c r="O105" s="123"/>
      <c r="P105" s="88"/>
      <c r="Q105" s="123"/>
      <c r="R105" s="132"/>
      <c r="S105" s="132"/>
      <c r="T105" s="132"/>
      <c r="U105" s="123"/>
      <c r="V105" s="123"/>
      <c r="W105" s="88"/>
    </row>
    <row r="106" spans="1:26" x14ac:dyDescent="0.25">
      <c r="A106" s="88">
        <v>2026</v>
      </c>
      <c r="B106" t="s">
        <v>71</v>
      </c>
      <c r="C106" s="98" t="s">
        <v>55</v>
      </c>
      <c r="D106" s="99">
        <v>251180015</v>
      </c>
      <c r="E106" s="133">
        <v>243798572</v>
      </c>
      <c r="F106" s="133">
        <v>6837198</v>
      </c>
      <c r="G106" s="133">
        <f ca="1">D106-SUM(E106:F106)</f>
        <v>544245</v>
      </c>
      <c r="H106" s="134">
        <f t="shared" ca="1" si="4"/>
        <v>0.97061293670199045</v>
      </c>
      <c r="I106" s="134">
        <f t="shared" ca="1" si="5"/>
        <v>2.7220310501215633E-2</v>
      </c>
      <c r="J106" s="135">
        <f t="shared" ca="1" si="6"/>
        <v>2.1667527967939647E-3</v>
      </c>
      <c r="K106" s="88"/>
      <c r="L106" s="88"/>
      <c r="M106" s="88"/>
      <c r="N106" s="88"/>
      <c r="O106" s="123"/>
      <c r="P106" s="88"/>
      <c r="Q106" s="123"/>
      <c r="R106" s="132"/>
      <c r="S106" s="132"/>
      <c r="T106" s="132"/>
      <c r="U106" s="123"/>
      <c r="V106" s="123"/>
      <c r="W106" s="88"/>
    </row>
    <row r="107" spans="1:26" x14ac:dyDescent="0.25">
      <c r="A107" s="88">
        <v>2026</v>
      </c>
      <c r="B107" t="s">
        <v>72</v>
      </c>
      <c r="C107" s="106" t="s">
        <v>56</v>
      </c>
      <c r="D107" s="107">
        <v>73284054</v>
      </c>
      <c r="E107" s="136">
        <v>71219790</v>
      </c>
      <c r="F107" s="136">
        <v>1929843</v>
      </c>
      <c r="G107" s="136">
        <f ca="1">D107-SUM(E107:F107)</f>
        <v>134421</v>
      </c>
      <c r="H107" s="137">
        <f ca="1">E107/D107</f>
        <v>0.97183201682592502</v>
      </c>
      <c r="I107" s="137">
        <f ca="1">F107/D107</f>
        <v>2.6333736940917597E-2</v>
      </c>
      <c r="J107" s="138">
        <f ca="1">G107/D107</f>
        <v>1.8342462331573522E-3</v>
      </c>
      <c r="K107" s="88"/>
      <c r="L107" s="88"/>
      <c r="M107" s="88"/>
      <c r="N107" s="88"/>
      <c r="O107" s="123"/>
      <c r="P107" s="88"/>
      <c r="Q107" s="123"/>
      <c r="R107" s="132"/>
      <c r="S107" s="132"/>
      <c r="T107" s="132"/>
      <c r="U107" s="123"/>
      <c r="V107" s="123"/>
      <c r="W107" s="88"/>
    </row>
    <row r="108" spans="1:26" x14ac:dyDescent="0.25">
      <c r="A108" s="88">
        <v>2026</v>
      </c>
      <c r="B108" t="s">
        <v>73</v>
      </c>
      <c r="C108" s="98" t="s">
        <v>57</v>
      </c>
      <c r="D108" s="99">
        <v>123532317</v>
      </c>
      <c r="E108" s="133">
        <v>117790480</v>
      </c>
      <c r="F108" s="133">
        <v>5479646</v>
      </c>
      <c r="G108" s="133">
        <f ca="1">D108-SUM(E108:F108)</f>
        <v>262191</v>
      </c>
      <c r="H108" s="134">
        <f ca="1">E108/D108</f>
        <v>0.95351955553460555</v>
      </c>
      <c r="I108" s="134">
        <f ca="1">F108/D108</f>
        <v>4.4357995810926143E-2</v>
      </c>
      <c r="J108" s="135">
        <f ca="1">G108/D108</f>
        <v>2.122448654468288E-3</v>
      </c>
      <c r="K108" s="88"/>
      <c r="L108" s="88"/>
      <c r="M108" s="88"/>
      <c r="N108" s="88"/>
      <c r="O108" s="123"/>
      <c r="P108" s="88"/>
      <c r="Q108" s="123"/>
      <c r="R108" s="132"/>
      <c r="S108" s="132"/>
      <c r="T108" s="132"/>
      <c r="U108" s="123"/>
      <c r="V108" s="123"/>
      <c r="W108" s="88"/>
    </row>
    <row r="109" spans="1:26" x14ac:dyDescent="0.25">
      <c r="A109" s="88">
        <v>2026</v>
      </c>
      <c r="B109" t="s">
        <v>74</v>
      </c>
      <c r="C109" s="106" t="s">
        <v>58</v>
      </c>
      <c r="D109" s="107">
        <v>22815862</v>
      </c>
      <c r="E109" s="136">
        <v>21955477</v>
      </c>
      <c r="F109" s="136">
        <v>851159</v>
      </c>
      <c r="G109" s="136">
        <f ca="1">D109-SUM(E109:F109)</f>
        <v>9226</v>
      </c>
      <c r="H109" s="137">
        <f ca="1">E109/D109</f>
        <v>0.96229005066738216</v>
      </c>
      <c r="I109" s="137">
        <f ca="1">F109/D109</f>
        <v>3.7305581529201041E-2</v>
      </c>
      <c r="J109" s="138">
        <f ca="1">G109/D109</f>
        <v>4.0436780341676328E-4</v>
      </c>
      <c r="K109" s="88"/>
      <c r="L109" s="88"/>
      <c r="M109" s="88"/>
      <c r="N109" s="88"/>
      <c r="O109" s="123"/>
      <c r="P109" s="88"/>
      <c r="Q109" s="123"/>
      <c r="R109" s="132"/>
      <c r="S109" s="132"/>
      <c r="T109" s="132"/>
      <c r="U109" s="123"/>
      <c r="V109" s="123"/>
      <c r="W109" s="88"/>
    </row>
    <row r="110" spans="1:26" ht="15.75" thickBot="1" x14ac:dyDescent="0.3">
      <c r="C110" s="124" t="s">
        <v>59</v>
      </c>
      <c r="D110" s="125">
        <f ca="1">D91+D104+D105+D106+D107+D108+D109</f>
        <v>7739046611</v>
      </c>
      <c r="E110" s="125">
        <f ca="1">E91+E104+E105+E106+E107+E108+E109</f>
        <v>7600558884</v>
      </c>
      <c r="F110" s="125">
        <f ca="1">F91+F104+F105+F106+F107+F108+F109</f>
        <v>114191151</v>
      </c>
      <c r="G110" s="125">
        <f ca="1">G91+G104+G105+G106+G107+G108+G109</f>
        <v>24296576</v>
      </c>
      <c r="H110" s="142">
        <f ca="1">E110/D110</f>
        <v>0.9821053246012037</v>
      </c>
      <c r="I110" s="142">
        <f ca="1">F110/D110</f>
        <v>1.4755196181102314E-2</v>
      </c>
      <c r="J110" s="143">
        <f ca="1">G110/D110</f>
        <v>3.1394792176940409E-3</v>
      </c>
    </row>
    <row r="111" spans="1:26" x14ac:dyDescent="0.25">
      <c r="C111" s="119"/>
      <c r="D111" s="119">
        <f ca="1">SUM(Summary!G11,Summary!G24,Summary!G37)</f>
        <v>7739046611</v>
      </c>
      <c r="E111" s="119"/>
      <c r="F111" s="119"/>
      <c r="G111" s="120"/>
      <c r="H111" s="120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20"/>
      <c r="U111" s="120"/>
      <c r="V111" s="119"/>
      <c r="W111" s="119"/>
      <c r="X111" s="120"/>
      <c r="Y111" s="120"/>
      <c r="Z111" s="120"/>
    </row>
    <row r="112" spans="1:26" ht="15.75" thickBot="1" x14ac:dyDescent="0.3"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</row>
    <row r="113" spans="1:23" ht="24" thickBot="1" x14ac:dyDescent="0.4">
      <c r="C113" s="89" t="str">
        <f ca="1">_xlfn.CONCAT("BA dues collection ageing monthwise")</f>
        <v>BA dues collection ageing monthwise</v>
      </c>
      <c r="D113" s="90"/>
      <c r="E113" s="90"/>
      <c r="F113" s="90"/>
      <c r="G113" s="90"/>
      <c r="H113" s="90"/>
      <c r="I113" s="90"/>
      <c r="J113" s="91"/>
      <c r="K113" s="97"/>
      <c r="L113" s="144"/>
      <c r="M113" s="144"/>
      <c r="N113" s="144"/>
      <c r="O113" s="88"/>
      <c r="P113" s="92"/>
      <c r="Q113" s="92"/>
      <c r="R113" s="92"/>
      <c r="S113" s="92"/>
      <c r="T113" s="92"/>
      <c r="U113" s="92"/>
      <c r="V113" s="92"/>
      <c r="W113" s="92"/>
    </row>
    <row r="114" spans="1:23" ht="45" x14ac:dyDescent="0.25">
      <c r="C114" s="94" t="s">
        <v>282</v>
      </c>
      <c r="D114" s="95" t="s">
        <v>304</v>
      </c>
      <c r="E114" s="95" t="s">
        <v>305</v>
      </c>
      <c r="F114" s="95" t="s">
        <v>306</v>
      </c>
      <c r="G114" s="95" t="s">
        <v>307</v>
      </c>
      <c r="H114" s="145" t="s">
        <v>302</v>
      </c>
      <c r="I114" s="145" t="s">
        <v>308</v>
      </c>
      <c r="J114" s="146" t="s">
        <v>309</v>
      </c>
      <c r="K114" s="102"/>
      <c r="L114" s="97"/>
      <c r="M114" s="97"/>
      <c r="N114" s="97"/>
      <c r="O114" s="88"/>
      <c r="P114" s="97"/>
      <c r="Q114" s="97"/>
      <c r="R114" s="97"/>
      <c r="S114" s="97"/>
      <c r="T114" s="97"/>
      <c r="U114" s="97"/>
      <c r="V114" s="97"/>
      <c r="W114" s="97"/>
    </row>
    <row r="115" spans="1:23" x14ac:dyDescent="0.25">
      <c r="A115" s="88">
        <v>2024</v>
      </c>
      <c r="B115" t="s">
        <v>70</v>
      </c>
      <c r="C115" s="98" t="s">
        <v>26</v>
      </c>
      <c r="D115" s="99">
        <v>47882239</v>
      </c>
      <c r="E115" s="133">
        <v>20222770</v>
      </c>
      <c r="F115" s="133">
        <v>12564566</v>
      </c>
      <c r="G115" s="133">
        <f ca="1">D115-SUM(E115:F115)</f>
        <v>15094903</v>
      </c>
      <c r="H115" s="100">
        <f ca="1">E115/D115</f>
        <v>0.42234386742023489</v>
      </c>
      <c r="I115" s="100">
        <f ca="1">F115/D115</f>
        <v>0.26240556545402982</v>
      </c>
      <c r="J115" s="101">
        <f ca="1">G115/D115</f>
        <v>0.31525056712573529</v>
      </c>
      <c r="K115" s="102"/>
      <c r="L115" s="105"/>
      <c r="M115" s="105"/>
      <c r="N115" s="105"/>
      <c r="O115" s="88"/>
      <c r="P115" s="103"/>
      <c r="Q115" s="104"/>
      <c r="R115" s="102"/>
      <c r="S115" s="102"/>
      <c r="T115" s="102"/>
      <c r="U115" s="105"/>
      <c r="V115" s="105"/>
      <c r="W115" s="105"/>
    </row>
    <row r="116" spans="1:23" x14ac:dyDescent="0.25">
      <c r="A116" s="88">
        <v>2024</v>
      </c>
      <c r="B116" t="s">
        <v>71</v>
      </c>
      <c r="C116" s="106" t="s">
        <v>28</v>
      </c>
      <c r="D116" s="107">
        <v>39927400</v>
      </c>
      <c r="E116" s="136">
        <v>16451200</v>
      </c>
      <c r="F116" s="136">
        <v>5853531</v>
      </c>
      <c r="G116" s="136">
        <f t="shared" ref="G116:G126" ca="1" si="9">D116-SUM(E116:F116)</f>
        <v>17622669</v>
      </c>
      <c r="H116" s="108">
        <f t="shared" ref="H116:H128" ca="1" si="10">E116/D116</f>
        <v>0.41202783051237996</v>
      </c>
      <c r="I116" s="108">
        <f t="shared" ref="I116:I128" ca="1" si="11">F116/D116</f>
        <v>0.14660436191687914</v>
      </c>
      <c r="J116" s="109">
        <f t="shared" ref="J116:J128" ca="1" si="12">G116/D116</f>
        <v>0.4413678075707409</v>
      </c>
      <c r="K116" s="102"/>
      <c r="L116" s="105"/>
      <c r="M116" s="105"/>
      <c r="N116" s="105"/>
      <c r="O116" s="88"/>
      <c r="P116" s="103"/>
      <c r="Q116" s="104"/>
      <c r="R116" s="102"/>
      <c r="S116" s="102"/>
      <c r="T116" s="102"/>
      <c r="U116" s="105"/>
      <c r="V116" s="105"/>
      <c r="W116" s="105"/>
    </row>
    <row r="117" spans="1:23" x14ac:dyDescent="0.25">
      <c r="A117" s="88">
        <v>2024</v>
      </c>
      <c r="B117" t="s">
        <v>72</v>
      </c>
      <c r="C117" s="98" t="s">
        <v>29</v>
      </c>
      <c r="D117" s="99">
        <v>38064619</v>
      </c>
      <c r="E117" s="133">
        <v>17255263</v>
      </c>
      <c r="F117" s="133">
        <v>6755479</v>
      </c>
      <c r="G117" s="133">
        <f t="shared" ca="1" si="9"/>
        <v>14053877</v>
      </c>
      <c r="H117" s="100">
        <f t="shared" ca="1" si="10"/>
        <v>0.45331500625291954</v>
      </c>
      <c r="I117" s="100">
        <f t="shared" ca="1" si="11"/>
        <v>0.17747396867416432</v>
      </c>
      <c r="J117" s="101">
        <f t="shared" ca="1" si="12"/>
        <v>0.36921102507291614</v>
      </c>
      <c r="K117" s="102"/>
      <c r="L117" s="105"/>
      <c r="M117" s="105"/>
      <c r="N117" s="105"/>
      <c r="O117" s="88"/>
      <c r="P117" s="103"/>
      <c r="Q117" s="104"/>
      <c r="R117" s="102"/>
      <c r="S117" s="102"/>
      <c r="T117" s="102"/>
      <c r="U117" s="105"/>
      <c r="V117" s="105"/>
      <c r="W117" s="105"/>
    </row>
    <row r="118" spans="1:23" x14ac:dyDescent="0.25">
      <c r="A118" s="88">
        <v>2024</v>
      </c>
      <c r="B118" t="s">
        <v>73</v>
      </c>
      <c r="C118" s="106" t="s">
        <v>30</v>
      </c>
      <c r="D118" s="107">
        <v>49665719</v>
      </c>
      <c r="E118" s="136">
        <v>17257524</v>
      </c>
      <c r="F118" s="136">
        <v>7983969</v>
      </c>
      <c r="G118" s="136">
        <f t="shared" ca="1" si="9"/>
        <v>24424226</v>
      </c>
      <c r="H118" s="108">
        <f t="shared" ca="1" si="10"/>
        <v>0.3474735561565111</v>
      </c>
      <c r="I118" s="108">
        <f t="shared" ca="1" si="11"/>
        <v>0.16075412096621414</v>
      </c>
      <c r="J118" s="109">
        <f t="shared" ca="1" si="12"/>
        <v>0.49177232287727479</v>
      </c>
      <c r="K118" s="102"/>
      <c r="L118" s="105"/>
      <c r="M118" s="105"/>
      <c r="N118" s="105"/>
      <c r="O118" s="88"/>
      <c r="P118" s="103"/>
      <c r="Q118" s="104"/>
      <c r="R118" s="102"/>
      <c r="S118" s="102"/>
      <c r="T118" s="102"/>
      <c r="U118" s="105"/>
      <c r="V118" s="105"/>
      <c r="W118" s="105"/>
    </row>
    <row r="119" spans="1:23" x14ac:dyDescent="0.25">
      <c r="A119" s="88">
        <v>2024</v>
      </c>
      <c r="B119" t="s">
        <v>74</v>
      </c>
      <c r="C119" s="98" t="s">
        <v>31</v>
      </c>
      <c r="D119" s="99">
        <v>71363217</v>
      </c>
      <c r="E119" s="133">
        <v>38036304</v>
      </c>
      <c r="F119" s="133">
        <v>13128036</v>
      </c>
      <c r="G119" s="133">
        <f t="shared" ca="1" si="9"/>
        <v>20198877</v>
      </c>
      <c r="H119" s="100">
        <f t="shared" ca="1" si="10"/>
        <v>0.53299592701937748</v>
      </c>
      <c r="I119" s="100">
        <f t="shared" ca="1" si="11"/>
        <v>0.18396082116085097</v>
      </c>
      <c r="J119" s="101">
        <f t="shared" ca="1" si="12"/>
        <v>0.28304325181977152</v>
      </c>
      <c r="K119" s="102"/>
      <c r="L119" s="105"/>
      <c r="M119" s="105"/>
      <c r="N119" s="105"/>
      <c r="O119" s="88"/>
      <c r="P119" s="103"/>
      <c r="Q119" s="104"/>
      <c r="R119" s="102"/>
      <c r="S119" s="102"/>
      <c r="T119" s="102"/>
      <c r="U119" s="105"/>
      <c r="V119" s="105"/>
      <c r="W119" s="105"/>
    </row>
    <row r="120" spans="1:23" x14ac:dyDescent="0.25">
      <c r="A120" s="88">
        <v>2024</v>
      </c>
      <c r="B120" t="s">
        <v>75</v>
      </c>
      <c r="C120" s="106" t="s">
        <v>33</v>
      </c>
      <c r="D120" s="107">
        <v>41242932</v>
      </c>
      <c r="E120" s="136">
        <v>17147041</v>
      </c>
      <c r="F120" s="136">
        <v>5908117</v>
      </c>
      <c r="G120" s="136">
        <f t="shared" ca="1" si="9"/>
        <v>18187774</v>
      </c>
      <c r="H120" s="108">
        <f t="shared" ca="1" si="10"/>
        <v>0.41575708051018295</v>
      </c>
      <c r="I120" s="108">
        <f t="shared" ca="1" si="11"/>
        <v>0.14325162430255928</v>
      </c>
      <c r="J120" s="109">
        <f t="shared" ca="1" si="12"/>
        <v>0.44099129518725777</v>
      </c>
      <c r="K120" s="102"/>
      <c r="L120" s="105"/>
      <c r="M120" s="105"/>
      <c r="N120" s="105"/>
      <c r="O120" s="88"/>
      <c r="P120" s="103"/>
      <c r="Q120" s="104"/>
      <c r="R120" s="102"/>
      <c r="S120" s="102"/>
      <c r="T120" s="102"/>
      <c r="U120" s="105"/>
      <c r="V120" s="105"/>
      <c r="W120" s="105"/>
    </row>
    <row r="121" spans="1:23" x14ac:dyDescent="0.25">
      <c r="A121" s="88">
        <v>2024</v>
      </c>
      <c r="B121" t="s">
        <v>76</v>
      </c>
      <c r="C121" s="98" t="s">
        <v>34</v>
      </c>
      <c r="D121" s="99">
        <v>48103709</v>
      </c>
      <c r="E121" s="133">
        <v>21418536</v>
      </c>
      <c r="F121" s="133">
        <v>8468729</v>
      </c>
      <c r="G121" s="133">
        <f t="shared" ca="1" si="9"/>
        <v>18216444</v>
      </c>
      <c r="H121" s="100">
        <f t="shared" ca="1" si="10"/>
        <v>0.44525747484461126</v>
      </c>
      <c r="I121" s="100">
        <f t="shared" ca="1" si="11"/>
        <v>0.17605147661274934</v>
      </c>
      <c r="J121" s="101">
        <f t="shared" ca="1" si="12"/>
        <v>0.37869104854263941</v>
      </c>
      <c r="K121" s="102"/>
      <c r="L121" s="105"/>
      <c r="M121" s="105"/>
      <c r="N121" s="105"/>
      <c r="O121" s="88"/>
      <c r="P121" s="103"/>
      <c r="Q121" s="104"/>
      <c r="R121" s="102"/>
      <c r="S121" s="102"/>
      <c r="T121" s="102"/>
      <c r="U121" s="105"/>
      <c r="V121" s="105"/>
      <c r="W121" s="105"/>
    </row>
    <row r="122" spans="1:23" x14ac:dyDescent="0.25">
      <c r="A122" s="88">
        <v>2024</v>
      </c>
      <c r="B122" t="s">
        <v>77</v>
      </c>
      <c r="C122" s="106" t="s">
        <v>35</v>
      </c>
      <c r="D122" s="107">
        <v>37069818</v>
      </c>
      <c r="E122" s="136">
        <v>11759606</v>
      </c>
      <c r="F122" s="136">
        <v>11149282</v>
      </c>
      <c r="G122" s="136">
        <f t="shared" ca="1" si="9"/>
        <v>14160930</v>
      </c>
      <c r="H122" s="108">
        <f t="shared" ca="1" si="10"/>
        <v>0.31722858741847615</v>
      </c>
      <c r="I122" s="108">
        <f t="shared" ca="1" si="11"/>
        <v>0.30076441162996809</v>
      </c>
      <c r="J122" s="109">
        <f t="shared" ca="1" si="12"/>
        <v>0.38200700095155576</v>
      </c>
      <c r="K122" s="102"/>
      <c r="L122" s="105"/>
      <c r="M122" s="105"/>
      <c r="N122" s="105"/>
      <c r="O122" s="88"/>
      <c r="P122" s="103"/>
      <c r="Q122" s="104"/>
      <c r="R122" s="102"/>
      <c r="S122" s="102"/>
      <c r="T122" s="102"/>
      <c r="U122" s="105"/>
      <c r="V122" s="105"/>
      <c r="W122" s="105"/>
    </row>
    <row r="123" spans="1:23" x14ac:dyDescent="0.25">
      <c r="A123" s="88">
        <v>2024</v>
      </c>
      <c r="B123" t="s">
        <v>78</v>
      </c>
      <c r="C123" s="98" t="s">
        <v>36</v>
      </c>
      <c r="D123" s="99">
        <v>39339875</v>
      </c>
      <c r="E123" s="133">
        <v>16875402</v>
      </c>
      <c r="F123" s="133">
        <v>4745977</v>
      </c>
      <c r="G123" s="133">
        <f t="shared" ca="1" si="9"/>
        <v>17718496</v>
      </c>
      <c r="H123" s="100">
        <f t="shared" ca="1" si="10"/>
        <v>0.42896430148799403</v>
      </c>
      <c r="I123" s="100">
        <f t="shared" ca="1" si="11"/>
        <v>0.12064036807437746</v>
      </c>
      <c r="J123" s="101">
        <f t="shared" ca="1" si="12"/>
        <v>0.45039533043762847</v>
      </c>
      <c r="K123" s="102"/>
      <c r="L123" s="105"/>
      <c r="M123" s="105"/>
      <c r="N123" s="105"/>
      <c r="O123" s="88"/>
      <c r="P123" s="103"/>
      <c r="Q123" s="104"/>
      <c r="R123" s="102"/>
      <c r="S123" s="102"/>
      <c r="T123" s="102"/>
      <c r="U123" s="105"/>
      <c r="V123" s="105"/>
      <c r="W123" s="105"/>
    </row>
    <row r="124" spans="1:23" x14ac:dyDescent="0.25">
      <c r="A124" s="88">
        <v>2024</v>
      </c>
      <c r="B124" t="s">
        <v>79</v>
      </c>
      <c r="C124" s="106" t="s">
        <v>37</v>
      </c>
      <c r="D124" s="107">
        <v>35646524</v>
      </c>
      <c r="E124" s="136">
        <v>19693725</v>
      </c>
      <c r="F124" s="136">
        <v>3584718</v>
      </c>
      <c r="G124" s="136">
        <f t="shared" ca="1" si="9"/>
        <v>12368081</v>
      </c>
      <c r="H124" s="108">
        <f t="shared" ca="1" si="10"/>
        <v>0.55247252158443272</v>
      </c>
      <c r="I124" s="108">
        <f t="shared" ca="1" si="11"/>
        <v>0.10056290481506697</v>
      </c>
      <c r="J124" s="109">
        <f t="shared" ca="1" si="12"/>
        <v>0.34696457360050031</v>
      </c>
      <c r="K124" s="102"/>
      <c r="L124" s="105"/>
      <c r="M124" s="105"/>
      <c r="N124" s="105"/>
      <c r="O124" s="88"/>
      <c r="P124" s="103"/>
      <c r="Q124" s="104"/>
      <c r="R124" s="102"/>
      <c r="S124" s="102"/>
      <c r="T124" s="102"/>
      <c r="U124" s="105"/>
      <c r="V124" s="105"/>
      <c r="W124" s="105"/>
    </row>
    <row r="125" spans="1:23" x14ac:dyDescent="0.25">
      <c r="A125" s="88">
        <v>2024</v>
      </c>
      <c r="B125" t="s">
        <v>80</v>
      </c>
      <c r="C125" s="106" t="s">
        <v>38</v>
      </c>
      <c r="D125" s="107">
        <v>28873416</v>
      </c>
      <c r="E125" s="136">
        <v>18353626</v>
      </c>
      <c r="F125" s="136">
        <v>4800096</v>
      </c>
      <c r="G125" s="136">
        <f t="shared" ca="1" si="9"/>
        <v>5719694</v>
      </c>
      <c r="H125" s="108">
        <f t="shared" ca="1" si="10"/>
        <v>0.63565828165257621</v>
      </c>
      <c r="I125" s="108">
        <f t="shared" ca="1" si="11"/>
        <v>0.16624621070122081</v>
      </c>
      <c r="J125" s="109">
        <f t="shared" ca="1" si="12"/>
        <v>0.19809550764620301</v>
      </c>
      <c r="K125" s="102"/>
      <c r="L125" s="105"/>
      <c r="M125" s="105"/>
      <c r="N125" s="105"/>
      <c r="O125" s="88"/>
      <c r="P125" s="103"/>
      <c r="Q125" s="104"/>
      <c r="R125" s="102"/>
      <c r="S125" s="102"/>
      <c r="T125" s="102"/>
      <c r="U125" s="105"/>
      <c r="V125" s="105"/>
      <c r="W125" s="105"/>
    </row>
    <row r="126" spans="1:23" x14ac:dyDescent="0.25">
      <c r="A126" s="88">
        <v>2024</v>
      </c>
      <c r="B126" t="s">
        <v>81</v>
      </c>
      <c r="C126" s="98" t="s">
        <v>39</v>
      </c>
      <c r="D126" s="99">
        <v>26156998</v>
      </c>
      <c r="E126" s="133">
        <v>17354228</v>
      </c>
      <c r="F126" s="133">
        <v>4078517</v>
      </c>
      <c r="G126" s="133">
        <f t="shared" ca="1" si="9"/>
        <v>4724253</v>
      </c>
      <c r="H126" s="100">
        <f t="shared" ca="1" si="10"/>
        <v>0.66346405654043328</v>
      </c>
      <c r="I126" s="100">
        <f t="shared" ca="1" si="11"/>
        <v>0.15592450632140584</v>
      </c>
      <c r="J126" s="101">
        <f t="shared" ca="1" si="12"/>
        <v>0.18061143713816089</v>
      </c>
      <c r="K126" s="102"/>
      <c r="L126" s="105"/>
      <c r="M126" s="105"/>
      <c r="N126" s="105"/>
      <c r="O126" s="88"/>
      <c r="P126" s="103"/>
      <c r="Q126" s="104"/>
      <c r="R126" s="102"/>
      <c r="S126" s="102"/>
      <c r="T126" s="102"/>
      <c r="U126" s="105"/>
      <c r="V126" s="105"/>
      <c r="W126" s="105"/>
    </row>
    <row r="127" spans="1:23" x14ac:dyDescent="0.25">
      <c r="A127" s="88"/>
      <c r="C127" s="115" t="s">
        <v>24</v>
      </c>
      <c r="D127" s="147">
        <f ca="1">SUM(D115:D126)</f>
        <v>503336466</v>
      </c>
      <c r="E127" s="148">
        <f ca="1">SUM(E115:E126)</f>
        <v>231825225</v>
      </c>
      <c r="F127" s="148">
        <f ca="1">SUM(F115:F126)</f>
        <v>89021017</v>
      </c>
      <c r="G127" s="148">
        <f ca="1">SUM(G115:G126)</f>
        <v>182490224</v>
      </c>
      <c r="H127" s="149">
        <f ca="1">E127/D127</f>
        <v>0.46057705066018406</v>
      </c>
      <c r="I127" s="149">
        <f ca="1">F127/D127</f>
        <v>0.17686184692209445</v>
      </c>
      <c r="J127" s="150">
        <f ca="1">G127/D127</f>
        <v>0.36256110241772149</v>
      </c>
      <c r="K127" s="102"/>
      <c r="L127" s="105"/>
      <c r="M127" s="105"/>
      <c r="N127" s="105"/>
      <c r="O127" s="88"/>
      <c r="P127" s="103"/>
      <c r="Q127" s="104"/>
      <c r="R127" s="102"/>
      <c r="S127" s="102"/>
      <c r="T127" s="102"/>
      <c r="U127" s="105"/>
      <c r="V127" s="105"/>
      <c r="W127" s="105"/>
    </row>
    <row r="128" spans="1:23" x14ac:dyDescent="0.25">
      <c r="A128" s="88">
        <v>2025</v>
      </c>
      <c r="B128" t="s">
        <v>70</v>
      </c>
      <c r="C128" s="106" t="s">
        <v>41</v>
      </c>
      <c r="D128" s="107">
        <v>36662862</v>
      </c>
      <c r="E128" s="136">
        <v>22405810</v>
      </c>
      <c r="F128" s="136">
        <v>6225407</v>
      </c>
      <c r="G128" s="136">
        <f t="shared" ref="G128:G139" ca="1" si="13">D128-SUM(E128:F128)</f>
        <v>8031645</v>
      </c>
      <c r="H128" s="108">
        <f t="shared" ca="1" si="10"/>
        <v>0.6111309586251068</v>
      </c>
      <c r="I128" s="108">
        <f t="shared" ca="1" si="11"/>
        <v>0.16980144648827469</v>
      </c>
      <c r="J128" s="109">
        <f t="shared" ca="1" si="12"/>
        <v>0.21906759488661851</v>
      </c>
      <c r="K128" s="102"/>
      <c r="L128" s="105"/>
      <c r="M128" s="105"/>
      <c r="N128" s="105"/>
      <c r="O128" s="88"/>
      <c r="P128" s="103"/>
      <c r="Q128" s="104"/>
      <c r="R128" s="102"/>
      <c r="S128" s="102"/>
      <c r="T128" s="102"/>
      <c r="U128" s="105"/>
      <c r="V128" s="105"/>
      <c r="W128" s="105"/>
    </row>
    <row r="129" spans="1:23" x14ac:dyDescent="0.25">
      <c r="A129" s="88">
        <v>2025</v>
      </c>
      <c r="B129" t="s">
        <v>71</v>
      </c>
      <c r="C129" s="98" t="s">
        <v>42</v>
      </c>
      <c r="D129" s="99">
        <v>25221879</v>
      </c>
      <c r="E129" s="133">
        <v>10605342</v>
      </c>
      <c r="F129" s="133">
        <v>7511652</v>
      </c>
      <c r="G129" s="133">
        <f t="shared" ca="1" si="13"/>
        <v>7104885</v>
      </c>
      <c r="H129" s="100">
        <f ca="1">E129/D129</f>
        <v>0.42048183642463749</v>
      </c>
      <c r="I129" s="100">
        <f ca="1">F129/D129</f>
        <v>0.29782285451452684</v>
      </c>
      <c r="J129" s="101">
        <f ca="1">G129/D129</f>
        <v>0.28169530906083562</v>
      </c>
      <c r="K129" s="102"/>
      <c r="L129" s="105"/>
      <c r="M129" s="105"/>
      <c r="N129" s="105"/>
      <c r="O129" s="88"/>
      <c r="P129" s="103"/>
      <c r="Q129" s="104"/>
      <c r="R129" s="102"/>
      <c r="S129" s="102"/>
      <c r="T129" s="102"/>
      <c r="U129" s="105"/>
      <c r="V129" s="105"/>
      <c r="W129" s="105"/>
    </row>
    <row r="130" spans="1:23" x14ac:dyDescent="0.25">
      <c r="A130" s="88">
        <v>2025</v>
      </c>
      <c r="B130" t="s">
        <v>72</v>
      </c>
      <c r="C130" s="106" t="s">
        <v>43</v>
      </c>
      <c r="D130" s="107">
        <v>21936319</v>
      </c>
      <c r="E130" s="136">
        <v>13784302</v>
      </c>
      <c r="F130" s="136">
        <v>3914463</v>
      </c>
      <c r="G130" s="136">
        <f t="shared" ca="1" si="13"/>
        <v>4237554</v>
      </c>
      <c r="H130" s="108">
        <f ca="1">E130/D130</f>
        <v>0.62837807929397815</v>
      </c>
      <c r="I130" s="108">
        <f ca="1">F130/D130</f>
        <v>0.17844666646213525</v>
      </c>
      <c r="J130" s="109">
        <f ca="1">G130/D130</f>
        <v>0.1931752542438866</v>
      </c>
      <c r="K130" s="102"/>
      <c r="L130" s="105"/>
      <c r="M130" s="105"/>
      <c r="N130" s="105"/>
      <c r="O130" s="88"/>
      <c r="P130" s="103"/>
      <c r="Q130" s="104"/>
      <c r="R130" s="102"/>
      <c r="S130" s="102"/>
      <c r="T130" s="102"/>
      <c r="U130" s="105"/>
      <c r="V130" s="105"/>
      <c r="W130" s="105"/>
    </row>
    <row r="131" spans="1:23" x14ac:dyDescent="0.25">
      <c r="A131" s="88">
        <v>2025</v>
      </c>
      <c r="B131" t="s">
        <v>73</v>
      </c>
      <c r="C131" s="98" t="s">
        <v>44</v>
      </c>
      <c r="D131" s="99">
        <v>25313867</v>
      </c>
      <c r="E131" s="133">
        <v>14891911</v>
      </c>
      <c r="F131" s="133">
        <v>5334640</v>
      </c>
      <c r="G131" s="133">
        <f t="shared" ca="1" si="13"/>
        <v>5087316</v>
      </c>
      <c r="H131" s="100">
        <f ca="1">E131/D131</f>
        <v>0.5882906392768833</v>
      </c>
      <c r="I131" s="100">
        <f ca="1">F131/D131</f>
        <v>0.21073982888509291</v>
      </c>
      <c r="J131" s="101">
        <f ca="1">G131/D131</f>
        <v>0.2009695318380238</v>
      </c>
      <c r="K131" s="102"/>
      <c r="L131" s="105"/>
      <c r="M131" s="105"/>
      <c r="N131" s="105"/>
      <c r="O131" s="88"/>
      <c r="P131" s="103"/>
      <c r="Q131" s="104"/>
      <c r="R131" s="102"/>
      <c r="S131" s="102"/>
      <c r="T131" s="102"/>
      <c r="U131" s="105"/>
      <c r="V131" s="105"/>
      <c r="W131" s="105"/>
    </row>
    <row r="132" spans="1:23" x14ac:dyDescent="0.25">
      <c r="A132" s="88">
        <v>2025</v>
      </c>
      <c r="B132" t="s">
        <v>74</v>
      </c>
      <c r="C132" s="106" t="s">
        <v>45</v>
      </c>
      <c r="D132" s="107">
        <v>23038526</v>
      </c>
      <c r="E132" s="136">
        <v>12312141</v>
      </c>
      <c r="F132" s="136">
        <v>4479425</v>
      </c>
      <c r="G132" s="136">
        <f t="shared" ca="1" si="13"/>
        <v>6246960</v>
      </c>
      <c r="H132" s="108">
        <f ca="1">E132/D132</f>
        <v>0.53441530938220616</v>
      </c>
      <c r="I132" s="108">
        <f ca="1">F132/D132</f>
        <v>0.19443192676475918</v>
      </c>
      <c r="J132" s="109">
        <f ca="1">G132/D132</f>
        <v>0.27115276385303472</v>
      </c>
      <c r="K132" s="102"/>
      <c r="L132" s="105"/>
      <c r="M132" s="105"/>
      <c r="N132" s="105"/>
      <c r="O132" s="88"/>
      <c r="P132" s="103"/>
      <c r="Q132" s="104"/>
      <c r="R132" s="102"/>
      <c r="S132" s="102"/>
      <c r="T132" s="102"/>
      <c r="U132" s="105"/>
      <c r="V132" s="105"/>
      <c r="W132" s="105"/>
    </row>
    <row r="133" spans="1:23" x14ac:dyDescent="0.25">
      <c r="A133" s="88">
        <v>2025</v>
      </c>
      <c r="B133" t="s">
        <v>75</v>
      </c>
      <c r="C133" s="98" t="s">
        <v>46</v>
      </c>
      <c r="D133" s="99">
        <v>22459156</v>
      </c>
      <c r="E133" s="133">
        <v>14317907</v>
      </c>
      <c r="F133" s="133">
        <v>3025351</v>
      </c>
      <c r="G133" s="133">
        <f t="shared" ca="1" si="13"/>
        <v>5115898</v>
      </c>
      <c r="H133" s="100">
        <f ca="1">E133/D133</f>
        <v>0.63750868465404487</v>
      </c>
      <c r="I133" s="100">
        <f ca="1">F133/D133</f>
        <v>0.13470457215756459</v>
      </c>
      <c r="J133" s="101">
        <f ca="1">G133/D133</f>
        <v>0.22778674318839051</v>
      </c>
      <c r="K133" s="102"/>
      <c r="L133" s="105"/>
      <c r="M133" s="105"/>
      <c r="N133" s="105"/>
      <c r="O133" s="88"/>
      <c r="P133" s="103"/>
      <c r="Q133" s="104"/>
      <c r="R133" s="102"/>
      <c r="S133" s="102"/>
      <c r="T133" s="102"/>
      <c r="U133" s="105"/>
      <c r="V133" s="105"/>
      <c r="W133" s="105"/>
    </row>
    <row r="134" spans="1:23" x14ac:dyDescent="0.25">
      <c r="A134" s="88">
        <v>2025</v>
      </c>
      <c r="B134" t="s">
        <v>76</v>
      </c>
      <c r="C134" s="106" t="s">
        <v>47</v>
      </c>
      <c r="D134" s="107">
        <v>17651093</v>
      </c>
      <c r="E134" s="136">
        <v>9954851</v>
      </c>
      <c r="F134" s="136">
        <v>3961545</v>
      </c>
      <c r="G134" s="136">
        <f t="shared" ca="1" si="13"/>
        <v>3734697</v>
      </c>
      <c r="H134" s="108">
        <f t="shared" ref="H134:H146" ca="1" si="14">E134/D134</f>
        <v>0.56397929578638561</v>
      </c>
      <c r="I134" s="108">
        <f t="shared" ref="I134:I146" ca="1" si="15">F134/D134</f>
        <v>0.22443624312670044</v>
      </c>
      <c r="J134" s="109">
        <f t="shared" ref="J134:J146" ca="1" si="16">G134/D134</f>
        <v>0.21158446108691401</v>
      </c>
      <c r="K134" s="102"/>
      <c r="L134" s="105"/>
      <c r="M134" s="105"/>
      <c r="N134" s="105"/>
      <c r="O134" s="88"/>
      <c r="P134" s="103"/>
      <c r="Q134" s="104"/>
      <c r="R134" s="102"/>
      <c r="S134" s="102"/>
      <c r="T134" s="102"/>
      <c r="U134" s="105"/>
      <c r="V134" s="105"/>
      <c r="W134" s="105"/>
    </row>
    <row r="135" spans="1:23" x14ac:dyDescent="0.25">
      <c r="A135" s="88">
        <v>2025</v>
      </c>
      <c r="B135" t="s">
        <v>77</v>
      </c>
      <c r="C135" s="98" t="s">
        <v>48</v>
      </c>
      <c r="D135" s="99">
        <v>13769028</v>
      </c>
      <c r="E135" s="133">
        <v>6398041</v>
      </c>
      <c r="F135" s="133">
        <v>3191315</v>
      </c>
      <c r="G135" s="133">
        <f t="shared" ca="1" si="13"/>
        <v>4179672</v>
      </c>
      <c r="H135" s="100">
        <f t="shared" ca="1" si="14"/>
        <v>0.46466903836639739</v>
      </c>
      <c r="I135" s="100">
        <f t="shared" ca="1" si="15"/>
        <v>0.23177489362357315</v>
      </c>
      <c r="J135" s="101">
        <f t="shared" ca="1" si="16"/>
        <v>0.30355606801002949</v>
      </c>
      <c r="K135" s="102"/>
      <c r="L135" s="105"/>
      <c r="M135" s="105"/>
      <c r="N135" s="105"/>
      <c r="O135" s="88"/>
      <c r="P135" s="103"/>
      <c r="Q135" s="104"/>
      <c r="R135" s="102"/>
      <c r="S135" s="102"/>
      <c r="T135" s="102"/>
      <c r="U135" s="105"/>
      <c r="V135" s="105"/>
      <c r="W135" s="105"/>
    </row>
    <row r="136" spans="1:23" x14ac:dyDescent="0.25">
      <c r="A136" s="88">
        <v>2025</v>
      </c>
      <c r="B136" t="s">
        <v>78</v>
      </c>
      <c r="C136" s="106" t="s">
        <v>49</v>
      </c>
      <c r="D136" s="107">
        <v>12923458</v>
      </c>
      <c r="E136" s="136">
        <v>5076259</v>
      </c>
      <c r="F136" s="136">
        <v>4623563</v>
      </c>
      <c r="G136" s="136">
        <f t="shared" ca="1" si="13"/>
        <v>3223636</v>
      </c>
      <c r="H136" s="108">
        <f t="shared" ca="1" si="14"/>
        <v>0.39279417320039267</v>
      </c>
      <c r="I136" s="108">
        <f t="shared" ca="1" si="15"/>
        <v>0.35776515852026602</v>
      </c>
      <c r="J136" s="109">
        <f t="shared" ca="1" si="16"/>
        <v>0.24944066827934133</v>
      </c>
      <c r="K136" s="102"/>
      <c r="L136" s="105"/>
      <c r="M136" s="105"/>
      <c r="N136" s="105"/>
      <c r="O136" s="88"/>
      <c r="P136" s="103"/>
      <c r="Q136" s="104"/>
      <c r="R136" s="102"/>
      <c r="S136" s="102"/>
      <c r="T136" s="102"/>
      <c r="U136" s="105"/>
      <c r="V136" s="105"/>
      <c r="W136" s="105"/>
    </row>
    <row r="137" spans="1:23" x14ac:dyDescent="0.25">
      <c r="A137" s="88">
        <v>2025</v>
      </c>
      <c r="B137" t="s">
        <v>79</v>
      </c>
      <c r="C137" s="98" t="s">
        <v>50</v>
      </c>
      <c r="D137" s="99">
        <v>14103811</v>
      </c>
      <c r="E137" s="133">
        <v>9882131</v>
      </c>
      <c r="F137" s="133">
        <v>1011861</v>
      </c>
      <c r="G137" s="133">
        <f t="shared" ca="1" si="13"/>
        <v>3209819</v>
      </c>
      <c r="H137" s="100">
        <f t="shared" ca="1" si="14"/>
        <v>0.70067097467485917</v>
      </c>
      <c r="I137" s="100">
        <f t="shared" ca="1" si="15"/>
        <v>7.1743800310426736E-2</v>
      </c>
      <c r="J137" s="101">
        <f t="shared" ca="1" si="16"/>
        <v>0.22758522501471412</v>
      </c>
      <c r="K137" s="102"/>
      <c r="L137" s="105"/>
      <c r="M137" s="105"/>
      <c r="N137" s="105"/>
      <c r="O137" s="88"/>
      <c r="P137" s="103"/>
      <c r="Q137" s="104"/>
      <c r="R137" s="102"/>
      <c r="S137" s="102"/>
      <c r="T137" s="102"/>
      <c r="U137" s="105"/>
      <c r="V137" s="105"/>
      <c r="W137" s="105"/>
    </row>
    <row r="138" spans="1:23" x14ac:dyDescent="0.25">
      <c r="A138" s="88">
        <v>2025</v>
      </c>
      <c r="B138" t="s">
        <v>80</v>
      </c>
      <c r="C138" s="106" t="s">
        <v>51</v>
      </c>
      <c r="D138" s="107">
        <v>33380004</v>
      </c>
      <c r="E138" s="136">
        <v>30620076</v>
      </c>
      <c r="F138" s="136">
        <v>566003</v>
      </c>
      <c r="G138" s="136">
        <f t="shared" ca="1" si="13"/>
        <v>2193925</v>
      </c>
      <c r="H138" s="108">
        <f t="shared" ca="1" si="14"/>
        <v>0.91731792482709107</v>
      </c>
      <c r="I138" s="108">
        <f t="shared" ca="1" si="15"/>
        <v>1.6956349076530968E-2</v>
      </c>
      <c r="J138" s="109">
        <f t="shared" ca="1" si="16"/>
        <v>6.5725726096377945E-2</v>
      </c>
      <c r="K138" s="102"/>
      <c r="L138" s="105"/>
      <c r="M138" s="105"/>
      <c r="N138" s="105"/>
      <c r="O138" s="88"/>
      <c r="P138" s="103"/>
      <c r="Q138" s="104"/>
      <c r="R138" s="102"/>
      <c r="S138" s="102"/>
      <c r="T138" s="102"/>
      <c r="U138" s="105"/>
      <c r="V138" s="105"/>
      <c r="W138" s="105"/>
    </row>
    <row r="139" spans="1:23" x14ac:dyDescent="0.25">
      <c r="A139" s="88">
        <v>2025</v>
      </c>
      <c r="B139" t="s">
        <v>81</v>
      </c>
      <c r="C139" s="98" t="s">
        <v>52</v>
      </c>
      <c r="D139" s="99">
        <v>15736798</v>
      </c>
      <c r="E139" s="133">
        <v>10490998</v>
      </c>
      <c r="F139" s="133">
        <v>1859606</v>
      </c>
      <c r="G139" s="133">
        <f t="shared" ca="1" si="13"/>
        <v>3386194</v>
      </c>
      <c r="H139" s="100">
        <f t="shared" ca="1" si="14"/>
        <v>0.66665391523739459</v>
      </c>
      <c r="I139" s="100">
        <f t="shared" ca="1" si="15"/>
        <v>0.11816927433395281</v>
      </c>
      <c r="J139" s="101">
        <f t="shared" ca="1" si="16"/>
        <v>0.21517681042865264</v>
      </c>
      <c r="K139" s="102"/>
      <c r="L139" s="105"/>
      <c r="M139" s="105"/>
      <c r="N139" s="105"/>
      <c r="O139" s="88"/>
      <c r="P139" s="103"/>
      <c r="Q139" s="104"/>
      <c r="R139" s="102"/>
      <c r="S139" s="102"/>
      <c r="T139" s="102"/>
      <c r="U139" s="105"/>
      <c r="V139" s="105"/>
      <c r="W139" s="105"/>
    </row>
    <row r="140" spans="1:23" x14ac:dyDescent="0.25">
      <c r="A140" s="88"/>
      <c r="C140" s="115" t="s">
        <v>40</v>
      </c>
      <c r="D140" s="147">
        <f ca="1">SUM(D128:D139)</f>
        <v>262196801</v>
      </c>
      <c r="E140" s="148">
        <f ca="1">SUM(E128:E139)</f>
        <v>160739769</v>
      </c>
      <c r="F140" s="148">
        <f ca="1">SUM(F128:F139)</f>
        <v>45704831</v>
      </c>
      <c r="G140" s="148">
        <f ca="1">SUM(G128:G139)</f>
        <v>55752201</v>
      </c>
      <c r="H140" s="149">
        <f t="shared" ca="1" si="14"/>
        <v>0.61305007683903812</v>
      </c>
      <c r="I140" s="149">
        <f t="shared" ca="1" si="15"/>
        <v>0.17431498334718432</v>
      </c>
      <c r="J140" s="150">
        <f t="shared" ca="1" si="16"/>
        <v>0.21263493981377751</v>
      </c>
      <c r="K140" s="102"/>
      <c r="L140" s="105"/>
      <c r="M140" s="105"/>
      <c r="N140" s="105"/>
      <c r="O140" s="88"/>
      <c r="P140" s="103"/>
      <c r="Q140" s="104"/>
      <c r="R140" s="102"/>
      <c r="S140" s="102"/>
      <c r="T140" s="102"/>
      <c r="U140" s="105"/>
      <c r="V140" s="105"/>
      <c r="W140" s="105"/>
    </row>
    <row r="141" spans="1:23" x14ac:dyDescent="0.25">
      <c r="A141" s="88">
        <v>2026</v>
      </c>
      <c r="B141" t="s">
        <v>70</v>
      </c>
      <c r="C141" s="106" t="s">
        <v>54</v>
      </c>
      <c r="D141" s="107">
        <v>8790475</v>
      </c>
      <c r="E141" s="136">
        <v>3818155</v>
      </c>
      <c r="F141" s="136">
        <v>2776203</v>
      </c>
      <c r="G141" s="136">
        <f ca="1">D141-SUM(E141:F141)</f>
        <v>2196117</v>
      </c>
      <c r="H141" s="108">
        <f t="shared" ca="1" si="14"/>
        <v>0.43435138601725165</v>
      </c>
      <c r="I141" s="108">
        <f t="shared" ca="1" si="15"/>
        <v>0.3158194523049096</v>
      </c>
      <c r="J141" s="109">
        <f t="shared" ca="1" si="16"/>
        <v>0.24982916167783881</v>
      </c>
      <c r="K141" s="102"/>
      <c r="L141" s="105"/>
      <c r="M141" s="105"/>
      <c r="N141" s="105"/>
      <c r="O141" s="88"/>
      <c r="P141" s="103"/>
      <c r="Q141" s="104"/>
      <c r="R141" s="102"/>
      <c r="S141" s="102"/>
      <c r="T141" s="102"/>
      <c r="U141" s="105"/>
      <c r="V141" s="105"/>
      <c r="W141" s="105"/>
    </row>
    <row r="142" spans="1:23" x14ac:dyDescent="0.25">
      <c r="A142" s="88">
        <v>2026</v>
      </c>
      <c r="B142" t="s">
        <v>71</v>
      </c>
      <c r="C142" s="98" t="s">
        <v>55</v>
      </c>
      <c r="D142" s="99">
        <v>9306776</v>
      </c>
      <c r="E142" s="133">
        <v>7047785</v>
      </c>
      <c r="F142" s="133">
        <v>621195</v>
      </c>
      <c r="G142" s="133">
        <f ca="1">D142-SUM(E142:F142)</f>
        <v>1637796</v>
      </c>
      <c r="H142" s="100">
        <f t="shared" ca="1" si="14"/>
        <v>0.75727459218960469</v>
      </c>
      <c r="I142" s="100">
        <f t="shared" ca="1" si="15"/>
        <v>6.6746529625296661E-2</v>
      </c>
      <c r="J142" s="101">
        <f t="shared" ca="1" si="16"/>
        <v>0.17597887818509869</v>
      </c>
      <c r="K142" s="102"/>
      <c r="L142" s="105"/>
      <c r="M142" s="105"/>
      <c r="N142" s="105"/>
      <c r="O142" s="88"/>
      <c r="P142" s="103"/>
      <c r="Q142" s="104"/>
      <c r="R142" s="102"/>
      <c r="S142" s="102"/>
      <c r="T142" s="102"/>
      <c r="U142" s="105"/>
      <c r="V142" s="105"/>
      <c r="W142" s="105"/>
    </row>
    <row r="143" spans="1:23" x14ac:dyDescent="0.25">
      <c r="A143" s="88">
        <v>2026</v>
      </c>
      <c r="B143" t="s">
        <v>72</v>
      </c>
      <c r="C143" s="106" t="s">
        <v>56</v>
      </c>
      <c r="D143" s="107">
        <v>6820576</v>
      </c>
      <c r="E143" s="136">
        <v>5007949</v>
      </c>
      <c r="F143" s="136">
        <v>1467124</v>
      </c>
      <c r="G143" s="136">
        <f ca="1">D143-SUM(E143:F143)</f>
        <v>345503</v>
      </c>
      <c r="H143" s="108">
        <f t="shared" ca="1" si="14"/>
        <v>0.73424136026048237</v>
      </c>
      <c r="I143" s="108">
        <f t="shared" ca="1" si="15"/>
        <v>0.21510265408669296</v>
      </c>
      <c r="J143" s="109">
        <f t="shared" ca="1" si="16"/>
        <v>5.0655985652824628E-2</v>
      </c>
      <c r="K143" s="102"/>
      <c r="L143" s="105"/>
      <c r="M143" s="105"/>
      <c r="N143" s="105"/>
      <c r="O143" s="88"/>
      <c r="P143" s="103"/>
      <c r="Q143" s="104"/>
      <c r="R143" s="102"/>
      <c r="S143" s="102"/>
      <c r="T143" s="102"/>
      <c r="U143" s="105"/>
      <c r="V143" s="105"/>
      <c r="W143" s="105"/>
    </row>
    <row r="144" spans="1:23" x14ac:dyDescent="0.25">
      <c r="A144" s="88">
        <v>2026</v>
      </c>
      <c r="B144" t="s">
        <v>73</v>
      </c>
      <c r="C144" s="98" t="s">
        <v>57</v>
      </c>
      <c r="D144" s="99">
        <v>4127760</v>
      </c>
      <c r="E144" s="133">
        <v>1637390</v>
      </c>
      <c r="F144" s="133">
        <v>1479352</v>
      </c>
      <c r="G144" s="133">
        <f ca="1">D144-SUM(E144:F144)</f>
        <v>1011018</v>
      </c>
      <c r="H144" s="100">
        <f t="shared" ca="1" si="14"/>
        <v>0.39667761691571213</v>
      </c>
      <c r="I144" s="100">
        <f t="shared" ca="1" si="15"/>
        <v>0.35839099172432504</v>
      </c>
      <c r="J144" s="101">
        <f t="shared" ca="1" si="16"/>
        <v>0.24493139135996278</v>
      </c>
      <c r="K144" s="102"/>
      <c r="L144" s="105"/>
      <c r="M144" s="105"/>
      <c r="N144" s="105"/>
      <c r="O144" s="88"/>
      <c r="P144" s="103"/>
      <c r="Q144" s="104"/>
      <c r="R144" s="102"/>
      <c r="S144" s="102"/>
      <c r="T144" s="102"/>
      <c r="U144" s="105"/>
      <c r="V144" s="105"/>
      <c r="W144" s="105"/>
    </row>
    <row r="145" spans="1:23" x14ac:dyDescent="0.25">
      <c r="A145" s="88">
        <v>2026</v>
      </c>
      <c r="B145" t="s">
        <v>74</v>
      </c>
      <c r="C145" s="106" t="s">
        <v>58</v>
      </c>
      <c r="D145" s="107">
        <v>307454</v>
      </c>
      <c r="E145" s="136">
        <v>1150</v>
      </c>
      <c r="F145" s="136">
        <v>51838</v>
      </c>
      <c r="G145" s="136">
        <f ca="1">D145-SUM(E145:F145)</f>
        <v>254466</v>
      </c>
      <c r="H145" s="108">
        <f ca="1">E145/D145</f>
        <v>3.740396937428038E-3</v>
      </c>
      <c r="I145" s="108">
        <f ca="1">F145/D145</f>
        <v>0.16860408386295186</v>
      </c>
      <c r="J145" s="109">
        <f ca="1">G145/D145</f>
        <v>0.8276555191996201</v>
      </c>
      <c r="K145" s="102"/>
      <c r="L145" s="105"/>
      <c r="M145" s="105"/>
      <c r="N145" s="105"/>
      <c r="O145" s="88"/>
      <c r="P145" s="103"/>
      <c r="Q145" s="104"/>
      <c r="R145" s="102"/>
      <c r="S145" s="102"/>
      <c r="T145" s="102"/>
      <c r="U145" s="105"/>
      <c r="V145" s="105"/>
      <c r="W145" s="105"/>
    </row>
    <row r="146" spans="1:23" ht="15.75" thickBot="1" x14ac:dyDescent="0.3">
      <c r="C146" s="124" t="s">
        <v>59</v>
      </c>
      <c r="D146" s="125">
        <f ca="1">D127+D140+D141+D142+D143+D144+D145</f>
        <v>794886308</v>
      </c>
      <c r="E146" s="125">
        <f ca="1">E127+E140+E141+E142+E143+E144+E145</f>
        <v>410077423</v>
      </c>
      <c r="F146" s="125">
        <f ca="1">F127+F140+F141+F142+F143+F144+F145</f>
        <v>141121560</v>
      </c>
      <c r="G146" s="125">
        <f ca="1">G127+G140+G141+G142+G143+G144+G145</f>
        <v>243687325</v>
      </c>
      <c r="H146" s="126">
        <f t="shared" ca="1" si="14"/>
        <v>0.515894435308351</v>
      </c>
      <c r="I146" s="126">
        <f t="shared" ca="1" si="15"/>
        <v>0.17753678554996571</v>
      </c>
      <c r="J146" s="127">
        <f t="shared" ca="1" si="16"/>
        <v>0.30656877914168323</v>
      </c>
      <c r="K146" s="102"/>
      <c r="L146" s="120"/>
      <c r="M146" s="120"/>
      <c r="N146" s="120"/>
      <c r="O146" s="88"/>
      <c r="P146" s="129"/>
      <c r="Q146" s="130"/>
      <c r="R146" s="119"/>
      <c r="S146" s="119"/>
      <c r="T146" s="119"/>
      <c r="U146" s="120"/>
      <c r="V146" s="120"/>
      <c r="W146" s="120"/>
    </row>
    <row r="147" spans="1:23" x14ac:dyDescent="0.25">
      <c r="C147" s="88"/>
      <c r="D147" s="88"/>
      <c r="E147" s="88"/>
      <c r="F147" s="88"/>
      <c r="G147" s="88"/>
      <c r="H147" s="88"/>
      <c r="I147" s="88"/>
      <c r="J147" s="88"/>
      <c r="K147" s="102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</row>
    <row r="148" spans="1:23" x14ac:dyDescent="0.25">
      <c r="C148" s="88"/>
      <c r="D148" s="88"/>
      <c r="E148" s="88"/>
      <c r="F148" s="88"/>
      <c r="G148" s="88"/>
      <c r="H148" s="88"/>
      <c r="I148" s="88"/>
      <c r="J148" s="88"/>
      <c r="K148" s="102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</row>
    <row r="166" spans="3:23" x14ac:dyDescent="0.25">
      <c r="C166" s="88"/>
      <c r="D166" s="123"/>
      <c r="E166" s="132"/>
      <c r="F166" s="132"/>
      <c r="G166" s="132"/>
      <c r="H166" s="123"/>
      <c r="I166" s="123"/>
      <c r="J166" s="88"/>
      <c r="K166" s="102"/>
      <c r="L166" s="88"/>
      <c r="M166" s="88"/>
      <c r="N166" s="88"/>
      <c r="O166" s="123"/>
      <c r="P166" s="88"/>
      <c r="Q166" s="123"/>
      <c r="R166" s="132"/>
      <c r="S166" s="132"/>
      <c r="T166" s="132"/>
      <c r="U166" s="123"/>
      <c r="V166" s="123"/>
      <c r="W166" s="88"/>
    </row>
    <row r="167" spans="3:23" ht="25.15" customHeight="1" x14ac:dyDescent="0.25">
      <c r="C167" s="88"/>
      <c r="D167" s="88"/>
      <c r="E167" s="88"/>
      <c r="F167" s="88"/>
      <c r="G167" s="88"/>
      <c r="H167" s="88"/>
      <c r="I167" s="88"/>
      <c r="J167" s="88"/>
      <c r="K167" s="102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</row>
  </sheetData>
  <mergeCells count="20">
    <mergeCell ref="V39:W39"/>
    <mergeCell ref="C42:N42"/>
    <mergeCell ref="P42:U42"/>
    <mergeCell ref="V42:W42"/>
    <mergeCell ref="C77:J77"/>
    <mergeCell ref="C113:J113"/>
    <mergeCell ref="P113:U113"/>
    <mergeCell ref="V113:W113"/>
    <mergeCell ref="V29:W29"/>
    <mergeCell ref="V31:W31"/>
    <mergeCell ref="V33:W33"/>
    <mergeCell ref="V36:W36"/>
    <mergeCell ref="V37:W37"/>
    <mergeCell ref="V38:W38"/>
    <mergeCell ref="C7:H7"/>
    <mergeCell ref="P7:U7"/>
    <mergeCell ref="V17:W17"/>
    <mergeCell ref="V23:W23"/>
    <mergeCell ref="V25:W25"/>
    <mergeCell ref="V27:W27"/>
  </mergeCells>
  <printOptions horizontalCentered="1"/>
  <pageMargins left="0.70866141732283472" right="0.70866141732283472" top="1.9685039370078741" bottom="0.74803149606299213" header="0.31496062992125984" footer="0.31496062992125984"/>
  <pageSetup paperSize="8" scale="32" orientation="landscape" r:id="rId1"/>
  <headerFooter>
    <oddHeader>&amp;LSOBHA LLC&amp;CDues summary&amp;R&amp;D</oddHeader>
    <oddFooter>&amp;L&amp;"Aptos Narrow,Regular"COLLECTIONS&amp;R&amp;P/&amp;N</oddFooter>
  </headerFooter>
  <colBreaks count="2" manualBreakCount="2">
    <brk id="20" max="1048575" man="1"/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C664-2DC5-4FE0-A946-0C7ED95A51C6}">
  <sheetPr>
    <tabColor rgb="FFFF0000"/>
    <pageSetUpPr fitToPage="1"/>
  </sheetPr>
  <dimension ref="A1:Z167"/>
  <sheetViews>
    <sheetView zoomScale="70" zoomScaleNormal="70" zoomScaleSheetLayoutView="90" workbookViewId="0">
      <selection activeCell="B6" sqref="B6:I6"/>
    </sheetView>
  </sheetViews>
  <sheetFormatPr defaultColWidth="23.28515625" defaultRowHeight="15" x14ac:dyDescent="0.25"/>
  <cols>
    <col min="1" max="1" width="11.5703125" customWidth="1"/>
    <col min="2" max="2" width="6.7109375" customWidth="1"/>
  </cols>
  <sheetData>
    <row r="1" spans="1:26" ht="19.5" thickBot="1" x14ac:dyDescent="0.35">
      <c r="C1" s="1" t="s">
        <v>67</v>
      </c>
      <c r="K1" s="51" t="str">
        <f ca="1">IF(AND(D40=D41,D75=D40,D110=D111,F40=D146),"Ok")</f>
        <v>Ok</v>
      </c>
      <c r="P1" s="88"/>
    </row>
    <row r="2" spans="1:26" ht="18.75" x14ac:dyDescent="0.3">
      <c r="C2" s="1" t="s">
        <v>278</v>
      </c>
      <c r="P2" s="88"/>
    </row>
    <row r="3" spans="1:26" ht="18.75" x14ac:dyDescent="0.3">
      <c r="C3" s="1" t="s">
        <v>279</v>
      </c>
      <c r="P3" s="88"/>
    </row>
    <row r="4" spans="1:26" ht="18.75" x14ac:dyDescent="0.3">
      <c r="C4" s="1" t="s">
        <v>280</v>
      </c>
      <c r="P4" s="88"/>
    </row>
    <row r="5" spans="1:26" ht="18.75" x14ac:dyDescent="0.3">
      <c r="C5" s="1" t="s">
        <v>281</v>
      </c>
      <c r="P5" s="88"/>
    </row>
    <row r="6" spans="1:26" ht="19.5" thickBot="1" x14ac:dyDescent="0.35">
      <c r="C6" s="1"/>
      <c r="P6" s="88"/>
    </row>
    <row r="7" spans="1:26" ht="24" thickBot="1" x14ac:dyDescent="0.4">
      <c r="C7" s="89" t="str">
        <f ca="1">_xlfn.CONCAT("Dues collected - booking amount vs non booking amount")</f>
        <v>Dues collected - booking amount vs non booking amount</v>
      </c>
      <c r="D7" s="90"/>
      <c r="E7" s="90"/>
      <c r="F7" s="90"/>
      <c r="G7" s="90"/>
      <c r="H7" s="91"/>
      <c r="I7" s="88"/>
      <c r="J7" s="88"/>
      <c r="K7" s="88"/>
      <c r="L7" s="88"/>
      <c r="M7" s="88"/>
      <c r="N7" s="88"/>
      <c r="O7" s="88"/>
      <c r="P7" s="92"/>
      <c r="Q7" s="92"/>
      <c r="R7" s="92"/>
      <c r="S7" s="92"/>
      <c r="T7" s="92"/>
      <c r="U7" s="92"/>
      <c r="V7" s="88"/>
      <c r="W7" s="88"/>
    </row>
    <row r="8" spans="1:26" s="93" customFormat="1" ht="73.150000000000006" customHeight="1" x14ac:dyDescent="0.25">
      <c r="C8" s="94" t="s">
        <v>282</v>
      </c>
      <c r="D8" s="95" t="s">
        <v>283</v>
      </c>
      <c r="E8" s="95" t="s">
        <v>284</v>
      </c>
      <c r="F8" s="95" t="s">
        <v>285</v>
      </c>
      <c r="G8" s="95" t="s">
        <v>286</v>
      </c>
      <c r="H8" s="96" t="s">
        <v>287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x14ac:dyDescent="0.25">
      <c r="A9" s="88">
        <v>2024</v>
      </c>
      <c r="B9" t="s">
        <v>70</v>
      </c>
      <c r="C9" s="98" t="s">
        <v>26</v>
      </c>
      <c r="D9" s="99">
        <v>393488606.06000024</v>
      </c>
      <c r="E9" s="99">
        <f ca="1">D9-F9</f>
        <v>345606367.06000024</v>
      </c>
      <c r="F9" s="99">
        <v>47882239</v>
      </c>
      <c r="G9" s="100">
        <f ca="1">'Dues summary SOBHA'!$E9/'Dues summary SOBHA'!$D9</f>
        <v>0.878313531160547</v>
      </c>
      <c r="H9" s="101">
        <f ca="1">F9/'Dues summary SOBHA'!$D9</f>
        <v>0.12168646883945296</v>
      </c>
      <c r="I9" s="102"/>
      <c r="J9" s="102"/>
      <c r="K9" s="102"/>
      <c r="L9" s="102"/>
      <c r="M9" s="102"/>
      <c r="N9" s="102"/>
      <c r="O9" s="102"/>
      <c r="P9" s="103"/>
      <c r="Q9" s="104"/>
      <c r="R9" s="104"/>
      <c r="S9" s="104"/>
      <c r="T9" s="105"/>
      <c r="U9" s="105"/>
      <c r="V9" s="102"/>
      <c r="W9" s="102"/>
      <c r="X9" s="105"/>
      <c r="Y9" s="105"/>
      <c r="Z9" s="105"/>
    </row>
    <row r="10" spans="1:26" x14ac:dyDescent="0.25">
      <c r="A10" s="88">
        <v>2024</v>
      </c>
      <c r="B10" t="s">
        <v>71</v>
      </c>
      <c r="C10" s="106" t="s">
        <v>28</v>
      </c>
      <c r="D10" s="107">
        <v>422731739.89999998</v>
      </c>
      <c r="E10" s="107">
        <f t="shared" ref="E10:E33" ca="1" si="0">D10-F10</f>
        <v>382804339.89999998</v>
      </c>
      <c r="F10" s="107">
        <v>39927400</v>
      </c>
      <c r="G10" s="108">
        <f ca="1">'Dues summary SOBHA'!$E10/'Dues summary SOBHA'!$D10</f>
        <v>0.90554908413206658</v>
      </c>
      <c r="H10" s="109">
        <f ca="1">F10/'Dues summary SOBHA'!$D10</f>
        <v>9.4450915867933388E-2</v>
      </c>
      <c r="I10" s="102"/>
      <c r="J10" s="102"/>
      <c r="K10" s="102"/>
      <c r="L10" s="102"/>
      <c r="M10" s="102"/>
      <c r="N10" s="102"/>
      <c r="O10" s="102"/>
      <c r="P10" s="103"/>
      <c r="Q10" s="104"/>
      <c r="R10" s="104"/>
      <c r="S10" s="104"/>
      <c r="T10" s="105"/>
      <c r="U10" s="105"/>
      <c r="V10" s="102"/>
      <c r="W10" s="102"/>
      <c r="X10" s="105"/>
      <c r="Y10" s="105"/>
      <c r="Z10" s="105"/>
    </row>
    <row r="11" spans="1:26" x14ac:dyDescent="0.25">
      <c r="A11" s="88">
        <v>2024</v>
      </c>
      <c r="B11" t="s">
        <v>72</v>
      </c>
      <c r="C11" s="98" t="s">
        <v>29</v>
      </c>
      <c r="D11" s="99">
        <v>400133608.58999997</v>
      </c>
      <c r="E11" s="99">
        <f t="shared" ca="1" si="0"/>
        <v>362068989.58999997</v>
      </c>
      <c r="F11" s="99">
        <v>38064619</v>
      </c>
      <c r="G11" s="100">
        <f ca="1">'Dues summary SOBHA'!$E11/'Dues summary SOBHA'!$D11</f>
        <v>0.90487022788679761</v>
      </c>
      <c r="H11" s="101">
        <f ca="1">F11/'Dues summary SOBHA'!$D11</f>
        <v>9.5129772113202338E-2</v>
      </c>
      <c r="I11" s="102"/>
      <c r="J11" s="102"/>
      <c r="K11" s="102"/>
      <c r="L11" s="102"/>
      <c r="M11" s="102"/>
      <c r="N11" s="102"/>
      <c r="O11" s="102"/>
      <c r="P11" s="103"/>
      <c r="Q11" s="104"/>
      <c r="R11" s="104"/>
      <c r="S11" s="104"/>
      <c r="T11" s="105"/>
      <c r="U11" s="105"/>
      <c r="V11" s="102"/>
      <c r="W11" s="102"/>
      <c r="X11" s="105"/>
      <c r="Y11" s="105"/>
      <c r="Z11" s="105"/>
    </row>
    <row r="12" spans="1:26" x14ac:dyDescent="0.25">
      <c r="A12" s="88">
        <v>2024</v>
      </c>
      <c r="B12" t="s">
        <v>73</v>
      </c>
      <c r="C12" s="106" t="s">
        <v>30</v>
      </c>
      <c r="D12" s="107">
        <v>405586207.61000055</v>
      </c>
      <c r="E12" s="107">
        <f t="shared" ca="1" si="0"/>
        <v>355920488.61000055</v>
      </c>
      <c r="F12" s="107">
        <v>49665719</v>
      </c>
      <c r="G12" s="108">
        <f ca="1">'Dues summary SOBHA'!$E12/'Dues summary SOBHA'!$D12</f>
        <v>0.87754583842319156</v>
      </c>
      <c r="H12" s="109">
        <f ca="1">F12/'Dues summary SOBHA'!$D12</f>
        <v>0.12245416157680848</v>
      </c>
      <c r="I12" s="102"/>
      <c r="J12" s="102"/>
      <c r="K12" s="102"/>
      <c r="L12" s="102"/>
      <c r="M12" s="102"/>
      <c r="N12" s="102"/>
      <c r="O12" s="102"/>
      <c r="P12" s="103"/>
      <c r="Q12" s="104"/>
      <c r="R12" s="104"/>
      <c r="S12" s="104"/>
      <c r="T12" s="105"/>
      <c r="U12" s="105"/>
      <c r="V12" s="102"/>
      <c r="W12" s="102"/>
      <c r="X12" s="105"/>
      <c r="Y12" s="105"/>
      <c r="Z12" s="105"/>
    </row>
    <row r="13" spans="1:26" x14ac:dyDescent="0.25">
      <c r="A13" s="88">
        <v>2024</v>
      </c>
      <c r="B13" t="s">
        <v>74</v>
      </c>
      <c r="C13" s="98" t="s">
        <v>31</v>
      </c>
      <c r="D13" s="99">
        <v>460034554.73000038</v>
      </c>
      <c r="E13" s="99">
        <f t="shared" ca="1" si="0"/>
        <v>388671337.73000038</v>
      </c>
      <c r="F13" s="99">
        <v>71363217</v>
      </c>
      <c r="G13" s="100">
        <f ca="1">'Dues summary SOBHA'!$E13/'Dues summary SOBHA'!$D13</f>
        <v>0.8448742246288784</v>
      </c>
      <c r="H13" s="101">
        <f ca="1">F13/'Dues summary SOBHA'!$D13</f>
        <v>0.15512577537112163</v>
      </c>
      <c r="I13" s="102"/>
      <c r="J13" s="102"/>
      <c r="K13" s="102"/>
      <c r="L13" s="102"/>
      <c r="M13" s="102"/>
      <c r="N13" s="102"/>
      <c r="O13" s="102"/>
      <c r="P13" s="103"/>
      <c r="Q13" s="104"/>
      <c r="R13" s="104"/>
      <c r="S13" s="104"/>
      <c r="T13" s="105"/>
      <c r="U13" s="105"/>
      <c r="V13" s="102"/>
      <c r="W13" s="102"/>
      <c r="X13" s="105"/>
      <c r="Y13" s="105"/>
      <c r="Z13" s="105"/>
    </row>
    <row r="14" spans="1:26" x14ac:dyDescent="0.25">
      <c r="A14" s="88">
        <v>2024</v>
      </c>
      <c r="B14" t="s">
        <v>75</v>
      </c>
      <c r="C14" s="106" t="s">
        <v>33</v>
      </c>
      <c r="D14" s="107">
        <v>422516860.17999989</v>
      </c>
      <c r="E14" s="107">
        <f t="shared" ca="1" si="0"/>
        <v>381273928.17999989</v>
      </c>
      <c r="F14" s="107">
        <v>41242932</v>
      </c>
      <c r="G14" s="108">
        <f ca="1">'Dues summary SOBHA'!$E14/'Dues summary SOBHA'!$D14</f>
        <v>0.90238748820004544</v>
      </c>
      <c r="H14" s="109">
        <f ca="1">F14/'Dues summary SOBHA'!$D14</f>
        <v>9.7612511799954588E-2</v>
      </c>
      <c r="I14" s="102"/>
      <c r="J14" s="102"/>
      <c r="K14" s="102"/>
      <c r="L14" s="102"/>
      <c r="M14" s="102"/>
      <c r="N14" s="102"/>
      <c r="O14" s="102"/>
      <c r="P14" s="103"/>
      <c r="Q14" s="104"/>
      <c r="R14" s="104"/>
      <c r="S14" s="104"/>
      <c r="T14" s="105"/>
      <c r="U14" s="105"/>
      <c r="V14" s="102"/>
      <c r="W14" s="102"/>
      <c r="X14" s="105"/>
      <c r="Y14" s="105"/>
      <c r="Z14" s="105"/>
    </row>
    <row r="15" spans="1:26" x14ac:dyDescent="0.25">
      <c r="A15" s="88">
        <v>2024</v>
      </c>
      <c r="B15" t="s">
        <v>76</v>
      </c>
      <c r="C15" s="98" t="s">
        <v>34</v>
      </c>
      <c r="D15" s="99">
        <v>464860460.95000035</v>
      </c>
      <c r="E15" s="99">
        <f t="shared" ca="1" si="0"/>
        <v>416756751.95000035</v>
      </c>
      <c r="F15" s="99">
        <v>48103709</v>
      </c>
      <c r="G15" s="100">
        <f ca="1">'Dues summary SOBHA'!$E15/'Dues summary SOBHA'!$D15</f>
        <v>0.89652011078401017</v>
      </c>
      <c r="H15" s="101">
        <f ca="1">F15/'Dues summary SOBHA'!$D15</f>
        <v>0.10347988921598983</v>
      </c>
      <c r="I15" s="102"/>
      <c r="J15" s="102"/>
      <c r="K15" s="102"/>
      <c r="L15" s="102"/>
      <c r="M15" s="102"/>
      <c r="N15" s="102"/>
      <c r="O15" s="102"/>
      <c r="P15" s="103"/>
      <c r="Q15" s="104"/>
      <c r="R15" s="104"/>
      <c r="S15" s="104"/>
      <c r="T15" s="105"/>
      <c r="U15" s="105"/>
      <c r="V15" s="102"/>
      <c r="W15" s="102"/>
      <c r="X15" s="105"/>
      <c r="Y15" s="105"/>
      <c r="Z15" s="105"/>
    </row>
    <row r="16" spans="1:26" x14ac:dyDescent="0.25">
      <c r="A16" s="88">
        <v>2024</v>
      </c>
      <c r="B16" t="s">
        <v>77</v>
      </c>
      <c r="C16" s="106" t="s">
        <v>35</v>
      </c>
      <c r="D16" s="107">
        <v>439474883.38999945</v>
      </c>
      <c r="E16" s="107">
        <f t="shared" ca="1" si="0"/>
        <v>402405065.38999945</v>
      </c>
      <c r="F16" s="107">
        <v>37069818</v>
      </c>
      <c r="G16" s="108">
        <f ca="1">'Dues summary SOBHA'!$E16/'Dues summary SOBHA'!$D16</f>
        <v>0.91564974609230754</v>
      </c>
      <c r="H16" s="109">
        <f ca="1">F16/'Dues summary SOBHA'!$D16</f>
        <v>8.4350253907692491E-2</v>
      </c>
      <c r="I16" s="102"/>
      <c r="J16" s="102"/>
      <c r="K16" s="102"/>
      <c r="L16" s="102"/>
      <c r="M16" s="102"/>
      <c r="N16" s="102"/>
      <c r="O16" s="102"/>
      <c r="P16" s="103"/>
      <c r="Q16" s="104"/>
      <c r="R16" s="104"/>
      <c r="S16" s="104"/>
      <c r="T16" s="105"/>
      <c r="U16" s="105"/>
      <c r="V16" s="102"/>
      <c r="W16" s="102"/>
      <c r="X16" s="105"/>
      <c r="Y16" s="105"/>
      <c r="Z16" s="105"/>
    </row>
    <row r="17" spans="1:26" x14ac:dyDescent="0.25">
      <c r="A17" s="88">
        <v>2024</v>
      </c>
      <c r="B17" t="s">
        <v>78</v>
      </c>
      <c r="C17" s="98" t="s">
        <v>36</v>
      </c>
      <c r="D17" s="99">
        <v>464906236.68000031</v>
      </c>
      <c r="E17" s="99">
        <f t="shared" ca="1" si="0"/>
        <v>427660576.68000031</v>
      </c>
      <c r="F17" s="99">
        <v>37245660</v>
      </c>
      <c r="G17" s="100">
        <f ca="1">'Dues summary SOBHA'!$E17/'Dues summary SOBHA'!$D17</f>
        <v>0.91988565207044837</v>
      </c>
      <c r="H17" s="101">
        <f ca="1">F17/'Dues summary SOBHA'!$D17</f>
        <v>8.0114347929551577E-2</v>
      </c>
      <c r="I17" s="102"/>
      <c r="J17" s="102"/>
      <c r="K17" s="102"/>
      <c r="L17" s="102"/>
      <c r="M17" s="102"/>
      <c r="N17" s="102"/>
      <c r="O17" s="102"/>
      <c r="P17" s="103"/>
      <c r="Q17" s="104"/>
      <c r="R17" s="104"/>
      <c r="S17" s="104"/>
      <c r="T17" s="105"/>
      <c r="U17" s="105"/>
      <c r="V17" s="110"/>
      <c r="W17" s="110"/>
      <c r="X17" s="105"/>
      <c r="Y17" s="105"/>
      <c r="Z17" s="105"/>
    </row>
    <row r="18" spans="1:26" x14ac:dyDescent="0.25">
      <c r="A18" s="88">
        <v>2024</v>
      </c>
      <c r="B18" t="s">
        <v>79</v>
      </c>
      <c r="C18" s="106" t="s">
        <v>37</v>
      </c>
      <c r="D18" s="107">
        <v>542814847.00000036</v>
      </c>
      <c r="E18" s="107">
        <f t="shared" ca="1" si="0"/>
        <v>512569811.00000036</v>
      </c>
      <c r="F18" s="107">
        <v>30245036</v>
      </c>
      <c r="G18" s="108">
        <f ca="1">'Dues summary SOBHA'!$E18/'Dues summary SOBHA'!$D18</f>
        <v>0.94428111875134468</v>
      </c>
      <c r="H18" s="109">
        <f ca="1">F18/'Dues summary SOBHA'!$D18</f>
        <v>5.5718881248655275E-2</v>
      </c>
      <c r="I18" s="102"/>
      <c r="J18" s="102"/>
      <c r="K18" s="102"/>
      <c r="L18" s="102"/>
      <c r="M18" s="102"/>
      <c r="N18" s="102"/>
      <c r="O18" s="102"/>
      <c r="P18" s="103"/>
      <c r="Q18" s="104"/>
      <c r="R18" s="104"/>
      <c r="S18" s="104"/>
      <c r="T18" s="105"/>
      <c r="U18" s="105"/>
      <c r="V18" s="102"/>
      <c r="W18" s="102"/>
      <c r="X18" s="105"/>
      <c r="Y18" s="105"/>
      <c r="Z18" s="105"/>
    </row>
    <row r="19" spans="1:26" x14ac:dyDescent="0.25">
      <c r="A19" s="88">
        <v>2024</v>
      </c>
      <c r="B19" t="s">
        <v>80</v>
      </c>
      <c r="C19" s="98" t="s">
        <v>38</v>
      </c>
      <c r="D19" s="99">
        <v>520302545.01000023</v>
      </c>
      <c r="E19" s="99">
        <f t="shared" ca="1" si="0"/>
        <v>500357267.01000023</v>
      </c>
      <c r="F19" s="99">
        <v>19945278</v>
      </c>
      <c r="G19" s="100">
        <f ca="1">'Dues summary SOBHA'!$E19/'Dues summary SOBHA'!$D19</f>
        <v>0.96166599953952436</v>
      </c>
      <c r="H19" s="101">
        <f ca="1">F19/'Dues summary SOBHA'!$D19</f>
        <v>3.8334000460475651E-2</v>
      </c>
      <c r="I19" s="102"/>
      <c r="J19" s="102"/>
      <c r="K19" s="102"/>
      <c r="L19" s="102"/>
      <c r="M19" s="102"/>
      <c r="N19" s="102"/>
      <c r="O19" s="102"/>
      <c r="P19" s="103"/>
      <c r="Q19" s="104"/>
      <c r="R19" s="104"/>
      <c r="S19" s="104"/>
      <c r="T19" s="105"/>
      <c r="U19" s="105"/>
      <c r="V19" s="102"/>
      <c r="W19" s="102"/>
      <c r="X19" s="105"/>
      <c r="Y19" s="105"/>
      <c r="Z19" s="105"/>
    </row>
    <row r="20" spans="1:26" x14ac:dyDescent="0.25">
      <c r="A20" s="88">
        <v>2024</v>
      </c>
      <c r="B20" t="s">
        <v>81</v>
      </c>
      <c r="C20" s="106" t="s">
        <v>39</v>
      </c>
      <c r="D20" s="107">
        <v>499501269.77000016</v>
      </c>
      <c r="E20" s="107">
        <f t="shared" ca="1" si="0"/>
        <v>482236502.77000016</v>
      </c>
      <c r="F20" s="107">
        <v>17264767</v>
      </c>
      <c r="G20" s="108">
        <f ca="1">'Dues summary SOBHA'!$E20/'Dues summary SOBHA'!$D20</f>
        <v>0.96543598976645306</v>
      </c>
      <c r="H20" s="109">
        <f ca="1">F20/'Dues summary SOBHA'!$D20</f>
        <v>3.4564010233546986E-2</v>
      </c>
      <c r="I20" s="102"/>
      <c r="J20" s="102"/>
      <c r="K20" s="102"/>
      <c r="L20" s="102"/>
      <c r="M20" s="102"/>
      <c r="N20" s="102"/>
      <c r="O20" s="102"/>
      <c r="P20" s="103"/>
      <c r="Q20" s="104"/>
      <c r="R20" s="104"/>
      <c r="S20" s="104"/>
      <c r="T20" s="105"/>
      <c r="U20" s="105"/>
      <c r="V20" s="102"/>
      <c r="W20" s="102"/>
      <c r="X20" s="105"/>
      <c r="Y20" s="105"/>
      <c r="Z20" s="105"/>
    </row>
    <row r="21" spans="1:26" x14ac:dyDescent="0.25">
      <c r="A21" s="88"/>
      <c r="C21" s="111" t="s">
        <v>24</v>
      </c>
      <c r="D21" s="112">
        <f ca="1">SUM(D9:D20)</f>
        <v>5436351819.8700018</v>
      </c>
      <c r="E21" s="112">
        <f ca="1">SUM(E9:E20)</f>
        <v>4958331425.8700027</v>
      </c>
      <c r="F21" s="112">
        <f ca="1">SUM(F9:F20)</f>
        <v>478020394</v>
      </c>
      <c r="G21" s="113">
        <f ca="1">'Dues summary SOBHA'!$E21/'Dues summary SOBHA'!$D21</f>
        <v>0.91206963606497604</v>
      </c>
      <c r="H21" s="114">
        <f ca="1">F21/'Dues summary SOBHA'!$D21</f>
        <v>8.7930363935024125E-2</v>
      </c>
      <c r="I21" s="102"/>
      <c r="J21" s="102"/>
      <c r="K21" s="102"/>
      <c r="L21" s="102"/>
      <c r="M21" s="102"/>
      <c r="N21" s="102"/>
      <c r="O21" s="102"/>
      <c r="P21" s="103"/>
      <c r="Q21" s="104"/>
      <c r="R21" s="104"/>
      <c r="S21" s="104"/>
      <c r="T21" s="105"/>
      <c r="U21" s="105"/>
      <c r="V21" s="102"/>
      <c r="W21" s="102"/>
      <c r="X21" s="105"/>
      <c r="Y21" s="105"/>
      <c r="Z21" s="105"/>
    </row>
    <row r="22" spans="1:26" x14ac:dyDescent="0.25">
      <c r="A22" s="88">
        <v>2025</v>
      </c>
      <c r="B22" t="s">
        <v>70</v>
      </c>
      <c r="C22" s="106" t="s">
        <v>41</v>
      </c>
      <c r="D22" s="107">
        <v>540091274.25999975</v>
      </c>
      <c r="E22" s="107">
        <f t="shared" ca="1" si="0"/>
        <v>518468461.25999975</v>
      </c>
      <c r="F22" s="107">
        <v>21622813</v>
      </c>
      <c r="G22" s="108">
        <f ca="1">'Dues summary SOBHA'!$E22/'Dues summary SOBHA'!$D22</f>
        <v>0.95996452075692895</v>
      </c>
      <c r="H22" s="109">
        <f ca="1">F22/'Dues summary SOBHA'!$D22</f>
        <v>4.0035479243071027E-2</v>
      </c>
      <c r="I22" s="102"/>
      <c r="J22" s="102"/>
      <c r="K22" s="102"/>
      <c r="L22" s="102"/>
      <c r="M22" s="102"/>
      <c r="N22" s="102"/>
      <c r="O22" s="102"/>
      <c r="P22" s="103"/>
      <c r="Q22" s="104"/>
      <c r="R22" s="104"/>
      <c r="S22" s="104"/>
      <c r="T22" s="105"/>
      <c r="U22" s="105"/>
      <c r="V22" s="102"/>
      <c r="W22" s="102"/>
      <c r="X22" s="105"/>
      <c r="Y22" s="105"/>
      <c r="Z22" s="105"/>
    </row>
    <row r="23" spans="1:26" x14ac:dyDescent="0.25">
      <c r="A23" s="88">
        <v>2025</v>
      </c>
      <c r="B23" t="s">
        <v>71</v>
      </c>
      <c r="C23" s="98" t="s">
        <v>42</v>
      </c>
      <c r="D23" s="99">
        <v>579274935.01000023</v>
      </c>
      <c r="E23" s="99">
        <f t="shared" ca="1" si="0"/>
        <v>562862714.01000023</v>
      </c>
      <c r="F23" s="99">
        <v>16412221</v>
      </c>
      <c r="G23" s="100">
        <f ca="1">'Dues summary SOBHA'!$E23/'Dues summary SOBHA'!$D23</f>
        <v>0.9716676486274749</v>
      </c>
      <c r="H23" s="101">
        <f ca="1">F23/'Dues summary SOBHA'!$D23</f>
        <v>2.8332351372525155E-2</v>
      </c>
      <c r="I23" s="102"/>
      <c r="J23" s="102"/>
      <c r="K23" s="102"/>
      <c r="L23" s="102"/>
      <c r="M23" s="102"/>
      <c r="N23" s="102"/>
      <c r="O23" s="102"/>
      <c r="P23" s="103"/>
      <c r="Q23" s="104"/>
      <c r="R23" s="104"/>
      <c r="S23" s="104"/>
      <c r="T23" s="105"/>
      <c r="U23" s="105"/>
      <c r="V23" s="110"/>
      <c r="W23" s="110"/>
      <c r="X23" s="105"/>
      <c r="Y23" s="105"/>
      <c r="Z23" s="105"/>
    </row>
    <row r="24" spans="1:26" x14ac:dyDescent="0.25">
      <c r="A24" s="88">
        <v>2025</v>
      </c>
      <c r="B24" t="s">
        <v>72</v>
      </c>
      <c r="C24" s="106" t="s">
        <v>43</v>
      </c>
      <c r="D24" s="107">
        <v>602322317.54999995</v>
      </c>
      <c r="E24" s="107">
        <f t="shared" ca="1" si="0"/>
        <v>587826926.54999995</v>
      </c>
      <c r="F24" s="107">
        <v>14495391</v>
      </c>
      <c r="G24" s="108">
        <f ca="1">'Dues summary SOBHA'!$E24/'Dues summary SOBHA'!$D24</f>
        <v>0.97593416252786169</v>
      </c>
      <c r="H24" s="109">
        <f ca="1">F24/'Dues summary SOBHA'!$D24</f>
        <v>2.4065837472138345E-2</v>
      </c>
      <c r="I24" s="102"/>
      <c r="J24" s="102"/>
      <c r="K24" s="102"/>
      <c r="L24" s="102"/>
      <c r="M24" s="102"/>
      <c r="N24" s="102"/>
      <c r="O24" s="102"/>
      <c r="P24" s="103"/>
      <c r="Q24" s="104"/>
      <c r="R24" s="104"/>
      <c r="S24" s="104"/>
      <c r="T24" s="105"/>
      <c r="U24" s="105"/>
      <c r="V24" s="102"/>
      <c r="W24" s="102"/>
      <c r="X24" s="105"/>
      <c r="Y24" s="105"/>
      <c r="Z24" s="105"/>
    </row>
    <row r="25" spans="1:26" x14ac:dyDescent="0.25">
      <c r="A25" s="88">
        <v>2025</v>
      </c>
      <c r="B25" t="s">
        <v>73</v>
      </c>
      <c r="C25" s="98" t="s">
        <v>44</v>
      </c>
      <c r="D25" s="99">
        <v>782621168.75</v>
      </c>
      <c r="E25" s="99">
        <f t="shared" ca="1" si="0"/>
        <v>762748091.75</v>
      </c>
      <c r="F25" s="99">
        <v>19873077</v>
      </c>
      <c r="G25" s="100">
        <f ca="1">'Dues summary SOBHA'!$E25/'Dues summary SOBHA'!$D25</f>
        <v>0.97460702854263292</v>
      </c>
      <c r="H25" s="101">
        <f ca="1">F25/'Dues summary SOBHA'!$D25</f>
        <v>2.5392971457367061E-2</v>
      </c>
      <c r="I25" s="102"/>
      <c r="J25" s="102"/>
      <c r="K25" s="102"/>
      <c r="L25" s="102"/>
      <c r="M25" s="102"/>
      <c r="N25" s="102"/>
      <c r="O25" s="102"/>
      <c r="P25" s="103"/>
      <c r="Q25" s="104"/>
      <c r="R25" s="104"/>
      <c r="S25" s="104"/>
      <c r="T25" s="105"/>
      <c r="U25" s="105"/>
      <c r="V25" s="110"/>
      <c r="W25" s="110"/>
      <c r="X25" s="105"/>
      <c r="Y25" s="105"/>
      <c r="Z25" s="105"/>
    </row>
    <row r="26" spans="1:26" x14ac:dyDescent="0.25">
      <c r="A26" s="88">
        <v>2025</v>
      </c>
      <c r="B26" t="s">
        <v>74</v>
      </c>
      <c r="C26" s="106" t="s">
        <v>45</v>
      </c>
      <c r="D26" s="107">
        <v>947354672.80999947</v>
      </c>
      <c r="E26" s="107">
        <f t="shared" ca="1" si="0"/>
        <v>930302372.80999947</v>
      </c>
      <c r="F26" s="107">
        <v>17052300</v>
      </c>
      <c r="G26" s="108">
        <f ca="1">'Dues summary SOBHA'!$E26/'Dues summary SOBHA'!$D26</f>
        <v>0.98200008878467848</v>
      </c>
      <c r="H26" s="109">
        <f ca="1">F26/'Dues summary SOBHA'!$D26</f>
        <v>1.7999911215321563E-2</v>
      </c>
      <c r="I26" s="102"/>
      <c r="J26" s="102"/>
      <c r="K26" s="102"/>
      <c r="L26" s="102"/>
      <c r="M26" s="102"/>
      <c r="N26" s="102"/>
      <c r="O26" s="102"/>
      <c r="P26" s="103"/>
      <c r="Q26" s="104"/>
      <c r="R26" s="104"/>
      <c r="S26" s="104"/>
      <c r="T26" s="105"/>
      <c r="U26" s="105"/>
      <c r="V26" s="102"/>
      <c r="W26" s="102"/>
      <c r="X26" s="105"/>
      <c r="Y26" s="105"/>
      <c r="Z26" s="105"/>
    </row>
    <row r="27" spans="1:26" x14ac:dyDescent="0.25">
      <c r="A27" s="88">
        <v>2025</v>
      </c>
      <c r="B27" t="s">
        <v>75</v>
      </c>
      <c r="C27" s="98" t="s">
        <v>46</v>
      </c>
      <c r="D27" s="99">
        <v>753978750.54999888</v>
      </c>
      <c r="E27" s="99">
        <f t="shared" ca="1" si="0"/>
        <v>737173632.54999888</v>
      </c>
      <c r="F27" s="99">
        <v>16805118</v>
      </c>
      <c r="G27" s="100">
        <f ca="1">'Dues summary SOBHA'!$E27/'Dues summary SOBHA'!$D27</f>
        <v>0.9777114169494282</v>
      </c>
      <c r="H27" s="101">
        <f ca="1">F27/'Dues summary SOBHA'!$D27</f>
        <v>2.2288583050571791E-2</v>
      </c>
      <c r="I27" s="102"/>
      <c r="J27" s="102"/>
      <c r="K27" s="102"/>
      <c r="L27" s="102"/>
      <c r="M27" s="102"/>
      <c r="N27" s="102"/>
      <c r="O27" s="102"/>
      <c r="P27" s="103"/>
      <c r="Q27" s="104"/>
      <c r="R27" s="104"/>
      <c r="S27" s="104"/>
      <c r="T27" s="105"/>
      <c r="U27" s="105"/>
      <c r="V27" s="110"/>
      <c r="W27" s="110"/>
      <c r="X27" s="105"/>
      <c r="Y27" s="105"/>
      <c r="Z27" s="105"/>
    </row>
    <row r="28" spans="1:26" x14ac:dyDescent="0.25">
      <c r="A28" s="88">
        <v>2025</v>
      </c>
      <c r="B28" t="s">
        <v>76</v>
      </c>
      <c r="C28" s="106" t="s">
        <v>47</v>
      </c>
      <c r="D28" s="107">
        <v>868361402.26000106</v>
      </c>
      <c r="E28" s="107">
        <f t="shared" ca="1" si="0"/>
        <v>854997133.26000106</v>
      </c>
      <c r="F28" s="107">
        <v>13364269</v>
      </c>
      <c r="G28" s="108">
        <f ca="1">'Dues summary SOBHA'!$E28/'Dues summary SOBHA'!$D28</f>
        <v>0.9846097846297428</v>
      </c>
      <c r="H28" s="109">
        <f ca="1">F28/'Dues summary SOBHA'!$D28</f>
        <v>1.5390215370257242E-2</v>
      </c>
      <c r="I28" s="102"/>
      <c r="J28" s="102"/>
      <c r="K28" s="102"/>
      <c r="L28" s="102"/>
      <c r="M28" s="102"/>
      <c r="N28" s="102"/>
      <c r="O28" s="102"/>
      <c r="P28" s="103"/>
      <c r="Q28" s="104"/>
      <c r="R28" s="104"/>
      <c r="S28" s="104"/>
      <c r="T28" s="105"/>
      <c r="U28" s="105"/>
      <c r="V28" s="102"/>
      <c r="W28" s="102"/>
      <c r="X28" s="105"/>
      <c r="Y28" s="105"/>
      <c r="Z28" s="105"/>
    </row>
    <row r="29" spans="1:26" x14ac:dyDescent="0.25">
      <c r="A29" s="88">
        <v>2025</v>
      </c>
      <c r="B29" t="s">
        <v>77</v>
      </c>
      <c r="C29" s="98" t="s">
        <v>48</v>
      </c>
      <c r="D29" s="99">
        <v>646698455.77999866</v>
      </c>
      <c r="E29" s="99">
        <f t="shared" ca="1" si="0"/>
        <v>636868861.77999866</v>
      </c>
      <c r="F29" s="99">
        <v>9829594</v>
      </c>
      <c r="G29" s="100">
        <f ca="1">'Dues summary SOBHA'!$E29/'Dues summary SOBHA'!$D29</f>
        <v>0.98480034409832584</v>
      </c>
      <c r="H29" s="101">
        <f ca="1">F29/'Dues summary SOBHA'!$D29</f>
        <v>1.5199655901674125E-2</v>
      </c>
      <c r="I29" s="102"/>
      <c r="J29" s="102"/>
      <c r="K29" s="102"/>
      <c r="L29" s="102"/>
      <c r="M29" s="102"/>
      <c r="N29" s="102"/>
      <c r="O29" s="102"/>
      <c r="P29" s="103"/>
      <c r="Q29" s="104"/>
      <c r="R29" s="104"/>
      <c r="S29" s="104"/>
      <c r="T29" s="105"/>
      <c r="U29" s="105"/>
      <c r="V29" s="110"/>
      <c r="W29" s="110"/>
      <c r="X29" s="105"/>
      <c r="Y29" s="105"/>
      <c r="Z29" s="105"/>
    </row>
    <row r="30" spans="1:26" x14ac:dyDescent="0.25">
      <c r="A30" s="88">
        <v>2025</v>
      </c>
      <c r="B30" t="s">
        <v>78</v>
      </c>
      <c r="C30" s="106" t="s">
        <v>49</v>
      </c>
      <c r="D30" s="107">
        <v>658166529.11000013</v>
      </c>
      <c r="E30" s="107">
        <f t="shared" ca="1" si="0"/>
        <v>649066774.11000013</v>
      </c>
      <c r="F30" s="107">
        <v>9099755</v>
      </c>
      <c r="G30" s="108">
        <f ca="1">'Dues summary SOBHA'!$E30/'Dues summary SOBHA'!$D30</f>
        <v>0.98617408422104802</v>
      </c>
      <c r="H30" s="109">
        <f ca="1">F30/'Dues summary SOBHA'!$D30</f>
        <v>1.3825915778951967E-2</v>
      </c>
      <c r="I30" s="102"/>
      <c r="J30" s="102"/>
      <c r="K30" s="102"/>
      <c r="L30" s="102"/>
      <c r="M30" s="102"/>
      <c r="N30" s="102"/>
      <c r="O30" s="102"/>
      <c r="P30" s="103"/>
      <c r="Q30" s="104"/>
      <c r="R30" s="104"/>
      <c r="S30" s="104"/>
      <c r="T30" s="105"/>
      <c r="U30" s="105"/>
      <c r="V30" s="102"/>
      <c r="W30" s="102"/>
      <c r="X30" s="105"/>
      <c r="Y30" s="105"/>
      <c r="Z30" s="105"/>
    </row>
    <row r="31" spans="1:26" x14ac:dyDescent="0.25">
      <c r="A31" s="88">
        <v>2025</v>
      </c>
      <c r="B31" t="s">
        <v>79</v>
      </c>
      <c r="C31" s="98" t="s">
        <v>50</v>
      </c>
      <c r="D31" s="99">
        <v>740254068.45000148</v>
      </c>
      <c r="E31" s="99">
        <f t="shared" ca="1" si="0"/>
        <v>728233838.45000148</v>
      </c>
      <c r="F31" s="99">
        <v>12020230</v>
      </c>
      <c r="G31" s="100">
        <f ca="1">'Dues summary SOBHA'!$E31/'Dues summary SOBHA'!$D31</f>
        <v>0.98376202102452626</v>
      </c>
      <c r="H31" s="101">
        <f ca="1">F31/'Dues summary SOBHA'!$D31</f>
        <v>1.6237978975473709E-2</v>
      </c>
      <c r="I31" s="102"/>
      <c r="J31" s="102"/>
      <c r="K31" s="102"/>
      <c r="L31" s="102"/>
      <c r="M31" s="102"/>
      <c r="N31" s="102"/>
      <c r="O31" s="102"/>
      <c r="P31" s="103"/>
      <c r="Q31" s="104"/>
      <c r="R31" s="104"/>
      <c r="S31" s="104"/>
      <c r="T31" s="105"/>
      <c r="U31" s="105"/>
      <c r="V31" s="110"/>
      <c r="W31" s="110"/>
      <c r="X31" s="105"/>
      <c r="Y31" s="105"/>
      <c r="Z31" s="105"/>
    </row>
    <row r="32" spans="1:26" x14ac:dyDescent="0.25">
      <c r="A32" s="88">
        <v>2025</v>
      </c>
      <c r="B32" t="s">
        <v>80</v>
      </c>
      <c r="C32" s="106" t="s">
        <v>51</v>
      </c>
      <c r="D32" s="107">
        <v>632049926.2299974</v>
      </c>
      <c r="E32" s="107">
        <f t="shared" ca="1" si="0"/>
        <v>599500866.2299974</v>
      </c>
      <c r="F32" s="107">
        <v>32549060</v>
      </c>
      <c r="G32" s="108">
        <f ca="1">'Dues summary SOBHA'!$E32/'Dues summary SOBHA'!$D32</f>
        <v>0.94850239095169886</v>
      </c>
      <c r="H32" s="109">
        <f ca="1">F32/'Dues summary SOBHA'!$D32</f>
        <v>5.1497609048301168E-2</v>
      </c>
      <c r="I32" s="102"/>
      <c r="J32" s="102"/>
      <c r="K32" s="102"/>
      <c r="L32" s="102"/>
      <c r="M32" s="102"/>
      <c r="N32" s="102"/>
      <c r="O32" s="102"/>
      <c r="P32" s="103"/>
      <c r="Q32" s="104"/>
      <c r="R32" s="104"/>
      <c r="S32" s="104"/>
      <c r="T32" s="105"/>
      <c r="U32" s="105"/>
      <c r="V32" s="102"/>
      <c r="W32" s="102"/>
      <c r="X32" s="105"/>
      <c r="Y32" s="105"/>
      <c r="Z32" s="105"/>
    </row>
    <row r="33" spans="1:26" x14ac:dyDescent="0.25">
      <c r="A33" s="88">
        <v>2025</v>
      </c>
      <c r="B33" t="s">
        <v>81</v>
      </c>
      <c r="C33" s="98" t="s">
        <v>52</v>
      </c>
      <c r="D33" s="99">
        <v>581916580.78999853</v>
      </c>
      <c r="E33" s="99">
        <f t="shared" ca="1" si="0"/>
        <v>568210077.78999853</v>
      </c>
      <c r="F33" s="99">
        <v>13706503</v>
      </c>
      <c r="G33" s="100">
        <f ca="1">'Dues summary SOBHA'!$E33/'Dues summary SOBHA'!$D33</f>
        <v>0.97644593150895909</v>
      </c>
      <c r="H33" s="101">
        <f ca="1">F33/'Dues summary SOBHA'!$D33</f>
        <v>2.3554068491040969E-2</v>
      </c>
      <c r="I33" s="102"/>
      <c r="J33" s="102"/>
      <c r="K33" s="102"/>
      <c r="L33" s="102"/>
      <c r="M33" s="102"/>
      <c r="N33" s="102"/>
      <c r="O33" s="102"/>
      <c r="P33" s="103"/>
      <c r="Q33" s="104"/>
      <c r="R33" s="104"/>
      <c r="S33" s="104"/>
      <c r="T33" s="105"/>
      <c r="U33" s="105"/>
      <c r="V33" s="110"/>
      <c r="W33" s="110"/>
      <c r="X33" s="105"/>
      <c r="Y33" s="105"/>
      <c r="Z33" s="105"/>
    </row>
    <row r="34" spans="1:26" x14ac:dyDescent="0.25">
      <c r="A34" s="88"/>
      <c r="C34" s="111" t="s">
        <v>40</v>
      </c>
      <c r="D34" s="112">
        <f ca="1">SUM(D22:D33)</f>
        <v>8333090081.5499954</v>
      </c>
      <c r="E34" s="112">
        <f ca="1">SUM(E22:E33)</f>
        <v>8136259750.5499954</v>
      </c>
      <c r="F34" s="112">
        <f ca="1">SUM(F22:F33)</f>
        <v>196830331</v>
      </c>
      <c r="G34" s="113">
        <f ca="1">'Dues summary SOBHA'!$E34/'Dues summary SOBHA'!$D34</f>
        <v>0.97637967079753585</v>
      </c>
      <c r="H34" s="114">
        <f ca="1">F34/'Dues summary SOBHA'!$D34</f>
        <v>2.3620329202464183E-2</v>
      </c>
      <c r="I34" s="102"/>
      <c r="J34" s="102"/>
      <c r="K34" s="102"/>
      <c r="L34" s="102"/>
      <c r="M34" s="102"/>
      <c r="N34" s="102"/>
      <c r="O34" s="102"/>
      <c r="P34" s="103"/>
      <c r="Q34" s="104"/>
      <c r="R34" s="104"/>
      <c r="S34" s="104"/>
      <c r="T34" s="105"/>
      <c r="U34" s="105"/>
      <c r="V34" s="102"/>
      <c r="W34" s="102"/>
      <c r="X34" s="105"/>
      <c r="Y34" s="105"/>
      <c r="Z34" s="105"/>
    </row>
    <row r="35" spans="1:26" x14ac:dyDescent="0.25">
      <c r="A35" s="88">
        <v>2026</v>
      </c>
      <c r="B35" t="s">
        <v>70</v>
      </c>
      <c r="C35" s="106" t="s">
        <v>54</v>
      </c>
      <c r="D35" s="107">
        <v>640021781.86000001</v>
      </c>
      <c r="E35" s="107">
        <f ca="1">D35-F35</f>
        <v>632416661.86000001</v>
      </c>
      <c r="F35" s="107">
        <v>7605120</v>
      </c>
      <c r="G35" s="108">
        <f ca="1">'Dues summary SOBHA'!$E35/'Dues summary SOBHA'!$D35</f>
        <v>0.98811740441411477</v>
      </c>
      <c r="H35" s="109">
        <f ca="1">F35/'Dues summary SOBHA'!$D35</f>
        <v>1.1882595585885175E-2</v>
      </c>
      <c r="I35" s="102"/>
      <c r="J35" s="102"/>
      <c r="K35" s="102"/>
      <c r="L35" s="102"/>
      <c r="M35" s="102"/>
      <c r="N35" s="102"/>
      <c r="O35" s="102"/>
      <c r="P35" s="103"/>
      <c r="Q35" s="104"/>
      <c r="R35" s="104"/>
      <c r="S35" s="104"/>
      <c r="T35" s="105"/>
      <c r="U35" s="105"/>
      <c r="V35" s="102"/>
      <c r="W35" s="102"/>
      <c r="X35" s="105"/>
      <c r="Y35" s="105"/>
      <c r="Z35" s="105"/>
    </row>
    <row r="36" spans="1:26" x14ac:dyDescent="0.25">
      <c r="A36" s="88">
        <v>2026</v>
      </c>
      <c r="B36" t="s">
        <v>71</v>
      </c>
      <c r="C36" s="98" t="s">
        <v>55</v>
      </c>
      <c r="D36" s="99">
        <v>543898877.21999979</v>
      </c>
      <c r="E36" s="99">
        <f ca="1">D36-F36</f>
        <v>535179897.21999979</v>
      </c>
      <c r="F36" s="99">
        <v>8718980</v>
      </c>
      <c r="G36" s="100">
        <f ca="1">'Dues summary SOBHA'!$E36/'Dues summary SOBHA'!$D36</f>
        <v>0.9839694833632221</v>
      </c>
      <c r="H36" s="101">
        <f ca="1">F36/'Dues summary SOBHA'!$D36</f>
        <v>1.6030516636777851E-2</v>
      </c>
      <c r="I36" s="102"/>
      <c r="J36" s="102"/>
      <c r="K36" s="102"/>
      <c r="L36" s="102"/>
      <c r="M36" s="102"/>
      <c r="N36" s="102"/>
      <c r="O36" s="102"/>
      <c r="P36" s="103"/>
      <c r="Q36" s="104"/>
      <c r="R36" s="104"/>
      <c r="S36" s="104"/>
      <c r="T36" s="105"/>
      <c r="U36" s="105"/>
      <c r="V36" s="110"/>
      <c r="W36" s="110"/>
      <c r="X36" s="105"/>
      <c r="Y36" s="105"/>
      <c r="Z36" s="105"/>
    </row>
    <row r="37" spans="1:26" x14ac:dyDescent="0.25">
      <c r="A37" s="88">
        <v>2026</v>
      </c>
      <c r="B37" t="s">
        <v>72</v>
      </c>
      <c r="C37" s="106" t="s">
        <v>56</v>
      </c>
      <c r="D37" s="107">
        <v>484682821.24000007</v>
      </c>
      <c r="E37" s="107">
        <f ca="1">D37-F37</f>
        <v>479120417.24000007</v>
      </c>
      <c r="F37" s="107">
        <v>5562404</v>
      </c>
      <c r="G37" s="108">
        <f ca="1">'Dues summary SOBHA'!$E37/'Dues summary SOBHA'!$D37</f>
        <v>0.98852362048696241</v>
      </c>
      <c r="H37" s="109">
        <f ca="1">F37/'Dues summary SOBHA'!$D37</f>
        <v>1.1476379513037595E-2</v>
      </c>
      <c r="I37" s="102"/>
      <c r="J37" s="102"/>
      <c r="K37" s="102"/>
      <c r="L37" s="102"/>
      <c r="M37" s="102"/>
      <c r="N37" s="102"/>
      <c r="O37" s="102"/>
      <c r="P37" s="103"/>
      <c r="Q37" s="104"/>
      <c r="R37" s="104"/>
      <c r="S37" s="104"/>
      <c r="T37" s="105"/>
      <c r="U37" s="105"/>
      <c r="V37" s="102"/>
      <c r="W37" s="102"/>
      <c r="X37" s="105"/>
      <c r="Y37" s="105"/>
      <c r="Z37" s="105"/>
    </row>
    <row r="38" spans="1:26" x14ac:dyDescent="0.25">
      <c r="A38" s="88">
        <v>2026</v>
      </c>
      <c r="B38" t="s">
        <v>73</v>
      </c>
      <c r="C38" s="98" t="s">
        <v>57</v>
      </c>
      <c r="D38" s="99">
        <v>575376111.98999989</v>
      </c>
      <c r="E38" s="99">
        <f ca="1">D38-F38</f>
        <v>571259762.98999989</v>
      </c>
      <c r="F38" s="99">
        <v>4116349</v>
      </c>
      <c r="G38" s="100">
        <f ca="1">'Dues summary SOBHA'!$E38/'Dues summary SOBHA'!$D38</f>
        <v>0.99284581178428977</v>
      </c>
      <c r="H38" s="101">
        <f ca="1">F38/'Dues summary SOBHA'!$D38</f>
        <v>7.1541882157101838E-3</v>
      </c>
      <c r="I38" s="102"/>
      <c r="J38" s="102"/>
      <c r="K38" s="102"/>
      <c r="L38" s="102"/>
      <c r="M38" s="102"/>
      <c r="N38" s="102"/>
      <c r="O38" s="102"/>
      <c r="P38" s="103"/>
      <c r="Q38" s="104"/>
      <c r="R38" s="104"/>
      <c r="S38" s="104"/>
      <c r="T38" s="105"/>
      <c r="U38" s="105"/>
      <c r="V38" s="102"/>
      <c r="W38" s="102"/>
      <c r="X38" s="105"/>
      <c r="Y38" s="105"/>
      <c r="Z38" s="105"/>
    </row>
    <row r="39" spans="1:26" x14ac:dyDescent="0.25">
      <c r="A39" s="88">
        <v>2026</v>
      </c>
      <c r="B39" t="s">
        <v>74</v>
      </c>
      <c r="C39" s="106" t="s">
        <v>58</v>
      </c>
      <c r="D39" s="107">
        <v>106044189.01000002</v>
      </c>
      <c r="E39" s="107">
        <f ca="1">D39-F39</f>
        <v>105739208.01000002</v>
      </c>
      <c r="F39" s="107">
        <v>304981</v>
      </c>
      <c r="G39" s="108">
        <f ca="1">'Dues summary SOBHA'!$E39/'Dues summary SOBHA'!$D39</f>
        <v>0.99712401968606468</v>
      </c>
      <c r="H39" s="109">
        <f ca="1">F39/'Dues summary SOBHA'!$D39</f>
        <v>2.8759803139353553E-3</v>
      </c>
      <c r="I39" s="102"/>
      <c r="J39" s="102"/>
      <c r="K39" s="102"/>
      <c r="L39" s="102"/>
      <c r="M39" s="102"/>
      <c r="N39" s="102"/>
      <c r="O39" s="102"/>
      <c r="P39" s="103"/>
      <c r="Q39" s="104"/>
      <c r="R39" s="104"/>
      <c r="S39" s="104"/>
      <c r="T39" s="105"/>
      <c r="U39" s="105"/>
      <c r="V39" s="102"/>
      <c r="W39" s="102"/>
      <c r="X39" s="105"/>
      <c r="Y39" s="105"/>
      <c r="Z39" s="105"/>
    </row>
    <row r="40" spans="1:26" x14ac:dyDescent="0.25">
      <c r="C40" s="115" t="s">
        <v>59</v>
      </c>
      <c r="D40" s="116">
        <f ca="1">D21+D34+D35+D36+D37+D38+D39</f>
        <v>16119465682.739998</v>
      </c>
      <c r="E40" s="116">
        <f ca="1">E21+E34+E35+E36+E37+E38+E39</f>
        <v>15418307123.739998</v>
      </c>
      <c r="F40" s="116">
        <f ca="1">F21+F34+F35+F36+F37+F38+F39</f>
        <v>701158559</v>
      </c>
      <c r="G40" s="117">
        <f ca="1">'Dues summary'!$E40/'Dues summary'!$D40</f>
        <v>0.95588738083927549</v>
      </c>
      <c r="H40" s="118">
        <f ca="1">F40/'Dues summary'!$D40</f>
        <v>3.8911150152116346E-2</v>
      </c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20"/>
      <c r="U40" s="120"/>
      <c r="V40" s="119"/>
      <c r="W40" s="119"/>
      <c r="X40" s="120"/>
      <c r="Y40" s="120"/>
      <c r="Z40" s="120"/>
    </row>
    <row r="41" spans="1:26" ht="15.75" thickBot="1" x14ac:dyDescent="0.3">
      <c r="C41" s="119"/>
      <c r="D41" s="119">
        <f ca="1">SUM(Summary!K52,Summary!K65,Summary!K78)</f>
        <v>16119465682.739998</v>
      </c>
      <c r="E41" s="119"/>
      <c r="F41" s="119"/>
      <c r="G41" s="120"/>
      <c r="H41" s="120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20"/>
      <c r="U41" s="120"/>
      <c r="V41" s="119"/>
      <c r="W41" s="119"/>
      <c r="X41" s="120"/>
      <c r="Y41" s="120"/>
      <c r="Z41" s="120"/>
    </row>
    <row r="42" spans="1:26" ht="24" thickBot="1" x14ac:dyDescent="0.4">
      <c r="C42" s="89" t="str">
        <f ca="1">_xlfn.CONCAT("Dues collection ageing monthwise")</f>
        <v>Dues collection ageing monthwise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1"/>
      <c r="O42" s="88"/>
      <c r="P42" s="92"/>
      <c r="Q42" s="92"/>
      <c r="R42" s="92"/>
      <c r="S42" s="92"/>
      <c r="T42" s="92"/>
      <c r="U42" s="92"/>
      <c r="V42" s="92"/>
      <c r="W42" s="92"/>
    </row>
    <row r="43" spans="1:26" ht="36" customHeight="1" x14ac:dyDescent="0.25">
      <c r="C43" s="94" t="s">
        <v>282</v>
      </c>
      <c r="D43" s="95" t="s">
        <v>283</v>
      </c>
      <c r="E43" s="95" t="s">
        <v>288</v>
      </c>
      <c r="F43" s="95" t="s">
        <v>289</v>
      </c>
      <c r="G43" s="95" t="s">
        <v>290</v>
      </c>
      <c r="H43" s="95" t="s">
        <v>291</v>
      </c>
      <c r="I43" s="95" t="s">
        <v>292</v>
      </c>
      <c r="J43" s="95" t="s">
        <v>293</v>
      </c>
      <c r="K43" s="95" t="s">
        <v>294</v>
      </c>
      <c r="L43" s="95" t="s">
        <v>295</v>
      </c>
      <c r="M43" s="95" t="s">
        <v>296</v>
      </c>
      <c r="N43" s="96" t="s">
        <v>297</v>
      </c>
      <c r="O43" s="121"/>
      <c r="P43" s="97"/>
      <c r="Q43" s="97"/>
      <c r="R43" s="97"/>
      <c r="S43" s="97"/>
      <c r="T43" s="97"/>
      <c r="U43" s="97"/>
      <c r="V43" s="97"/>
      <c r="W43" s="97"/>
    </row>
    <row r="44" spans="1:26" x14ac:dyDescent="0.25">
      <c r="A44" s="88">
        <v>2024</v>
      </c>
      <c r="B44" t="s">
        <v>70</v>
      </c>
      <c r="C44" s="98" t="s">
        <v>26</v>
      </c>
      <c r="D44" s="99">
        <v>393488606.06000024</v>
      </c>
      <c r="E44" s="99">
        <v>203312781.35999984</v>
      </c>
      <c r="F44" s="99">
        <v>50805561.239999965</v>
      </c>
      <c r="G44" s="99">
        <v>31576443.799999997</v>
      </c>
      <c r="H44" s="99">
        <v>20899865.889999997</v>
      </c>
      <c r="I44" s="99">
        <v>86893953.769999936</v>
      </c>
      <c r="J44" s="100">
        <f ca="1">'Dues summary SOBHA'!$E44/'Dues summary SOBHA'!$D44</f>
        <v>0.51669293145682127</v>
      </c>
      <c r="K44" s="100">
        <f ca="1">'Dues summary SOBHA'!$F44/'Dues summary SOBHA'!$D44</f>
        <v>0.12911571124947133</v>
      </c>
      <c r="L44" s="100">
        <f ca="1">'Dues summary SOBHA'!$G44/'Dues summary SOBHA'!$D44</f>
        <v>8.0247415843052727E-2</v>
      </c>
      <c r="M44" s="100">
        <f ca="1">$H44/'Dues summary SOBHA'!$D44</f>
        <v>5.311428480552529E-2</v>
      </c>
      <c r="N44" s="101">
        <f ca="1">$I44/'Dues summary SOBHA'!$D44</f>
        <v>0.22082965664512813</v>
      </c>
      <c r="O44" s="122"/>
      <c r="P44" s="103"/>
      <c r="Q44" s="104"/>
      <c r="R44" s="104"/>
      <c r="S44" s="104"/>
      <c r="T44" s="104"/>
      <c r="U44" s="105"/>
      <c r="V44" s="105"/>
      <c r="W44" s="105"/>
    </row>
    <row r="45" spans="1:26" x14ac:dyDescent="0.25">
      <c r="A45" s="88">
        <v>2024</v>
      </c>
      <c r="B45" t="s">
        <v>71</v>
      </c>
      <c r="C45" s="106" t="s">
        <v>28</v>
      </c>
      <c r="D45" s="107">
        <v>422731739.89999998</v>
      </c>
      <c r="E45" s="107">
        <v>228618910.46000028</v>
      </c>
      <c r="F45" s="107">
        <v>50741842.720000014</v>
      </c>
      <c r="G45" s="107">
        <v>16340507.570000006</v>
      </c>
      <c r="H45" s="107">
        <v>18323670.43</v>
      </c>
      <c r="I45" s="107">
        <v>108706808.71999997</v>
      </c>
      <c r="J45" s="108">
        <f ca="1">'Dues summary SOBHA'!$E45/'Dues summary SOBHA'!$D45</f>
        <v>0.54081321292335804</v>
      </c>
      <c r="K45" s="108">
        <f ca="1">'Dues summary SOBHA'!$F45/'Dues summary SOBHA'!$D45</f>
        <v>0.12003319819799511</v>
      </c>
      <c r="L45" s="108">
        <f ca="1">'Dues summary SOBHA'!$G45/'Dues summary SOBHA'!$D45</f>
        <v>3.865455566186126E-2</v>
      </c>
      <c r="M45" s="108">
        <f ca="1">$H45/'Dues summary SOBHA'!$D45</f>
        <v>4.3345859088637598E-2</v>
      </c>
      <c r="N45" s="109">
        <f ca="1">$I45/'Dues summary SOBHA'!$D45</f>
        <v>0.2571531741281487</v>
      </c>
      <c r="O45" s="122"/>
      <c r="P45" s="103"/>
      <c r="Q45" s="104"/>
      <c r="R45" s="104"/>
      <c r="S45" s="104"/>
      <c r="T45" s="104"/>
      <c r="U45" s="105"/>
      <c r="V45" s="105"/>
      <c r="W45" s="105"/>
    </row>
    <row r="46" spans="1:26" x14ac:dyDescent="0.25">
      <c r="A46" s="88">
        <v>2024</v>
      </c>
      <c r="B46" t="s">
        <v>72</v>
      </c>
      <c r="C46" s="98" t="s">
        <v>29</v>
      </c>
      <c r="D46" s="99">
        <v>400133608.58999997</v>
      </c>
      <c r="E46" s="99">
        <v>221413238.00000012</v>
      </c>
      <c r="F46" s="99">
        <v>66172533.599999972</v>
      </c>
      <c r="G46" s="99">
        <v>34851782.590000011</v>
      </c>
      <c r="H46" s="99">
        <v>14415821.65</v>
      </c>
      <c r="I46" s="99">
        <v>63280232.750000015</v>
      </c>
      <c r="J46" s="100">
        <f ca="1">'Dues summary SOBHA'!$E46/'Dues summary SOBHA'!$D46</f>
        <v>0.55334826479640431</v>
      </c>
      <c r="K46" s="100">
        <f ca="1">'Dues summary SOBHA'!$F46/'Dues summary SOBHA'!$D46</f>
        <v>0.16537609483287413</v>
      </c>
      <c r="L46" s="100">
        <f ca="1">'Dues summary SOBHA'!$G46/'Dues summary SOBHA'!$D46</f>
        <v>8.7100363083249935E-2</v>
      </c>
      <c r="M46" s="100">
        <f ca="1">$H46/'Dues summary SOBHA'!$D46</f>
        <v>3.6027520159575707E-2</v>
      </c>
      <c r="N46" s="101">
        <f ca="1">$I46/'Dues summary SOBHA'!$D46</f>
        <v>0.15814775712789625</v>
      </c>
      <c r="O46" s="122"/>
      <c r="P46" s="103"/>
      <c r="Q46" s="104"/>
      <c r="R46" s="104"/>
      <c r="S46" s="104"/>
      <c r="T46" s="104"/>
      <c r="U46" s="105"/>
      <c r="V46" s="105"/>
      <c r="W46" s="105"/>
    </row>
    <row r="47" spans="1:26" x14ac:dyDescent="0.25">
      <c r="A47" s="88">
        <v>2024</v>
      </c>
      <c r="B47" t="s">
        <v>73</v>
      </c>
      <c r="C47" s="106" t="s">
        <v>30</v>
      </c>
      <c r="D47" s="107">
        <v>405586207.61000055</v>
      </c>
      <c r="E47" s="107">
        <v>227038971.5999999</v>
      </c>
      <c r="F47" s="107">
        <v>55826212.860000014</v>
      </c>
      <c r="G47" s="107">
        <v>35067678.390000015</v>
      </c>
      <c r="H47" s="107">
        <v>20433597.289999995</v>
      </c>
      <c r="I47" s="107">
        <v>67219747.469999984</v>
      </c>
      <c r="J47" s="108">
        <f ca="1">'Dues summary SOBHA'!$E47/'Dues summary SOBHA'!$D47</f>
        <v>0.55977981336661653</v>
      </c>
      <c r="K47" s="108">
        <f ca="1">'Dues summary SOBHA'!$F47/'Dues summary SOBHA'!$D47</f>
        <v>0.13764327241048793</v>
      </c>
      <c r="L47" s="108">
        <f ca="1">'Dues summary SOBHA'!$G47/'Dues summary SOBHA'!$D47</f>
        <v>8.6461713273346896E-2</v>
      </c>
      <c r="M47" s="108">
        <f ca="1">$H47/'Dues summary SOBHA'!$D47</f>
        <v>5.0380404724335019E-2</v>
      </c>
      <c r="N47" s="109">
        <f ca="1">$I47/'Dues summary SOBHA'!$D47</f>
        <v>0.16573479622521203</v>
      </c>
      <c r="O47" s="122"/>
      <c r="P47" s="103"/>
      <c r="Q47" s="104"/>
      <c r="R47" s="104"/>
      <c r="S47" s="104"/>
      <c r="T47" s="104"/>
      <c r="U47" s="105"/>
      <c r="V47" s="105"/>
      <c r="W47" s="105"/>
    </row>
    <row r="48" spans="1:26" x14ac:dyDescent="0.25">
      <c r="A48" s="88">
        <v>2024</v>
      </c>
      <c r="B48" t="s">
        <v>74</v>
      </c>
      <c r="C48" s="98" t="s">
        <v>31</v>
      </c>
      <c r="D48" s="99">
        <v>460034554.73000038</v>
      </c>
      <c r="E48" s="99">
        <v>244362149.29999995</v>
      </c>
      <c r="F48" s="99">
        <v>82812132.089999974</v>
      </c>
      <c r="G48" s="99">
        <v>34557481.360000007</v>
      </c>
      <c r="H48" s="99">
        <v>24538274.769999996</v>
      </c>
      <c r="I48" s="99">
        <v>73764517.210000008</v>
      </c>
      <c r="J48" s="100">
        <f ca="1">'Dues summary SOBHA'!$E48/'Dues summary SOBHA'!$D48</f>
        <v>0.53118216183438427</v>
      </c>
      <c r="K48" s="100">
        <f ca="1">'Dues summary SOBHA'!$F48/'Dues summary SOBHA'!$D48</f>
        <v>0.18001285172719989</v>
      </c>
      <c r="L48" s="100">
        <f ca="1">'Dues summary SOBHA'!$G48/'Dues summary SOBHA'!$D48</f>
        <v>7.5119316591950785E-2</v>
      </c>
      <c r="M48" s="100">
        <f ca="1">$H48/'Dues summary SOBHA'!$D48</f>
        <v>5.3340068735492692E-2</v>
      </c>
      <c r="N48" s="101">
        <f ca="1">$I48/'Dues summary SOBHA'!$D48</f>
        <v>0.16034560111097146</v>
      </c>
      <c r="O48" s="122"/>
      <c r="P48" s="103"/>
      <c r="Q48" s="104"/>
      <c r="R48" s="104"/>
      <c r="S48" s="104"/>
      <c r="T48" s="104"/>
      <c r="U48" s="105"/>
      <c r="V48" s="105"/>
      <c r="W48" s="105"/>
    </row>
    <row r="49" spans="1:23" x14ac:dyDescent="0.25">
      <c r="A49" s="88">
        <v>2024</v>
      </c>
      <c r="B49" t="s">
        <v>75</v>
      </c>
      <c r="C49" s="106" t="s">
        <v>33</v>
      </c>
      <c r="D49" s="107">
        <v>422516860.17999989</v>
      </c>
      <c r="E49" s="107">
        <v>222987978.70999989</v>
      </c>
      <c r="F49" s="107">
        <v>81036697.820000008</v>
      </c>
      <c r="G49" s="107">
        <v>29297415.499999996</v>
      </c>
      <c r="H49" s="107">
        <v>20234443.760000002</v>
      </c>
      <c r="I49" s="107">
        <v>68960324.389999941</v>
      </c>
      <c r="J49" s="108">
        <f ca="1">'Dues summary SOBHA'!$E49/'Dues summary SOBHA'!$D49</f>
        <v>0.52776113742538688</v>
      </c>
      <c r="K49" s="108">
        <f ca="1">'Dues summary SOBHA'!$F49/'Dues summary SOBHA'!$D49</f>
        <v>0.19179518134608142</v>
      </c>
      <c r="L49" s="108">
        <f ca="1">'Dues summary SOBHA'!$G49/'Dues summary SOBHA'!$D49</f>
        <v>6.9340228192358438E-2</v>
      </c>
      <c r="M49" s="108">
        <f ca="1">$H49/'Dues summary SOBHA'!$D49</f>
        <v>4.7890263482928845E-2</v>
      </c>
      <c r="N49" s="109">
        <f ca="1">$I49/'Dues summary SOBHA'!$D49</f>
        <v>0.16321318955324429</v>
      </c>
      <c r="O49" s="122"/>
      <c r="P49" s="103"/>
      <c r="Q49" s="104"/>
      <c r="R49" s="104"/>
      <c r="S49" s="104"/>
      <c r="T49" s="104"/>
      <c r="U49" s="105"/>
      <c r="V49" s="105"/>
      <c r="W49" s="105"/>
    </row>
    <row r="50" spans="1:23" x14ac:dyDescent="0.25">
      <c r="A50" s="88">
        <v>2024</v>
      </c>
      <c r="B50" t="s">
        <v>76</v>
      </c>
      <c r="C50" s="98" t="s">
        <v>34</v>
      </c>
      <c r="D50" s="99">
        <v>464860460.95000035</v>
      </c>
      <c r="E50" s="99">
        <v>296400219.1400001</v>
      </c>
      <c r="F50" s="99">
        <v>51473442.79999999</v>
      </c>
      <c r="G50" s="99">
        <v>30945865.779999986</v>
      </c>
      <c r="H50" s="99">
        <v>20118223.010000009</v>
      </c>
      <c r="I50" s="99">
        <v>65922710.219999932</v>
      </c>
      <c r="J50" s="100">
        <f ca="1">'Dues summary SOBHA'!$E50/'Dues summary SOBHA'!$D50</f>
        <v>0.63761116300205289</v>
      </c>
      <c r="K50" s="100">
        <f ca="1">'Dues summary SOBHA'!$F50/'Dues summary SOBHA'!$D50</f>
        <v>0.11072880385397284</v>
      </c>
      <c r="L50" s="100">
        <f ca="1">'Dues summary SOBHA'!$G50/'Dues summary SOBHA'!$D50</f>
        <v>6.657022564740879E-2</v>
      </c>
      <c r="M50" s="100">
        <f ca="1">$H50/'Dues summary SOBHA'!$D50</f>
        <v>4.3277982749674836E-2</v>
      </c>
      <c r="N50" s="101">
        <f ca="1">$I50/'Dues summary SOBHA'!$D50</f>
        <v>0.14181182474688997</v>
      </c>
      <c r="O50" s="122"/>
      <c r="P50" s="103"/>
      <c r="Q50" s="104"/>
      <c r="R50" s="104"/>
      <c r="S50" s="104"/>
      <c r="T50" s="104"/>
      <c r="U50" s="105"/>
      <c r="V50" s="105"/>
      <c r="W50" s="105"/>
    </row>
    <row r="51" spans="1:23" x14ac:dyDescent="0.25">
      <c r="A51" s="88">
        <v>2024</v>
      </c>
      <c r="B51" t="s">
        <v>77</v>
      </c>
      <c r="C51" s="106" t="s">
        <v>35</v>
      </c>
      <c r="D51" s="107">
        <v>439474883.38999945</v>
      </c>
      <c r="E51" s="107">
        <v>282909553.53000015</v>
      </c>
      <c r="F51" s="107">
        <v>44883286.350000009</v>
      </c>
      <c r="G51" s="107">
        <v>34625029.560000002</v>
      </c>
      <c r="H51" s="107">
        <v>19817044.750000007</v>
      </c>
      <c r="I51" s="107">
        <v>57239969.199999973</v>
      </c>
      <c r="J51" s="108">
        <f ca="1">'Dues summary SOBHA'!$E51/'Dues summary SOBHA'!$D51</f>
        <v>0.64374453290187261</v>
      </c>
      <c r="K51" s="108">
        <f ca="1">'Dues summary SOBHA'!$F51/'Dues summary SOBHA'!$D51</f>
        <v>0.10212935493328208</v>
      </c>
      <c r="L51" s="108">
        <f ca="1">'Dues summary SOBHA'!$G51/'Dues summary SOBHA'!$D51</f>
        <v>7.8787277427349603E-2</v>
      </c>
      <c r="M51" s="108">
        <f ca="1">$H51/'Dues summary SOBHA'!$D51</f>
        <v>4.5092553633864753E-2</v>
      </c>
      <c r="N51" s="109">
        <f ca="1">$I51/'Dues summary SOBHA'!$D51</f>
        <v>0.13024628110363248</v>
      </c>
      <c r="O51" s="122"/>
      <c r="P51" s="103"/>
      <c r="Q51" s="104"/>
      <c r="R51" s="104"/>
      <c r="S51" s="104"/>
      <c r="T51" s="104"/>
      <c r="U51" s="105"/>
      <c r="V51" s="105"/>
      <c r="W51" s="105"/>
    </row>
    <row r="52" spans="1:23" x14ac:dyDescent="0.25">
      <c r="A52" s="88">
        <v>2024</v>
      </c>
      <c r="B52" t="s">
        <v>78</v>
      </c>
      <c r="C52" s="98" t="s">
        <v>36</v>
      </c>
      <c r="D52" s="99">
        <v>464906236.68000031</v>
      </c>
      <c r="E52" s="99">
        <v>320106780.27999973</v>
      </c>
      <c r="F52" s="99">
        <v>50819592.210000031</v>
      </c>
      <c r="G52" s="99">
        <v>24500029.32</v>
      </c>
      <c r="H52" s="99">
        <v>15554607.459999997</v>
      </c>
      <c r="I52" s="99">
        <v>53925227.410000004</v>
      </c>
      <c r="J52" s="100">
        <f ca="1">'Dues summary SOBHA'!$E52/'Dues summary SOBHA'!$D52</f>
        <v>0.68854051639735792</v>
      </c>
      <c r="K52" s="100">
        <f ca="1">'Dues summary SOBHA'!$F52/'Dues summary SOBHA'!$D52</f>
        <v>0.10931148735046907</v>
      </c>
      <c r="L52" s="100">
        <f ca="1">'Dues summary SOBHA'!$G52/'Dues summary SOBHA'!$D52</f>
        <v>5.2698861376780412E-2</v>
      </c>
      <c r="M52" s="100">
        <f ca="1">$H52/'Dues summary SOBHA'!$D52</f>
        <v>3.3457515156344077E-2</v>
      </c>
      <c r="N52" s="101">
        <f ca="1">$I52/'Dues summary SOBHA'!$D52</f>
        <v>0.11599161971904733</v>
      </c>
      <c r="O52" s="122"/>
      <c r="P52" s="103"/>
      <c r="Q52" s="104"/>
      <c r="R52" s="104"/>
      <c r="S52" s="104"/>
      <c r="T52" s="104"/>
      <c r="U52" s="105"/>
      <c r="V52" s="105"/>
      <c r="W52" s="105"/>
    </row>
    <row r="53" spans="1:23" x14ac:dyDescent="0.25">
      <c r="A53" s="88">
        <v>2024</v>
      </c>
      <c r="B53" t="s">
        <v>79</v>
      </c>
      <c r="C53" s="106" t="s">
        <v>37</v>
      </c>
      <c r="D53" s="107">
        <v>542814847.00000036</v>
      </c>
      <c r="E53" s="107">
        <v>417930727.84000009</v>
      </c>
      <c r="F53" s="107">
        <v>49258589.390000008</v>
      </c>
      <c r="G53" s="107">
        <v>20726633.93</v>
      </c>
      <c r="H53" s="107">
        <v>10839083.73</v>
      </c>
      <c r="I53" s="107">
        <v>44059812.109999985</v>
      </c>
      <c r="J53" s="108">
        <f ca="1">'Dues summary SOBHA'!$E53/'Dues summary SOBHA'!$D53</f>
        <v>0.76993238145529175</v>
      </c>
      <c r="K53" s="108">
        <f ca="1">'Dues summary SOBHA'!$F53/'Dues summary SOBHA'!$D53</f>
        <v>9.0746577147326951E-2</v>
      </c>
      <c r="L53" s="108">
        <f ca="1">'Dues summary SOBHA'!$G53/'Dues summary SOBHA'!$D53</f>
        <v>3.8183616466187016E-2</v>
      </c>
      <c r="M53" s="108">
        <f ca="1">$H53/'Dues summary SOBHA'!$D53</f>
        <v>1.9968288984549446E-2</v>
      </c>
      <c r="N53" s="109">
        <f ca="1">$I53/'Dues summary SOBHA'!$D53</f>
        <v>8.116913594664435E-2</v>
      </c>
      <c r="O53" s="122"/>
      <c r="P53" s="103"/>
      <c r="Q53" s="104"/>
      <c r="R53" s="104"/>
      <c r="S53" s="104"/>
      <c r="T53" s="104"/>
      <c r="U53" s="105"/>
      <c r="V53" s="105"/>
      <c r="W53" s="105"/>
    </row>
    <row r="54" spans="1:23" x14ac:dyDescent="0.25">
      <c r="A54" s="88">
        <v>2024</v>
      </c>
      <c r="B54" t="s">
        <v>80</v>
      </c>
      <c r="C54" s="98" t="s">
        <v>38</v>
      </c>
      <c r="D54" s="99">
        <v>520302545.01000023</v>
      </c>
      <c r="E54" s="99">
        <v>391341807.03000009</v>
      </c>
      <c r="F54" s="99">
        <v>49871392.519999988</v>
      </c>
      <c r="G54" s="99">
        <v>22581522.48</v>
      </c>
      <c r="H54" s="99">
        <v>11649809.220000001</v>
      </c>
      <c r="I54" s="99">
        <v>44858013.759999938</v>
      </c>
      <c r="J54" s="100">
        <f ca="1">'Dues summary SOBHA'!$E54/'Dues summary SOBHA'!$D54</f>
        <v>0.75214278842798754</v>
      </c>
      <c r="K54" s="100">
        <f ca="1">'Dues summary SOBHA'!$F54/'Dues summary SOBHA'!$D54</f>
        <v>9.5850756446024032E-2</v>
      </c>
      <c r="L54" s="100">
        <f ca="1">'Dues summary SOBHA'!$G54/'Dues summary SOBHA'!$D54</f>
        <v>4.3400753458866868E-2</v>
      </c>
      <c r="M54" s="100">
        <f ca="1">$H54/'Dues summary SOBHA'!$D54</f>
        <v>2.2390452116231894E-2</v>
      </c>
      <c r="N54" s="101">
        <f ca="1">$I54/'Dues summary SOBHA'!$D54</f>
        <v>8.6215249550889217E-2</v>
      </c>
      <c r="O54" s="122"/>
      <c r="P54" s="103"/>
      <c r="Q54" s="104"/>
      <c r="R54" s="104"/>
      <c r="S54" s="104"/>
      <c r="T54" s="104"/>
      <c r="U54" s="105"/>
      <c r="V54" s="105"/>
      <c r="W54" s="105"/>
    </row>
    <row r="55" spans="1:23" x14ac:dyDescent="0.25">
      <c r="A55" s="88">
        <v>2024</v>
      </c>
      <c r="B55" t="s">
        <v>81</v>
      </c>
      <c r="C55" s="106" t="s">
        <v>39</v>
      </c>
      <c r="D55" s="107">
        <v>499501269.77000016</v>
      </c>
      <c r="E55" s="107">
        <v>357228970.99999994</v>
      </c>
      <c r="F55" s="107">
        <v>64019912.170000002</v>
      </c>
      <c r="G55" s="107">
        <v>22246822.809999991</v>
      </c>
      <c r="H55" s="107">
        <v>13021846.74</v>
      </c>
      <c r="I55" s="107">
        <v>42983717.050000042</v>
      </c>
      <c r="J55" s="108">
        <f ca="1">'Dues summary SOBHA'!$E55/'Dues summary SOBHA'!$D55</f>
        <v>0.71517129709097482</v>
      </c>
      <c r="K55" s="108">
        <f ca="1">'Dues summary SOBHA'!$F55/'Dues summary SOBHA'!$D55</f>
        <v>0.12816766651960373</v>
      </c>
      <c r="L55" s="108">
        <f ca="1">'Dues summary SOBHA'!$G55/'Dues summary SOBHA'!$D55</f>
        <v>4.453807058437257E-2</v>
      </c>
      <c r="M55" s="108">
        <f ca="1">$H55/'Dues summary SOBHA'!$D55</f>
        <v>2.6069696971933679E-2</v>
      </c>
      <c r="N55" s="109">
        <f ca="1">$I55/'Dues summary SOBHA'!$D55</f>
        <v>8.6053268833114843E-2</v>
      </c>
      <c r="O55" s="122"/>
      <c r="P55" s="103"/>
      <c r="Q55" s="104"/>
      <c r="R55" s="104"/>
      <c r="S55" s="104"/>
      <c r="T55" s="104"/>
      <c r="U55" s="105"/>
      <c r="V55" s="105"/>
      <c r="W55" s="105"/>
    </row>
    <row r="56" spans="1:23" x14ac:dyDescent="0.25">
      <c r="A56" s="88"/>
      <c r="C56" s="115" t="s">
        <v>24</v>
      </c>
      <c r="D56" s="116">
        <f t="shared" ref="D56:I56" ca="1" si="1">SUM(D44:D55)</f>
        <v>5436351819.8700018</v>
      </c>
      <c r="E56" s="116">
        <f t="shared" ca="1" si="1"/>
        <v>3413652088.2500005</v>
      </c>
      <c r="F56" s="116">
        <f t="shared" ca="1" si="1"/>
        <v>697721195.76999998</v>
      </c>
      <c r="G56" s="116">
        <f t="shared" ca="1" si="1"/>
        <v>337317213.09000003</v>
      </c>
      <c r="H56" s="116">
        <f t="shared" ca="1" si="1"/>
        <v>209846288.70000002</v>
      </c>
      <c r="I56" s="116">
        <f t="shared" ca="1" si="1"/>
        <v>777815034.0599997</v>
      </c>
      <c r="J56" s="117">
        <f ca="1">'Dues summary SOBHA'!$E56/'Dues summary SOBHA'!$D56</f>
        <v>0.62793067876383879</v>
      </c>
      <c r="K56" s="117">
        <f ca="1">'Dues summary SOBHA'!$F56/'Dues summary SOBHA'!$D56</f>
        <v>0.12834364273846507</v>
      </c>
      <c r="L56" s="117">
        <f ca="1">'Dues summary SOBHA'!$G56/'Dues summary SOBHA'!$D56</f>
        <v>6.2048451657800582E-2</v>
      </c>
      <c r="M56" s="117">
        <f ca="1">$H56/'Dues summary SOBHA'!$D56</f>
        <v>3.8600571790259525E-2</v>
      </c>
      <c r="N56" s="118">
        <f ca="1">$I56/'Dues summary SOBHA'!$D56</f>
        <v>0.14307665504963574</v>
      </c>
      <c r="O56" s="122"/>
      <c r="P56" s="103"/>
      <c r="Q56" s="104"/>
      <c r="R56" s="104"/>
      <c r="S56" s="104"/>
      <c r="T56" s="104"/>
      <c r="U56" s="105"/>
      <c r="V56" s="105"/>
      <c r="W56" s="105"/>
    </row>
    <row r="57" spans="1:23" x14ac:dyDescent="0.25">
      <c r="A57" s="88">
        <v>2025</v>
      </c>
      <c r="B57" t="s">
        <v>70</v>
      </c>
      <c r="C57" s="106" t="s">
        <v>41</v>
      </c>
      <c r="D57" s="107">
        <v>540091274.25999975</v>
      </c>
      <c r="E57" s="107">
        <v>383749194.90000004</v>
      </c>
      <c r="F57" s="107">
        <v>66643924.71000006</v>
      </c>
      <c r="G57" s="107">
        <v>27553641.879999992</v>
      </c>
      <c r="H57" s="107">
        <v>16930870.710000005</v>
      </c>
      <c r="I57" s="107">
        <v>45213642.059999973</v>
      </c>
      <c r="J57" s="108">
        <f ca="1">'Dues summary SOBHA'!$E57/'Dues summary SOBHA'!$D57</f>
        <v>0.7105265594705078</v>
      </c>
      <c r="K57" s="108">
        <f ca="1">'Dues summary SOBHA'!$F57/'Dues summary SOBHA'!$D57</f>
        <v>0.12339381857503903</v>
      </c>
      <c r="L57" s="108">
        <f ca="1">'Dues summary SOBHA'!$G57/'Dues summary SOBHA'!$D57</f>
        <v>5.1016639581434299E-2</v>
      </c>
      <c r="M57" s="108">
        <f ca="1">$H57/'Dues summary SOBHA'!$D57</f>
        <v>3.1348165609965936E-2</v>
      </c>
      <c r="N57" s="109">
        <f ca="1">$I57/'Dues summary SOBHA'!$D57</f>
        <v>8.3714816763053534E-2</v>
      </c>
      <c r="O57" s="122"/>
      <c r="P57" s="103"/>
      <c r="Q57" s="104"/>
      <c r="R57" s="104"/>
      <c r="S57" s="104"/>
      <c r="T57" s="104"/>
      <c r="U57" s="105"/>
      <c r="V57" s="105"/>
      <c r="W57" s="105"/>
    </row>
    <row r="58" spans="1:23" x14ac:dyDescent="0.25">
      <c r="A58" s="88">
        <v>2025</v>
      </c>
      <c r="B58" t="s">
        <v>71</v>
      </c>
      <c r="C58" s="98" t="s">
        <v>42</v>
      </c>
      <c r="D58" s="99">
        <v>579274935.01000023</v>
      </c>
      <c r="E58" s="99">
        <v>437980700.2900008</v>
      </c>
      <c r="F58" s="99">
        <v>47046184.890000001</v>
      </c>
      <c r="G58" s="99">
        <v>28853999.640000001</v>
      </c>
      <c r="H58" s="99">
        <v>19418471.379999999</v>
      </c>
      <c r="I58" s="99">
        <v>45975578.809999943</v>
      </c>
      <c r="J58" s="100">
        <f ca="1">'Dues summary SOBHA'!$E58/'Dues summary SOBHA'!$D58</f>
        <v>0.75608432856229102</v>
      </c>
      <c r="K58" s="100">
        <f ca="1">'Dues summary SOBHA'!$F58/'Dues summary SOBHA'!$D58</f>
        <v>8.1215640530325775E-2</v>
      </c>
      <c r="L58" s="100">
        <f ca="1">'Dues summary SOBHA'!$G58/'Dues summary SOBHA'!$D58</f>
        <v>4.981054400274005E-2</v>
      </c>
      <c r="M58" s="100">
        <f ca="1">$H58/'Dues summary SOBHA'!$D58</f>
        <v>3.3522029361869023E-2</v>
      </c>
      <c r="N58" s="101">
        <f ca="1">$I58/'Dues summary SOBHA'!$D58</f>
        <v>7.9367457542775008E-2</v>
      </c>
      <c r="O58" s="122"/>
      <c r="P58" s="103"/>
      <c r="Q58" s="104"/>
      <c r="R58" s="104"/>
      <c r="S58" s="104"/>
      <c r="T58" s="104"/>
      <c r="U58" s="105"/>
      <c r="V58" s="105"/>
      <c r="W58" s="105"/>
    </row>
    <row r="59" spans="1:23" x14ac:dyDescent="0.25">
      <c r="A59" s="88">
        <v>2025</v>
      </c>
      <c r="B59" t="s">
        <v>72</v>
      </c>
      <c r="C59" s="106" t="s">
        <v>43</v>
      </c>
      <c r="D59" s="107">
        <v>602322317.54999995</v>
      </c>
      <c r="E59" s="107">
        <v>473562767.06999969</v>
      </c>
      <c r="F59" s="107">
        <v>50626344.460000023</v>
      </c>
      <c r="G59" s="107">
        <v>19344416.170000002</v>
      </c>
      <c r="H59" s="107">
        <v>15764655.920000002</v>
      </c>
      <c r="I59" s="107">
        <v>43024133.929999925</v>
      </c>
      <c r="J59" s="108">
        <f ca="1">'Dues summary SOBHA'!$E59/'Dues summary SOBHA'!$D59</f>
        <v>0.78622815936201518</v>
      </c>
      <c r="K59" s="108">
        <f ca="1">'Dues summary SOBHA'!$F59/'Dues summary SOBHA'!$D59</f>
        <v>8.4051915369709726E-2</v>
      </c>
      <c r="L59" s="108">
        <f ca="1">'Dues summary SOBHA'!$G59/'Dues summary SOBHA'!$D59</f>
        <v>3.2116386204458024E-2</v>
      </c>
      <c r="M59" s="108">
        <f ca="1">$H59/'Dues summary SOBHA'!$D59</f>
        <v>2.6173122696373188E-2</v>
      </c>
      <c r="N59" s="109">
        <f ca="1">$I59/'Dues summary SOBHA'!$D59</f>
        <v>7.143041636744335E-2</v>
      </c>
      <c r="O59" s="122"/>
      <c r="P59" s="103"/>
      <c r="Q59" s="104"/>
      <c r="R59" s="104"/>
      <c r="S59" s="104"/>
      <c r="T59" s="104"/>
      <c r="U59" s="105"/>
      <c r="V59" s="105"/>
      <c r="W59" s="105"/>
    </row>
    <row r="60" spans="1:23" x14ac:dyDescent="0.25">
      <c r="A60" s="88">
        <v>2025</v>
      </c>
      <c r="B60" t="s">
        <v>73</v>
      </c>
      <c r="C60" s="98" t="s">
        <v>44</v>
      </c>
      <c r="D60" s="99">
        <v>782621168.75</v>
      </c>
      <c r="E60" s="99">
        <v>636665894.42999923</v>
      </c>
      <c r="F60" s="99">
        <v>64853034.600000001</v>
      </c>
      <c r="G60" s="99">
        <v>24205920.52</v>
      </c>
      <c r="H60" s="99">
        <v>12391149.639999999</v>
      </c>
      <c r="I60" s="99">
        <v>44505169.560000062</v>
      </c>
      <c r="J60" s="100">
        <f ca="1">'Dues summary SOBHA'!$E60/'Dues summary SOBHA'!$D60</f>
        <v>0.81350456626017409</v>
      </c>
      <c r="K60" s="100">
        <f ca="1">'Dues summary SOBHA'!$F60/'Dues summary SOBHA'!$D60</f>
        <v>8.2866445720581591E-2</v>
      </c>
      <c r="L60" s="100">
        <f ca="1">'Dues summary SOBHA'!$G60/'Dues summary SOBHA'!$D60</f>
        <v>3.0929294384742515E-2</v>
      </c>
      <c r="M60" s="100">
        <f ca="1">$H60/'Dues summary SOBHA'!$D60</f>
        <v>1.5832883309035845E-2</v>
      </c>
      <c r="N60" s="101">
        <f ca="1">$I60/'Dues summary SOBHA'!$D60</f>
        <v>5.6866810325465096E-2</v>
      </c>
      <c r="O60" s="122"/>
      <c r="P60" s="103"/>
      <c r="Q60" s="104"/>
      <c r="R60" s="104"/>
      <c r="S60" s="104"/>
      <c r="T60" s="104"/>
      <c r="U60" s="105"/>
      <c r="V60" s="105"/>
      <c r="W60" s="105"/>
    </row>
    <row r="61" spans="1:23" x14ac:dyDescent="0.25">
      <c r="A61" s="88">
        <v>2025</v>
      </c>
      <c r="B61" t="s">
        <v>74</v>
      </c>
      <c r="C61" s="106" t="s">
        <v>45</v>
      </c>
      <c r="D61" s="107">
        <v>947354672.80999947</v>
      </c>
      <c r="E61" s="107">
        <v>669507133.17000055</v>
      </c>
      <c r="F61" s="107">
        <v>170965927.97000003</v>
      </c>
      <c r="G61" s="107">
        <v>39899444.829999998</v>
      </c>
      <c r="H61" s="107">
        <v>13476067.07</v>
      </c>
      <c r="I61" s="107">
        <v>53506099.770000063</v>
      </c>
      <c r="J61" s="108">
        <f ca="1">'Dues summary SOBHA'!$E61/'Dues summary SOBHA'!$D61</f>
        <v>0.70671222973349523</v>
      </c>
      <c r="K61" s="108">
        <f ca="1">'Dues summary SOBHA'!$F61/'Dues summary SOBHA'!$D61</f>
        <v>0.1804666540176435</v>
      </c>
      <c r="L61" s="108">
        <f ca="1">'Dues summary SOBHA'!$G61/'Dues summary SOBHA'!$D61</f>
        <v>4.2116691852748363E-2</v>
      </c>
      <c r="M61" s="108">
        <f ca="1">$H61/'Dues summary SOBHA'!$D61</f>
        <v>1.4224943895645667E-2</v>
      </c>
      <c r="N61" s="109">
        <f ca="1">$I61/'Dues summary SOBHA'!$D61</f>
        <v>5.6479480500468478E-2</v>
      </c>
      <c r="O61" s="122"/>
      <c r="P61" s="103"/>
      <c r="Q61" s="104"/>
      <c r="R61" s="104"/>
      <c r="S61" s="104"/>
      <c r="T61" s="104"/>
      <c r="U61" s="105"/>
      <c r="V61" s="105"/>
      <c r="W61" s="105"/>
    </row>
    <row r="62" spans="1:23" x14ac:dyDescent="0.25">
      <c r="A62" s="88">
        <v>2025</v>
      </c>
      <c r="B62" t="s">
        <v>75</v>
      </c>
      <c r="C62" s="98" t="s">
        <v>46</v>
      </c>
      <c r="D62" s="99">
        <v>753978750.54999888</v>
      </c>
      <c r="E62" s="99">
        <v>510728239.72999954</v>
      </c>
      <c r="F62" s="99">
        <v>87279695.310000017</v>
      </c>
      <c r="G62" s="99">
        <v>99226807.799999982</v>
      </c>
      <c r="H62" s="99">
        <v>13654652.690000009</v>
      </c>
      <c r="I62" s="99">
        <v>43089355.019999973</v>
      </c>
      <c r="J62" s="100">
        <f ca="1">'Dues summary SOBHA'!$E62/'Dues summary SOBHA'!$D62</f>
        <v>0.67737749818206772</v>
      </c>
      <c r="K62" s="100">
        <f ca="1">'Dues summary SOBHA'!$F62/'Dues summary SOBHA'!$D62</f>
        <v>0.11575882642094726</v>
      </c>
      <c r="L62" s="100">
        <f ca="1">'Dues summary SOBHA'!$G62/'Dues summary SOBHA'!$D62</f>
        <v>0.13160424975852145</v>
      </c>
      <c r="M62" s="100">
        <f ca="1">$H62/'Dues summary SOBHA'!$D62</f>
        <v>1.8110129337251823E-2</v>
      </c>
      <c r="N62" s="101">
        <f ca="1">$I62/'Dues summary SOBHA'!$D62</f>
        <v>5.7149296301212633E-2</v>
      </c>
      <c r="O62" s="122"/>
      <c r="P62" s="103"/>
      <c r="Q62" s="104"/>
      <c r="R62" s="104"/>
      <c r="S62" s="104"/>
      <c r="T62" s="104"/>
      <c r="U62" s="105"/>
      <c r="V62" s="105"/>
      <c r="W62" s="105"/>
    </row>
    <row r="63" spans="1:23" x14ac:dyDescent="0.25">
      <c r="A63" s="88">
        <v>2025</v>
      </c>
      <c r="B63" t="s">
        <v>76</v>
      </c>
      <c r="C63" s="106" t="s">
        <v>47</v>
      </c>
      <c r="D63" s="107">
        <v>868361402.26000106</v>
      </c>
      <c r="E63" s="107">
        <v>512892121.29999942</v>
      </c>
      <c r="F63" s="107">
        <v>56097469.149999991</v>
      </c>
      <c r="G63" s="107">
        <v>49373792.250000015</v>
      </c>
      <c r="H63" s="107">
        <v>196545654.52000013</v>
      </c>
      <c r="I63" s="107">
        <v>53452365.039999917</v>
      </c>
      <c r="J63" s="108">
        <f ca="1">'Dues summary SOBHA'!$E63/'Dues summary SOBHA'!$D63</f>
        <v>0.59064361907973362</v>
      </c>
      <c r="K63" s="108">
        <f ca="1">'Dues summary SOBHA'!$F63/'Dues summary SOBHA'!$D63</f>
        <v>6.4601523057105578E-2</v>
      </c>
      <c r="L63" s="108">
        <f ca="1">'Dues summary SOBHA'!$G63/'Dues summary SOBHA'!$D63</f>
        <v>5.6858575382898839E-2</v>
      </c>
      <c r="M63" s="108">
        <f ca="1">$H63/'Dues summary SOBHA'!$D63</f>
        <v>0.22634084611369135</v>
      </c>
      <c r="N63" s="109">
        <f ca="1">$I63/'Dues summary SOBHA'!$D63</f>
        <v>6.1555436366568766E-2</v>
      </c>
      <c r="O63" s="122"/>
      <c r="P63" s="103"/>
      <c r="Q63" s="104"/>
      <c r="R63" s="104"/>
      <c r="S63" s="104"/>
      <c r="T63" s="104"/>
      <c r="U63" s="105"/>
      <c r="V63" s="105"/>
      <c r="W63" s="105"/>
    </row>
    <row r="64" spans="1:23" x14ac:dyDescent="0.25">
      <c r="A64" s="88">
        <v>2025</v>
      </c>
      <c r="B64" t="s">
        <v>77</v>
      </c>
      <c r="C64" s="98" t="s">
        <v>48</v>
      </c>
      <c r="D64" s="99">
        <v>646698455.77999866</v>
      </c>
      <c r="E64" s="99">
        <v>453707919.73000038</v>
      </c>
      <c r="F64" s="99">
        <v>41685057.549999982</v>
      </c>
      <c r="G64" s="99">
        <v>34305134.320000023</v>
      </c>
      <c r="H64" s="99">
        <v>31886559.739999998</v>
      </c>
      <c r="I64" s="99">
        <v>85113784.439999938</v>
      </c>
      <c r="J64" s="100">
        <f ca="1">'Dues summary SOBHA'!$E64/'Dues summary SOBHA'!$D64</f>
        <v>0.70157569679484122</v>
      </c>
      <c r="K64" s="100">
        <f ca="1">'Dues summary SOBHA'!$F64/'Dues summary SOBHA'!$D64</f>
        <v>6.4458260534614426E-2</v>
      </c>
      <c r="L64" s="100">
        <f ca="1">'Dues summary SOBHA'!$G64/'Dues summary SOBHA'!$D64</f>
        <v>5.3046569097839842E-2</v>
      </c>
      <c r="M64" s="100">
        <f ca="1">$H64/'Dues summary SOBHA'!$D64</f>
        <v>4.9306689160933358E-2</v>
      </c>
      <c r="N64" s="101">
        <f ca="1">$I64/'Dues summary SOBHA'!$D64</f>
        <v>0.13161278441177371</v>
      </c>
      <c r="O64" s="122"/>
      <c r="P64" s="103"/>
      <c r="Q64" s="104"/>
      <c r="R64" s="104"/>
      <c r="S64" s="104"/>
      <c r="T64" s="104"/>
      <c r="U64" s="105"/>
      <c r="V64" s="105"/>
      <c r="W64" s="105"/>
    </row>
    <row r="65" spans="1:26" x14ac:dyDescent="0.25">
      <c r="A65" s="88">
        <v>2025</v>
      </c>
      <c r="B65" t="s">
        <v>78</v>
      </c>
      <c r="C65" s="106" t="s">
        <v>49</v>
      </c>
      <c r="D65" s="107">
        <v>658166529.11000013</v>
      </c>
      <c r="E65" s="107">
        <v>513797845.4999994</v>
      </c>
      <c r="F65" s="107">
        <v>48160988.499999993</v>
      </c>
      <c r="G65" s="107">
        <v>21530049.719999995</v>
      </c>
      <c r="H65" s="107">
        <v>18804477.010000009</v>
      </c>
      <c r="I65" s="107">
        <v>55873168.379999965</v>
      </c>
      <c r="J65" s="108">
        <f ca="1">'Dues summary SOBHA'!$E65/'Dues summary SOBHA'!$D65</f>
        <v>0.78065021962568959</v>
      </c>
      <c r="K65" s="108">
        <f ca="1">'Dues summary SOBHA'!$F65/'Dues summary SOBHA'!$D65</f>
        <v>7.3174472371187363E-2</v>
      </c>
      <c r="L65" s="108">
        <f ca="1">'Dues summary SOBHA'!$G65/'Dues summary SOBHA'!$D65</f>
        <v>3.2712161387352549E-2</v>
      </c>
      <c r="M65" s="108">
        <f ca="1">$H65/'Dues summary SOBHA'!$D65</f>
        <v>2.8571001681638532E-2</v>
      </c>
      <c r="N65" s="109">
        <f ca="1">$I65/'Dues summary SOBHA'!$D65</f>
        <v>8.4892144934130831E-2</v>
      </c>
      <c r="O65" s="122"/>
      <c r="P65" s="103"/>
      <c r="Q65" s="104"/>
      <c r="R65" s="104"/>
      <c r="S65" s="104"/>
      <c r="T65" s="104"/>
      <c r="U65" s="105"/>
      <c r="V65" s="105"/>
      <c r="W65" s="105"/>
    </row>
    <row r="66" spans="1:26" x14ac:dyDescent="0.25">
      <c r="A66" s="88">
        <v>2025</v>
      </c>
      <c r="B66" t="s">
        <v>79</v>
      </c>
      <c r="C66" s="98" t="s">
        <v>50</v>
      </c>
      <c r="D66" s="99">
        <v>740254068.45000148</v>
      </c>
      <c r="E66" s="99">
        <v>547147591.00000107</v>
      </c>
      <c r="F66" s="99">
        <v>55694457.530000016</v>
      </c>
      <c r="G66" s="99">
        <v>25013384.050000001</v>
      </c>
      <c r="H66" s="99">
        <v>23905486.760000009</v>
      </c>
      <c r="I66" s="99">
        <v>88493149.110000134</v>
      </c>
      <c r="J66" s="100">
        <f ca="1">'Dues summary SOBHA'!$E66/'Dues summary SOBHA'!$D66</f>
        <v>0.73913486506823123</v>
      </c>
      <c r="K66" s="100">
        <f ca="1">'Dues summary SOBHA'!$F66/'Dues summary SOBHA'!$D66</f>
        <v>7.5236948912171697E-2</v>
      </c>
      <c r="L66" s="100">
        <f ca="1">'Dues summary SOBHA'!$G66/'Dues summary SOBHA'!$D66</f>
        <v>3.3790268930740046E-2</v>
      </c>
      <c r="M66" s="100">
        <f ca="1">$H66/'Dues summary SOBHA'!$D66</f>
        <v>3.2293624282342788E-2</v>
      </c>
      <c r="N66" s="101">
        <f ca="1">$I66/'Dues summary SOBHA'!$D66</f>
        <v>0.11954429280651387</v>
      </c>
      <c r="O66" s="122"/>
      <c r="P66" s="103"/>
      <c r="Q66" s="104"/>
      <c r="R66" s="104"/>
      <c r="S66" s="104"/>
      <c r="T66" s="104"/>
      <c r="U66" s="105"/>
      <c r="V66" s="105"/>
      <c r="W66" s="105"/>
    </row>
    <row r="67" spans="1:26" x14ac:dyDescent="0.25">
      <c r="A67" s="88">
        <v>2025</v>
      </c>
      <c r="B67" t="s">
        <v>80</v>
      </c>
      <c r="C67" s="106" t="s">
        <v>51</v>
      </c>
      <c r="D67" s="107">
        <v>632049926.2299974</v>
      </c>
      <c r="E67" s="107">
        <v>478988573.68000144</v>
      </c>
      <c r="F67" s="107">
        <v>79825275.040000051</v>
      </c>
      <c r="G67" s="107">
        <v>12198458.970000003</v>
      </c>
      <c r="H67" s="107">
        <v>12102706.57000001</v>
      </c>
      <c r="I67" s="107">
        <v>48934911.969999954</v>
      </c>
      <c r="J67" s="108">
        <f ca="1">'Dues summary SOBHA'!$E67/'Dues summary SOBHA'!$D67</f>
        <v>0.7578334460649897</v>
      </c>
      <c r="K67" s="108">
        <f ca="1">'Dues summary SOBHA'!$F67/'Dues summary SOBHA'!$D67</f>
        <v>0.12629583791922214</v>
      </c>
      <c r="L67" s="108">
        <f ca="1">'Dues summary SOBHA'!$G67/'Dues summary SOBHA'!$D67</f>
        <v>1.9299834496873419E-2</v>
      </c>
      <c r="M67" s="108">
        <f ca="1">$H67/'Dues summary SOBHA'!$D67</f>
        <v>1.9148339502528384E-2</v>
      </c>
      <c r="N67" s="109">
        <f ca="1">$I67/'Dues summary SOBHA'!$D67</f>
        <v>7.7422542016392815E-2</v>
      </c>
      <c r="O67" s="122"/>
      <c r="P67" s="103"/>
      <c r="Q67" s="104"/>
      <c r="R67" s="104"/>
      <c r="S67" s="104"/>
      <c r="T67" s="104"/>
      <c r="U67" s="105"/>
      <c r="V67" s="105"/>
      <c r="W67" s="105"/>
    </row>
    <row r="68" spans="1:26" x14ac:dyDescent="0.25">
      <c r="A68" s="88">
        <v>2025</v>
      </c>
      <c r="B68" t="s">
        <v>81</v>
      </c>
      <c r="C68" s="98" t="s">
        <v>52</v>
      </c>
      <c r="D68" s="99">
        <v>581916580.78999853</v>
      </c>
      <c r="E68" s="99">
        <v>435332791.19999987</v>
      </c>
      <c r="F68" s="99">
        <v>52676213.729999997</v>
      </c>
      <c r="G68" s="99">
        <v>93907575.860000059</v>
      </c>
      <c r="H68" s="99">
        <v>93907575.860000059</v>
      </c>
      <c r="I68" s="99">
        <v>93907575.860000059</v>
      </c>
      <c r="J68" s="100">
        <f ca="1">'Dues summary SOBHA'!$E68/'Dues summary SOBHA'!$D68</f>
        <v>0.74810171349474286</v>
      </c>
      <c r="K68" s="100">
        <f ca="1">'Dues summary SOBHA'!$F68/'Dues summary SOBHA'!$D68</f>
        <v>9.0521932986490611E-2</v>
      </c>
      <c r="L68" s="100">
        <f ca="1">'Dues summary SOBHA'!$G68/'Dues summary SOBHA'!$D68</f>
        <v>0.16137635351876892</v>
      </c>
      <c r="M68" s="100">
        <f ca="1">$H68/'Dues summary SOBHA'!$D68</f>
        <v>0.16137635351876892</v>
      </c>
      <c r="N68" s="101">
        <f ca="1">$I68/'Dues summary SOBHA'!$D68</f>
        <v>0.16137635351876892</v>
      </c>
      <c r="O68" s="123"/>
      <c r="P68" s="103"/>
      <c r="Q68" s="104"/>
      <c r="R68" s="104"/>
      <c r="S68" s="104"/>
      <c r="T68" s="104"/>
      <c r="U68" s="105"/>
      <c r="V68" s="105"/>
      <c r="W68" s="105"/>
    </row>
    <row r="69" spans="1:26" x14ac:dyDescent="0.25">
      <c r="A69" s="88"/>
      <c r="C69" s="115" t="s">
        <v>40</v>
      </c>
      <c r="D69" s="116">
        <f t="shared" ref="D69:I69" ca="1" si="2">SUM(D57:D68)</f>
        <v>8333090081.5499954</v>
      </c>
      <c r="E69" s="116">
        <f t="shared" ca="1" si="2"/>
        <v>6054060772.000001</v>
      </c>
      <c r="F69" s="116">
        <f t="shared" ca="1" si="2"/>
        <v>821554573.44000018</v>
      </c>
      <c r="G69" s="116">
        <f t="shared" ca="1" si="2"/>
        <v>475412626.01000005</v>
      </c>
      <c r="H69" s="116">
        <f t="shared" ca="1" si="2"/>
        <v>468788327.87000018</v>
      </c>
      <c r="I69" s="116">
        <f t="shared" ca="1" si="2"/>
        <v>701088933.94999981</v>
      </c>
      <c r="J69" s="117">
        <f ca="1">'Dues summary SOBHA'!$E69/'Dues summary SOBHA'!$D69</f>
        <v>0.72650849957857599</v>
      </c>
      <c r="K69" s="117">
        <f ca="1">'Dues summary SOBHA'!$F69/'Dues summary SOBHA'!$D69</f>
        <v>9.8589426659262402E-2</v>
      </c>
      <c r="L69" s="117">
        <f ca="1">'Dues summary SOBHA'!$G69/'Dues summary SOBHA'!$D69</f>
        <v>5.705118045736654E-2</v>
      </c>
      <c r="M69" s="117">
        <f ca="1">$H69/'Dues summary SOBHA'!$D69</f>
        <v>5.6256241476127573E-2</v>
      </c>
      <c r="N69" s="118">
        <f ca="1">$I69/'Dues summary SOBHA'!$D69</f>
        <v>8.413312793800902E-2</v>
      </c>
      <c r="O69" s="122"/>
      <c r="P69" s="103"/>
      <c r="Q69" s="104"/>
      <c r="R69" s="104"/>
      <c r="S69" s="104"/>
      <c r="T69" s="104"/>
      <c r="U69" s="105"/>
      <c r="V69" s="105"/>
      <c r="W69" s="105"/>
    </row>
    <row r="70" spans="1:26" x14ac:dyDescent="0.25">
      <c r="A70" s="88">
        <v>2026</v>
      </c>
      <c r="B70" t="s">
        <v>70</v>
      </c>
      <c r="C70" s="106" t="s">
        <v>54</v>
      </c>
      <c r="D70" s="107">
        <v>640021781.86000001</v>
      </c>
      <c r="E70" s="107">
        <v>503371829.8500002</v>
      </c>
      <c r="F70" s="107">
        <v>32933547.079999987</v>
      </c>
      <c r="G70" s="107">
        <v>28361200.209999997</v>
      </c>
      <c r="H70" s="107">
        <v>22214937.369999997</v>
      </c>
      <c r="I70" s="107">
        <v>53140267.350000076</v>
      </c>
      <c r="J70" s="108">
        <f ca="1">'Dues summary SOBHA'!$E70/'Dues summary SOBHA'!$D70</f>
        <v>0.78649171655865457</v>
      </c>
      <c r="K70" s="108">
        <f ca="1">'Dues summary SOBHA'!$F70/'Dues summary SOBHA'!$D70</f>
        <v>5.1456916019780016E-2</v>
      </c>
      <c r="L70" s="108">
        <f ca="1">'Dues summary SOBHA'!$G70/'Dues summary SOBHA'!$D70</f>
        <v>4.4312867177079607E-2</v>
      </c>
      <c r="M70" s="108">
        <f ca="1">$H70/'Dues summary SOBHA'!$D70</f>
        <v>3.4709658326690124E-2</v>
      </c>
      <c r="N70" s="109">
        <f ca="1">$I70/'Dues summary SOBHA'!$D70</f>
        <v>8.3028841917796026E-2</v>
      </c>
      <c r="O70" s="122"/>
      <c r="P70" s="103"/>
      <c r="Q70" s="104"/>
      <c r="R70" s="104"/>
      <c r="S70" s="104"/>
      <c r="T70" s="104"/>
      <c r="U70" s="105"/>
      <c r="V70" s="105"/>
      <c r="W70" s="105"/>
    </row>
    <row r="71" spans="1:26" x14ac:dyDescent="0.25">
      <c r="A71" s="88">
        <v>2026</v>
      </c>
      <c r="B71" t="s">
        <v>71</v>
      </c>
      <c r="C71" s="98" t="s">
        <v>55</v>
      </c>
      <c r="D71" s="99">
        <v>543898877.21999979</v>
      </c>
      <c r="E71" s="99">
        <v>401673467.32999969</v>
      </c>
      <c r="F71" s="99">
        <v>41667215.239999995</v>
      </c>
      <c r="G71" s="99">
        <v>16395066.039999999</v>
      </c>
      <c r="H71" s="99">
        <v>8924981.6300000027</v>
      </c>
      <c r="I71" s="99">
        <v>75238146.980000034</v>
      </c>
      <c r="J71" s="100">
        <f ca="1">'Dues summary SOBHA'!$E71/'Dues summary SOBHA'!$D71</f>
        <v>0.73850762366536038</v>
      </c>
      <c r="K71" s="100">
        <f ca="1">'Dues summary SOBHA'!$F71/'Dues summary SOBHA'!$D71</f>
        <v>7.6608386200338052E-2</v>
      </c>
      <c r="L71" s="100">
        <f ca="1">'Dues summary SOBHA'!$G71/'Dues summary SOBHA'!$D71</f>
        <v>3.0143592360034263E-2</v>
      </c>
      <c r="M71" s="100">
        <f ca="1">$H71/'Dues summary SOBHA'!$D71</f>
        <v>1.6409266508542485E-2</v>
      </c>
      <c r="N71" s="101">
        <f ca="1">$I71/'Dues summary SOBHA'!$D71</f>
        <v>0.13833113126572463</v>
      </c>
      <c r="O71" s="122"/>
      <c r="P71" s="103"/>
      <c r="Q71" s="104"/>
      <c r="R71" s="104"/>
      <c r="S71" s="104"/>
      <c r="T71" s="104"/>
      <c r="U71" s="105"/>
      <c r="V71" s="105"/>
      <c r="W71" s="105"/>
    </row>
    <row r="72" spans="1:26" x14ac:dyDescent="0.25">
      <c r="A72" s="88">
        <v>2026</v>
      </c>
      <c r="B72" t="s">
        <v>72</v>
      </c>
      <c r="C72" s="106" t="s">
        <v>56</v>
      </c>
      <c r="D72" s="107">
        <v>484682821.24000007</v>
      </c>
      <c r="E72" s="107">
        <v>400277976.41999984</v>
      </c>
      <c r="F72" s="107">
        <v>36771100.749999993</v>
      </c>
      <c r="G72" s="107">
        <v>14078002.870000001</v>
      </c>
      <c r="H72" s="107">
        <v>8842566.1900000051</v>
      </c>
      <c r="I72" s="107">
        <v>24713175.01000002</v>
      </c>
      <c r="J72" s="108">
        <f ca="1">'Dues summary SOBHA'!$E72/'Dues summary SOBHA'!$D72</f>
        <v>0.82585550566025623</v>
      </c>
      <c r="K72" s="108">
        <f ca="1">'Dues summary SOBHA'!$F72/'Dues summary SOBHA'!$D72</f>
        <v>7.5866317390671609E-2</v>
      </c>
      <c r="L72" s="108">
        <f ca="1">'Dues summary SOBHA'!$G72/'Dues summary SOBHA'!$D72</f>
        <v>2.9045805324775489E-2</v>
      </c>
      <c r="M72" s="108">
        <f ca="1">$H72/'Dues summary SOBHA'!$D72</f>
        <v>1.824402640757395E-2</v>
      </c>
      <c r="N72" s="109">
        <f ca="1">$I72/'Dues summary SOBHA'!$D72</f>
        <v>5.0988345216722283E-2</v>
      </c>
      <c r="O72" s="122"/>
      <c r="P72" s="103"/>
      <c r="Q72" s="104"/>
      <c r="R72" s="104"/>
      <c r="S72" s="104"/>
      <c r="T72" s="104"/>
      <c r="U72" s="105"/>
      <c r="V72" s="105"/>
      <c r="W72" s="105"/>
    </row>
    <row r="73" spans="1:26" x14ac:dyDescent="0.25">
      <c r="A73" s="88">
        <v>2026</v>
      </c>
      <c r="B73" t="s">
        <v>73</v>
      </c>
      <c r="C73" s="98" t="s">
        <v>57</v>
      </c>
      <c r="D73" s="99">
        <v>575376111.98999989</v>
      </c>
      <c r="E73" s="99">
        <v>459069377.2300002</v>
      </c>
      <c r="F73" s="99">
        <v>61779496.409999989</v>
      </c>
      <c r="G73" s="99">
        <v>14887829.769999996</v>
      </c>
      <c r="H73" s="99">
        <v>12500824.560000004</v>
      </c>
      <c r="I73" s="99">
        <v>27138584.019999962</v>
      </c>
      <c r="J73" s="100">
        <f ca="1">'Dues summary SOBHA'!$E73/'Dues summary SOBHA'!$D73</f>
        <v>0.79785963939701909</v>
      </c>
      <c r="K73" s="100">
        <f ca="1">'Dues summary SOBHA'!$F73/'Dues summary SOBHA'!$D73</f>
        <v>0.10737236934694593</v>
      </c>
      <c r="L73" s="100">
        <f ca="1">'Dues summary SOBHA'!$G73/'Dues summary SOBHA'!$D73</f>
        <v>2.5874952852159332E-2</v>
      </c>
      <c r="M73" s="100">
        <f ca="1">$H73/'Dues summary SOBHA'!$D73</f>
        <v>2.1726353074973104E-2</v>
      </c>
      <c r="N73" s="101">
        <f ca="1">$I73/'Dues summary SOBHA'!$D73</f>
        <v>4.7166685328902974E-2</v>
      </c>
      <c r="O73" s="122"/>
      <c r="P73" s="103"/>
      <c r="Q73" s="104"/>
      <c r="R73" s="104"/>
      <c r="S73" s="104"/>
      <c r="T73" s="104"/>
      <c r="U73" s="105"/>
      <c r="V73" s="105"/>
      <c r="W73" s="105"/>
    </row>
    <row r="74" spans="1:26" x14ac:dyDescent="0.25">
      <c r="A74" s="88">
        <v>2026</v>
      </c>
      <c r="B74" t="s">
        <v>74</v>
      </c>
      <c r="C74" s="106" t="s">
        <v>58</v>
      </c>
      <c r="D74" s="107">
        <v>106044189.01000002</v>
      </c>
      <c r="E74" s="107">
        <v>81127697.38000001</v>
      </c>
      <c r="F74" s="107">
        <v>10564741.679999998</v>
      </c>
      <c r="G74" s="107">
        <v>711656.33999999962</v>
      </c>
      <c r="H74" s="107">
        <v>860704.60000000009</v>
      </c>
      <c r="I74" s="107">
        <v>12779389.010000004</v>
      </c>
      <c r="J74" s="108">
        <f ca="1">'Dues summary SOBHA'!$E74/'Dues summary SOBHA'!$D74</f>
        <v>0.76503670910576371</v>
      </c>
      <c r="K74" s="108">
        <f ca="1">'Dues summary SOBHA'!$F74/'Dues summary SOBHA'!$D74</f>
        <v>9.9625842572135068E-2</v>
      </c>
      <c r="L74" s="108">
        <f ca="1">'Dues summary SOBHA'!$G74/'Dues summary SOBHA'!$D74</f>
        <v>6.7109414164399908E-3</v>
      </c>
      <c r="M74" s="108">
        <f ca="1">$H74/'Dues summary SOBHA'!$D74</f>
        <v>8.1164711431649991E-3</v>
      </c>
      <c r="N74" s="109">
        <f ca="1">$I74/'Dues summary SOBHA'!$D74</f>
        <v>0.12051003576249615</v>
      </c>
      <c r="O74" s="122"/>
      <c r="P74" s="103"/>
      <c r="Q74" s="104"/>
      <c r="R74" s="104"/>
      <c r="S74" s="104"/>
      <c r="T74" s="104"/>
      <c r="U74" s="105"/>
      <c r="V74" s="105"/>
      <c r="W74" s="105"/>
    </row>
    <row r="75" spans="1:26" ht="15.75" thickBot="1" x14ac:dyDescent="0.3">
      <c r="C75" s="124" t="s">
        <v>59</v>
      </c>
      <c r="D75" s="125">
        <f t="shared" ref="D75:I75" ca="1" si="3">D56+D69+D70+D71+D72+D73+D74</f>
        <v>16119465682.739998</v>
      </c>
      <c r="E75" s="125">
        <f t="shared" ca="1" si="3"/>
        <v>11313233208.460001</v>
      </c>
      <c r="F75" s="125">
        <f t="shared" ca="1" si="3"/>
        <v>1702991870.3700001</v>
      </c>
      <c r="G75" s="125">
        <f t="shared" ca="1" si="3"/>
        <v>887163594.33000016</v>
      </c>
      <c r="H75" s="125">
        <f t="shared" ca="1" si="3"/>
        <v>731978630.92000031</v>
      </c>
      <c r="I75" s="125">
        <f t="shared" ca="1" si="3"/>
        <v>1671913530.3799996</v>
      </c>
      <c r="J75" s="126">
        <f ca="1">'Dues summary'!$E75/'Dues summary'!$D75</f>
        <v>0.71726278668117482</v>
      </c>
      <c r="K75" s="126">
        <f ca="1">'Dues summary'!$F75/'Dues summary'!$D75</f>
        <v>0.10360603800932755</v>
      </c>
      <c r="L75" s="126">
        <f ca="1">'Dues summary'!$G75/'Dues summary'!$D75</f>
        <v>4.8231291253469304E-2</v>
      </c>
      <c r="M75" s="126">
        <f ca="1">$H75/'Dues summary'!$D75</f>
        <v>4.0621525688127109E-2</v>
      </c>
      <c r="N75" s="127">
        <f ca="1">$I75/'Dues summary'!$D75</f>
        <v>9.2783690061139373E-2</v>
      </c>
      <c r="O75" s="128"/>
      <c r="P75" s="129"/>
      <c r="Q75" s="130"/>
      <c r="R75" s="130"/>
      <c r="S75" s="130"/>
      <c r="T75" s="130"/>
      <c r="U75" s="120"/>
      <c r="V75" s="120"/>
      <c r="W75" s="120"/>
    </row>
    <row r="76" spans="1:26" ht="15.75" thickBot="1" x14ac:dyDescent="0.3">
      <c r="C76" s="119"/>
      <c r="D76" s="119"/>
      <c r="E76" s="119"/>
      <c r="F76" s="119"/>
      <c r="G76" s="120"/>
      <c r="H76" s="120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20"/>
      <c r="U76" s="120"/>
      <c r="V76" s="119"/>
      <c r="W76" s="119"/>
      <c r="X76" s="120"/>
      <c r="Y76" s="120"/>
      <c r="Z76" s="120"/>
    </row>
    <row r="77" spans="1:26" ht="22.9" customHeight="1" thickBot="1" x14ac:dyDescent="0.4">
      <c r="C77" s="89" t="str">
        <f ca="1">_xlfn.CONCAT("New sales collection aging ")</f>
        <v xml:space="preserve">New sales collection aging </v>
      </c>
      <c r="D77" s="90"/>
      <c r="E77" s="90"/>
      <c r="F77" s="90"/>
      <c r="G77" s="90"/>
      <c r="H77" s="90"/>
      <c r="I77" s="90"/>
      <c r="J77" s="91"/>
      <c r="K77" s="102"/>
      <c r="L77" s="88"/>
      <c r="M77" s="88"/>
      <c r="N77" s="88"/>
      <c r="O77" s="121"/>
      <c r="P77" s="88"/>
      <c r="Q77" s="121"/>
      <c r="R77" s="88"/>
      <c r="S77" s="88"/>
      <c r="T77" s="88"/>
      <c r="U77" s="88"/>
      <c r="V77" s="88"/>
      <c r="W77" s="88"/>
    </row>
    <row r="78" spans="1:26" ht="60" x14ac:dyDescent="0.25">
      <c r="C78" s="94" t="s">
        <v>282</v>
      </c>
      <c r="D78" s="95" t="s">
        <v>298</v>
      </c>
      <c r="E78" s="95" t="s">
        <v>299</v>
      </c>
      <c r="F78" s="95" t="s">
        <v>300</v>
      </c>
      <c r="G78" s="95" t="s">
        <v>301</v>
      </c>
      <c r="H78" s="131">
        <v>0.3</v>
      </c>
      <c r="I78" s="95" t="s">
        <v>302</v>
      </c>
      <c r="J78" s="96" t="s">
        <v>303</v>
      </c>
      <c r="K78" s="88"/>
      <c r="L78" s="88"/>
      <c r="M78" s="88"/>
      <c r="N78" s="88"/>
      <c r="O78" s="123"/>
      <c r="P78" s="88"/>
      <c r="Q78" s="123"/>
      <c r="R78" s="132"/>
      <c r="S78" s="132"/>
      <c r="T78" s="132"/>
      <c r="U78" s="123"/>
      <c r="V78" s="123"/>
      <c r="W78" s="88"/>
    </row>
    <row r="79" spans="1:26" x14ac:dyDescent="0.25">
      <c r="A79" s="88">
        <v>2024</v>
      </c>
      <c r="B79" t="s">
        <v>70</v>
      </c>
      <c r="C79" s="98" t="s">
        <v>26</v>
      </c>
      <c r="D79" s="99">
        <v>212004087</v>
      </c>
      <c r="E79" s="133">
        <v>208903076</v>
      </c>
      <c r="F79" s="133">
        <v>2629453</v>
      </c>
      <c r="G79" s="133">
        <f ca="1">D79-SUM(E79:F79)</f>
        <v>471558</v>
      </c>
      <c r="H79" s="134">
        <f t="shared" ref="H79:H110" ca="1" si="4">E79/D79</f>
        <v>0.98537287160883835</v>
      </c>
      <c r="I79" s="134">
        <f t="shared" ref="I79:I110" ca="1" si="5">F79/D79</f>
        <v>1.2402841082964595E-2</v>
      </c>
      <c r="J79" s="135">
        <f t="shared" ref="J79:J110" ca="1" si="6">G79/D79</f>
        <v>2.2242873081970349E-3</v>
      </c>
      <c r="K79" s="88"/>
      <c r="L79" s="88"/>
      <c r="M79" s="88"/>
      <c r="N79" s="88"/>
      <c r="O79" s="123"/>
      <c r="P79" s="88"/>
      <c r="Q79" s="123"/>
      <c r="R79" s="132"/>
      <c r="S79" s="132"/>
      <c r="T79" s="132"/>
      <c r="U79" s="123"/>
      <c r="V79" s="123"/>
      <c r="W79" s="88"/>
    </row>
    <row r="80" spans="1:26" x14ac:dyDescent="0.25">
      <c r="A80" s="88">
        <v>2024</v>
      </c>
      <c r="B80" t="s">
        <v>71</v>
      </c>
      <c r="C80" s="106" t="s">
        <v>28</v>
      </c>
      <c r="D80" s="107">
        <v>238989502</v>
      </c>
      <c r="E80" s="136">
        <v>233880564</v>
      </c>
      <c r="F80" s="136">
        <v>4798092</v>
      </c>
      <c r="G80" s="136">
        <f t="shared" ref="G80:G90" ca="1" si="7">D80-SUM(E80:F80)</f>
        <v>310846</v>
      </c>
      <c r="H80" s="137">
        <f t="shared" ca="1" si="4"/>
        <v>0.97862275138763211</v>
      </c>
      <c r="I80" s="137">
        <f t="shared" ca="1" si="5"/>
        <v>2.0076580602272649E-2</v>
      </c>
      <c r="J80" s="138">
        <f t="shared" ca="1" si="6"/>
        <v>1.3006680100952719E-3</v>
      </c>
      <c r="K80" s="88"/>
      <c r="L80" s="88"/>
      <c r="M80" s="88"/>
      <c r="N80" s="88"/>
      <c r="O80" s="123"/>
      <c r="P80" s="88"/>
      <c r="Q80" s="123"/>
      <c r="R80" s="132"/>
      <c r="S80" s="132"/>
      <c r="T80" s="132"/>
      <c r="U80" s="123"/>
      <c r="V80" s="123"/>
      <c r="W80" s="88"/>
    </row>
    <row r="81" spans="1:23" x14ac:dyDescent="0.25">
      <c r="A81" s="88">
        <v>2024</v>
      </c>
      <c r="B81" t="s">
        <v>72</v>
      </c>
      <c r="C81" s="98" t="s">
        <v>29</v>
      </c>
      <c r="D81" s="99">
        <v>325419909</v>
      </c>
      <c r="E81" s="133">
        <v>322413374</v>
      </c>
      <c r="F81" s="133">
        <v>2803599</v>
      </c>
      <c r="G81" s="133">
        <f t="shared" ca="1" si="7"/>
        <v>202936</v>
      </c>
      <c r="H81" s="134">
        <f t="shared" ca="1" si="4"/>
        <v>0.99076106004319486</v>
      </c>
      <c r="I81" s="134">
        <f t="shared" ca="1" si="5"/>
        <v>8.6153272201916816E-3</v>
      </c>
      <c r="J81" s="135">
        <f t="shared" ca="1" si="6"/>
        <v>6.236127366134811E-4</v>
      </c>
      <c r="K81" s="88"/>
      <c r="L81" s="88"/>
      <c r="M81" s="88"/>
      <c r="N81" s="88"/>
      <c r="O81" s="123"/>
      <c r="P81" s="88"/>
      <c r="Q81" s="123"/>
      <c r="R81" s="132"/>
      <c r="S81" s="132"/>
      <c r="T81" s="132"/>
      <c r="U81" s="123"/>
      <c r="V81" s="123"/>
      <c r="W81" s="88"/>
    </row>
    <row r="82" spans="1:23" x14ac:dyDescent="0.25">
      <c r="A82" s="88">
        <v>2024</v>
      </c>
      <c r="B82" t="s">
        <v>73</v>
      </c>
      <c r="C82" s="106" t="s">
        <v>30</v>
      </c>
      <c r="D82" s="107">
        <v>247240968</v>
      </c>
      <c r="E82" s="136">
        <v>239796304</v>
      </c>
      <c r="F82" s="136">
        <v>6042134</v>
      </c>
      <c r="G82" s="136">
        <f t="shared" ca="1" si="7"/>
        <v>1402530</v>
      </c>
      <c r="H82" s="137">
        <f t="shared" ca="1" si="4"/>
        <v>0.96988903554203854</v>
      </c>
      <c r="I82" s="137">
        <f t="shared" ca="1" si="5"/>
        <v>2.4438239539654287E-2</v>
      </c>
      <c r="J82" s="138">
        <f t="shared" ca="1" si="6"/>
        <v>5.6727249183072285E-3</v>
      </c>
      <c r="K82" s="88"/>
      <c r="L82" s="88"/>
      <c r="M82" s="88"/>
      <c r="N82" s="88"/>
      <c r="O82" s="123"/>
      <c r="P82" s="88">
        <v>0</v>
      </c>
      <c r="Q82" s="123"/>
      <c r="R82" s="132"/>
      <c r="S82" s="132"/>
      <c r="T82" s="132"/>
      <c r="U82" s="123"/>
      <c r="V82" s="123"/>
      <c r="W82" s="88"/>
    </row>
    <row r="83" spans="1:23" x14ac:dyDescent="0.25">
      <c r="A83" s="88">
        <v>2024</v>
      </c>
      <c r="B83" t="s">
        <v>74</v>
      </c>
      <c r="C83" s="98" t="s">
        <v>31</v>
      </c>
      <c r="D83" s="99">
        <v>243818421</v>
      </c>
      <c r="E83" s="133">
        <v>238224101</v>
      </c>
      <c r="F83" s="133">
        <v>3948820</v>
      </c>
      <c r="G83" s="133">
        <f t="shared" ca="1" si="7"/>
        <v>1645500</v>
      </c>
      <c r="H83" s="134">
        <f t="shared" ca="1" si="4"/>
        <v>0.97705538417870408</v>
      </c>
      <c r="I83" s="134">
        <f t="shared" ca="1" si="5"/>
        <v>1.6195741010069129E-2</v>
      </c>
      <c r="J83" s="135">
        <f t="shared" ca="1" si="6"/>
        <v>6.748874811226835E-3</v>
      </c>
      <c r="K83" s="88"/>
      <c r="L83" s="88"/>
      <c r="M83" s="88"/>
      <c r="N83" s="88"/>
      <c r="O83" s="123"/>
      <c r="P83" s="88"/>
      <c r="Q83" s="123"/>
      <c r="R83" s="132"/>
      <c r="S83" s="132"/>
      <c r="T83" s="132"/>
      <c r="U83" s="123"/>
      <c r="V83" s="123"/>
      <c r="W83" s="88"/>
    </row>
    <row r="84" spans="1:23" x14ac:dyDescent="0.25">
      <c r="A84" s="88">
        <v>2024</v>
      </c>
      <c r="B84" t="s">
        <v>75</v>
      </c>
      <c r="C84" s="106" t="s">
        <v>33</v>
      </c>
      <c r="D84" s="107">
        <v>192285683</v>
      </c>
      <c r="E84" s="136">
        <v>190926704</v>
      </c>
      <c r="F84" s="136">
        <v>1232179</v>
      </c>
      <c r="G84" s="136">
        <f t="shared" ca="1" si="7"/>
        <v>126800</v>
      </c>
      <c r="H84" s="137">
        <f t="shared" ca="1" si="4"/>
        <v>0.99293250033597147</v>
      </c>
      <c r="I84" s="137">
        <f t="shared" ca="1" si="5"/>
        <v>6.4080641926939508E-3</v>
      </c>
      <c r="J84" s="138">
        <f t="shared" ca="1" si="6"/>
        <v>6.5943547133459754E-4</v>
      </c>
      <c r="K84" s="88"/>
      <c r="L84" s="88"/>
      <c r="M84" s="88"/>
      <c r="N84" s="88"/>
      <c r="O84" s="123"/>
      <c r="P84" s="88"/>
      <c r="Q84" s="123"/>
      <c r="R84" s="132"/>
      <c r="S84" s="132"/>
      <c r="T84" s="132"/>
      <c r="U84" s="123"/>
      <c r="V84" s="123"/>
      <c r="W84" s="88"/>
    </row>
    <row r="85" spans="1:23" x14ac:dyDescent="0.25">
      <c r="A85" s="88">
        <v>2024</v>
      </c>
      <c r="B85" t="s">
        <v>76</v>
      </c>
      <c r="C85" s="98" t="s">
        <v>34</v>
      </c>
      <c r="D85" s="99">
        <v>168440121</v>
      </c>
      <c r="E85" s="133">
        <v>166289806</v>
      </c>
      <c r="F85" s="133">
        <v>2007254</v>
      </c>
      <c r="G85" s="133">
        <f t="shared" ca="1" si="7"/>
        <v>143061</v>
      </c>
      <c r="H85" s="134">
        <f t="shared" ca="1" si="4"/>
        <v>0.98723395003972958</v>
      </c>
      <c r="I85" s="134">
        <f t="shared" ca="1" si="5"/>
        <v>1.1916721432419298E-2</v>
      </c>
      <c r="J85" s="135">
        <f t="shared" ca="1" si="6"/>
        <v>8.4932852785115254E-4</v>
      </c>
      <c r="K85" s="88"/>
      <c r="L85" s="88"/>
      <c r="M85" s="88"/>
      <c r="N85" s="88"/>
      <c r="O85" s="123"/>
      <c r="P85" s="88"/>
      <c r="Q85" s="123"/>
      <c r="R85" s="132"/>
      <c r="S85" s="132"/>
      <c r="T85" s="132"/>
      <c r="U85" s="123"/>
      <c r="V85" s="123"/>
      <c r="W85" s="88"/>
    </row>
    <row r="86" spans="1:23" x14ac:dyDescent="0.25">
      <c r="A86" s="88">
        <v>2024</v>
      </c>
      <c r="B86" t="s">
        <v>77</v>
      </c>
      <c r="C86" s="106" t="s">
        <v>35</v>
      </c>
      <c r="D86" s="107">
        <v>163049430</v>
      </c>
      <c r="E86" s="136">
        <v>161592693</v>
      </c>
      <c r="F86" s="136">
        <v>1202937</v>
      </c>
      <c r="G86" s="136">
        <f t="shared" ca="1" si="7"/>
        <v>253800</v>
      </c>
      <c r="H86" s="137">
        <f t="shared" ca="1" si="4"/>
        <v>0.9910656725386896</v>
      </c>
      <c r="I86" s="137">
        <f t="shared" ca="1" si="5"/>
        <v>7.3777442828226996E-3</v>
      </c>
      <c r="J86" s="138">
        <f t="shared" ca="1" si="6"/>
        <v>1.5565831784876524E-3</v>
      </c>
      <c r="K86" s="88"/>
      <c r="L86" s="88"/>
      <c r="M86" s="88"/>
      <c r="N86" s="88"/>
      <c r="O86" s="123"/>
      <c r="P86" s="88"/>
      <c r="Q86" s="123"/>
      <c r="R86" s="132"/>
      <c r="S86" s="132"/>
      <c r="T86" s="132"/>
      <c r="U86" s="123"/>
      <c r="V86" s="123"/>
      <c r="W86" s="88"/>
    </row>
    <row r="87" spans="1:23" x14ac:dyDescent="0.25">
      <c r="A87" s="88">
        <v>2024</v>
      </c>
      <c r="B87" t="s">
        <v>78</v>
      </c>
      <c r="C87" s="98" t="s">
        <v>36</v>
      </c>
      <c r="D87" s="99">
        <v>178988391</v>
      </c>
      <c r="E87" s="133">
        <v>174382936</v>
      </c>
      <c r="F87" s="133">
        <v>2915386</v>
      </c>
      <c r="G87" s="133">
        <f t="shared" ca="1" si="7"/>
        <v>1690069</v>
      </c>
      <c r="H87" s="134">
        <f t="shared" ca="1" si="4"/>
        <v>0.97426953237430913</v>
      </c>
      <c r="I87" s="134">
        <f t="shared" ca="1" si="5"/>
        <v>1.6288128988209073E-2</v>
      </c>
      <c r="J87" s="135">
        <f t="shared" ca="1" si="6"/>
        <v>9.4423386374818015E-3</v>
      </c>
      <c r="K87" s="88"/>
      <c r="L87" s="88"/>
      <c r="M87" s="88"/>
      <c r="N87" s="88"/>
      <c r="O87" s="123"/>
      <c r="P87" s="88"/>
      <c r="Q87" s="123"/>
      <c r="R87" s="132"/>
      <c r="S87" s="132"/>
      <c r="T87" s="132"/>
      <c r="U87" s="123"/>
      <c r="V87" s="123"/>
      <c r="W87" s="88"/>
    </row>
    <row r="88" spans="1:23" x14ac:dyDescent="0.25">
      <c r="A88" s="88">
        <v>2024</v>
      </c>
      <c r="B88" t="s">
        <v>79</v>
      </c>
      <c r="C88" s="106" t="s">
        <v>37</v>
      </c>
      <c r="D88" s="107">
        <v>200269928</v>
      </c>
      <c r="E88" s="136">
        <v>196736580</v>
      </c>
      <c r="F88" s="136">
        <v>2970446</v>
      </c>
      <c r="G88" s="136">
        <f t="shared" ca="1" si="7"/>
        <v>562902</v>
      </c>
      <c r="H88" s="137">
        <f t="shared" ca="1" si="4"/>
        <v>0.98235707160188324</v>
      </c>
      <c r="I88" s="137">
        <f t="shared" ca="1" si="5"/>
        <v>1.4832211853593916E-2</v>
      </c>
      <c r="J88" s="138">
        <f t="shared" ca="1" si="6"/>
        <v>2.81071654452285E-3</v>
      </c>
      <c r="K88" s="88"/>
      <c r="L88" s="88"/>
      <c r="M88" s="88"/>
      <c r="N88" s="88"/>
      <c r="O88" s="123"/>
      <c r="P88" s="88"/>
      <c r="Q88" s="123"/>
      <c r="R88" s="132"/>
      <c r="S88" s="132"/>
      <c r="T88" s="132"/>
      <c r="U88" s="123"/>
      <c r="V88" s="123"/>
      <c r="W88" s="88"/>
    </row>
    <row r="89" spans="1:23" x14ac:dyDescent="0.25">
      <c r="A89" s="88">
        <v>2024</v>
      </c>
      <c r="B89" t="s">
        <v>80</v>
      </c>
      <c r="C89" s="98" t="s">
        <v>38</v>
      </c>
      <c r="D89" s="99">
        <v>246929839</v>
      </c>
      <c r="E89" s="133">
        <v>242260346</v>
      </c>
      <c r="F89" s="133">
        <v>4478339</v>
      </c>
      <c r="G89" s="133">
        <f t="shared" ca="1" si="7"/>
        <v>191154</v>
      </c>
      <c r="H89" s="134">
        <f t="shared" ca="1" si="4"/>
        <v>0.98108979854799971</v>
      </c>
      <c r="I89" s="134">
        <f t="shared" ca="1" si="5"/>
        <v>1.813607872639483E-2</v>
      </c>
      <c r="J89" s="135">
        <f t="shared" ca="1" si="6"/>
        <v>7.7412272560547048E-4</v>
      </c>
      <c r="K89" s="88"/>
      <c r="L89" s="88"/>
      <c r="M89" s="88"/>
      <c r="N89" s="88"/>
      <c r="O89" s="123"/>
      <c r="P89" s="88"/>
      <c r="Q89" s="123"/>
      <c r="R89" s="132"/>
      <c r="S89" s="132"/>
      <c r="T89" s="132"/>
      <c r="U89" s="123"/>
      <c r="V89" s="123"/>
      <c r="W89" s="88"/>
    </row>
    <row r="90" spans="1:23" x14ac:dyDescent="0.25">
      <c r="A90" s="88">
        <v>2024</v>
      </c>
      <c r="B90" t="s">
        <v>81</v>
      </c>
      <c r="C90" s="106" t="s">
        <v>39</v>
      </c>
      <c r="D90" s="107">
        <v>231778285</v>
      </c>
      <c r="E90" s="136">
        <v>223718947</v>
      </c>
      <c r="F90" s="136">
        <v>5621402</v>
      </c>
      <c r="G90" s="136">
        <f t="shared" ca="1" si="7"/>
        <v>2437936</v>
      </c>
      <c r="H90" s="137">
        <f t="shared" ca="1" si="4"/>
        <v>0.96522824387970596</v>
      </c>
      <c r="I90" s="137">
        <f t="shared" ca="1" si="5"/>
        <v>2.4253359196268105E-2</v>
      </c>
      <c r="J90" s="138">
        <f t="shared" ca="1" si="6"/>
        <v>1.0518396924025907E-2</v>
      </c>
      <c r="K90" s="88"/>
      <c r="L90" s="88"/>
      <c r="M90" s="88"/>
      <c r="N90" s="88"/>
      <c r="O90" s="123"/>
      <c r="P90" s="88"/>
      <c r="Q90" s="123"/>
      <c r="R90" s="132"/>
      <c r="S90" s="132"/>
      <c r="T90" s="132"/>
      <c r="U90" s="123"/>
      <c r="V90" s="123"/>
      <c r="W90" s="88"/>
    </row>
    <row r="91" spans="1:23" x14ac:dyDescent="0.25">
      <c r="A91" s="88"/>
      <c r="C91" s="115" t="s">
        <v>24</v>
      </c>
      <c r="D91" s="116">
        <f ca="1">SUM(D79:D90)</f>
        <v>2649214564</v>
      </c>
      <c r="E91" s="139">
        <f ca="1">SUM(E79:E90)</f>
        <v>2599125431</v>
      </c>
      <c r="F91" s="139">
        <f ca="1">SUM(F79:F90)</f>
        <v>40650041</v>
      </c>
      <c r="G91" s="139">
        <f ca="1">SUM(G79:G90)</f>
        <v>9439092</v>
      </c>
      <c r="H91" s="140">
        <f ca="1">E91/D91</f>
        <v>0.98109283646532153</v>
      </c>
      <c r="I91" s="140">
        <f ca="1">F91/D91</f>
        <v>1.5344185990969058E-2</v>
      </c>
      <c r="J91" s="141">
        <f ca="1">G91/D91</f>
        <v>3.5629775437094418E-3</v>
      </c>
      <c r="K91" s="88"/>
      <c r="L91" s="88"/>
      <c r="M91" s="88"/>
      <c r="N91" s="88"/>
      <c r="O91" s="123"/>
      <c r="P91" s="88"/>
      <c r="Q91" s="123"/>
      <c r="R91" s="132"/>
      <c r="S91" s="132"/>
      <c r="T91" s="132"/>
      <c r="U91" s="123"/>
      <c r="V91" s="123"/>
      <c r="W91" s="88"/>
    </row>
    <row r="92" spans="1:23" x14ac:dyDescent="0.25">
      <c r="A92" s="88">
        <v>2025</v>
      </c>
      <c r="B92" t="s">
        <v>70</v>
      </c>
      <c r="C92" s="106" t="s">
        <v>41</v>
      </c>
      <c r="D92" s="107">
        <v>222701983</v>
      </c>
      <c r="E92" s="136">
        <v>217711752</v>
      </c>
      <c r="F92" s="136">
        <v>4656446</v>
      </c>
      <c r="G92" s="136">
        <f t="shared" ref="G92:G103" ca="1" si="8">D92-SUM(E92:F92)</f>
        <v>333785</v>
      </c>
      <c r="H92" s="137">
        <f t="shared" ca="1" si="4"/>
        <v>0.97759233693038106</v>
      </c>
      <c r="I92" s="137">
        <f t="shared" ca="1" si="5"/>
        <v>2.0908866357063377E-2</v>
      </c>
      <c r="J92" s="138">
        <f t="shared" ca="1" si="6"/>
        <v>1.4987967125555412E-3</v>
      </c>
      <c r="K92" s="88"/>
      <c r="L92" s="88"/>
      <c r="M92" s="88"/>
      <c r="N92" s="88"/>
      <c r="O92" s="123"/>
      <c r="P92" s="88"/>
      <c r="Q92" s="123"/>
      <c r="R92" s="132"/>
      <c r="S92" s="132"/>
      <c r="T92" s="132"/>
      <c r="U92" s="123"/>
      <c r="V92" s="123"/>
      <c r="W92" s="88"/>
    </row>
    <row r="93" spans="1:23" x14ac:dyDescent="0.25">
      <c r="A93" s="88">
        <v>2025</v>
      </c>
      <c r="B93" t="s">
        <v>71</v>
      </c>
      <c r="C93" s="98" t="s">
        <v>42</v>
      </c>
      <c r="D93" s="99">
        <v>246106484</v>
      </c>
      <c r="E93" s="133">
        <v>244761553</v>
      </c>
      <c r="F93" s="133">
        <v>1005087</v>
      </c>
      <c r="G93" s="133">
        <f t="shared" ca="1" si="8"/>
        <v>339844</v>
      </c>
      <c r="H93" s="134">
        <f t="shared" ca="1" si="4"/>
        <v>0.99453516633068473</v>
      </c>
      <c r="I93" s="134">
        <f t="shared" ca="1" si="5"/>
        <v>4.0839517255465731E-3</v>
      </c>
      <c r="J93" s="135">
        <f t="shared" ca="1" si="6"/>
        <v>1.3808819437686982E-3</v>
      </c>
      <c r="K93" s="88"/>
      <c r="L93" s="88"/>
      <c r="M93" s="88"/>
      <c r="N93" s="88"/>
      <c r="O93" s="123"/>
      <c r="P93" s="88"/>
      <c r="Q93" s="123"/>
      <c r="R93" s="132"/>
      <c r="S93" s="132"/>
      <c r="T93" s="132"/>
      <c r="U93" s="123"/>
      <c r="V93" s="123"/>
      <c r="W93" s="88"/>
    </row>
    <row r="94" spans="1:23" x14ac:dyDescent="0.25">
      <c r="A94" s="88">
        <v>2025</v>
      </c>
      <c r="B94" t="s">
        <v>72</v>
      </c>
      <c r="C94" s="106" t="s">
        <v>43</v>
      </c>
      <c r="D94" s="107">
        <v>273396314</v>
      </c>
      <c r="E94" s="136">
        <v>270599798</v>
      </c>
      <c r="F94" s="136">
        <v>2733689</v>
      </c>
      <c r="G94" s="136">
        <f t="shared" ca="1" si="8"/>
        <v>62827</v>
      </c>
      <c r="H94" s="137">
        <f t="shared" ca="1" si="4"/>
        <v>0.98977120079241454</v>
      </c>
      <c r="I94" s="137">
        <f t="shared" ca="1" si="5"/>
        <v>9.9989972798243364E-3</v>
      </c>
      <c r="J94" s="138">
        <f t="shared" ca="1" si="6"/>
        <v>2.2980192776117677E-4</v>
      </c>
      <c r="K94" s="88"/>
      <c r="L94" s="88"/>
      <c r="M94" s="88"/>
      <c r="N94" s="88"/>
      <c r="O94" s="123"/>
      <c r="P94" s="88"/>
      <c r="Q94" s="123"/>
      <c r="R94" s="132"/>
      <c r="S94" s="132"/>
      <c r="T94" s="132"/>
      <c r="U94" s="123"/>
      <c r="V94" s="123"/>
      <c r="W94" s="88"/>
    </row>
    <row r="95" spans="1:23" x14ac:dyDescent="0.25">
      <c r="A95" s="88">
        <v>2025</v>
      </c>
      <c r="B95" t="s">
        <v>73</v>
      </c>
      <c r="C95" s="98" t="s">
        <v>44</v>
      </c>
      <c r="D95" s="99">
        <v>271130831</v>
      </c>
      <c r="E95" s="133">
        <v>268335626</v>
      </c>
      <c r="F95" s="133">
        <v>1917805</v>
      </c>
      <c r="G95" s="133">
        <f t="shared" ca="1" si="8"/>
        <v>877400</v>
      </c>
      <c r="H95" s="134">
        <f t="shared" ca="1" si="4"/>
        <v>0.98969056750318452</v>
      </c>
      <c r="I95" s="134">
        <f t="shared" ca="1" si="5"/>
        <v>7.0733564048273065E-3</v>
      </c>
      <c r="J95" s="135">
        <f t="shared" ca="1" si="6"/>
        <v>3.2360760919882253E-3</v>
      </c>
      <c r="K95" s="88"/>
      <c r="L95" s="88"/>
      <c r="M95" s="88"/>
      <c r="N95" s="88"/>
      <c r="O95" s="123"/>
      <c r="P95" s="88"/>
      <c r="Q95" s="123"/>
      <c r="R95" s="132"/>
      <c r="S95" s="132"/>
      <c r="T95" s="132"/>
      <c r="U95" s="123"/>
      <c r="V95" s="123"/>
      <c r="W95" s="88"/>
    </row>
    <row r="96" spans="1:23" x14ac:dyDescent="0.25">
      <c r="A96" s="88">
        <v>2025</v>
      </c>
      <c r="B96" t="s">
        <v>74</v>
      </c>
      <c r="C96" s="106" t="s">
        <v>45</v>
      </c>
      <c r="D96" s="107">
        <v>288050707</v>
      </c>
      <c r="E96" s="136">
        <v>284605341</v>
      </c>
      <c r="F96" s="136">
        <v>3028124</v>
      </c>
      <c r="G96" s="136">
        <f t="shared" ca="1" si="8"/>
        <v>417242</v>
      </c>
      <c r="H96" s="137">
        <f t="shared" ca="1" si="4"/>
        <v>0.98803902953100542</v>
      </c>
      <c r="I96" s="137">
        <f t="shared" ca="1" si="5"/>
        <v>1.0512468556447599E-2</v>
      </c>
      <c r="J96" s="138">
        <f t="shared" ca="1" si="6"/>
        <v>1.448501912546946E-3</v>
      </c>
      <c r="K96" s="88"/>
      <c r="L96" s="88"/>
      <c r="M96" s="88"/>
      <c r="N96" s="88"/>
      <c r="O96" s="123"/>
      <c r="P96" s="88"/>
      <c r="Q96" s="123"/>
      <c r="R96" s="132"/>
      <c r="S96" s="132"/>
      <c r="T96" s="132"/>
      <c r="U96" s="123"/>
      <c r="V96" s="123"/>
      <c r="W96" s="88"/>
    </row>
    <row r="97" spans="1:26" x14ac:dyDescent="0.25">
      <c r="A97" s="88">
        <v>2025</v>
      </c>
      <c r="B97" t="s">
        <v>75</v>
      </c>
      <c r="C97" s="98" t="s">
        <v>46</v>
      </c>
      <c r="D97" s="99">
        <v>208311689</v>
      </c>
      <c r="E97" s="133">
        <v>204037433</v>
      </c>
      <c r="F97" s="133">
        <v>3966085</v>
      </c>
      <c r="G97" s="133">
        <f t="shared" ca="1" si="8"/>
        <v>308171</v>
      </c>
      <c r="H97" s="134">
        <f t="shared" ca="1" si="4"/>
        <v>0.97948143946929445</v>
      </c>
      <c r="I97" s="134">
        <f t="shared" ca="1" si="5"/>
        <v>1.9039186034346831E-2</v>
      </c>
      <c r="J97" s="135">
        <f t="shared" ca="1" si="6"/>
        <v>1.4793744963586754E-3</v>
      </c>
      <c r="K97" s="88"/>
      <c r="L97" s="88"/>
      <c r="M97" s="88"/>
      <c r="N97" s="88"/>
      <c r="O97" s="123"/>
      <c r="P97" s="88"/>
      <c r="Q97" s="123"/>
      <c r="R97" s="132"/>
      <c r="S97" s="132"/>
      <c r="T97" s="132"/>
      <c r="U97" s="123"/>
      <c r="V97" s="123"/>
      <c r="W97" s="88"/>
    </row>
    <row r="98" spans="1:26" x14ac:dyDescent="0.25">
      <c r="A98" s="88">
        <v>2025</v>
      </c>
      <c r="B98" t="s">
        <v>76</v>
      </c>
      <c r="C98" s="106" t="s">
        <v>47</v>
      </c>
      <c r="D98" s="107">
        <v>208232688</v>
      </c>
      <c r="E98" s="136">
        <v>205100240</v>
      </c>
      <c r="F98" s="136">
        <v>2725254</v>
      </c>
      <c r="G98" s="136">
        <f t="shared" ca="1" si="8"/>
        <v>407194</v>
      </c>
      <c r="H98" s="137">
        <f t="shared" ca="1" si="4"/>
        <v>0.98495698235427864</v>
      </c>
      <c r="I98" s="137">
        <f t="shared" ca="1" si="5"/>
        <v>1.3087541760014162E-2</v>
      </c>
      <c r="J98" s="138">
        <f t="shared" ca="1" si="6"/>
        <v>1.9554758857072431E-3</v>
      </c>
      <c r="K98" s="88"/>
      <c r="L98" s="88"/>
      <c r="M98" s="88"/>
      <c r="N98" s="88"/>
      <c r="O98" s="123"/>
      <c r="P98" s="88"/>
      <c r="Q98" s="123"/>
      <c r="R98" s="132"/>
      <c r="S98" s="132"/>
      <c r="T98" s="132"/>
      <c r="U98" s="123"/>
      <c r="V98" s="123"/>
      <c r="W98" s="88"/>
    </row>
    <row r="99" spans="1:26" x14ac:dyDescent="0.25">
      <c r="A99" s="88">
        <v>2025</v>
      </c>
      <c r="B99" t="s">
        <v>77</v>
      </c>
      <c r="C99" s="98" t="s">
        <v>48</v>
      </c>
      <c r="D99" s="99">
        <v>184312099</v>
      </c>
      <c r="E99" s="133">
        <v>182778983</v>
      </c>
      <c r="F99" s="133">
        <v>1126203</v>
      </c>
      <c r="G99" s="133">
        <f t="shared" ca="1" si="8"/>
        <v>406913</v>
      </c>
      <c r="H99" s="134">
        <f t="shared" ca="1" si="4"/>
        <v>0.99168195680957438</v>
      </c>
      <c r="I99" s="134">
        <f t="shared" ca="1" si="5"/>
        <v>6.1103042399837243E-3</v>
      </c>
      <c r="J99" s="135">
        <f t="shared" ca="1" si="6"/>
        <v>2.2077389504418805E-3</v>
      </c>
      <c r="K99" s="88"/>
      <c r="L99" s="88"/>
      <c r="M99" s="88"/>
      <c r="N99" s="88"/>
      <c r="O99" s="123"/>
      <c r="P99" s="88"/>
      <c r="Q99" s="123"/>
      <c r="R99" s="132"/>
      <c r="S99" s="132"/>
      <c r="T99" s="132"/>
      <c r="U99" s="123"/>
      <c r="V99" s="123"/>
      <c r="W99" s="88"/>
    </row>
    <row r="100" spans="1:26" x14ac:dyDescent="0.25">
      <c r="A100" s="88">
        <v>2025</v>
      </c>
      <c r="B100" t="s">
        <v>78</v>
      </c>
      <c r="C100" s="106" t="s">
        <v>49</v>
      </c>
      <c r="D100" s="107">
        <v>229195990</v>
      </c>
      <c r="E100" s="136">
        <v>228667375</v>
      </c>
      <c r="F100" s="136">
        <v>197201</v>
      </c>
      <c r="G100" s="136">
        <f t="shared" ca="1" si="8"/>
        <v>331414</v>
      </c>
      <c r="H100" s="137">
        <f t="shared" ca="1" si="4"/>
        <v>0.99769361148072444</v>
      </c>
      <c r="I100" s="137">
        <f t="shared" ca="1" si="5"/>
        <v>8.6040336046018951E-4</v>
      </c>
      <c r="J100" s="138">
        <f t="shared" ca="1" si="6"/>
        <v>1.4459851588153876E-3</v>
      </c>
      <c r="K100" s="88"/>
      <c r="L100" s="88"/>
      <c r="M100" s="88"/>
      <c r="N100" s="88"/>
      <c r="O100" s="123"/>
      <c r="P100" s="88"/>
      <c r="Q100" s="123"/>
      <c r="R100" s="132"/>
      <c r="S100" s="132"/>
      <c r="T100" s="132"/>
      <c r="U100" s="123"/>
      <c r="V100" s="123"/>
      <c r="W100" s="88"/>
    </row>
    <row r="101" spans="1:26" x14ac:dyDescent="0.25">
      <c r="A101" s="88">
        <v>2025</v>
      </c>
      <c r="B101" t="s">
        <v>79</v>
      </c>
      <c r="C101" s="98" t="s">
        <v>50</v>
      </c>
      <c r="D101" s="99">
        <v>211811729</v>
      </c>
      <c r="E101" s="133">
        <v>201947458</v>
      </c>
      <c r="F101" s="133">
        <v>9410197</v>
      </c>
      <c r="G101" s="133">
        <f t="shared" ca="1" si="8"/>
        <v>454074</v>
      </c>
      <c r="H101" s="134">
        <f t="shared" ca="1" si="4"/>
        <v>0.95342906152283946</v>
      </c>
      <c r="I101" s="134">
        <f t="shared" ca="1" si="5"/>
        <v>4.4427176173987983E-2</v>
      </c>
      <c r="J101" s="135">
        <f t="shared" ca="1" si="6"/>
        <v>2.14376230317255E-3</v>
      </c>
      <c r="K101" s="88"/>
      <c r="L101" s="88"/>
      <c r="M101" s="88"/>
      <c r="N101" s="88"/>
      <c r="O101" s="123"/>
      <c r="P101" s="88"/>
      <c r="Q101" s="123"/>
      <c r="R101" s="132"/>
      <c r="S101" s="132"/>
      <c r="T101" s="132"/>
      <c r="U101" s="123"/>
      <c r="V101" s="123"/>
      <c r="W101" s="88"/>
    </row>
    <row r="102" spans="1:26" x14ac:dyDescent="0.25">
      <c r="A102" s="88">
        <v>2025</v>
      </c>
      <c r="B102" t="s">
        <v>80</v>
      </c>
      <c r="C102" s="106" t="s">
        <v>51</v>
      </c>
      <c r="D102" s="107">
        <v>181461838</v>
      </c>
      <c r="E102" s="136">
        <v>174084202</v>
      </c>
      <c r="F102" s="136">
        <v>790424</v>
      </c>
      <c r="G102" s="136">
        <f t="shared" ca="1" si="8"/>
        <v>6587212</v>
      </c>
      <c r="H102" s="137">
        <f t="shared" ca="1" si="4"/>
        <v>0.95934331933747963</v>
      </c>
      <c r="I102" s="137">
        <f t="shared" ca="1" si="5"/>
        <v>4.355869028506148E-3</v>
      </c>
      <c r="J102" s="138">
        <f t="shared" ca="1" si="6"/>
        <v>3.6300811634014198E-2</v>
      </c>
      <c r="K102" s="88"/>
      <c r="L102" s="88"/>
      <c r="M102" s="88"/>
      <c r="N102" s="88"/>
      <c r="O102" s="123"/>
      <c r="P102" s="88"/>
      <c r="Q102" s="123"/>
      <c r="R102" s="132"/>
      <c r="S102" s="132"/>
      <c r="T102" s="132"/>
      <c r="U102" s="123"/>
      <c r="V102" s="123"/>
      <c r="W102" s="88"/>
    </row>
    <row r="103" spans="1:26" x14ac:dyDescent="0.25">
      <c r="A103" s="88">
        <v>2025</v>
      </c>
      <c r="B103" t="s">
        <v>81</v>
      </c>
      <c r="C103" s="98" t="s">
        <v>52</v>
      </c>
      <c r="D103" s="99">
        <v>220156651</v>
      </c>
      <c r="E103" s="133">
        <v>217173521</v>
      </c>
      <c r="F103" s="133">
        <v>2930760</v>
      </c>
      <c r="G103" s="133">
        <f t="shared" ca="1" si="8"/>
        <v>52370</v>
      </c>
      <c r="H103" s="134">
        <f t="shared" ca="1" si="4"/>
        <v>0.98644996648318384</v>
      </c>
      <c r="I103" s="134">
        <f t="shared" ca="1" si="5"/>
        <v>1.3312157441929838E-2</v>
      </c>
      <c r="J103" s="135">
        <f t="shared" ca="1" si="6"/>
        <v>2.3787607488633174E-4</v>
      </c>
      <c r="K103" s="88"/>
      <c r="L103" s="88"/>
      <c r="M103" s="88"/>
      <c r="N103" s="88"/>
      <c r="O103" s="123"/>
      <c r="P103" s="88"/>
      <c r="Q103" s="123"/>
      <c r="R103" s="132"/>
      <c r="S103" s="132"/>
      <c r="T103" s="132"/>
      <c r="U103" s="123"/>
      <c r="V103" s="123"/>
      <c r="W103" s="88"/>
    </row>
    <row r="104" spans="1:26" x14ac:dyDescent="0.25">
      <c r="A104" s="88"/>
      <c r="C104" s="115" t="s">
        <v>40</v>
      </c>
      <c r="D104" s="116">
        <f ca="1">SUM(D92:D103)</f>
        <v>2744869003</v>
      </c>
      <c r="E104" s="139">
        <f ca="1">SUM(E92:E103)</f>
        <v>2699803282</v>
      </c>
      <c r="F104" s="139">
        <f ca="1">SUM(F92:F103)</f>
        <v>34487275</v>
      </c>
      <c r="G104" s="139">
        <f ca="1">SUM(G92:G103)</f>
        <v>10578446</v>
      </c>
      <c r="H104" s="140">
        <f t="shared" ca="1" si="4"/>
        <v>0.98358183179206526</v>
      </c>
      <c r="I104" s="140">
        <f t="shared" ca="1" si="5"/>
        <v>1.2564269902245677E-2</v>
      </c>
      <c r="J104" s="141">
        <f t="shared" ca="1" si="6"/>
        <v>3.8538983056890163E-3</v>
      </c>
      <c r="K104" s="88"/>
      <c r="L104" s="88"/>
      <c r="M104" s="88"/>
      <c r="N104" s="88"/>
      <c r="O104" s="123"/>
      <c r="P104" s="88"/>
      <c r="Q104" s="123"/>
      <c r="R104" s="132"/>
      <c r="S104" s="132"/>
      <c r="T104" s="132"/>
      <c r="U104" s="123"/>
      <c r="V104" s="123"/>
      <c r="W104" s="88"/>
    </row>
    <row r="105" spans="1:26" x14ac:dyDescent="0.25">
      <c r="A105" s="88">
        <v>2026</v>
      </c>
      <c r="B105" t="s">
        <v>70</v>
      </c>
      <c r="C105" s="106" t="s">
        <v>54</v>
      </c>
      <c r="D105" s="107">
        <v>192967436</v>
      </c>
      <c r="E105" s="136">
        <v>189052168</v>
      </c>
      <c r="F105" s="136">
        <v>3318433</v>
      </c>
      <c r="G105" s="136">
        <f ca="1">D105-SUM(E105:F105)</f>
        <v>596835</v>
      </c>
      <c r="H105" s="137">
        <f t="shared" ca="1" si="4"/>
        <v>0.97971021390365576</v>
      </c>
      <c r="I105" s="137">
        <f t="shared" ca="1" si="5"/>
        <v>1.7196854913903711E-2</v>
      </c>
      <c r="J105" s="138">
        <f t="shared" ca="1" si="6"/>
        <v>3.0929311824405442E-3</v>
      </c>
      <c r="K105" s="88"/>
      <c r="L105" s="88"/>
      <c r="M105" s="88"/>
      <c r="N105" s="88"/>
      <c r="O105" s="123"/>
      <c r="P105" s="88"/>
      <c r="Q105" s="123"/>
      <c r="R105" s="132"/>
      <c r="S105" s="132"/>
      <c r="T105" s="132"/>
      <c r="U105" s="123"/>
      <c r="V105" s="123"/>
      <c r="W105" s="88"/>
    </row>
    <row r="106" spans="1:26" x14ac:dyDescent="0.25">
      <c r="A106" s="88">
        <v>2026</v>
      </c>
      <c r="B106" t="s">
        <v>71</v>
      </c>
      <c r="C106" s="98" t="s">
        <v>55</v>
      </c>
      <c r="D106" s="99">
        <v>214141693</v>
      </c>
      <c r="E106" s="133">
        <v>207753096</v>
      </c>
      <c r="F106" s="133">
        <v>5912377</v>
      </c>
      <c r="G106" s="133">
        <f ca="1">D106-SUM(E106:F106)</f>
        <v>476220</v>
      </c>
      <c r="H106" s="134">
        <f t="shared" ca="1" si="4"/>
        <v>0.97016649625535556</v>
      </c>
      <c r="I106" s="134">
        <f t="shared" ca="1" si="5"/>
        <v>2.7609649093415917E-2</v>
      </c>
      <c r="J106" s="135">
        <f t="shared" ca="1" si="6"/>
        <v>2.2238546512285211E-3</v>
      </c>
      <c r="K106" s="88"/>
      <c r="L106" s="88"/>
      <c r="M106" s="88"/>
      <c r="N106" s="88"/>
      <c r="O106" s="123"/>
      <c r="P106" s="88"/>
      <c r="Q106" s="123"/>
      <c r="R106" s="132"/>
      <c r="S106" s="132"/>
      <c r="T106" s="132"/>
      <c r="U106" s="123"/>
      <c r="V106" s="123"/>
      <c r="W106" s="88"/>
    </row>
    <row r="107" spans="1:26" x14ac:dyDescent="0.25">
      <c r="A107" s="88">
        <v>2026</v>
      </c>
      <c r="B107" t="s">
        <v>72</v>
      </c>
      <c r="C107" s="106" t="s">
        <v>56</v>
      </c>
      <c r="D107" s="107">
        <v>60335028</v>
      </c>
      <c r="E107" s="136">
        <v>58457522</v>
      </c>
      <c r="F107" s="136">
        <v>1763404</v>
      </c>
      <c r="G107" s="136">
        <f ca="1">D107-SUM(E107:F107)</f>
        <v>114102</v>
      </c>
      <c r="H107" s="137">
        <f t="shared" ca="1" si="4"/>
        <v>0.9688819900771406</v>
      </c>
      <c r="I107" s="137">
        <f t="shared" ca="1" si="5"/>
        <v>2.9226869671793308E-2</v>
      </c>
      <c r="J107" s="138">
        <f t="shared" ca="1" si="6"/>
        <v>1.8911402510660971E-3</v>
      </c>
      <c r="K107" s="88"/>
      <c r="L107" s="88"/>
      <c r="M107" s="88"/>
      <c r="N107" s="88"/>
      <c r="O107" s="123"/>
      <c r="P107" s="88"/>
      <c r="Q107" s="123"/>
      <c r="R107" s="132"/>
      <c r="S107" s="132"/>
      <c r="T107" s="132"/>
      <c r="U107" s="123"/>
      <c r="V107" s="123"/>
      <c r="W107" s="88"/>
    </row>
    <row r="108" spans="1:26" x14ac:dyDescent="0.25">
      <c r="A108" s="88">
        <v>2026</v>
      </c>
      <c r="B108" t="s">
        <v>73</v>
      </c>
      <c r="C108" s="98" t="s">
        <v>57</v>
      </c>
      <c r="D108" s="99">
        <v>44495129</v>
      </c>
      <c r="E108" s="133">
        <v>39365382</v>
      </c>
      <c r="F108" s="133">
        <v>4895367</v>
      </c>
      <c r="G108" s="133">
        <f ca="1">D108-SUM(E108:F108)</f>
        <v>234380</v>
      </c>
      <c r="H108" s="134">
        <f t="shared" ca="1" si="4"/>
        <v>0.8847121670329352</v>
      </c>
      <c r="I108" s="134">
        <f t="shared" ca="1" si="5"/>
        <v>0.11002029008613505</v>
      </c>
      <c r="J108" s="135">
        <f t="shared" ca="1" si="6"/>
        <v>5.2675428809297303E-3</v>
      </c>
      <c r="K108" s="88"/>
      <c r="L108" s="88"/>
      <c r="M108" s="88"/>
      <c r="N108" s="88"/>
      <c r="O108" s="123"/>
      <c r="P108" s="88"/>
      <c r="Q108" s="123"/>
      <c r="R108" s="132"/>
      <c r="S108" s="132"/>
      <c r="T108" s="132"/>
      <c r="U108" s="123"/>
      <c r="V108" s="123"/>
      <c r="W108" s="88"/>
    </row>
    <row r="109" spans="1:26" x14ac:dyDescent="0.25">
      <c r="A109" s="88">
        <v>2026</v>
      </c>
      <c r="B109" t="s">
        <v>74</v>
      </c>
      <c r="C109" s="106" t="s">
        <v>58</v>
      </c>
      <c r="D109" s="107">
        <v>6843791</v>
      </c>
      <c r="E109" s="136">
        <v>6043551</v>
      </c>
      <c r="F109" s="136">
        <v>793575</v>
      </c>
      <c r="G109" s="136">
        <f ca="1">D109-SUM(E109:F109)</f>
        <v>6665</v>
      </c>
      <c r="H109" s="137">
        <f ca="1">E109/D109</f>
        <v>0.88307065484612257</v>
      </c>
      <c r="I109" s="137">
        <f ca="1">F109/D109</f>
        <v>0.11595546970969745</v>
      </c>
      <c r="J109" s="138">
        <f ca="1">G109/D109</f>
        <v>9.7387544417998741E-4</v>
      </c>
      <c r="K109" s="88"/>
      <c r="L109" s="88"/>
      <c r="M109" s="88"/>
      <c r="N109" s="88"/>
      <c r="O109" s="123"/>
      <c r="P109" s="88"/>
      <c r="Q109" s="123"/>
      <c r="R109" s="132"/>
      <c r="S109" s="132"/>
      <c r="T109" s="132"/>
      <c r="U109" s="123"/>
      <c r="V109" s="123"/>
      <c r="W109" s="88"/>
    </row>
    <row r="110" spans="1:26" ht="15.75" thickBot="1" x14ac:dyDescent="0.3">
      <c r="C110" s="124" t="s">
        <v>59</v>
      </c>
      <c r="D110" s="125">
        <f ca="1">D91+D104+D105+D106+D107+D108+D109</f>
        <v>5912866644</v>
      </c>
      <c r="E110" s="125">
        <f ca="1">E91+E104+E105+E106+E107+E108+E109</f>
        <v>5799600432</v>
      </c>
      <c r="F110" s="125">
        <f ca="1">F91+F104+F105+F106+F107+F108+F109</f>
        <v>91820472</v>
      </c>
      <c r="G110" s="125">
        <f ca="1">G91+G104+G105+G106+G107+G108+G109</f>
        <v>21445740</v>
      </c>
      <c r="H110" s="142">
        <f t="shared" ca="1" si="4"/>
        <v>0.98084411186324738</v>
      </c>
      <c r="I110" s="142">
        <f t="shared" ca="1" si="5"/>
        <v>1.5528926581351798E-2</v>
      </c>
      <c r="J110" s="143">
        <f t="shared" ca="1" si="6"/>
        <v>3.6269615554008427E-3</v>
      </c>
    </row>
    <row r="111" spans="1:26" x14ac:dyDescent="0.25">
      <c r="C111" s="119"/>
      <c r="D111" s="119">
        <f ca="1">SUM(Summary!G52,Summary!G65,Summary!G78)</f>
        <v>5912866644</v>
      </c>
      <c r="E111" s="119"/>
      <c r="F111" s="119"/>
      <c r="G111" s="120"/>
      <c r="H111" s="120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20"/>
      <c r="U111" s="120"/>
      <c r="V111" s="119"/>
      <c r="W111" s="119"/>
      <c r="X111" s="120"/>
      <c r="Y111" s="120"/>
      <c r="Z111" s="120"/>
    </row>
    <row r="112" spans="1:26" ht="15.75" thickBot="1" x14ac:dyDescent="0.3"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</row>
    <row r="113" spans="1:23" ht="24" thickBot="1" x14ac:dyDescent="0.4">
      <c r="C113" s="89" t="str">
        <f ca="1">_xlfn.CONCAT("BA dues collection ageing monthwise")</f>
        <v>BA dues collection ageing monthwise</v>
      </c>
      <c r="D113" s="90"/>
      <c r="E113" s="90"/>
      <c r="F113" s="90"/>
      <c r="G113" s="90"/>
      <c r="H113" s="90"/>
      <c r="I113" s="90"/>
      <c r="J113" s="91"/>
      <c r="K113" s="97"/>
      <c r="L113" s="144"/>
      <c r="M113" s="144"/>
      <c r="N113" s="144"/>
      <c r="O113" s="88"/>
      <c r="P113" s="92"/>
      <c r="Q113" s="92"/>
      <c r="R113" s="92"/>
      <c r="S113" s="92"/>
      <c r="T113" s="92"/>
      <c r="U113" s="92"/>
      <c r="V113" s="92"/>
      <c r="W113" s="92"/>
    </row>
    <row r="114" spans="1:23" ht="45" x14ac:dyDescent="0.25">
      <c r="C114" s="94" t="s">
        <v>282</v>
      </c>
      <c r="D114" s="95" t="s">
        <v>304</v>
      </c>
      <c r="E114" s="95" t="s">
        <v>305</v>
      </c>
      <c r="F114" s="95" t="s">
        <v>306</v>
      </c>
      <c r="G114" s="95" t="s">
        <v>307</v>
      </c>
      <c r="H114" s="145" t="s">
        <v>302</v>
      </c>
      <c r="I114" s="145" t="s">
        <v>308</v>
      </c>
      <c r="J114" s="146" t="s">
        <v>309</v>
      </c>
      <c r="K114" s="102"/>
      <c r="L114" s="97"/>
      <c r="M114" s="97"/>
      <c r="N114" s="97"/>
      <c r="O114" s="88"/>
      <c r="P114" s="97"/>
      <c r="Q114" s="97"/>
      <c r="R114" s="97"/>
      <c r="S114" s="97"/>
      <c r="T114" s="97"/>
      <c r="U114" s="97"/>
      <c r="V114" s="97"/>
      <c r="W114" s="97"/>
    </row>
    <row r="115" spans="1:23" x14ac:dyDescent="0.25">
      <c r="A115" s="88">
        <v>2024</v>
      </c>
      <c r="B115" t="s">
        <v>70</v>
      </c>
      <c r="C115" s="98" t="s">
        <v>26</v>
      </c>
      <c r="D115" s="99">
        <v>47882239</v>
      </c>
      <c r="E115" s="133">
        <v>20222770</v>
      </c>
      <c r="F115" s="133">
        <v>12564566</v>
      </c>
      <c r="G115" s="133">
        <f ca="1">D115-SUM(E115:F115)</f>
        <v>15094903</v>
      </c>
      <c r="H115" s="100">
        <f ca="1">E115/D115</f>
        <v>0.42234386742023489</v>
      </c>
      <c r="I115" s="100">
        <f ca="1">F115/D115</f>
        <v>0.26240556545402982</v>
      </c>
      <c r="J115" s="101">
        <f ca="1">G115/D115</f>
        <v>0.31525056712573529</v>
      </c>
      <c r="K115" s="102"/>
      <c r="L115" s="105"/>
      <c r="M115" s="105"/>
      <c r="N115" s="105"/>
      <c r="O115" s="88"/>
      <c r="P115" s="103"/>
      <c r="Q115" s="104"/>
      <c r="R115" s="102"/>
      <c r="S115" s="102"/>
      <c r="T115" s="102"/>
      <c r="U115" s="105"/>
      <c r="V115" s="105"/>
      <c r="W115" s="105"/>
    </row>
    <row r="116" spans="1:23" x14ac:dyDescent="0.25">
      <c r="A116" s="88">
        <v>2024</v>
      </c>
      <c r="B116" t="s">
        <v>71</v>
      </c>
      <c r="C116" s="106" t="s">
        <v>28</v>
      </c>
      <c r="D116" s="107">
        <v>39927400</v>
      </c>
      <c r="E116" s="136">
        <v>16451200</v>
      </c>
      <c r="F116" s="136">
        <v>5853531</v>
      </c>
      <c r="G116" s="136">
        <f t="shared" ref="G116:G126" ca="1" si="9">D116-SUM(E116:F116)</f>
        <v>17622669</v>
      </c>
      <c r="H116" s="108">
        <f t="shared" ref="H116:H146" ca="1" si="10">E116/D116</f>
        <v>0.41202783051237996</v>
      </c>
      <c r="I116" s="108">
        <f t="shared" ref="I116:I146" ca="1" si="11">F116/D116</f>
        <v>0.14660436191687914</v>
      </c>
      <c r="J116" s="109">
        <f t="shared" ref="J116:J146" ca="1" si="12">G116/D116</f>
        <v>0.4413678075707409</v>
      </c>
      <c r="K116" s="102"/>
      <c r="L116" s="105"/>
      <c r="M116" s="105"/>
      <c r="N116" s="105"/>
      <c r="O116" s="88"/>
      <c r="P116" s="103"/>
      <c r="Q116" s="104"/>
      <c r="R116" s="102"/>
      <c r="S116" s="102"/>
      <c r="T116" s="102"/>
      <c r="U116" s="105"/>
      <c r="V116" s="105"/>
      <c r="W116" s="105"/>
    </row>
    <row r="117" spans="1:23" x14ac:dyDescent="0.25">
      <c r="A117" s="88">
        <v>2024</v>
      </c>
      <c r="B117" t="s">
        <v>72</v>
      </c>
      <c r="C117" s="98" t="s">
        <v>29</v>
      </c>
      <c r="D117" s="99">
        <v>38064619</v>
      </c>
      <c r="E117" s="133">
        <v>17255263</v>
      </c>
      <c r="F117" s="133">
        <v>6755479</v>
      </c>
      <c r="G117" s="133">
        <f t="shared" ca="1" si="9"/>
        <v>14053877</v>
      </c>
      <c r="H117" s="100">
        <f t="shared" ca="1" si="10"/>
        <v>0.45331500625291954</v>
      </c>
      <c r="I117" s="100">
        <f t="shared" ca="1" si="11"/>
        <v>0.17747396867416432</v>
      </c>
      <c r="J117" s="101">
        <f t="shared" ca="1" si="12"/>
        <v>0.36921102507291614</v>
      </c>
      <c r="K117" s="102"/>
      <c r="L117" s="105"/>
      <c r="M117" s="105"/>
      <c r="N117" s="105"/>
      <c r="O117" s="88"/>
      <c r="P117" s="103"/>
      <c r="Q117" s="104"/>
      <c r="R117" s="102"/>
      <c r="S117" s="102"/>
      <c r="T117" s="102"/>
      <c r="U117" s="105"/>
      <c r="V117" s="105"/>
      <c r="W117" s="105"/>
    </row>
    <row r="118" spans="1:23" x14ac:dyDescent="0.25">
      <c r="A118" s="88">
        <v>2024</v>
      </c>
      <c r="B118" t="s">
        <v>73</v>
      </c>
      <c r="C118" s="106" t="s">
        <v>30</v>
      </c>
      <c r="D118" s="107">
        <v>49665719</v>
      </c>
      <c r="E118" s="136">
        <v>17257524</v>
      </c>
      <c r="F118" s="136">
        <v>7983969</v>
      </c>
      <c r="G118" s="136">
        <f t="shared" ca="1" si="9"/>
        <v>24424226</v>
      </c>
      <c r="H118" s="108">
        <f t="shared" ca="1" si="10"/>
        <v>0.3474735561565111</v>
      </c>
      <c r="I118" s="108">
        <f t="shared" ca="1" si="11"/>
        <v>0.16075412096621414</v>
      </c>
      <c r="J118" s="109">
        <f t="shared" ca="1" si="12"/>
        <v>0.49177232287727479</v>
      </c>
      <c r="K118" s="102"/>
      <c r="L118" s="105"/>
      <c r="M118" s="105"/>
      <c r="N118" s="105"/>
      <c r="O118" s="88"/>
      <c r="P118" s="103"/>
      <c r="Q118" s="104"/>
      <c r="R118" s="102"/>
      <c r="S118" s="102"/>
      <c r="T118" s="102"/>
      <c r="U118" s="105"/>
      <c r="V118" s="105"/>
      <c r="W118" s="105"/>
    </row>
    <row r="119" spans="1:23" x14ac:dyDescent="0.25">
      <c r="A119" s="88">
        <v>2024</v>
      </c>
      <c r="B119" t="s">
        <v>74</v>
      </c>
      <c r="C119" s="98" t="s">
        <v>31</v>
      </c>
      <c r="D119" s="99">
        <v>71363217</v>
      </c>
      <c r="E119" s="133">
        <v>38036304</v>
      </c>
      <c r="F119" s="133">
        <v>13128036</v>
      </c>
      <c r="G119" s="133">
        <f t="shared" ca="1" si="9"/>
        <v>20198877</v>
      </c>
      <c r="H119" s="100">
        <f t="shared" ca="1" si="10"/>
        <v>0.53299592701937748</v>
      </c>
      <c r="I119" s="100">
        <f t="shared" ca="1" si="11"/>
        <v>0.18396082116085097</v>
      </c>
      <c r="J119" s="101">
        <f t="shared" ca="1" si="12"/>
        <v>0.28304325181977152</v>
      </c>
      <c r="K119" s="102"/>
      <c r="L119" s="105"/>
      <c r="M119" s="105"/>
      <c r="N119" s="105"/>
      <c r="O119" s="88"/>
      <c r="P119" s="103"/>
      <c r="Q119" s="104"/>
      <c r="R119" s="102"/>
      <c r="S119" s="102"/>
      <c r="T119" s="102"/>
      <c r="U119" s="105"/>
      <c r="V119" s="105"/>
      <c r="W119" s="105"/>
    </row>
    <row r="120" spans="1:23" x14ac:dyDescent="0.25">
      <c r="A120" s="88">
        <v>2024</v>
      </c>
      <c r="B120" t="s">
        <v>75</v>
      </c>
      <c r="C120" s="106" t="s">
        <v>33</v>
      </c>
      <c r="D120" s="107">
        <v>41242932</v>
      </c>
      <c r="E120" s="136">
        <v>17147041</v>
      </c>
      <c r="F120" s="136">
        <v>5908117</v>
      </c>
      <c r="G120" s="136">
        <f t="shared" ca="1" si="9"/>
        <v>18187774</v>
      </c>
      <c r="H120" s="108">
        <f t="shared" ca="1" si="10"/>
        <v>0.41575708051018295</v>
      </c>
      <c r="I120" s="108">
        <f t="shared" ca="1" si="11"/>
        <v>0.14325162430255928</v>
      </c>
      <c r="J120" s="109">
        <f t="shared" ca="1" si="12"/>
        <v>0.44099129518725777</v>
      </c>
      <c r="K120" s="102"/>
      <c r="L120" s="105"/>
      <c r="M120" s="105"/>
      <c r="N120" s="105"/>
      <c r="O120" s="88"/>
      <c r="P120" s="103"/>
      <c r="Q120" s="104"/>
      <c r="R120" s="102"/>
      <c r="S120" s="102"/>
      <c r="T120" s="102"/>
      <c r="U120" s="105"/>
      <c r="V120" s="105"/>
      <c r="W120" s="105"/>
    </row>
    <row r="121" spans="1:23" x14ac:dyDescent="0.25">
      <c r="A121" s="88">
        <v>2024</v>
      </c>
      <c r="B121" t="s">
        <v>76</v>
      </c>
      <c r="C121" s="98" t="s">
        <v>34</v>
      </c>
      <c r="D121" s="99">
        <v>48103709</v>
      </c>
      <c r="E121" s="133">
        <v>21418536</v>
      </c>
      <c r="F121" s="133">
        <v>8468729</v>
      </c>
      <c r="G121" s="133">
        <f t="shared" ca="1" si="9"/>
        <v>18216444</v>
      </c>
      <c r="H121" s="100">
        <f t="shared" ca="1" si="10"/>
        <v>0.44525747484461126</v>
      </c>
      <c r="I121" s="100">
        <f t="shared" ca="1" si="11"/>
        <v>0.17605147661274934</v>
      </c>
      <c r="J121" s="101">
        <f t="shared" ca="1" si="12"/>
        <v>0.37869104854263941</v>
      </c>
      <c r="K121" s="102"/>
      <c r="L121" s="105"/>
      <c r="M121" s="105"/>
      <c r="N121" s="105"/>
      <c r="O121" s="88"/>
      <c r="P121" s="103"/>
      <c r="Q121" s="104"/>
      <c r="R121" s="102"/>
      <c r="S121" s="102"/>
      <c r="T121" s="102"/>
      <c r="U121" s="105"/>
      <c r="V121" s="105"/>
      <c r="W121" s="105"/>
    </row>
    <row r="122" spans="1:23" x14ac:dyDescent="0.25">
      <c r="A122" s="88">
        <v>2024</v>
      </c>
      <c r="B122" t="s">
        <v>77</v>
      </c>
      <c r="C122" s="106" t="s">
        <v>35</v>
      </c>
      <c r="D122" s="107">
        <v>37069818</v>
      </c>
      <c r="E122" s="136">
        <v>11759606</v>
      </c>
      <c r="F122" s="136">
        <v>11149282</v>
      </c>
      <c r="G122" s="136">
        <f t="shared" ca="1" si="9"/>
        <v>14160930</v>
      </c>
      <c r="H122" s="108">
        <f t="shared" ca="1" si="10"/>
        <v>0.31722858741847615</v>
      </c>
      <c r="I122" s="108">
        <f t="shared" ca="1" si="11"/>
        <v>0.30076441162996809</v>
      </c>
      <c r="J122" s="109">
        <f t="shared" ca="1" si="12"/>
        <v>0.38200700095155576</v>
      </c>
      <c r="K122" s="102"/>
      <c r="L122" s="105"/>
      <c r="M122" s="105"/>
      <c r="N122" s="105"/>
      <c r="O122" s="88"/>
      <c r="P122" s="103"/>
      <c r="Q122" s="104"/>
      <c r="R122" s="102"/>
      <c r="S122" s="102"/>
      <c r="T122" s="102"/>
      <c r="U122" s="105"/>
      <c r="V122" s="105"/>
      <c r="W122" s="105"/>
    </row>
    <row r="123" spans="1:23" x14ac:dyDescent="0.25">
      <c r="A123" s="88">
        <v>2024</v>
      </c>
      <c r="B123" t="s">
        <v>78</v>
      </c>
      <c r="C123" s="98" t="s">
        <v>36</v>
      </c>
      <c r="D123" s="99">
        <v>37245660</v>
      </c>
      <c r="E123" s="133">
        <v>14781187</v>
      </c>
      <c r="F123" s="133">
        <v>4745977</v>
      </c>
      <c r="G123" s="133">
        <f t="shared" ca="1" si="9"/>
        <v>17718496</v>
      </c>
      <c r="H123" s="100">
        <f t="shared" ca="1" si="10"/>
        <v>0.39685662705399771</v>
      </c>
      <c r="I123" s="100">
        <f t="shared" ca="1" si="11"/>
        <v>0.12742362465855081</v>
      </c>
      <c r="J123" s="101">
        <f t="shared" ca="1" si="12"/>
        <v>0.4757197482874515</v>
      </c>
      <c r="K123" s="102"/>
      <c r="L123" s="105"/>
      <c r="M123" s="105"/>
      <c r="N123" s="105"/>
      <c r="O123" s="88"/>
      <c r="P123" s="103"/>
      <c r="Q123" s="104"/>
      <c r="R123" s="102"/>
      <c r="S123" s="102"/>
      <c r="T123" s="102"/>
      <c r="U123" s="105"/>
      <c r="V123" s="105"/>
      <c r="W123" s="105"/>
    </row>
    <row r="124" spans="1:23" x14ac:dyDescent="0.25">
      <c r="A124" s="88">
        <v>2024</v>
      </c>
      <c r="B124" t="s">
        <v>79</v>
      </c>
      <c r="C124" s="106" t="s">
        <v>37</v>
      </c>
      <c r="D124" s="107">
        <v>30245036</v>
      </c>
      <c r="E124" s="136">
        <v>14927800</v>
      </c>
      <c r="F124" s="136">
        <v>2949155</v>
      </c>
      <c r="G124" s="136">
        <f t="shared" ca="1" si="9"/>
        <v>12368081</v>
      </c>
      <c r="H124" s="108">
        <f t="shared" ca="1" si="10"/>
        <v>0.49356198484934849</v>
      </c>
      <c r="I124" s="108">
        <f t="shared" ca="1" si="11"/>
        <v>9.7508728374467793E-2</v>
      </c>
      <c r="J124" s="109">
        <f t="shared" ca="1" si="12"/>
        <v>0.40892928677618368</v>
      </c>
      <c r="K124" s="102"/>
      <c r="L124" s="105"/>
      <c r="M124" s="105"/>
      <c r="N124" s="105"/>
      <c r="O124" s="88"/>
      <c r="P124" s="103"/>
      <c r="Q124" s="104"/>
      <c r="R124" s="102"/>
      <c r="S124" s="102"/>
      <c r="T124" s="102"/>
      <c r="U124" s="105"/>
      <c r="V124" s="105"/>
      <c r="W124" s="105"/>
    </row>
    <row r="125" spans="1:23" x14ac:dyDescent="0.25">
      <c r="A125" s="88">
        <v>2024</v>
      </c>
      <c r="B125" t="s">
        <v>80</v>
      </c>
      <c r="C125" s="106" t="s">
        <v>38</v>
      </c>
      <c r="D125" s="107">
        <v>19945278</v>
      </c>
      <c r="E125" s="136">
        <v>11681853</v>
      </c>
      <c r="F125" s="136">
        <v>3150538</v>
      </c>
      <c r="G125" s="136">
        <f t="shared" ca="1" si="9"/>
        <v>5112887</v>
      </c>
      <c r="H125" s="108">
        <f t="shared" ca="1" si="10"/>
        <v>0.58569517055615872</v>
      </c>
      <c r="I125" s="108">
        <f t="shared" ca="1" si="11"/>
        <v>0.15795909187126897</v>
      </c>
      <c r="J125" s="109">
        <f t="shared" ca="1" si="12"/>
        <v>0.25634573757257234</v>
      </c>
      <c r="K125" s="102"/>
      <c r="L125" s="105"/>
      <c r="M125" s="105"/>
      <c r="N125" s="105"/>
      <c r="O125" s="88"/>
      <c r="P125" s="103"/>
      <c r="Q125" s="104"/>
      <c r="R125" s="102"/>
      <c r="S125" s="102"/>
      <c r="T125" s="102"/>
      <c r="U125" s="105"/>
      <c r="V125" s="105"/>
      <c r="W125" s="105"/>
    </row>
    <row r="126" spans="1:23" x14ac:dyDescent="0.25">
      <c r="A126" s="88">
        <v>2024</v>
      </c>
      <c r="B126" t="s">
        <v>81</v>
      </c>
      <c r="C126" s="98" t="s">
        <v>39</v>
      </c>
      <c r="D126" s="99">
        <v>17264767</v>
      </c>
      <c r="E126" s="133">
        <v>10820170</v>
      </c>
      <c r="F126" s="133">
        <v>2532405</v>
      </c>
      <c r="G126" s="133">
        <f t="shared" ca="1" si="9"/>
        <v>3912192</v>
      </c>
      <c r="H126" s="100">
        <f t="shared" ca="1" si="10"/>
        <v>0.62671972346919014</v>
      </c>
      <c r="I126" s="100">
        <f t="shared" ca="1" si="11"/>
        <v>0.1466805199282446</v>
      </c>
      <c r="J126" s="101">
        <f t="shared" ca="1" si="12"/>
        <v>0.22659975660256521</v>
      </c>
      <c r="K126" s="102"/>
      <c r="L126" s="105"/>
      <c r="M126" s="105"/>
      <c r="N126" s="105"/>
      <c r="O126" s="88"/>
      <c r="P126" s="103"/>
      <c r="Q126" s="104"/>
      <c r="R126" s="102"/>
      <c r="S126" s="102"/>
      <c r="T126" s="102"/>
      <c r="U126" s="105"/>
      <c r="V126" s="105"/>
      <c r="W126" s="105"/>
    </row>
    <row r="127" spans="1:23" x14ac:dyDescent="0.25">
      <c r="A127" s="88"/>
      <c r="C127" s="115" t="s">
        <v>24</v>
      </c>
      <c r="D127" s="147">
        <f ca="1">SUM(D115:D126)</f>
        <v>478020394</v>
      </c>
      <c r="E127" s="148">
        <f ca="1">SUM(E115:E126)</f>
        <v>211759254</v>
      </c>
      <c r="F127" s="148">
        <f ca="1">SUM(F115:F126)</f>
        <v>85189784</v>
      </c>
      <c r="G127" s="148">
        <f ca="1">SUM(G115:G126)</f>
        <v>181071356</v>
      </c>
      <c r="H127" s="149">
        <f ca="1">E127/D127</f>
        <v>0.44299209125374678</v>
      </c>
      <c r="I127" s="149">
        <f ca="1">F127/D127</f>
        <v>0.17821370190327068</v>
      </c>
      <c r="J127" s="150">
        <f ca="1">G127/D127</f>
        <v>0.37879420684298254</v>
      </c>
      <c r="K127" s="102"/>
      <c r="L127" s="105"/>
      <c r="M127" s="105"/>
      <c r="N127" s="105"/>
      <c r="O127" s="88"/>
      <c r="P127" s="103"/>
      <c r="Q127" s="104"/>
      <c r="R127" s="102"/>
      <c r="S127" s="102"/>
      <c r="T127" s="102"/>
      <c r="U127" s="105"/>
      <c r="V127" s="105"/>
      <c r="W127" s="105"/>
    </row>
    <row r="128" spans="1:23" x14ac:dyDescent="0.25">
      <c r="A128" s="88">
        <v>2025</v>
      </c>
      <c r="B128" t="s">
        <v>70</v>
      </c>
      <c r="C128" s="106" t="s">
        <v>41</v>
      </c>
      <c r="D128" s="107">
        <v>21622813</v>
      </c>
      <c r="E128" s="136">
        <v>10546291</v>
      </c>
      <c r="F128" s="136">
        <v>3809363</v>
      </c>
      <c r="G128" s="136">
        <f t="shared" ref="G128:G139" ca="1" si="13">D128-SUM(E128:F128)</f>
        <v>7267159</v>
      </c>
      <c r="H128" s="108">
        <f t="shared" ca="1" si="10"/>
        <v>0.48773908371681335</v>
      </c>
      <c r="I128" s="108">
        <f t="shared" ca="1" si="11"/>
        <v>0.17617333137922433</v>
      </c>
      <c r="J128" s="109">
        <f t="shared" ca="1" si="12"/>
        <v>0.33608758490396229</v>
      </c>
      <c r="K128" s="102"/>
      <c r="L128" s="105"/>
      <c r="M128" s="105"/>
      <c r="N128" s="105"/>
      <c r="O128" s="88"/>
      <c r="P128" s="103"/>
      <c r="Q128" s="104"/>
      <c r="R128" s="102"/>
      <c r="S128" s="102"/>
      <c r="T128" s="102"/>
      <c r="U128" s="105"/>
      <c r="V128" s="105"/>
      <c r="W128" s="105"/>
    </row>
    <row r="129" spans="1:23" x14ac:dyDescent="0.25">
      <c r="A129" s="88">
        <v>2025</v>
      </c>
      <c r="B129" t="s">
        <v>71</v>
      </c>
      <c r="C129" s="98" t="s">
        <v>42</v>
      </c>
      <c r="D129" s="99">
        <v>16412221</v>
      </c>
      <c r="E129" s="133">
        <v>5890661</v>
      </c>
      <c r="F129" s="133">
        <v>4954458</v>
      </c>
      <c r="G129" s="133">
        <f t="shared" ca="1" si="13"/>
        <v>5567102</v>
      </c>
      <c r="H129" s="100">
        <f t="shared" ca="1" si="10"/>
        <v>0.35891918589202521</v>
      </c>
      <c r="I129" s="100">
        <f t="shared" ca="1" si="11"/>
        <v>0.30187614461199369</v>
      </c>
      <c r="J129" s="101">
        <f t="shared" ca="1" si="12"/>
        <v>0.33920466949598105</v>
      </c>
      <c r="K129" s="102"/>
      <c r="L129" s="105"/>
      <c r="M129" s="105"/>
      <c r="N129" s="105"/>
      <c r="O129" s="88"/>
      <c r="P129" s="103"/>
      <c r="Q129" s="104"/>
      <c r="R129" s="102"/>
      <c r="S129" s="102"/>
      <c r="T129" s="102"/>
      <c r="U129" s="105"/>
      <c r="V129" s="105"/>
      <c r="W129" s="105"/>
    </row>
    <row r="130" spans="1:23" x14ac:dyDescent="0.25">
      <c r="A130" s="88">
        <v>2025</v>
      </c>
      <c r="B130" t="s">
        <v>72</v>
      </c>
      <c r="C130" s="106" t="s">
        <v>43</v>
      </c>
      <c r="D130" s="107">
        <v>14495391</v>
      </c>
      <c r="E130" s="136">
        <v>8956480</v>
      </c>
      <c r="F130" s="136">
        <v>3081718</v>
      </c>
      <c r="G130" s="136">
        <f t="shared" ca="1" si="13"/>
        <v>2457193</v>
      </c>
      <c r="H130" s="108">
        <f t="shared" ca="1" si="10"/>
        <v>0.61788467796418878</v>
      </c>
      <c r="I130" s="108">
        <f t="shared" ca="1" si="11"/>
        <v>0.21259985329129791</v>
      </c>
      <c r="J130" s="109">
        <f t="shared" ca="1" si="12"/>
        <v>0.16951546874451334</v>
      </c>
      <c r="K130" s="102"/>
      <c r="L130" s="105"/>
      <c r="M130" s="105"/>
      <c r="N130" s="105"/>
      <c r="O130" s="88"/>
      <c r="P130" s="103"/>
      <c r="Q130" s="104"/>
      <c r="R130" s="102"/>
      <c r="S130" s="102"/>
      <c r="T130" s="102"/>
      <c r="U130" s="105"/>
      <c r="V130" s="105"/>
      <c r="W130" s="105"/>
    </row>
    <row r="131" spans="1:23" x14ac:dyDescent="0.25">
      <c r="A131" s="88">
        <v>2025</v>
      </c>
      <c r="B131" t="s">
        <v>73</v>
      </c>
      <c r="C131" s="98" t="s">
        <v>44</v>
      </c>
      <c r="D131" s="99">
        <v>19873077</v>
      </c>
      <c r="E131" s="133">
        <v>11823245</v>
      </c>
      <c r="F131" s="133">
        <v>4078503</v>
      </c>
      <c r="G131" s="133">
        <f t="shared" ca="1" si="13"/>
        <v>3971329</v>
      </c>
      <c r="H131" s="100">
        <f t="shared" ca="1" si="10"/>
        <v>0.59493781461220119</v>
      </c>
      <c r="I131" s="100">
        <f t="shared" ca="1" si="11"/>
        <v>0.20522755484719352</v>
      </c>
      <c r="J131" s="101">
        <f t="shared" ca="1" si="12"/>
        <v>0.19983463054060527</v>
      </c>
      <c r="K131" s="102"/>
      <c r="L131" s="105"/>
      <c r="M131" s="105"/>
      <c r="N131" s="105"/>
      <c r="O131" s="88"/>
      <c r="P131" s="103"/>
      <c r="Q131" s="104"/>
      <c r="R131" s="102"/>
      <c r="S131" s="102"/>
      <c r="T131" s="102"/>
      <c r="U131" s="105"/>
      <c r="V131" s="105"/>
      <c r="W131" s="105"/>
    </row>
    <row r="132" spans="1:23" x14ac:dyDescent="0.25">
      <c r="A132" s="88">
        <v>2025</v>
      </c>
      <c r="B132" t="s">
        <v>74</v>
      </c>
      <c r="C132" s="106" t="s">
        <v>45</v>
      </c>
      <c r="D132" s="107">
        <v>17052300</v>
      </c>
      <c r="E132" s="136">
        <v>9710689</v>
      </c>
      <c r="F132" s="136">
        <v>3275482</v>
      </c>
      <c r="G132" s="136">
        <f t="shared" ca="1" si="13"/>
        <v>4066129</v>
      </c>
      <c r="H132" s="108">
        <f t="shared" ca="1" si="10"/>
        <v>0.56946505749957488</v>
      </c>
      <c r="I132" s="108">
        <f t="shared" ca="1" si="11"/>
        <v>0.19208446954369793</v>
      </c>
      <c r="J132" s="109">
        <f t="shared" ca="1" si="12"/>
        <v>0.23845047295672725</v>
      </c>
      <c r="K132" s="102"/>
      <c r="L132" s="105"/>
      <c r="M132" s="105"/>
      <c r="N132" s="105"/>
      <c r="O132" s="88"/>
      <c r="P132" s="103"/>
      <c r="Q132" s="104"/>
      <c r="R132" s="102"/>
      <c r="S132" s="102"/>
      <c r="T132" s="102"/>
      <c r="U132" s="105"/>
      <c r="V132" s="105"/>
      <c r="W132" s="105"/>
    </row>
    <row r="133" spans="1:23" x14ac:dyDescent="0.25">
      <c r="A133" s="88">
        <v>2025</v>
      </c>
      <c r="B133" t="s">
        <v>75</v>
      </c>
      <c r="C133" s="98" t="s">
        <v>46</v>
      </c>
      <c r="D133" s="99">
        <v>16805118</v>
      </c>
      <c r="E133" s="133">
        <v>10132535</v>
      </c>
      <c r="F133" s="133">
        <v>2582247</v>
      </c>
      <c r="G133" s="133">
        <f t="shared" ca="1" si="13"/>
        <v>4090336</v>
      </c>
      <c r="H133" s="100">
        <f t="shared" ca="1" si="10"/>
        <v>0.60294340093297771</v>
      </c>
      <c r="I133" s="100">
        <f t="shared" ca="1" si="11"/>
        <v>0.1536583676472846</v>
      </c>
      <c r="J133" s="101">
        <f t="shared" ca="1" si="12"/>
        <v>0.24339823141973774</v>
      </c>
      <c r="K133" s="102"/>
      <c r="L133" s="105"/>
      <c r="M133" s="105"/>
      <c r="N133" s="105"/>
      <c r="O133" s="88"/>
      <c r="P133" s="103"/>
      <c r="Q133" s="104"/>
      <c r="R133" s="102"/>
      <c r="S133" s="102"/>
      <c r="T133" s="102"/>
      <c r="U133" s="105"/>
      <c r="V133" s="105"/>
      <c r="W133" s="105"/>
    </row>
    <row r="134" spans="1:23" x14ac:dyDescent="0.25">
      <c r="A134" s="88">
        <v>2025</v>
      </c>
      <c r="B134" t="s">
        <v>76</v>
      </c>
      <c r="C134" s="106" t="s">
        <v>47</v>
      </c>
      <c r="D134" s="107">
        <v>13364269</v>
      </c>
      <c r="E134" s="136">
        <v>7502843</v>
      </c>
      <c r="F134" s="136">
        <v>3094256</v>
      </c>
      <c r="G134" s="136">
        <f t="shared" ca="1" si="13"/>
        <v>2767170</v>
      </c>
      <c r="H134" s="108">
        <f t="shared" ca="1" si="10"/>
        <v>0.56141065403577251</v>
      </c>
      <c r="I134" s="108">
        <f t="shared" ca="1" si="11"/>
        <v>0.23153200522976602</v>
      </c>
      <c r="J134" s="109">
        <f t="shared" ca="1" si="12"/>
        <v>0.20705734073446141</v>
      </c>
      <c r="K134" s="102"/>
      <c r="L134" s="105"/>
      <c r="M134" s="105"/>
      <c r="N134" s="105"/>
      <c r="O134" s="88"/>
      <c r="P134" s="103"/>
      <c r="Q134" s="104"/>
      <c r="R134" s="102"/>
      <c r="S134" s="102"/>
      <c r="T134" s="102"/>
      <c r="U134" s="105"/>
      <c r="V134" s="105"/>
      <c r="W134" s="105"/>
    </row>
    <row r="135" spans="1:23" x14ac:dyDescent="0.25">
      <c r="A135" s="88">
        <v>2025</v>
      </c>
      <c r="B135" t="s">
        <v>77</v>
      </c>
      <c r="C135" s="98" t="s">
        <v>48</v>
      </c>
      <c r="D135" s="99">
        <v>9829594</v>
      </c>
      <c r="E135" s="133">
        <v>5390252</v>
      </c>
      <c r="F135" s="133">
        <v>1622442</v>
      </c>
      <c r="G135" s="133">
        <f t="shared" ca="1" si="13"/>
        <v>2816900</v>
      </c>
      <c r="H135" s="100">
        <f t="shared" ca="1" si="10"/>
        <v>0.54836974955425422</v>
      </c>
      <c r="I135" s="100">
        <f t="shared" ca="1" si="11"/>
        <v>0.16505686806596487</v>
      </c>
      <c r="J135" s="101">
        <f t="shared" ca="1" si="12"/>
        <v>0.28657338237978092</v>
      </c>
      <c r="K135" s="102"/>
      <c r="L135" s="105"/>
      <c r="M135" s="105"/>
      <c r="N135" s="105"/>
      <c r="O135" s="88"/>
      <c r="P135" s="103"/>
      <c r="Q135" s="104"/>
      <c r="R135" s="102"/>
      <c r="S135" s="102"/>
      <c r="T135" s="102"/>
      <c r="U135" s="105"/>
      <c r="V135" s="105"/>
      <c r="W135" s="105"/>
    </row>
    <row r="136" spans="1:23" x14ac:dyDescent="0.25">
      <c r="A136" s="88">
        <v>2025</v>
      </c>
      <c r="B136" t="s">
        <v>78</v>
      </c>
      <c r="C136" s="106" t="s">
        <v>49</v>
      </c>
      <c r="D136" s="107">
        <v>9099755</v>
      </c>
      <c r="E136" s="136">
        <v>3941472</v>
      </c>
      <c r="F136" s="136">
        <v>2853349</v>
      </c>
      <c r="G136" s="136">
        <f t="shared" ca="1" si="13"/>
        <v>2304934</v>
      </c>
      <c r="H136" s="108">
        <f t="shared" ca="1" si="10"/>
        <v>0.43314045268251727</v>
      </c>
      <c r="I136" s="108">
        <f t="shared" ca="1" si="11"/>
        <v>0.31356327725306893</v>
      </c>
      <c r="J136" s="109">
        <f t="shared" ca="1" si="12"/>
        <v>0.2532962700644138</v>
      </c>
      <c r="K136" s="102"/>
      <c r="L136" s="105"/>
      <c r="M136" s="105"/>
      <c r="N136" s="105"/>
      <c r="O136" s="88"/>
      <c r="P136" s="103"/>
      <c r="Q136" s="104"/>
      <c r="R136" s="102"/>
      <c r="S136" s="102"/>
      <c r="T136" s="102"/>
      <c r="U136" s="105"/>
      <c r="V136" s="105"/>
      <c r="W136" s="105"/>
    </row>
    <row r="137" spans="1:23" x14ac:dyDescent="0.25">
      <c r="A137" s="88">
        <v>2025</v>
      </c>
      <c r="B137" t="s">
        <v>79</v>
      </c>
      <c r="C137" s="98" t="s">
        <v>50</v>
      </c>
      <c r="D137" s="99">
        <v>12020230</v>
      </c>
      <c r="E137" s="133">
        <v>8804726</v>
      </c>
      <c r="F137" s="133">
        <v>890141</v>
      </c>
      <c r="G137" s="133">
        <f t="shared" ca="1" si="13"/>
        <v>2325363</v>
      </c>
      <c r="H137" s="100">
        <f t="shared" ca="1" si="10"/>
        <v>0.73249230671958854</v>
      </c>
      <c r="I137" s="100">
        <f t="shared" ca="1" si="11"/>
        <v>7.4053574682015233E-2</v>
      </c>
      <c r="J137" s="101">
        <f t="shared" ca="1" si="12"/>
        <v>0.1934541185983962</v>
      </c>
      <c r="K137" s="102"/>
      <c r="L137" s="105"/>
      <c r="M137" s="105"/>
      <c r="N137" s="105"/>
      <c r="O137" s="88"/>
      <c r="P137" s="103"/>
      <c r="Q137" s="104"/>
      <c r="R137" s="102"/>
      <c r="S137" s="102"/>
      <c r="T137" s="102"/>
      <c r="U137" s="105"/>
      <c r="V137" s="105"/>
      <c r="W137" s="105"/>
    </row>
    <row r="138" spans="1:23" x14ac:dyDescent="0.25">
      <c r="A138" s="88">
        <v>2025</v>
      </c>
      <c r="B138" t="s">
        <v>80</v>
      </c>
      <c r="C138" s="106" t="s">
        <v>51</v>
      </c>
      <c r="D138" s="107">
        <v>32549060</v>
      </c>
      <c r="E138" s="136">
        <v>30202640</v>
      </c>
      <c r="F138" s="136">
        <v>359006</v>
      </c>
      <c r="G138" s="136">
        <f t="shared" ca="1" si="13"/>
        <v>1987414</v>
      </c>
      <c r="H138" s="108">
        <f t="shared" ca="1" si="10"/>
        <v>0.92791128223057751</v>
      </c>
      <c r="I138" s="108">
        <f t="shared" ca="1" si="11"/>
        <v>1.1029688722193513E-2</v>
      </c>
      <c r="J138" s="109">
        <f t="shared" ca="1" si="12"/>
        <v>6.1059029047229013E-2</v>
      </c>
      <c r="K138" s="102"/>
      <c r="L138" s="105"/>
      <c r="M138" s="105"/>
      <c r="N138" s="105"/>
      <c r="O138" s="88"/>
      <c r="P138" s="103"/>
      <c r="Q138" s="104"/>
      <c r="R138" s="102"/>
      <c r="S138" s="102"/>
      <c r="T138" s="102"/>
      <c r="U138" s="105"/>
      <c r="V138" s="105"/>
      <c r="W138" s="105"/>
    </row>
    <row r="139" spans="1:23" x14ac:dyDescent="0.25">
      <c r="A139" s="88">
        <v>2025</v>
      </c>
      <c r="B139" t="s">
        <v>81</v>
      </c>
      <c r="C139" s="98" t="s">
        <v>52</v>
      </c>
      <c r="D139" s="99">
        <v>13706503</v>
      </c>
      <c r="E139" s="133">
        <v>9087978</v>
      </c>
      <c r="F139" s="133">
        <v>1753566</v>
      </c>
      <c r="G139" s="133">
        <f t="shared" ca="1" si="13"/>
        <v>2864959</v>
      </c>
      <c r="H139" s="100">
        <f t="shared" ca="1" si="10"/>
        <v>0.66304133154897349</v>
      </c>
      <c r="I139" s="100">
        <f t="shared" ca="1" si="11"/>
        <v>0.12793679029581798</v>
      </c>
      <c r="J139" s="101">
        <f t="shared" ca="1" si="12"/>
        <v>0.20902187815520851</v>
      </c>
      <c r="K139" s="102"/>
      <c r="L139" s="105"/>
      <c r="M139" s="105"/>
      <c r="N139" s="105"/>
      <c r="O139" s="88"/>
      <c r="P139" s="103"/>
      <c r="Q139" s="104"/>
      <c r="R139" s="102"/>
      <c r="S139" s="102"/>
      <c r="T139" s="102"/>
      <c r="U139" s="105"/>
      <c r="V139" s="105"/>
      <c r="W139" s="105"/>
    </row>
    <row r="140" spans="1:23" x14ac:dyDescent="0.25">
      <c r="A140" s="88"/>
      <c r="C140" s="115" t="s">
        <v>40</v>
      </c>
      <c r="D140" s="147">
        <f ca="1">SUM(D128:D139)</f>
        <v>196830331</v>
      </c>
      <c r="E140" s="148">
        <f ca="1">SUM(E128:E139)</f>
        <v>121989812</v>
      </c>
      <c r="F140" s="148">
        <f ca="1">SUM(F128:F139)</f>
        <v>32354531</v>
      </c>
      <c r="G140" s="148">
        <f ca="1">SUM(G128:G139)</f>
        <v>42485988</v>
      </c>
      <c r="H140" s="149">
        <f t="shared" ca="1" si="10"/>
        <v>0.61977141114496226</v>
      </c>
      <c r="I140" s="149">
        <f t="shared" ca="1" si="11"/>
        <v>0.16437777061910239</v>
      </c>
      <c r="J140" s="150">
        <f t="shared" ca="1" si="12"/>
        <v>0.21585081823593538</v>
      </c>
      <c r="K140" s="102"/>
      <c r="L140" s="105"/>
      <c r="M140" s="105"/>
      <c r="N140" s="105"/>
      <c r="O140" s="88"/>
      <c r="P140" s="103"/>
      <c r="Q140" s="104"/>
      <c r="R140" s="102"/>
      <c r="S140" s="102"/>
      <c r="T140" s="102"/>
      <c r="U140" s="105"/>
      <c r="V140" s="105"/>
      <c r="W140" s="105"/>
    </row>
    <row r="141" spans="1:23" x14ac:dyDescent="0.25">
      <c r="A141" s="88">
        <v>2026</v>
      </c>
      <c r="B141" t="s">
        <v>70</v>
      </c>
      <c r="C141" s="106" t="s">
        <v>54</v>
      </c>
      <c r="D141" s="107">
        <v>7605120</v>
      </c>
      <c r="E141" s="136">
        <v>3134859</v>
      </c>
      <c r="F141" s="136">
        <v>2551539</v>
      </c>
      <c r="G141" s="136">
        <f ca="1">D141-SUM(E141:F141)</f>
        <v>1918722</v>
      </c>
      <c r="H141" s="108">
        <f t="shared" ca="1" si="10"/>
        <v>0.4122037522090381</v>
      </c>
      <c r="I141" s="108">
        <f t="shared" ca="1" si="11"/>
        <v>0.33550279285533957</v>
      </c>
      <c r="J141" s="109">
        <f t="shared" ca="1" si="12"/>
        <v>0.25229345493562233</v>
      </c>
      <c r="K141" s="102"/>
      <c r="L141" s="105"/>
      <c r="M141" s="105"/>
      <c r="N141" s="105"/>
      <c r="O141" s="88"/>
      <c r="P141" s="103"/>
      <c r="Q141" s="104"/>
      <c r="R141" s="102"/>
      <c r="S141" s="102"/>
      <c r="T141" s="102"/>
      <c r="U141" s="105"/>
      <c r="V141" s="105"/>
      <c r="W141" s="105"/>
    </row>
    <row r="142" spans="1:23" x14ac:dyDescent="0.25">
      <c r="A142" s="88">
        <v>2026</v>
      </c>
      <c r="B142" t="s">
        <v>71</v>
      </c>
      <c r="C142" s="98" t="s">
        <v>55</v>
      </c>
      <c r="D142" s="99">
        <v>8718980</v>
      </c>
      <c r="E142" s="133">
        <v>6596669</v>
      </c>
      <c r="F142" s="133">
        <v>597788</v>
      </c>
      <c r="G142" s="133">
        <f ca="1">D142-SUM(E142:F142)</f>
        <v>1524523</v>
      </c>
      <c r="H142" s="100">
        <f t="shared" ca="1" si="10"/>
        <v>0.75658723841550268</v>
      </c>
      <c r="I142" s="100">
        <f t="shared" ca="1" si="11"/>
        <v>6.8561689555429656E-2</v>
      </c>
      <c r="J142" s="101">
        <f t="shared" ca="1" si="12"/>
        <v>0.17485107202906763</v>
      </c>
      <c r="K142" s="102"/>
      <c r="L142" s="105"/>
      <c r="M142" s="105"/>
      <c r="N142" s="105"/>
      <c r="O142" s="88"/>
      <c r="P142" s="103"/>
      <c r="Q142" s="104"/>
      <c r="R142" s="102"/>
      <c r="S142" s="102"/>
      <c r="T142" s="102"/>
      <c r="U142" s="105"/>
      <c r="V142" s="105"/>
      <c r="W142" s="105"/>
    </row>
    <row r="143" spans="1:23" x14ac:dyDescent="0.25">
      <c r="A143" s="88">
        <v>2026</v>
      </c>
      <c r="B143" t="s">
        <v>72</v>
      </c>
      <c r="C143" s="106" t="s">
        <v>56</v>
      </c>
      <c r="D143" s="107">
        <v>5562404</v>
      </c>
      <c r="E143" s="136">
        <v>4070376</v>
      </c>
      <c r="F143" s="136">
        <v>1191133</v>
      </c>
      <c r="G143" s="136">
        <f ca="1">D143-SUM(E143:F143)</f>
        <v>300895</v>
      </c>
      <c r="H143" s="108">
        <f t="shared" ca="1" si="10"/>
        <v>0.73176561788751771</v>
      </c>
      <c r="I143" s="108">
        <f t="shared" ca="1" si="11"/>
        <v>0.21413996538187446</v>
      </c>
      <c r="J143" s="109">
        <f t="shared" ca="1" si="12"/>
        <v>5.4094416730607844E-2</v>
      </c>
      <c r="K143" s="102"/>
      <c r="L143" s="105"/>
      <c r="M143" s="105"/>
      <c r="N143" s="105"/>
      <c r="O143" s="88"/>
      <c r="P143" s="103"/>
      <c r="Q143" s="104"/>
      <c r="R143" s="102"/>
      <c r="S143" s="102"/>
      <c r="T143" s="102"/>
      <c r="U143" s="105"/>
      <c r="V143" s="105"/>
      <c r="W143" s="105"/>
    </row>
    <row r="144" spans="1:23" x14ac:dyDescent="0.25">
      <c r="A144" s="88">
        <v>2026</v>
      </c>
      <c r="B144" t="s">
        <v>73</v>
      </c>
      <c r="C144" s="98" t="s">
        <v>57</v>
      </c>
      <c r="D144" s="99">
        <v>4116349</v>
      </c>
      <c r="E144" s="133">
        <v>1634380</v>
      </c>
      <c r="F144" s="133">
        <v>1478350</v>
      </c>
      <c r="G144" s="133">
        <f ca="1">D144-SUM(E144:F144)</f>
        <v>1003619</v>
      </c>
      <c r="H144" s="100">
        <f t="shared" ca="1" si="10"/>
        <v>0.39704602306558556</v>
      </c>
      <c r="I144" s="100">
        <f t="shared" ca="1" si="11"/>
        <v>0.35914107380107957</v>
      </c>
      <c r="J144" s="101">
        <f t="shared" ca="1" si="12"/>
        <v>0.2438129031333349</v>
      </c>
      <c r="K144" s="102"/>
      <c r="L144" s="105"/>
      <c r="M144" s="105"/>
      <c r="N144" s="105"/>
      <c r="O144" s="88"/>
      <c r="P144" s="103"/>
      <c r="Q144" s="104"/>
      <c r="R144" s="102"/>
      <c r="S144" s="102"/>
      <c r="T144" s="102"/>
      <c r="U144" s="105"/>
      <c r="V144" s="105"/>
      <c r="W144" s="105"/>
    </row>
    <row r="145" spans="1:23" x14ac:dyDescent="0.25">
      <c r="A145" s="88">
        <v>2026</v>
      </c>
      <c r="B145" t="s">
        <v>74</v>
      </c>
      <c r="C145" s="106" t="s">
        <v>58</v>
      </c>
      <c r="D145" s="107">
        <v>304981</v>
      </c>
      <c r="E145" s="136">
        <v>1150</v>
      </c>
      <c r="F145" s="136">
        <v>50847</v>
      </c>
      <c r="G145" s="136">
        <f ca="1">D145-SUM(E145:F145)</f>
        <v>252984</v>
      </c>
      <c r="H145" s="108">
        <f ca="1">E145/D145</f>
        <v>3.7707267010076038E-3</v>
      </c>
      <c r="I145" s="108">
        <f ca="1">F145/D145</f>
        <v>0.16672186136185532</v>
      </c>
      <c r="J145" s="109">
        <f ca="1">G145/D145</f>
        <v>0.82950741193713706</v>
      </c>
      <c r="K145" s="102"/>
      <c r="L145" s="105"/>
      <c r="M145" s="105"/>
      <c r="N145" s="105"/>
      <c r="O145" s="88"/>
      <c r="P145" s="103"/>
      <c r="Q145" s="104"/>
      <c r="R145" s="102"/>
      <c r="S145" s="102"/>
      <c r="T145" s="102"/>
      <c r="U145" s="105"/>
      <c r="V145" s="105"/>
      <c r="W145" s="105"/>
    </row>
    <row r="146" spans="1:23" ht="15.75" thickBot="1" x14ac:dyDescent="0.3">
      <c r="C146" s="124" t="s">
        <v>59</v>
      </c>
      <c r="D146" s="125">
        <f ca="1">D127+D140+D141+D142+D143+D144+D145</f>
        <v>701158559</v>
      </c>
      <c r="E146" s="125">
        <f ca="1">E127+E140+E141+E142+E143+E144+E145</f>
        <v>349186500</v>
      </c>
      <c r="F146" s="125">
        <f ca="1">F127+F140+F141+F142+F143+F144+F145</f>
        <v>123413972</v>
      </c>
      <c r="G146" s="125">
        <f ca="1">G127+G140+G141+G142+G143+G144+G145</f>
        <v>228558087</v>
      </c>
      <c r="H146" s="126">
        <f t="shared" ca="1" si="10"/>
        <v>0.49801360265503086</v>
      </c>
      <c r="I146" s="126">
        <f t="shared" ca="1" si="11"/>
        <v>0.17601435569154908</v>
      </c>
      <c r="J146" s="127">
        <f t="shared" ca="1" si="12"/>
        <v>0.32597204165342009</v>
      </c>
      <c r="K146" s="102"/>
      <c r="L146" s="120"/>
      <c r="M146" s="120"/>
      <c r="N146" s="120"/>
      <c r="O146" s="88"/>
      <c r="P146" s="129"/>
      <c r="Q146" s="130"/>
      <c r="R146" s="119"/>
      <c r="S146" s="119"/>
      <c r="T146" s="119"/>
      <c r="U146" s="120"/>
      <c r="V146" s="120"/>
      <c r="W146" s="120"/>
    </row>
    <row r="147" spans="1:23" x14ac:dyDescent="0.25">
      <c r="C147" s="88"/>
      <c r="D147" s="88"/>
      <c r="E147" s="88"/>
      <c r="F147" s="88"/>
      <c r="G147" s="88"/>
      <c r="H147" s="88"/>
      <c r="I147" s="88"/>
      <c r="J147" s="88"/>
      <c r="K147" s="102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</row>
    <row r="148" spans="1:23" x14ac:dyDescent="0.25">
      <c r="C148" s="88"/>
      <c r="D148" s="88"/>
      <c r="E148" s="88"/>
      <c r="F148" s="88"/>
      <c r="G148" s="88"/>
      <c r="H148" s="88"/>
      <c r="I148" s="88"/>
      <c r="J148" s="88"/>
      <c r="K148" s="102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</row>
    <row r="166" spans="3:23" x14ac:dyDescent="0.25">
      <c r="C166" s="88"/>
      <c r="D166" s="123"/>
      <c r="E166" s="132"/>
      <c r="F166" s="132"/>
      <c r="G166" s="132"/>
      <c r="H166" s="123"/>
      <c r="I166" s="123"/>
      <c r="J166" s="88"/>
      <c r="K166" s="102"/>
      <c r="L166" s="88"/>
      <c r="M166" s="88"/>
      <c r="N166" s="88"/>
      <c r="O166" s="123"/>
      <c r="P166" s="88"/>
      <c r="Q166" s="123"/>
      <c r="R166" s="132"/>
      <c r="S166" s="132"/>
      <c r="T166" s="132"/>
      <c r="U166" s="123"/>
      <c r="V166" s="123"/>
      <c r="W166" s="88"/>
    </row>
    <row r="167" spans="3:23" ht="25.15" customHeight="1" x14ac:dyDescent="0.25">
      <c r="C167" s="88"/>
      <c r="D167" s="88"/>
      <c r="E167" s="88"/>
      <c r="F167" s="88"/>
      <c r="G167" s="88"/>
      <c r="H167" s="88"/>
      <c r="I167" s="88"/>
      <c r="J167" s="88"/>
      <c r="K167" s="102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</row>
  </sheetData>
  <mergeCells count="17">
    <mergeCell ref="C77:J77"/>
    <mergeCell ref="C113:J113"/>
    <mergeCell ref="P113:U113"/>
    <mergeCell ref="V113:W113"/>
    <mergeCell ref="V29:W29"/>
    <mergeCell ref="V31:W31"/>
    <mergeCell ref="V33:W33"/>
    <mergeCell ref="V36:W36"/>
    <mergeCell ref="C42:N42"/>
    <mergeCell ref="P42:U42"/>
    <mergeCell ref="V42:W42"/>
    <mergeCell ref="C7:H7"/>
    <mergeCell ref="P7:U7"/>
    <mergeCell ref="V17:W17"/>
    <mergeCell ref="V23:W23"/>
    <mergeCell ref="V25:W25"/>
    <mergeCell ref="V27:W27"/>
  </mergeCells>
  <printOptions horizontalCentered="1"/>
  <pageMargins left="0.70866141732283472" right="0.70866141732283472" top="1.9685039370078741" bottom="0.74803149606299213" header="0.31496062992125984" footer="0.31496062992125984"/>
  <pageSetup paperSize="8" scale="32" orientation="landscape" r:id="rId1"/>
  <headerFooter>
    <oddHeader>&amp;LSOBHA LLC&amp;CDues summary&amp;R&amp;D</oddHeader>
    <oddFooter>&amp;L&amp;"Aptos Narrow,Regular"COLLECTIONS&amp;R&amp;P/&amp;N</oddFooter>
  </headerFooter>
  <colBreaks count="2" manualBreakCount="2">
    <brk id="20" max="1048575" man="1"/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EFA3-6060-406E-904F-108425C4BD3A}">
  <sheetPr>
    <tabColor rgb="FFFF0000"/>
    <pageSetUpPr fitToPage="1"/>
  </sheetPr>
  <dimension ref="A1:Z167"/>
  <sheetViews>
    <sheetView zoomScale="70" zoomScaleNormal="70" zoomScaleSheetLayoutView="90" workbookViewId="0">
      <selection activeCell="B6" sqref="B6:I6"/>
    </sheetView>
  </sheetViews>
  <sheetFormatPr defaultColWidth="23.28515625" defaultRowHeight="15" x14ac:dyDescent="0.25"/>
  <cols>
    <col min="1" max="1" width="11.7109375" customWidth="1"/>
    <col min="2" max="2" width="11.5703125" customWidth="1"/>
  </cols>
  <sheetData>
    <row r="1" spans="1:26" ht="19.5" thickBot="1" x14ac:dyDescent="0.35">
      <c r="C1" s="1" t="s">
        <v>67</v>
      </c>
      <c r="K1" s="51" t="str">
        <f ca="1">IF(AND(D40=D41,D75=D40,D110=D111,F40=D146),"Ok")</f>
        <v>Ok</v>
      </c>
      <c r="P1" s="88"/>
    </row>
    <row r="2" spans="1:26" ht="18.75" x14ac:dyDescent="0.3">
      <c r="C2" s="1" t="s">
        <v>278</v>
      </c>
      <c r="P2" s="88"/>
    </row>
    <row r="3" spans="1:26" ht="18.75" x14ac:dyDescent="0.3">
      <c r="C3" s="1" t="s">
        <v>279</v>
      </c>
      <c r="P3" s="88"/>
    </row>
    <row r="4" spans="1:26" ht="18.75" x14ac:dyDescent="0.3">
      <c r="C4" s="1" t="s">
        <v>280</v>
      </c>
      <c r="P4" s="88"/>
    </row>
    <row r="5" spans="1:26" ht="18.75" x14ac:dyDescent="0.3">
      <c r="C5" s="1" t="s">
        <v>281</v>
      </c>
      <c r="P5" s="88"/>
    </row>
    <row r="6" spans="1:26" ht="19.5" thickBot="1" x14ac:dyDescent="0.35">
      <c r="C6" s="1"/>
      <c r="P6" s="88"/>
    </row>
    <row r="7" spans="1:26" ht="24" thickBot="1" x14ac:dyDescent="0.4">
      <c r="C7" s="89" t="str">
        <f ca="1">_xlfn.CONCAT("Dues collected - booking amount vs non booking amount")</f>
        <v>Dues collected - booking amount vs non booking amount</v>
      </c>
      <c r="D7" s="90"/>
      <c r="E7" s="90"/>
      <c r="F7" s="90"/>
      <c r="G7" s="90"/>
      <c r="H7" s="91"/>
      <c r="I7" s="88"/>
      <c r="J7" s="88"/>
      <c r="K7" s="88"/>
      <c r="L7" s="88"/>
      <c r="M7" s="88"/>
      <c r="N7" s="88"/>
      <c r="O7" s="88"/>
      <c r="P7" s="92"/>
      <c r="Q7" s="92"/>
      <c r="R7" s="92"/>
      <c r="S7" s="92"/>
      <c r="T7" s="92"/>
      <c r="U7" s="92"/>
      <c r="V7" s="88"/>
      <c r="W7" s="88"/>
    </row>
    <row r="8" spans="1:26" s="93" customFormat="1" ht="73.150000000000006" customHeight="1" x14ac:dyDescent="0.25">
      <c r="C8" s="94" t="s">
        <v>282</v>
      </c>
      <c r="D8" s="95" t="s">
        <v>283</v>
      </c>
      <c r="E8" s="95" t="s">
        <v>284</v>
      </c>
      <c r="F8" s="95" t="s">
        <v>285</v>
      </c>
      <c r="G8" s="95" t="s">
        <v>286</v>
      </c>
      <c r="H8" s="96" t="s">
        <v>287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x14ac:dyDescent="0.25">
      <c r="A9" s="88">
        <v>2024</v>
      </c>
      <c r="B9" t="s">
        <v>70</v>
      </c>
      <c r="C9" s="98" t="s">
        <v>26</v>
      </c>
      <c r="D9" s="99">
        <v>0</v>
      </c>
      <c r="E9" s="99">
        <f ca="1">D9-F9</f>
        <v>0</v>
      </c>
      <c r="F9" s="99">
        <v>0</v>
      </c>
      <c r="G9" s="100" t="e">
        <f ca="1">'Dues summary Siniya-UAQ'!$E9/'Dues summary Siniya-UAQ'!$D9</f>
        <v>#DIV/0!</v>
      </c>
      <c r="H9" s="101" t="e">
        <f ca="1">F9/'Dues summary Siniya-UAQ'!$D9</f>
        <v>#DIV/0!</v>
      </c>
      <c r="I9" s="102"/>
      <c r="J9" s="102"/>
      <c r="K9" s="102"/>
      <c r="L9" s="102"/>
      <c r="M9" s="102"/>
      <c r="N9" s="102"/>
      <c r="O9" s="102"/>
      <c r="P9" s="103"/>
      <c r="Q9" s="104"/>
      <c r="R9" s="104"/>
      <c r="S9" s="104"/>
      <c r="T9" s="105"/>
      <c r="U9" s="105"/>
      <c r="V9" s="102"/>
      <c r="W9" s="102"/>
      <c r="X9" s="105"/>
      <c r="Y9" s="105"/>
      <c r="Z9" s="105"/>
    </row>
    <row r="10" spans="1:26" x14ac:dyDescent="0.25">
      <c r="A10" s="88">
        <v>2024</v>
      </c>
      <c r="B10" t="s">
        <v>71</v>
      </c>
      <c r="C10" s="106" t="s">
        <v>28</v>
      </c>
      <c r="D10" s="107">
        <v>0</v>
      </c>
      <c r="E10" s="107">
        <f t="shared" ref="E10:E20" ca="1" si="0">D10-F10</f>
        <v>0</v>
      </c>
      <c r="F10" s="107">
        <v>0</v>
      </c>
      <c r="G10" s="108" t="e">
        <f ca="1">'Dues summary Siniya-UAQ'!$E10/'Dues summary Siniya-UAQ'!$D10</f>
        <v>#DIV/0!</v>
      </c>
      <c r="H10" s="109" t="e">
        <f ca="1">F10/'Dues summary Siniya-UAQ'!$D10</f>
        <v>#DIV/0!</v>
      </c>
      <c r="I10" s="102"/>
      <c r="J10" s="102"/>
      <c r="K10" s="102"/>
      <c r="L10" s="102"/>
      <c r="M10" s="102"/>
      <c r="N10" s="102"/>
      <c r="O10" s="102"/>
      <c r="P10" s="103"/>
      <c r="Q10" s="104"/>
      <c r="R10" s="104"/>
      <c r="S10" s="104"/>
      <c r="T10" s="105"/>
      <c r="U10" s="105"/>
      <c r="V10" s="102"/>
      <c r="W10" s="102"/>
      <c r="X10" s="105"/>
      <c r="Y10" s="105"/>
      <c r="Z10" s="105"/>
    </row>
    <row r="11" spans="1:26" x14ac:dyDescent="0.25">
      <c r="A11" s="88">
        <v>2024</v>
      </c>
      <c r="B11" t="s">
        <v>72</v>
      </c>
      <c r="C11" s="98" t="s">
        <v>29</v>
      </c>
      <c r="D11" s="99">
        <v>0</v>
      </c>
      <c r="E11" s="99">
        <f t="shared" ca="1" si="0"/>
        <v>0</v>
      </c>
      <c r="F11" s="99">
        <v>0</v>
      </c>
      <c r="G11" s="100" t="e">
        <f ca="1">'Dues summary Siniya-UAQ'!$E11/'Dues summary Siniya-UAQ'!$D11</f>
        <v>#DIV/0!</v>
      </c>
      <c r="H11" s="101" t="e">
        <f ca="1">F11/'Dues summary Siniya-UAQ'!$D11</f>
        <v>#DIV/0!</v>
      </c>
      <c r="I11" s="102"/>
      <c r="J11" s="102"/>
      <c r="K11" s="102"/>
      <c r="L11" s="102"/>
      <c r="M11" s="102"/>
      <c r="N11" s="102"/>
      <c r="O11" s="102"/>
      <c r="P11" s="103"/>
      <c r="Q11" s="104"/>
      <c r="R11" s="104"/>
      <c r="S11" s="104"/>
      <c r="T11" s="105"/>
      <c r="U11" s="105"/>
      <c r="V11" s="102"/>
      <c r="W11" s="102"/>
      <c r="X11" s="105"/>
      <c r="Y11" s="105"/>
      <c r="Z11" s="105"/>
    </row>
    <row r="12" spans="1:26" x14ac:dyDescent="0.25">
      <c r="A12" s="88">
        <v>2024</v>
      </c>
      <c r="B12" t="s">
        <v>73</v>
      </c>
      <c r="C12" s="106" t="s">
        <v>30</v>
      </c>
      <c r="D12" s="107">
        <v>0</v>
      </c>
      <c r="E12" s="107">
        <f t="shared" ca="1" si="0"/>
        <v>0</v>
      </c>
      <c r="F12" s="107">
        <v>0</v>
      </c>
      <c r="G12" s="108" t="e">
        <f ca="1">'Dues summary Siniya-UAQ'!$E12/'Dues summary Siniya-UAQ'!$D12</f>
        <v>#DIV/0!</v>
      </c>
      <c r="H12" s="109" t="e">
        <f ca="1">F12/'Dues summary Siniya-UAQ'!$D12</f>
        <v>#DIV/0!</v>
      </c>
      <c r="I12" s="102"/>
      <c r="J12" s="102"/>
      <c r="K12" s="102"/>
      <c r="L12" s="102"/>
      <c r="M12" s="102"/>
      <c r="N12" s="102"/>
      <c r="O12" s="102"/>
      <c r="P12" s="103"/>
      <c r="Q12" s="104"/>
      <c r="R12" s="104"/>
      <c r="S12" s="104"/>
      <c r="T12" s="105"/>
      <c r="U12" s="105"/>
      <c r="V12" s="102"/>
      <c r="W12" s="102"/>
      <c r="X12" s="105"/>
      <c r="Y12" s="105"/>
      <c r="Z12" s="105"/>
    </row>
    <row r="13" spans="1:26" x14ac:dyDescent="0.25">
      <c r="A13" s="88">
        <v>2024</v>
      </c>
      <c r="B13" t="s">
        <v>74</v>
      </c>
      <c r="C13" s="98" t="s">
        <v>31</v>
      </c>
      <c r="D13" s="99">
        <v>0</v>
      </c>
      <c r="E13" s="99">
        <f t="shared" ca="1" si="0"/>
        <v>0</v>
      </c>
      <c r="F13" s="99">
        <v>0</v>
      </c>
      <c r="G13" s="100" t="e">
        <f ca="1">'Dues summary Siniya-UAQ'!$E13/'Dues summary Siniya-UAQ'!$D13</f>
        <v>#DIV/0!</v>
      </c>
      <c r="H13" s="101" t="e">
        <f ca="1">F13/'Dues summary Siniya-UAQ'!$D13</f>
        <v>#DIV/0!</v>
      </c>
      <c r="I13" s="102"/>
      <c r="J13" s="102"/>
      <c r="K13" s="102"/>
      <c r="L13" s="102"/>
      <c r="M13" s="102"/>
      <c r="N13" s="102"/>
      <c r="O13" s="102"/>
      <c r="P13" s="103"/>
      <c r="Q13" s="104"/>
      <c r="R13" s="104"/>
      <c r="S13" s="104"/>
      <c r="T13" s="105"/>
      <c r="U13" s="105"/>
      <c r="V13" s="102"/>
      <c r="W13" s="102"/>
      <c r="X13" s="105"/>
      <c r="Y13" s="105"/>
      <c r="Z13" s="105"/>
    </row>
    <row r="14" spans="1:26" x14ac:dyDescent="0.25">
      <c r="A14" s="88">
        <v>2024</v>
      </c>
      <c r="B14" t="s">
        <v>75</v>
      </c>
      <c r="C14" s="106" t="s">
        <v>33</v>
      </c>
      <c r="D14" s="107">
        <v>0</v>
      </c>
      <c r="E14" s="107">
        <f t="shared" ca="1" si="0"/>
        <v>0</v>
      </c>
      <c r="F14" s="107">
        <v>0</v>
      </c>
      <c r="G14" s="108" t="e">
        <f ca="1">'Dues summary Siniya-UAQ'!$E14/'Dues summary Siniya-UAQ'!$D14</f>
        <v>#DIV/0!</v>
      </c>
      <c r="H14" s="109" t="e">
        <f ca="1">F14/'Dues summary Siniya-UAQ'!$D14</f>
        <v>#DIV/0!</v>
      </c>
      <c r="I14" s="102"/>
      <c r="J14" s="102"/>
      <c r="K14" s="102"/>
      <c r="L14" s="102"/>
      <c r="M14" s="102"/>
      <c r="N14" s="102"/>
      <c r="O14" s="102"/>
      <c r="P14" s="103"/>
      <c r="Q14" s="104"/>
      <c r="R14" s="104"/>
      <c r="S14" s="104"/>
      <c r="T14" s="105"/>
      <c r="U14" s="105"/>
      <c r="V14" s="102"/>
      <c r="W14" s="102"/>
      <c r="X14" s="105"/>
      <c r="Y14" s="105"/>
      <c r="Z14" s="105"/>
    </row>
    <row r="15" spans="1:26" x14ac:dyDescent="0.25">
      <c r="A15" s="88">
        <v>2024</v>
      </c>
      <c r="B15" t="s">
        <v>76</v>
      </c>
      <c r="C15" s="98" t="s">
        <v>34</v>
      </c>
      <c r="D15" s="99">
        <v>0</v>
      </c>
      <c r="E15" s="99">
        <f t="shared" ca="1" si="0"/>
        <v>0</v>
      </c>
      <c r="F15" s="99">
        <v>0</v>
      </c>
      <c r="G15" s="100" t="e">
        <f ca="1">'Dues summary Siniya-UAQ'!$E15/'Dues summary Siniya-UAQ'!$D15</f>
        <v>#DIV/0!</v>
      </c>
      <c r="H15" s="101" t="e">
        <f ca="1">F15/'Dues summary Siniya-UAQ'!$D15</f>
        <v>#DIV/0!</v>
      </c>
      <c r="I15" s="102"/>
      <c r="J15" s="102"/>
      <c r="K15" s="102"/>
      <c r="L15" s="102"/>
      <c r="M15" s="102"/>
      <c r="N15" s="102"/>
      <c r="O15" s="102"/>
      <c r="P15" s="103"/>
      <c r="Q15" s="104"/>
      <c r="R15" s="104"/>
      <c r="S15" s="104"/>
      <c r="T15" s="105"/>
      <c r="U15" s="105"/>
      <c r="V15" s="102"/>
      <c r="W15" s="102"/>
      <c r="X15" s="105"/>
      <c r="Y15" s="105"/>
      <c r="Z15" s="105"/>
    </row>
    <row r="16" spans="1:26" x14ac:dyDescent="0.25">
      <c r="A16" s="88">
        <v>2024</v>
      </c>
      <c r="B16" t="s">
        <v>77</v>
      </c>
      <c r="C16" s="106" t="s">
        <v>35</v>
      </c>
      <c r="D16" s="107">
        <v>434175.70000000013</v>
      </c>
      <c r="E16" s="107">
        <f t="shared" ca="1" si="0"/>
        <v>434175.70000000013</v>
      </c>
      <c r="F16" s="107">
        <v>0</v>
      </c>
      <c r="G16" s="108">
        <f ca="1">'Dues summary Siniya-UAQ'!$E16/'Dues summary Siniya-UAQ'!$D16</f>
        <v>1</v>
      </c>
      <c r="H16" s="109">
        <f ca="1">F16/'Dues summary Siniya-UAQ'!$D16</f>
        <v>0</v>
      </c>
      <c r="I16" s="102"/>
      <c r="J16" s="102"/>
      <c r="K16" s="102"/>
      <c r="L16" s="102"/>
      <c r="M16" s="102"/>
      <c r="N16" s="102"/>
      <c r="O16" s="102"/>
      <c r="P16" s="103"/>
      <c r="Q16" s="104"/>
      <c r="R16" s="104"/>
      <c r="S16" s="104"/>
      <c r="T16" s="105"/>
      <c r="U16" s="105"/>
      <c r="V16" s="102"/>
      <c r="W16" s="102"/>
      <c r="X16" s="105"/>
      <c r="Y16" s="105"/>
      <c r="Z16" s="105"/>
    </row>
    <row r="17" spans="1:26" x14ac:dyDescent="0.25">
      <c r="A17" s="88">
        <v>2024</v>
      </c>
      <c r="B17" t="s">
        <v>78</v>
      </c>
      <c r="C17" s="98" t="s">
        <v>36</v>
      </c>
      <c r="D17" s="99">
        <v>2865867.3799999994</v>
      </c>
      <c r="E17" s="99">
        <f t="shared" ca="1" si="0"/>
        <v>771652.37999999942</v>
      </c>
      <c r="F17" s="99">
        <v>2094215</v>
      </c>
      <c r="G17" s="100">
        <f ca="1">'Dues summary Siniya-UAQ'!$E17/'Dues summary Siniya-UAQ'!$D17</f>
        <v>0.26925613703729712</v>
      </c>
      <c r="H17" s="101">
        <f ca="1">F17/'Dues summary Siniya-UAQ'!$D17</f>
        <v>0.73074386296270288</v>
      </c>
      <c r="I17" s="102"/>
      <c r="J17" s="102"/>
      <c r="K17" s="102"/>
      <c r="L17" s="102"/>
      <c r="M17" s="102"/>
      <c r="N17" s="102"/>
      <c r="O17" s="102"/>
      <c r="P17" s="103"/>
      <c r="Q17" s="104"/>
      <c r="R17" s="104"/>
      <c r="S17" s="104"/>
      <c r="T17" s="105"/>
      <c r="U17" s="105"/>
      <c r="V17" s="110"/>
      <c r="W17" s="110"/>
      <c r="X17" s="105"/>
      <c r="Y17" s="105"/>
      <c r="Z17" s="105"/>
    </row>
    <row r="18" spans="1:26" x14ac:dyDescent="0.25">
      <c r="A18" s="88">
        <v>2024</v>
      </c>
      <c r="B18" t="s">
        <v>79</v>
      </c>
      <c r="C18" s="106" t="s">
        <v>37</v>
      </c>
      <c r="D18" s="107">
        <v>25935863.740000002</v>
      </c>
      <c r="E18" s="107">
        <f t="shared" ca="1" si="0"/>
        <v>20534375.740000002</v>
      </c>
      <c r="F18" s="107">
        <v>5401488</v>
      </c>
      <c r="G18" s="108">
        <f ca="1">'Dues summary Siniya-UAQ'!$E18/'Dues summary Siniya-UAQ'!$D18</f>
        <v>0.7917367220097834</v>
      </c>
      <c r="H18" s="109">
        <f ca="1">F18/'Dues summary Siniya-UAQ'!$D18</f>
        <v>0.20826327799021663</v>
      </c>
      <c r="I18" s="102"/>
      <c r="J18" s="102"/>
      <c r="K18" s="102"/>
      <c r="L18" s="102"/>
      <c r="M18" s="102"/>
      <c r="N18" s="102"/>
      <c r="O18" s="102"/>
      <c r="P18" s="103"/>
      <c r="Q18" s="104"/>
      <c r="R18" s="104"/>
      <c r="S18" s="104"/>
      <c r="T18" s="105"/>
      <c r="U18" s="105"/>
      <c r="V18" s="102"/>
      <c r="W18" s="102"/>
      <c r="X18" s="105"/>
      <c r="Y18" s="105"/>
      <c r="Z18" s="105"/>
    </row>
    <row r="19" spans="1:26" x14ac:dyDescent="0.25">
      <c r="A19" s="88">
        <v>2024</v>
      </c>
      <c r="B19" t="s">
        <v>80</v>
      </c>
      <c r="C19" s="98" t="s">
        <v>38</v>
      </c>
      <c r="D19" s="99">
        <v>35036516.839999989</v>
      </c>
      <c r="E19" s="99">
        <f t="shared" ca="1" si="0"/>
        <v>26108378.839999989</v>
      </c>
      <c r="F19" s="99">
        <v>8928138</v>
      </c>
      <c r="G19" s="100">
        <f ca="1">'Dues summary Siniya-UAQ'!$E19/'Dues summary Siniya-UAQ'!$D19</f>
        <v>0.74517621027307568</v>
      </c>
      <c r="H19" s="101">
        <f ca="1">F19/'Dues summary Siniya-UAQ'!$D19</f>
        <v>0.25482378972692432</v>
      </c>
      <c r="I19" s="102"/>
      <c r="J19" s="102"/>
      <c r="K19" s="102"/>
      <c r="L19" s="102"/>
      <c r="M19" s="102"/>
      <c r="N19" s="102"/>
      <c r="O19" s="102"/>
      <c r="P19" s="103"/>
      <c r="Q19" s="104"/>
      <c r="R19" s="104"/>
      <c r="S19" s="104"/>
      <c r="T19" s="105"/>
      <c r="U19" s="105"/>
      <c r="V19" s="102"/>
      <c r="W19" s="102"/>
      <c r="X19" s="105"/>
      <c r="Y19" s="105"/>
      <c r="Z19" s="105"/>
    </row>
    <row r="20" spans="1:26" x14ac:dyDescent="0.25">
      <c r="A20" s="88">
        <v>2024</v>
      </c>
      <c r="B20" t="s">
        <v>81</v>
      </c>
      <c r="C20" s="106" t="s">
        <v>39</v>
      </c>
      <c r="D20" s="107">
        <v>25521082.159999993</v>
      </c>
      <c r="E20" s="107">
        <f t="shared" ca="1" si="0"/>
        <v>16628851.159999993</v>
      </c>
      <c r="F20" s="107">
        <v>8892231</v>
      </c>
      <c r="G20" s="108">
        <f ca="1">'Dues summary Siniya-UAQ'!$E20/'Dues summary Siniya-UAQ'!$D20</f>
        <v>0.65157312122379052</v>
      </c>
      <c r="H20" s="109">
        <f ca="1">F20/'Dues summary Siniya-UAQ'!$D20</f>
        <v>0.34842687877620948</v>
      </c>
      <c r="I20" s="102"/>
      <c r="J20" s="102"/>
      <c r="K20" s="102"/>
      <c r="L20" s="102"/>
      <c r="M20" s="102"/>
      <c r="N20" s="102"/>
      <c r="O20" s="102"/>
      <c r="P20" s="103"/>
      <c r="Q20" s="104"/>
      <c r="R20" s="104"/>
      <c r="S20" s="104"/>
      <c r="T20" s="105"/>
      <c r="U20" s="105"/>
      <c r="V20" s="102"/>
      <c r="W20" s="102"/>
      <c r="X20" s="105"/>
      <c r="Y20" s="105"/>
      <c r="Z20" s="105"/>
    </row>
    <row r="21" spans="1:26" x14ac:dyDescent="0.25">
      <c r="A21" s="88"/>
      <c r="C21" s="111" t="s">
        <v>24</v>
      </c>
      <c r="D21" s="112">
        <f ca="1">SUM(D9:D20)</f>
        <v>89793505.819999978</v>
      </c>
      <c r="E21" s="112">
        <f ca="1">SUM(E9:E20)</f>
        <v>64477433.819999978</v>
      </c>
      <c r="F21" s="112">
        <f ca="1">SUM(F9:F20)</f>
        <v>25316072</v>
      </c>
      <c r="G21" s="113">
        <f ca="1">'Dues summary Siniya-UAQ'!$E21/'Dues summary Siniya-UAQ'!$D21</f>
        <v>0.71806344157283952</v>
      </c>
      <c r="H21" s="114">
        <f ca="1">F21/'Dues summary Siniya-UAQ'!$D21</f>
        <v>0.28193655842716048</v>
      </c>
      <c r="I21" s="102"/>
      <c r="J21" s="102"/>
      <c r="K21" s="102"/>
      <c r="L21" s="102"/>
      <c r="M21" s="102"/>
      <c r="N21" s="102"/>
      <c r="O21" s="102"/>
      <c r="P21" s="103"/>
      <c r="Q21" s="104"/>
      <c r="R21" s="104"/>
      <c r="S21" s="104"/>
      <c r="T21" s="105"/>
      <c r="U21" s="105"/>
      <c r="V21" s="102"/>
      <c r="W21" s="102"/>
      <c r="X21" s="105"/>
      <c r="Y21" s="105"/>
      <c r="Z21" s="105"/>
    </row>
    <row r="22" spans="1:26" x14ac:dyDescent="0.25">
      <c r="A22" s="88">
        <v>2025</v>
      </c>
      <c r="B22" t="s">
        <v>70</v>
      </c>
      <c r="C22" s="106" t="s">
        <v>41</v>
      </c>
      <c r="D22" s="107">
        <v>61739104.160000004</v>
      </c>
      <c r="E22" s="107">
        <f t="shared" ref="E22:E33" ca="1" si="1">D22-F22</f>
        <v>46699055.160000004</v>
      </c>
      <c r="F22" s="107">
        <v>15040049</v>
      </c>
      <c r="G22" s="108">
        <f ca="1">'Dues summary Siniya-UAQ'!$E22/'Dues summary Siniya-UAQ'!$D22</f>
        <v>0.7563934688617614</v>
      </c>
      <c r="H22" s="109">
        <f ca="1">F22/'Dues summary Siniya-UAQ'!$D22</f>
        <v>0.24360653113823866</v>
      </c>
      <c r="I22" s="102"/>
      <c r="J22" s="102"/>
      <c r="K22" s="102"/>
      <c r="L22" s="102"/>
      <c r="M22" s="102"/>
      <c r="N22" s="102"/>
      <c r="O22" s="102"/>
      <c r="P22" s="103"/>
      <c r="Q22" s="104"/>
      <c r="R22" s="104"/>
      <c r="S22" s="104"/>
      <c r="T22" s="105"/>
      <c r="U22" s="105"/>
      <c r="V22" s="102"/>
      <c r="W22" s="102"/>
      <c r="X22" s="105"/>
      <c r="Y22" s="105"/>
      <c r="Z22" s="105"/>
    </row>
    <row r="23" spans="1:26" x14ac:dyDescent="0.25">
      <c r="A23" s="88">
        <v>2025</v>
      </c>
      <c r="B23" t="s">
        <v>71</v>
      </c>
      <c r="C23" s="98" t="s">
        <v>42</v>
      </c>
      <c r="D23" s="99">
        <v>66487974.849999994</v>
      </c>
      <c r="E23" s="99">
        <f t="shared" ca="1" si="1"/>
        <v>57678316.849999994</v>
      </c>
      <c r="F23" s="99">
        <v>8809658</v>
      </c>
      <c r="G23" s="100">
        <f ca="1">'Dues summary Siniya-UAQ'!$E23/'Dues summary Siniya-UAQ'!$D23</f>
        <v>0.86749997996066197</v>
      </c>
      <c r="H23" s="101">
        <f ca="1">F23/'Dues summary Siniya-UAQ'!$D23</f>
        <v>0.132500020039338</v>
      </c>
      <c r="I23" s="102"/>
      <c r="J23" s="102"/>
      <c r="K23" s="102"/>
      <c r="L23" s="102"/>
      <c r="M23" s="102"/>
      <c r="N23" s="102"/>
      <c r="O23" s="102"/>
      <c r="P23" s="103"/>
      <c r="Q23" s="104"/>
      <c r="R23" s="104"/>
      <c r="S23" s="104"/>
      <c r="T23" s="105"/>
      <c r="U23" s="105"/>
      <c r="V23" s="110"/>
      <c r="W23" s="110"/>
      <c r="X23" s="105"/>
      <c r="Y23" s="105"/>
      <c r="Z23" s="105"/>
    </row>
    <row r="24" spans="1:26" x14ac:dyDescent="0.25">
      <c r="A24" s="88">
        <v>2025</v>
      </c>
      <c r="B24" t="s">
        <v>72</v>
      </c>
      <c r="C24" s="106" t="s">
        <v>43</v>
      </c>
      <c r="D24" s="107">
        <v>70785948.740000039</v>
      </c>
      <c r="E24" s="107">
        <f t="shared" ca="1" si="1"/>
        <v>63345020.740000039</v>
      </c>
      <c r="F24" s="107">
        <v>7440928</v>
      </c>
      <c r="G24" s="108">
        <f ca="1">'Dues summary Siniya-UAQ'!$E24/'Dues summary Siniya-UAQ'!$D24</f>
        <v>0.89488128459885641</v>
      </c>
      <c r="H24" s="109">
        <f ca="1">F24/'Dues summary Siniya-UAQ'!$D24</f>
        <v>0.10511871540114355</v>
      </c>
      <c r="I24" s="102"/>
      <c r="J24" s="102"/>
      <c r="K24" s="102"/>
      <c r="L24" s="102"/>
      <c r="M24" s="102"/>
      <c r="N24" s="102"/>
      <c r="O24" s="102"/>
      <c r="P24" s="103"/>
      <c r="Q24" s="104"/>
      <c r="R24" s="104"/>
      <c r="S24" s="104"/>
      <c r="T24" s="105"/>
      <c r="U24" s="105"/>
      <c r="V24" s="102"/>
      <c r="W24" s="102"/>
      <c r="X24" s="105"/>
      <c r="Y24" s="105"/>
      <c r="Z24" s="105"/>
    </row>
    <row r="25" spans="1:26" x14ac:dyDescent="0.25">
      <c r="A25" s="88">
        <v>2025</v>
      </c>
      <c r="B25" t="s">
        <v>73</v>
      </c>
      <c r="C25" s="98" t="s">
        <v>44</v>
      </c>
      <c r="D25" s="99">
        <v>91757320.879999936</v>
      </c>
      <c r="E25" s="99">
        <f t="shared" ca="1" si="1"/>
        <v>86316530.879999936</v>
      </c>
      <c r="F25" s="99">
        <v>5440790</v>
      </c>
      <c r="G25" s="100">
        <f ca="1">'Dues summary Siniya-UAQ'!$E25/'Dues summary Siniya-UAQ'!$D25</f>
        <v>0.94070456779012268</v>
      </c>
      <c r="H25" s="101">
        <f ca="1">F25/'Dues summary Siniya-UAQ'!$D25</f>
        <v>5.9295432209877354E-2</v>
      </c>
      <c r="I25" s="102"/>
      <c r="J25" s="102"/>
      <c r="K25" s="102"/>
      <c r="L25" s="102"/>
      <c r="M25" s="102"/>
      <c r="N25" s="102"/>
      <c r="O25" s="102"/>
      <c r="P25" s="103"/>
      <c r="Q25" s="104"/>
      <c r="R25" s="104"/>
      <c r="S25" s="104"/>
      <c r="T25" s="105"/>
      <c r="U25" s="105"/>
      <c r="V25" s="110"/>
      <c r="W25" s="110"/>
      <c r="X25" s="105"/>
      <c r="Y25" s="105"/>
      <c r="Z25" s="105"/>
    </row>
    <row r="26" spans="1:26" x14ac:dyDescent="0.25">
      <c r="A26" s="88">
        <v>2025</v>
      </c>
      <c r="B26" t="s">
        <v>74</v>
      </c>
      <c r="C26" s="106" t="s">
        <v>45</v>
      </c>
      <c r="D26" s="107">
        <v>92598515.179999962</v>
      </c>
      <c r="E26" s="107">
        <f t="shared" ca="1" si="1"/>
        <v>86612289.179999962</v>
      </c>
      <c r="F26" s="107">
        <v>5986226</v>
      </c>
      <c r="G26" s="108">
        <f ca="1">'Dues summary Siniya-UAQ'!$E26/'Dues summary Siniya-UAQ'!$D26</f>
        <v>0.93535289428384971</v>
      </c>
      <c r="H26" s="109">
        <f ca="1">F26/'Dues summary Siniya-UAQ'!$D26</f>
        <v>6.4647105716150233E-2</v>
      </c>
      <c r="I26" s="102"/>
      <c r="J26" s="102"/>
      <c r="K26" s="102"/>
      <c r="L26" s="102"/>
      <c r="M26" s="102"/>
      <c r="N26" s="102"/>
      <c r="O26" s="102"/>
      <c r="P26" s="103"/>
      <c r="Q26" s="104"/>
      <c r="R26" s="104"/>
      <c r="S26" s="104"/>
      <c r="T26" s="105"/>
      <c r="U26" s="105"/>
      <c r="V26" s="102"/>
      <c r="W26" s="102"/>
      <c r="X26" s="105"/>
      <c r="Y26" s="105"/>
      <c r="Z26" s="105"/>
    </row>
    <row r="27" spans="1:26" x14ac:dyDescent="0.25">
      <c r="A27" s="88">
        <v>2025</v>
      </c>
      <c r="B27" t="s">
        <v>75</v>
      </c>
      <c r="C27" s="98" t="s">
        <v>46</v>
      </c>
      <c r="D27" s="99">
        <v>85182746.73999998</v>
      </c>
      <c r="E27" s="99">
        <f t="shared" ca="1" si="1"/>
        <v>79528708.73999998</v>
      </c>
      <c r="F27" s="99">
        <v>5654038</v>
      </c>
      <c r="G27" s="100">
        <f ca="1">'Dues summary Siniya-UAQ'!$E27/'Dues summary Siniya-UAQ'!$D27</f>
        <v>0.93362461042424938</v>
      </c>
      <c r="H27" s="101">
        <f ca="1">F27/'Dues summary Siniya-UAQ'!$D27</f>
        <v>6.6375389575750621E-2</v>
      </c>
      <c r="I27" s="102"/>
      <c r="J27" s="102"/>
      <c r="K27" s="102"/>
      <c r="L27" s="102"/>
      <c r="M27" s="102"/>
      <c r="N27" s="102"/>
      <c r="O27" s="102"/>
      <c r="P27" s="103"/>
      <c r="Q27" s="104"/>
      <c r="R27" s="104"/>
      <c r="S27" s="104"/>
      <c r="T27" s="105"/>
      <c r="U27" s="105"/>
      <c r="V27" s="110"/>
      <c r="W27" s="110"/>
      <c r="X27" s="105"/>
      <c r="Y27" s="105"/>
      <c r="Z27" s="105"/>
    </row>
    <row r="28" spans="1:26" x14ac:dyDescent="0.25">
      <c r="A28" s="88">
        <v>2025</v>
      </c>
      <c r="B28" t="s">
        <v>76</v>
      </c>
      <c r="C28" s="106" t="s">
        <v>47</v>
      </c>
      <c r="D28" s="107">
        <v>131879312.84999992</v>
      </c>
      <c r="E28" s="107">
        <f t="shared" ca="1" si="1"/>
        <v>127592488.84999992</v>
      </c>
      <c r="F28" s="107">
        <v>4286824</v>
      </c>
      <c r="G28" s="108">
        <f ca="1">'Dues summary Siniya-UAQ'!$E28/'Dues summary Siniya-UAQ'!$D28</f>
        <v>0.96749434079266206</v>
      </c>
      <c r="H28" s="109">
        <f ca="1">F28/'Dues summary Siniya-UAQ'!$D28</f>
        <v>3.2505659207337938E-2</v>
      </c>
      <c r="I28" s="102"/>
      <c r="J28" s="102"/>
      <c r="K28" s="102"/>
      <c r="L28" s="102"/>
      <c r="M28" s="102"/>
      <c r="N28" s="102"/>
      <c r="O28" s="102"/>
      <c r="P28" s="103"/>
      <c r="Q28" s="104"/>
      <c r="R28" s="104"/>
      <c r="S28" s="104"/>
      <c r="T28" s="105"/>
      <c r="U28" s="105"/>
      <c r="V28" s="102"/>
      <c r="W28" s="102"/>
      <c r="X28" s="105"/>
      <c r="Y28" s="105"/>
      <c r="Z28" s="105"/>
    </row>
    <row r="29" spans="1:26" x14ac:dyDescent="0.25">
      <c r="A29" s="88">
        <v>2025</v>
      </c>
      <c r="B29" t="s">
        <v>77</v>
      </c>
      <c r="C29" s="98" t="s">
        <v>48</v>
      </c>
      <c r="D29" s="99">
        <v>136404969.61999995</v>
      </c>
      <c r="E29" s="99">
        <f t="shared" ca="1" si="1"/>
        <v>132465535.61999995</v>
      </c>
      <c r="F29" s="99">
        <v>3939434</v>
      </c>
      <c r="G29" s="100">
        <f ca="1">'Dues summary Siniya-UAQ'!$E29/'Dues summary Siniya-UAQ'!$D29</f>
        <v>0.97111957129586579</v>
      </c>
      <c r="H29" s="101">
        <f ca="1">F29/'Dues summary Siniya-UAQ'!$D29</f>
        <v>2.8880428704134202E-2</v>
      </c>
      <c r="I29" s="102"/>
      <c r="J29" s="102"/>
      <c r="K29" s="102"/>
      <c r="L29" s="102"/>
      <c r="M29" s="102"/>
      <c r="N29" s="102"/>
      <c r="O29" s="102"/>
      <c r="P29" s="103"/>
      <c r="Q29" s="104"/>
      <c r="R29" s="104"/>
      <c r="S29" s="104"/>
      <c r="T29" s="105"/>
      <c r="U29" s="105"/>
      <c r="V29" s="110"/>
      <c r="W29" s="110"/>
      <c r="X29" s="105"/>
      <c r="Y29" s="105"/>
      <c r="Z29" s="105"/>
    </row>
    <row r="30" spans="1:26" x14ac:dyDescent="0.25">
      <c r="A30" s="88">
        <v>2025</v>
      </c>
      <c r="B30" t="s">
        <v>78</v>
      </c>
      <c r="C30" s="106" t="s">
        <v>49</v>
      </c>
      <c r="D30" s="107">
        <v>138072538.09999999</v>
      </c>
      <c r="E30" s="107">
        <f t="shared" ca="1" si="1"/>
        <v>134248835.09999999</v>
      </c>
      <c r="F30" s="107">
        <v>3823703</v>
      </c>
      <c r="G30" s="108">
        <f ca="1">'Dues summary Siniya-UAQ'!$E30/'Dues summary Siniya-UAQ'!$D30</f>
        <v>0.97230656397993742</v>
      </c>
      <c r="H30" s="109">
        <f ca="1">F30/'Dues summary Siniya-UAQ'!$D30</f>
        <v>2.7693436020062561E-2</v>
      </c>
      <c r="I30" s="102"/>
      <c r="J30" s="102"/>
      <c r="K30" s="102"/>
      <c r="L30" s="102"/>
      <c r="M30" s="102"/>
      <c r="N30" s="102"/>
      <c r="O30" s="102"/>
      <c r="P30" s="103"/>
      <c r="Q30" s="104"/>
      <c r="R30" s="104"/>
      <c r="S30" s="104"/>
      <c r="T30" s="105"/>
      <c r="U30" s="105"/>
      <c r="V30" s="102"/>
      <c r="W30" s="102"/>
      <c r="X30" s="105"/>
      <c r="Y30" s="105"/>
      <c r="Z30" s="105"/>
    </row>
    <row r="31" spans="1:26" x14ac:dyDescent="0.25">
      <c r="A31" s="88">
        <v>2025</v>
      </c>
      <c r="B31" t="s">
        <v>79</v>
      </c>
      <c r="C31" s="98" t="s">
        <v>50</v>
      </c>
      <c r="D31" s="99">
        <v>156083194.3300001</v>
      </c>
      <c r="E31" s="99">
        <f t="shared" ca="1" si="1"/>
        <v>153999613.3300001</v>
      </c>
      <c r="F31" s="99">
        <v>2083581</v>
      </c>
      <c r="G31" s="100">
        <f ca="1">'Dues summary Siniya-UAQ'!$E31/'Dues summary Siniya-UAQ'!$D31</f>
        <v>0.98665083061027847</v>
      </c>
      <c r="H31" s="101">
        <f ca="1">F31/'Dues summary Siniya-UAQ'!$D31</f>
        <v>1.3349169389721565E-2</v>
      </c>
      <c r="I31" s="102"/>
      <c r="J31" s="102"/>
      <c r="K31" s="102"/>
      <c r="L31" s="102"/>
      <c r="M31" s="102"/>
      <c r="N31" s="102"/>
      <c r="O31" s="102"/>
      <c r="P31" s="103"/>
      <c r="Q31" s="104"/>
      <c r="R31" s="104"/>
      <c r="S31" s="104"/>
      <c r="T31" s="105"/>
      <c r="U31" s="105"/>
      <c r="V31" s="110"/>
      <c r="W31" s="110"/>
      <c r="X31" s="105"/>
      <c r="Y31" s="105"/>
      <c r="Z31" s="105"/>
    </row>
    <row r="32" spans="1:26" x14ac:dyDescent="0.25">
      <c r="A32" s="88">
        <v>2025</v>
      </c>
      <c r="B32" t="s">
        <v>80</v>
      </c>
      <c r="C32" s="106" t="s">
        <v>51</v>
      </c>
      <c r="D32" s="107">
        <v>127202967.88000005</v>
      </c>
      <c r="E32" s="107">
        <f t="shared" ca="1" si="1"/>
        <v>126372023.88000005</v>
      </c>
      <c r="F32" s="107">
        <v>830944</v>
      </c>
      <c r="G32" s="108">
        <f ca="1">'Dues summary Siniya-UAQ'!$E32/'Dues summary Siniya-UAQ'!$D32</f>
        <v>0.99346757380076312</v>
      </c>
      <c r="H32" s="109">
        <f ca="1">F32/'Dues summary Siniya-UAQ'!$D32</f>
        <v>6.5324261992368822E-3</v>
      </c>
      <c r="I32" s="102"/>
      <c r="J32" s="102"/>
      <c r="K32" s="102"/>
      <c r="L32" s="102"/>
      <c r="M32" s="102"/>
      <c r="N32" s="102"/>
      <c r="O32" s="102"/>
      <c r="P32" s="103"/>
      <c r="Q32" s="104"/>
      <c r="R32" s="104"/>
      <c r="S32" s="104"/>
      <c r="T32" s="105"/>
      <c r="U32" s="105"/>
      <c r="V32" s="102"/>
      <c r="W32" s="102"/>
      <c r="X32" s="105"/>
      <c r="Y32" s="105"/>
      <c r="Z32" s="105"/>
    </row>
    <row r="33" spans="1:26" x14ac:dyDescent="0.25">
      <c r="A33" s="88">
        <v>2025</v>
      </c>
      <c r="B33" t="s">
        <v>81</v>
      </c>
      <c r="C33" s="98" t="s">
        <v>52</v>
      </c>
      <c r="D33" s="99">
        <v>117136843.90000007</v>
      </c>
      <c r="E33" s="99">
        <f t="shared" ca="1" si="1"/>
        <v>115106548.90000007</v>
      </c>
      <c r="F33" s="99">
        <v>2030295</v>
      </c>
      <c r="G33" s="100">
        <f ca="1">'Dues summary Siniya-UAQ'!$E33/'Dues summary Siniya-UAQ'!$D33</f>
        <v>0.98266732368397025</v>
      </c>
      <c r="H33" s="101">
        <f ca="1">F33/'Dues summary Siniya-UAQ'!$D33</f>
        <v>1.7332676316029708E-2</v>
      </c>
      <c r="I33" s="102"/>
      <c r="J33" s="102"/>
      <c r="K33" s="102"/>
      <c r="L33" s="102"/>
      <c r="M33" s="102"/>
      <c r="N33" s="102"/>
      <c r="O33" s="102"/>
      <c r="P33" s="103"/>
      <c r="Q33" s="104"/>
      <c r="R33" s="104"/>
      <c r="S33" s="104"/>
      <c r="T33" s="105"/>
      <c r="U33" s="105"/>
      <c r="V33" s="110"/>
      <c r="W33" s="110"/>
      <c r="X33" s="105"/>
      <c r="Y33" s="105"/>
      <c r="Z33" s="105"/>
    </row>
    <row r="34" spans="1:26" x14ac:dyDescent="0.25">
      <c r="A34" s="88"/>
      <c r="C34" s="111" t="s">
        <v>40</v>
      </c>
      <c r="D34" s="112">
        <f ca="1">SUM(D22:D33)</f>
        <v>1275331437.23</v>
      </c>
      <c r="E34" s="112">
        <f ca="1">SUM(E22:E33)</f>
        <v>1209964967.23</v>
      </c>
      <c r="F34" s="112">
        <f ca="1">SUM(F22:F33)</f>
        <v>65366470</v>
      </c>
      <c r="G34" s="113">
        <f ca="1">'Dues summary Siniya-UAQ'!$E34/'Dues summary Siniya-UAQ'!$D34</f>
        <v>0.94874550403777791</v>
      </c>
      <c r="H34" s="114">
        <f ca="1">F34/'Dues summary Siniya-UAQ'!$D34</f>
        <v>5.1254495962222146E-2</v>
      </c>
      <c r="I34" s="102"/>
      <c r="J34" s="102"/>
      <c r="K34" s="102"/>
      <c r="L34" s="102"/>
      <c r="M34" s="102"/>
      <c r="N34" s="102"/>
      <c r="O34" s="102"/>
      <c r="P34" s="103"/>
      <c r="Q34" s="104"/>
      <c r="R34" s="104"/>
      <c r="S34" s="104"/>
      <c r="T34" s="105"/>
      <c r="U34" s="105"/>
      <c r="V34" s="102"/>
      <c r="W34" s="102"/>
      <c r="X34" s="105"/>
      <c r="Y34" s="105"/>
      <c r="Z34" s="105"/>
    </row>
    <row r="35" spans="1:26" x14ac:dyDescent="0.25">
      <c r="A35" s="88">
        <v>2026</v>
      </c>
      <c r="B35" t="s">
        <v>70</v>
      </c>
      <c r="C35" s="106" t="s">
        <v>54</v>
      </c>
      <c r="D35" s="107">
        <v>143062134.59999996</v>
      </c>
      <c r="E35" s="107">
        <f ca="1">D35-F35</f>
        <v>141876779.59999996</v>
      </c>
      <c r="F35" s="107">
        <v>1185355</v>
      </c>
      <c r="G35" s="108">
        <f ca="1">'Dues summary Siniya-UAQ'!$E35/'Dues summary Siniya-UAQ'!$D35</f>
        <v>0.99171440435084912</v>
      </c>
      <c r="H35" s="109">
        <f ca="1">F35/'Dues summary Siniya-UAQ'!$D35</f>
        <v>8.2855956491508995E-3</v>
      </c>
      <c r="I35" s="102"/>
      <c r="J35" s="102"/>
      <c r="K35" s="102"/>
      <c r="L35" s="102"/>
      <c r="M35" s="102"/>
      <c r="N35" s="102"/>
      <c r="O35" s="102"/>
      <c r="P35" s="103"/>
      <c r="Q35" s="104"/>
      <c r="R35" s="104"/>
      <c r="S35" s="104"/>
      <c r="T35" s="105"/>
      <c r="U35" s="105"/>
      <c r="V35" s="102"/>
      <c r="W35" s="102"/>
      <c r="X35" s="105"/>
      <c r="Y35" s="105"/>
      <c r="Z35" s="105"/>
    </row>
    <row r="36" spans="1:26" x14ac:dyDescent="0.25">
      <c r="A36" s="88">
        <v>2026</v>
      </c>
      <c r="B36" t="s">
        <v>71</v>
      </c>
      <c r="C36" s="98" t="s">
        <v>55</v>
      </c>
      <c r="D36" s="99">
        <v>135499624.48000005</v>
      </c>
      <c r="E36" s="99">
        <f ca="1">D36-F36</f>
        <v>134911828.48000005</v>
      </c>
      <c r="F36" s="99">
        <v>587796</v>
      </c>
      <c r="G36" s="100">
        <f ca="1">'Dues summary Siniya-UAQ'!$E36/'Dues summary Siniya-UAQ'!$D36</f>
        <v>0.99566201011806676</v>
      </c>
      <c r="H36" s="101">
        <f ca="1">F36/'Dues summary Siniya-UAQ'!$D36</f>
        <v>4.3379898819332864E-3</v>
      </c>
      <c r="I36" s="102"/>
      <c r="J36" s="102"/>
      <c r="K36" s="102"/>
      <c r="L36" s="102"/>
      <c r="M36" s="102"/>
      <c r="N36" s="102"/>
      <c r="O36" s="102"/>
      <c r="P36" s="103"/>
      <c r="Q36" s="104"/>
      <c r="R36" s="104"/>
      <c r="S36" s="104"/>
      <c r="T36" s="105"/>
      <c r="U36" s="105"/>
      <c r="V36" s="110"/>
      <c r="W36" s="110"/>
      <c r="X36" s="105"/>
      <c r="Y36" s="105"/>
      <c r="Z36" s="105"/>
    </row>
    <row r="37" spans="1:26" x14ac:dyDescent="0.25">
      <c r="A37" s="88">
        <v>2026</v>
      </c>
      <c r="B37" t="s">
        <v>72</v>
      </c>
      <c r="C37" s="106" t="s">
        <v>56</v>
      </c>
      <c r="D37" s="107">
        <v>110937053.19</v>
      </c>
      <c r="E37" s="107">
        <f ca="1">D37-F37</f>
        <v>109678881.19</v>
      </c>
      <c r="F37" s="107">
        <v>1258172</v>
      </c>
      <c r="G37" s="108">
        <f ca="1">'Dues summary Siniya-UAQ'!$E37/'Dues summary Siniya-UAQ'!$D37</f>
        <v>0.98865868558951941</v>
      </c>
      <c r="H37" s="109">
        <f ca="1">F37/'Dues summary Siniya-UAQ'!$D37</f>
        <v>1.1341314410480603E-2</v>
      </c>
      <c r="I37" s="102"/>
      <c r="J37" s="102"/>
      <c r="K37" s="102"/>
      <c r="L37" s="102"/>
      <c r="M37" s="102"/>
      <c r="N37" s="102"/>
      <c r="O37" s="102"/>
      <c r="P37" s="103"/>
      <c r="Q37" s="104"/>
      <c r="R37" s="104"/>
      <c r="S37" s="104"/>
      <c r="T37" s="105"/>
      <c r="U37" s="105"/>
      <c r="V37" s="102"/>
      <c r="W37" s="102"/>
      <c r="X37" s="105"/>
      <c r="Y37" s="105"/>
      <c r="Z37" s="105"/>
    </row>
    <row r="38" spans="1:26" x14ac:dyDescent="0.25">
      <c r="A38" s="88">
        <v>2026</v>
      </c>
      <c r="B38" t="s">
        <v>73</v>
      </c>
      <c r="C38" s="98" t="s">
        <v>57</v>
      </c>
      <c r="D38" s="99">
        <v>122957429.14999998</v>
      </c>
      <c r="E38" s="99">
        <f ca="1">D38-F38</f>
        <v>122946018.14999998</v>
      </c>
      <c r="F38" s="99">
        <v>11411</v>
      </c>
      <c r="G38" s="100">
        <f ca="1">'Dues summary Siniya-UAQ'!$E38/'Dues summary Siniya-UAQ'!$D38</f>
        <v>0.99990719552223173</v>
      </c>
      <c r="H38" s="101">
        <f ca="1">F38/'Dues summary Siniya-UAQ'!$D38</f>
        <v>9.2804477768312232E-5</v>
      </c>
      <c r="I38" s="102"/>
      <c r="J38" s="102"/>
      <c r="K38" s="102"/>
      <c r="L38" s="102"/>
      <c r="M38" s="102"/>
      <c r="N38" s="102"/>
      <c r="O38" s="102"/>
      <c r="P38" s="103"/>
      <c r="Q38" s="104"/>
      <c r="R38" s="104"/>
      <c r="S38" s="104"/>
      <c r="T38" s="105"/>
      <c r="U38" s="105"/>
      <c r="V38" s="102"/>
      <c r="W38" s="102"/>
      <c r="X38" s="105"/>
      <c r="Y38" s="105"/>
      <c r="Z38" s="105"/>
    </row>
    <row r="39" spans="1:26" x14ac:dyDescent="0.25">
      <c r="A39" s="88">
        <v>2026</v>
      </c>
      <c r="B39" t="s">
        <v>74</v>
      </c>
      <c r="C39" s="106" t="s">
        <v>58</v>
      </c>
      <c r="D39" s="107">
        <v>20890249.330000006</v>
      </c>
      <c r="E39" s="107">
        <f ca="1">D39-F39</f>
        <v>20887776.330000006</v>
      </c>
      <c r="F39" s="107">
        <v>2473</v>
      </c>
      <c r="G39" s="108">
        <f ca="1">'Dues summary Siniya-UAQ'!$E39/'Dues summary Siniya-UAQ'!$D39</f>
        <v>0.99988161941195941</v>
      </c>
      <c r="H39" s="109">
        <f ca="1">F39/'Dues summary Siniya-UAQ'!$D39</f>
        <v>1.1838058804059278E-4</v>
      </c>
      <c r="I39" s="102"/>
      <c r="J39" s="102"/>
      <c r="K39" s="102"/>
      <c r="L39" s="102"/>
      <c r="M39" s="102"/>
      <c r="N39" s="102"/>
      <c r="O39" s="102"/>
      <c r="P39" s="103"/>
      <c r="Q39" s="104"/>
      <c r="R39" s="104"/>
      <c r="S39" s="104"/>
      <c r="T39" s="105"/>
      <c r="U39" s="105"/>
      <c r="V39" s="102"/>
      <c r="W39" s="102"/>
      <c r="X39" s="105"/>
      <c r="Y39" s="105"/>
      <c r="Z39" s="105"/>
    </row>
    <row r="40" spans="1:26" x14ac:dyDescent="0.25">
      <c r="C40" s="115" t="s">
        <v>59</v>
      </c>
      <c r="D40" s="116">
        <f ca="1">D21+D34+D35+D36+D37+D38+D39</f>
        <v>1898471433.7999997</v>
      </c>
      <c r="E40" s="116">
        <f ca="1">E21+E34+E35+E36+E37+E38+E39</f>
        <v>1804743684.7999997</v>
      </c>
      <c r="F40" s="116">
        <f ca="1">F21+F34+F35+F36+F37+F38+F39</f>
        <v>93727749</v>
      </c>
      <c r="G40" s="117">
        <f ca="1">'Dues summary'!$E40/'Dues summary'!$D40</f>
        <v>0.95588738083927549</v>
      </c>
      <c r="H40" s="118">
        <f ca="1">F40/'Dues summary'!$D40</f>
        <v>5.2014690086081838E-3</v>
      </c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20"/>
      <c r="U40" s="120"/>
      <c r="V40" s="119"/>
      <c r="W40" s="119"/>
      <c r="X40" s="120"/>
      <c r="Y40" s="120"/>
      <c r="Z40" s="120"/>
    </row>
    <row r="41" spans="1:26" ht="15.75" thickBot="1" x14ac:dyDescent="0.3">
      <c r="C41" s="119"/>
      <c r="D41" s="119">
        <f ca="1">SUM(Summary!K94,Summary!K107,Summary!K135,Summary!K148,Summary!K161,Summary!K120)</f>
        <v>1898471433.8000002</v>
      </c>
      <c r="E41" s="119"/>
      <c r="F41" s="119"/>
      <c r="G41" s="120"/>
      <c r="H41" s="120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20"/>
      <c r="U41" s="120"/>
      <c r="V41" s="119"/>
      <c r="W41" s="119"/>
      <c r="X41" s="120"/>
      <c r="Y41" s="120"/>
      <c r="Z41" s="120"/>
    </row>
    <row r="42" spans="1:26" ht="24" thickBot="1" x14ac:dyDescent="0.4">
      <c r="C42" s="89" t="str">
        <f ca="1">_xlfn.CONCAT("Dues collection ageing monthwise")</f>
        <v>Dues collection ageing monthwise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1"/>
      <c r="O42" s="88"/>
      <c r="P42" s="92"/>
      <c r="Q42" s="92"/>
      <c r="R42" s="92"/>
      <c r="S42" s="92"/>
      <c r="T42" s="92"/>
      <c r="U42" s="92"/>
      <c r="V42" s="92"/>
      <c r="W42" s="92"/>
    </row>
    <row r="43" spans="1:26" ht="36" customHeight="1" x14ac:dyDescent="0.25">
      <c r="C43" s="94" t="s">
        <v>282</v>
      </c>
      <c r="D43" s="95" t="s">
        <v>283</v>
      </c>
      <c r="E43" s="95" t="s">
        <v>288</v>
      </c>
      <c r="F43" s="95" t="s">
        <v>289</v>
      </c>
      <c r="G43" s="95" t="s">
        <v>290</v>
      </c>
      <c r="H43" s="95" t="s">
        <v>291</v>
      </c>
      <c r="I43" s="95" t="s">
        <v>292</v>
      </c>
      <c r="J43" s="95" t="s">
        <v>293</v>
      </c>
      <c r="K43" s="95" t="s">
        <v>294</v>
      </c>
      <c r="L43" s="95" t="s">
        <v>295</v>
      </c>
      <c r="M43" s="95" t="s">
        <v>296</v>
      </c>
      <c r="N43" s="96" t="s">
        <v>297</v>
      </c>
      <c r="O43" s="121"/>
      <c r="P43" s="97"/>
      <c r="Q43" s="97"/>
      <c r="R43" s="97"/>
      <c r="S43" s="97"/>
      <c r="T43" s="97"/>
      <c r="U43" s="97"/>
      <c r="V43" s="97"/>
      <c r="W43" s="97"/>
    </row>
    <row r="44" spans="1:26" x14ac:dyDescent="0.25">
      <c r="A44" s="88">
        <v>2024</v>
      </c>
      <c r="B44" t="s">
        <v>70</v>
      </c>
      <c r="C44" s="98" t="s">
        <v>26</v>
      </c>
      <c r="D44" s="99">
        <v>0</v>
      </c>
      <c r="E44" s="99">
        <v>0</v>
      </c>
      <c r="F44" s="99">
        <v>0</v>
      </c>
      <c r="G44" s="99">
        <v>0</v>
      </c>
      <c r="H44" s="99">
        <v>0</v>
      </c>
      <c r="I44" s="99">
        <v>0</v>
      </c>
      <c r="J44" s="100" t="e">
        <f ca="1">'Dues summary Siniya-UAQ'!$E44/'Dues summary Siniya-UAQ'!$D44</f>
        <v>#DIV/0!</v>
      </c>
      <c r="K44" s="100" t="e">
        <f ca="1">'Dues summary Siniya-UAQ'!$F44/'Dues summary Siniya-UAQ'!$D44</f>
        <v>#DIV/0!</v>
      </c>
      <c r="L44" s="100" t="e">
        <f ca="1">'Dues summary Siniya-UAQ'!$G44/'Dues summary Siniya-UAQ'!$D44</f>
        <v>#DIV/0!</v>
      </c>
      <c r="M44" s="100" t="e">
        <f ca="1">$H44/'Dues summary Siniya-UAQ'!$D44</f>
        <v>#DIV/0!</v>
      </c>
      <c r="N44" s="101" t="e">
        <f ca="1">$I44/'Dues summary Siniya-UAQ'!$D44</f>
        <v>#DIV/0!</v>
      </c>
      <c r="O44" s="122"/>
      <c r="P44" s="103"/>
      <c r="Q44" s="104"/>
      <c r="R44" s="104"/>
      <c r="S44" s="104"/>
      <c r="T44" s="104"/>
      <c r="U44" s="105"/>
      <c r="V44" s="105"/>
      <c r="W44" s="105"/>
    </row>
    <row r="45" spans="1:26" x14ac:dyDescent="0.25">
      <c r="A45" s="88">
        <v>2024</v>
      </c>
      <c r="B45" t="s">
        <v>71</v>
      </c>
      <c r="C45" s="106" t="s">
        <v>28</v>
      </c>
      <c r="D45" s="107">
        <v>0</v>
      </c>
      <c r="E45" s="107">
        <v>0</v>
      </c>
      <c r="F45" s="107">
        <v>0</v>
      </c>
      <c r="G45" s="107">
        <v>0</v>
      </c>
      <c r="H45" s="107">
        <v>0</v>
      </c>
      <c r="I45" s="107">
        <v>0</v>
      </c>
      <c r="J45" s="108" t="e">
        <f ca="1">'Dues summary Siniya-UAQ'!$E45/'Dues summary Siniya-UAQ'!$D45</f>
        <v>#DIV/0!</v>
      </c>
      <c r="K45" s="108" t="e">
        <f ca="1">'Dues summary Siniya-UAQ'!$F45/'Dues summary Siniya-UAQ'!$D45</f>
        <v>#DIV/0!</v>
      </c>
      <c r="L45" s="108" t="e">
        <f ca="1">'Dues summary Siniya-UAQ'!$G45/'Dues summary Siniya-UAQ'!$D45</f>
        <v>#DIV/0!</v>
      </c>
      <c r="M45" s="108" t="e">
        <f ca="1">$H45/'Dues summary Siniya-UAQ'!$D45</f>
        <v>#DIV/0!</v>
      </c>
      <c r="N45" s="109" t="e">
        <f ca="1">$I45/'Dues summary Siniya-UAQ'!$D45</f>
        <v>#DIV/0!</v>
      </c>
      <c r="O45" s="122"/>
      <c r="P45" s="103"/>
      <c r="Q45" s="104"/>
      <c r="R45" s="104"/>
      <c r="S45" s="104"/>
      <c r="T45" s="104"/>
      <c r="U45" s="105"/>
      <c r="V45" s="105"/>
      <c r="W45" s="105"/>
    </row>
    <row r="46" spans="1:26" x14ac:dyDescent="0.25">
      <c r="A46" s="88">
        <v>2024</v>
      </c>
      <c r="B46" t="s">
        <v>72</v>
      </c>
      <c r="C46" s="98" t="s">
        <v>29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100" t="e">
        <f ca="1">'Dues summary Siniya-UAQ'!$E46/'Dues summary Siniya-UAQ'!$D46</f>
        <v>#DIV/0!</v>
      </c>
      <c r="K46" s="100" t="e">
        <f ca="1">'Dues summary Siniya-UAQ'!$F46/'Dues summary Siniya-UAQ'!$D46</f>
        <v>#DIV/0!</v>
      </c>
      <c r="L46" s="100" t="e">
        <f ca="1">'Dues summary Siniya-UAQ'!$G46/'Dues summary Siniya-UAQ'!$D46</f>
        <v>#DIV/0!</v>
      </c>
      <c r="M46" s="100" t="e">
        <f ca="1">$H46/'Dues summary Siniya-UAQ'!$D46</f>
        <v>#DIV/0!</v>
      </c>
      <c r="N46" s="101" t="e">
        <f ca="1">$I46/'Dues summary Siniya-UAQ'!$D46</f>
        <v>#DIV/0!</v>
      </c>
      <c r="O46" s="122"/>
      <c r="P46" s="103"/>
      <c r="Q46" s="104"/>
      <c r="R46" s="104"/>
      <c r="S46" s="104"/>
      <c r="T46" s="104"/>
      <c r="U46" s="105"/>
      <c r="V46" s="105"/>
      <c r="W46" s="105"/>
    </row>
    <row r="47" spans="1:26" x14ac:dyDescent="0.25">
      <c r="A47" s="88">
        <v>2024</v>
      </c>
      <c r="B47" t="s">
        <v>73</v>
      </c>
      <c r="C47" s="106" t="s">
        <v>30</v>
      </c>
      <c r="D47" s="107">
        <v>0</v>
      </c>
      <c r="E47" s="107">
        <v>0</v>
      </c>
      <c r="F47" s="107">
        <v>0</v>
      </c>
      <c r="G47" s="107">
        <v>0</v>
      </c>
      <c r="H47" s="107">
        <v>0</v>
      </c>
      <c r="I47" s="107">
        <v>0</v>
      </c>
      <c r="J47" s="108" t="e">
        <f ca="1">'Dues summary Siniya-UAQ'!$E47/'Dues summary Siniya-UAQ'!$D47</f>
        <v>#DIV/0!</v>
      </c>
      <c r="K47" s="108" t="e">
        <f ca="1">'Dues summary Siniya-UAQ'!$F47/'Dues summary Siniya-UAQ'!$D47</f>
        <v>#DIV/0!</v>
      </c>
      <c r="L47" s="108" t="e">
        <f ca="1">'Dues summary Siniya-UAQ'!$G47/'Dues summary Siniya-UAQ'!$D47</f>
        <v>#DIV/0!</v>
      </c>
      <c r="M47" s="108" t="e">
        <f ca="1">$H47/'Dues summary Siniya-UAQ'!$D47</f>
        <v>#DIV/0!</v>
      </c>
      <c r="N47" s="109" t="e">
        <f ca="1">$I47/'Dues summary Siniya-UAQ'!$D47</f>
        <v>#DIV/0!</v>
      </c>
      <c r="O47" s="122"/>
      <c r="P47" s="103"/>
      <c r="Q47" s="104"/>
      <c r="R47" s="104"/>
      <c r="S47" s="104"/>
      <c r="T47" s="104"/>
      <c r="U47" s="105"/>
      <c r="V47" s="105"/>
      <c r="W47" s="105"/>
    </row>
    <row r="48" spans="1:26" x14ac:dyDescent="0.25">
      <c r="A48" s="88">
        <v>2024</v>
      </c>
      <c r="B48" t="s">
        <v>74</v>
      </c>
      <c r="C48" s="98" t="s">
        <v>31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100" t="e">
        <f ca="1">'Dues summary Siniya-UAQ'!$E48/'Dues summary Siniya-UAQ'!$D48</f>
        <v>#DIV/0!</v>
      </c>
      <c r="K48" s="100" t="e">
        <f ca="1">'Dues summary Siniya-UAQ'!$F48/'Dues summary Siniya-UAQ'!$D48</f>
        <v>#DIV/0!</v>
      </c>
      <c r="L48" s="100" t="e">
        <f ca="1">'Dues summary Siniya-UAQ'!$G48/'Dues summary Siniya-UAQ'!$D48</f>
        <v>#DIV/0!</v>
      </c>
      <c r="M48" s="100" t="e">
        <f ca="1">$H48/'Dues summary Siniya-UAQ'!$D48</f>
        <v>#DIV/0!</v>
      </c>
      <c r="N48" s="101" t="e">
        <f ca="1">$I48/'Dues summary Siniya-UAQ'!$D48</f>
        <v>#DIV/0!</v>
      </c>
      <c r="O48" s="122"/>
      <c r="P48" s="103"/>
      <c r="Q48" s="104"/>
      <c r="R48" s="104"/>
      <c r="S48" s="104"/>
      <c r="T48" s="104"/>
      <c r="U48" s="105"/>
      <c r="V48" s="105"/>
      <c r="W48" s="105"/>
    </row>
    <row r="49" spans="1:23" x14ac:dyDescent="0.25">
      <c r="A49" s="88">
        <v>2024</v>
      </c>
      <c r="B49" t="s">
        <v>75</v>
      </c>
      <c r="C49" s="106" t="s">
        <v>33</v>
      </c>
      <c r="D49" s="107">
        <v>0</v>
      </c>
      <c r="E49" s="107">
        <v>0</v>
      </c>
      <c r="F49" s="107">
        <v>0</v>
      </c>
      <c r="G49" s="107">
        <v>0</v>
      </c>
      <c r="H49" s="107">
        <v>0</v>
      </c>
      <c r="I49" s="107">
        <v>0</v>
      </c>
      <c r="J49" s="108" t="e">
        <f ca="1">'Dues summary Siniya-UAQ'!$E49/'Dues summary Siniya-UAQ'!$D49</f>
        <v>#DIV/0!</v>
      </c>
      <c r="K49" s="108" t="e">
        <f ca="1">'Dues summary Siniya-UAQ'!$F49/'Dues summary Siniya-UAQ'!$D49</f>
        <v>#DIV/0!</v>
      </c>
      <c r="L49" s="108" t="e">
        <f ca="1">'Dues summary Siniya-UAQ'!$G49/'Dues summary Siniya-UAQ'!$D49</f>
        <v>#DIV/0!</v>
      </c>
      <c r="M49" s="108" t="e">
        <f ca="1">$H49/'Dues summary Siniya-UAQ'!$D49</f>
        <v>#DIV/0!</v>
      </c>
      <c r="N49" s="109" t="e">
        <f ca="1">$I49/'Dues summary Siniya-UAQ'!$D49</f>
        <v>#DIV/0!</v>
      </c>
      <c r="O49" s="122"/>
      <c r="P49" s="103"/>
      <c r="Q49" s="104"/>
      <c r="R49" s="104"/>
      <c r="S49" s="104"/>
      <c r="T49" s="104"/>
      <c r="U49" s="105"/>
      <c r="V49" s="105"/>
      <c r="W49" s="105"/>
    </row>
    <row r="50" spans="1:23" x14ac:dyDescent="0.25">
      <c r="A50" s="88">
        <v>2024</v>
      </c>
      <c r="B50" t="s">
        <v>76</v>
      </c>
      <c r="C50" s="98" t="s">
        <v>34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100" t="e">
        <f ca="1">'Dues summary Siniya-UAQ'!$E50/'Dues summary Siniya-UAQ'!$D50</f>
        <v>#DIV/0!</v>
      </c>
      <c r="K50" s="100" t="e">
        <f ca="1">'Dues summary Siniya-UAQ'!$F50/'Dues summary Siniya-UAQ'!$D50</f>
        <v>#DIV/0!</v>
      </c>
      <c r="L50" s="100" t="e">
        <f ca="1">'Dues summary Siniya-UAQ'!$G50/'Dues summary Siniya-UAQ'!$D50</f>
        <v>#DIV/0!</v>
      </c>
      <c r="M50" s="100" t="e">
        <f ca="1">$H50/'Dues summary Siniya-UAQ'!$D50</f>
        <v>#DIV/0!</v>
      </c>
      <c r="N50" s="101" t="e">
        <f ca="1">$I50/'Dues summary Siniya-UAQ'!$D50</f>
        <v>#DIV/0!</v>
      </c>
      <c r="O50" s="122"/>
      <c r="P50" s="103"/>
      <c r="Q50" s="104"/>
      <c r="R50" s="104"/>
      <c r="S50" s="104"/>
      <c r="T50" s="104"/>
      <c r="U50" s="105"/>
      <c r="V50" s="105"/>
      <c r="W50" s="105"/>
    </row>
    <row r="51" spans="1:23" x14ac:dyDescent="0.25">
      <c r="A51" s="88">
        <v>2024</v>
      </c>
      <c r="B51" t="s">
        <v>77</v>
      </c>
      <c r="C51" s="106" t="s">
        <v>35</v>
      </c>
      <c r="D51" s="107">
        <v>434175.70000000013</v>
      </c>
      <c r="E51" s="107">
        <v>434175.70000000013</v>
      </c>
      <c r="F51" s="107">
        <v>0</v>
      </c>
      <c r="G51" s="107">
        <v>0</v>
      </c>
      <c r="H51" s="107">
        <v>0</v>
      </c>
      <c r="I51" s="107">
        <v>0</v>
      </c>
      <c r="J51" s="108">
        <f ca="1">'Dues summary Siniya-UAQ'!$E51/'Dues summary Siniya-UAQ'!$D51</f>
        <v>1</v>
      </c>
      <c r="K51" s="108">
        <f ca="1">'Dues summary Siniya-UAQ'!$F51/'Dues summary Siniya-UAQ'!$D51</f>
        <v>0</v>
      </c>
      <c r="L51" s="108">
        <f ca="1">'Dues summary Siniya-UAQ'!$G51/'Dues summary Siniya-UAQ'!$D51</f>
        <v>0</v>
      </c>
      <c r="M51" s="108">
        <f ca="1">$H51/'Dues summary Siniya-UAQ'!$D51</f>
        <v>0</v>
      </c>
      <c r="N51" s="109">
        <f ca="1">$I51/'Dues summary Siniya-UAQ'!$D51</f>
        <v>0</v>
      </c>
      <c r="O51" s="122"/>
      <c r="P51" s="103"/>
      <c r="Q51" s="104"/>
      <c r="R51" s="104"/>
      <c r="S51" s="104"/>
      <c r="T51" s="104"/>
      <c r="U51" s="105"/>
      <c r="V51" s="105"/>
      <c r="W51" s="105"/>
    </row>
    <row r="52" spans="1:23" x14ac:dyDescent="0.25">
      <c r="A52" s="88">
        <v>2024</v>
      </c>
      <c r="B52" t="s">
        <v>78</v>
      </c>
      <c r="C52" s="98" t="s">
        <v>36</v>
      </c>
      <c r="D52" s="99">
        <v>2865867.3799999994</v>
      </c>
      <c r="E52" s="99">
        <v>771654.27000000025</v>
      </c>
      <c r="F52" s="99">
        <v>2094213.1099999996</v>
      </c>
      <c r="G52" s="99">
        <v>0</v>
      </c>
      <c r="H52" s="99">
        <v>0</v>
      </c>
      <c r="I52" s="99">
        <v>0</v>
      </c>
      <c r="J52" s="100">
        <f ca="1">'Dues summary Siniya-UAQ'!$E52/'Dues summary Siniya-UAQ'!$D52</f>
        <v>0.26925679652350154</v>
      </c>
      <c r="K52" s="100">
        <f ca="1">'Dues summary Siniya-UAQ'!$F52/'Dues summary Siniya-UAQ'!$D52</f>
        <v>0.73074320347649868</v>
      </c>
      <c r="L52" s="100">
        <f ca="1">'Dues summary Siniya-UAQ'!$G52/'Dues summary Siniya-UAQ'!$D52</f>
        <v>0</v>
      </c>
      <c r="M52" s="100">
        <f ca="1">$H52/'Dues summary Siniya-UAQ'!$D52</f>
        <v>0</v>
      </c>
      <c r="N52" s="101">
        <f ca="1">$I52/'Dues summary Siniya-UAQ'!$D52</f>
        <v>0</v>
      </c>
      <c r="O52" s="122"/>
      <c r="P52" s="103"/>
      <c r="Q52" s="104"/>
      <c r="R52" s="104"/>
      <c r="S52" s="104"/>
      <c r="T52" s="104"/>
      <c r="U52" s="105"/>
      <c r="V52" s="105"/>
      <c r="W52" s="105"/>
    </row>
    <row r="53" spans="1:23" x14ac:dyDescent="0.25">
      <c r="A53" s="88">
        <v>2024</v>
      </c>
      <c r="B53" t="s">
        <v>79</v>
      </c>
      <c r="C53" s="106" t="s">
        <v>37</v>
      </c>
      <c r="D53" s="107">
        <v>25935863.740000002</v>
      </c>
      <c r="E53" s="107">
        <v>20526672.259999998</v>
      </c>
      <c r="F53" s="107">
        <v>4538028.34</v>
      </c>
      <c r="G53" s="107">
        <v>871163.14</v>
      </c>
      <c r="H53" s="107">
        <v>0</v>
      </c>
      <c r="I53" s="107">
        <v>0</v>
      </c>
      <c r="J53" s="108">
        <f ca="1">'Dues summary Siniya-UAQ'!$E53/'Dues summary Siniya-UAQ'!$D53</f>
        <v>0.79143970163378086</v>
      </c>
      <c r="K53" s="108">
        <f ca="1">'Dues summary Siniya-UAQ'!$F53/'Dues summary Siniya-UAQ'!$D53</f>
        <v>0.17497116677865457</v>
      </c>
      <c r="L53" s="108">
        <f ca="1">'Dues summary Siniya-UAQ'!$G53/'Dues summary Siniya-UAQ'!$D53</f>
        <v>3.3589131587564394E-2</v>
      </c>
      <c r="M53" s="108">
        <f ca="1">$H53/'Dues summary Siniya-UAQ'!$D53</f>
        <v>0</v>
      </c>
      <c r="N53" s="109">
        <f ca="1">$I53/'Dues summary Siniya-UAQ'!$D53</f>
        <v>0</v>
      </c>
      <c r="O53" s="122"/>
      <c r="P53" s="103"/>
      <c r="Q53" s="104"/>
      <c r="R53" s="104"/>
      <c r="S53" s="104"/>
      <c r="T53" s="104"/>
      <c r="U53" s="105"/>
      <c r="V53" s="105"/>
      <c r="W53" s="105"/>
    </row>
    <row r="54" spans="1:23" x14ac:dyDescent="0.25">
      <c r="A54" s="88">
        <v>2024</v>
      </c>
      <c r="B54" t="s">
        <v>80</v>
      </c>
      <c r="C54" s="98" t="s">
        <v>38</v>
      </c>
      <c r="D54" s="99">
        <v>35036516.839999989</v>
      </c>
      <c r="E54" s="99">
        <v>25241707.430000003</v>
      </c>
      <c r="F54" s="99">
        <v>7503857.330000001</v>
      </c>
      <c r="G54" s="99">
        <v>1312774.28</v>
      </c>
      <c r="H54" s="99">
        <v>978177.8</v>
      </c>
      <c r="I54" s="99">
        <v>0</v>
      </c>
      <c r="J54" s="100">
        <f ca="1">'Dues summary Siniya-UAQ'!$E54/'Dues summary Siniya-UAQ'!$D54</f>
        <v>0.72043997824528072</v>
      </c>
      <c r="K54" s="100">
        <f ca="1">'Dues summary Siniya-UAQ'!$F54/'Dues summary Siniya-UAQ'!$D54</f>
        <v>0.21417246937723858</v>
      </c>
      <c r="L54" s="100">
        <f ca="1">'Dues summary Siniya-UAQ'!$G54/'Dues summary Siniya-UAQ'!$D54</f>
        <v>3.7468743996299618E-2</v>
      </c>
      <c r="M54" s="100">
        <f ca="1">$H54/'Dues summary Siniya-UAQ'!$D54</f>
        <v>2.7918808381181544E-2</v>
      </c>
      <c r="N54" s="101">
        <f ca="1">$I54/'Dues summary Siniya-UAQ'!$D54</f>
        <v>0</v>
      </c>
      <c r="O54" s="122"/>
      <c r="P54" s="103"/>
      <c r="Q54" s="104"/>
      <c r="R54" s="104"/>
      <c r="S54" s="104"/>
      <c r="T54" s="104"/>
      <c r="U54" s="105"/>
      <c r="V54" s="105"/>
      <c r="W54" s="105"/>
    </row>
    <row r="55" spans="1:23" x14ac:dyDescent="0.25">
      <c r="A55" s="88">
        <v>2024</v>
      </c>
      <c r="B55" t="s">
        <v>81</v>
      </c>
      <c r="C55" s="106" t="s">
        <v>39</v>
      </c>
      <c r="D55" s="107">
        <v>25521082.159999993</v>
      </c>
      <c r="E55" s="107">
        <v>15698351.529999999</v>
      </c>
      <c r="F55" s="107">
        <v>7091313.1900000023</v>
      </c>
      <c r="G55" s="107">
        <v>1777468.04</v>
      </c>
      <c r="H55" s="107">
        <v>549655.15</v>
      </c>
      <c r="I55" s="107">
        <v>404294.25000000006</v>
      </c>
      <c r="J55" s="108">
        <f ca="1">'Dues summary Siniya-UAQ'!$E55/'Dues summary Siniya-UAQ'!$D55</f>
        <v>0.61511308304177348</v>
      </c>
      <c r="K55" s="108">
        <f ca="1">'Dues summary Siniya-UAQ'!$F55/'Dues summary Siniya-UAQ'!$D55</f>
        <v>0.27786099137733444</v>
      </c>
      <c r="L55" s="108">
        <f ca="1">'Dues summary Siniya-UAQ'!$G55/'Dues summary Siniya-UAQ'!$D55</f>
        <v>6.96470482268923E-2</v>
      </c>
      <c r="M55" s="108">
        <f ca="1">$H55/'Dues summary Siniya-UAQ'!$D55</f>
        <v>2.1537297930943229E-2</v>
      </c>
      <c r="N55" s="109">
        <f ca="1">$I55/'Dues summary Siniya-UAQ'!$D55</f>
        <v>1.5841579423056886E-2</v>
      </c>
      <c r="O55" s="122"/>
      <c r="P55" s="103"/>
      <c r="Q55" s="104"/>
      <c r="R55" s="104"/>
      <c r="S55" s="104"/>
      <c r="T55" s="104"/>
      <c r="U55" s="105"/>
      <c r="V55" s="105"/>
      <c r="W55" s="105"/>
    </row>
    <row r="56" spans="1:23" x14ac:dyDescent="0.25">
      <c r="A56" s="88"/>
      <c r="C56" s="115" t="s">
        <v>24</v>
      </c>
      <c r="D56" s="116">
        <f t="shared" ref="D56:I56" ca="1" si="2">SUM(D44:D55)</f>
        <v>89793505.819999978</v>
      </c>
      <c r="E56" s="116">
        <f t="shared" ca="1" si="2"/>
        <v>62672561.189999998</v>
      </c>
      <c r="F56" s="116">
        <f t="shared" ca="1" si="2"/>
        <v>21227411.970000003</v>
      </c>
      <c r="G56" s="116">
        <f t="shared" ca="1" si="2"/>
        <v>3961405.46</v>
      </c>
      <c r="H56" s="116">
        <f t="shared" ca="1" si="2"/>
        <v>1527832.9500000002</v>
      </c>
      <c r="I56" s="116">
        <f t="shared" ca="1" si="2"/>
        <v>404294.25000000006</v>
      </c>
      <c r="J56" s="117">
        <f ca="1">'Dues summary Siniya-UAQ'!$E56/'Dues summary Siniya-UAQ'!$D56</f>
        <v>0.6979631836141178</v>
      </c>
      <c r="K56" s="117">
        <f ca="1">'Dues summary Siniya-UAQ'!$F56/'Dues summary Siniya-UAQ'!$D56</f>
        <v>0.23640253018467131</v>
      </c>
      <c r="L56" s="117">
        <f ca="1">'Dues summary Siniya-UAQ'!$G56/'Dues summary Siniya-UAQ'!$D56</f>
        <v>4.4116837000896608E-2</v>
      </c>
      <c r="M56" s="117">
        <f ca="1">$H56/'Dues summary Siniya-UAQ'!$D56</f>
        <v>1.701496044783788E-2</v>
      </c>
      <c r="N56" s="118">
        <f ca="1">$I56/'Dues summary Siniya-UAQ'!$D56</f>
        <v>4.5024887524766893E-3</v>
      </c>
      <c r="O56" s="122"/>
      <c r="P56" s="103"/>
      <c r="Q56" s="104"/>
      <c r="R56" s="104"/>
      <c r="S56" s="104"/>
      <c r="T56" s="104"/>
      <c r="U56" s="105"/>
      <c r="V56" s="105"/>
      <c r="W56" s="105"/>
    </row>
    <row r="57" spans="1:23" x14ac:dyDescent="0.25">
      <c r="A57" s="88">
        <v>2025</v>
      </c>
      <c r="B57" t="s">
        <v>70</v>
      </c>
      <c r="C57" s="106" t="s">
        <v>41</v>
      </c>
      <c r="D57" s="107">
        <v>61739104.160000004</v>
      </c>
      <c r="E57" s="107">
        <v>42310368.909999974</v>
      </c>
      <c r="F57" s="107">
        <v>15297344.690000001</v>
      </c>
      <c r="G57" s="107">
        <v>3302873.7900000005</v>
      </c>
      <c r="H57" s="107">
        <v>345238.77</v>
      </c>
      <c r="I57" s="107">
        <v>483278</v>
      </c>
      <c r="J57" s="108">
        <f ca="1">'Dues summary Siniya-UAQ'!$E57/'Dues summary Siniya-UAQ'!$D57</f>
        <v>0.68530908385632738</v>
      </c>
      <c r="K57" s="108">
        <f ca="1">'Dues summary Siniya-UAQ'!$F57/'Dues summary Siniya-UAQ'!$D57</f>
        <v>0.24777399831322724</v>
      </c>
      <c r="L57" s="108">
        <f ca="1">'Dues summary Siniya-UAQ'!$G57/'Dues summary Siniya-UAQ'!$D57</f>
        <v>5.3497274295403387E-2</v>
      </c>
      <c r="M57" s="108">
        <f ca="1">$H57/'Dues summary Siniya-UAQ'!$D57</f>
        <v>5.5918979502082881E-3</v>
      </c>
      <c r="N57" s="109">
        <f ca="1">$I57/'Dues summary Siniya-UAQ'!$D57</f>
        <v>7.8277455848332466E-3</v>
      </c>
      <c r="O57" s="122"/>
      <c r="P57" s="103"/>
      <c r="Q57" s="104"/>
      <c r="R57" s="104"/>
      <c r="S57" s="104"/>
      <c r="T57" s="104"/>
      <c r="U57" s="105"/>
      <c r="V57" s="105"/>
      <c r="W57" s="105"/>
    </row>
    <row r="58" spans="1:23" x14ac:dyDescent="0.25">
      <c r="A58" s="88">
        <v>2025</v>
      </c>
      <c r="B58" t="s">
        <v>71</v>
      </c>
      <c r="C58" s="98" t="s">
        <v>42</v>
      </c>
      <c r="D58" s="99">
        <v>66487974.849999994</v>
      </c>
      <c r="E58" s="99">
        <v>52870242.270000011</v>
      </c>
      <c r="F58" s="99">
        <v>5424770.2499999991</v>
      </c>
      <c r="G58" s="99">
        <v>3430928.8199999994</v>
      </c>
      <c r="H58" s="99">
        <v>1943967.19</v>
      </c>
      <c r="I58" s="99">
        <v>2818066.3200000003</v>
      </c>
      <c r="J58" s="100">
        <f ca="1">'Dues summary Siniya-UAQ'!$E58/'Dues summary Siniya-UAQ'!$D58</f>
        <v>0.79518502991372153</v>
      </c>
      <c r="K58" s="100">
        <f ca="1">'Dues summary Siniya-UAQ'!$F58/'Dues summary Siniya-UAQ'!$D58</f>
        <v>8.1590246390246299E-2</v>
      </c>
      <c r="L58" s="100">
        <f ca="1">'Dues summary Siniya-UAQ'!$G58/'Dues summary Siniya-UAQ'!$D58</f>
        <v>5.160224578565277E-2</v>
      </c>
      <c r="M58" s="100">
        <f ca="1">$H58/'Dues summary Siniya-UAQ'!$D58</f>
        <v>2.9237876388710615E-2</v>
      </c>
      <c r="N58" s="101">
        <f ca="1">$I58/'Dues summary Siniya-UAQ'!$D58</f>
        <v>4.2384601521669008E-2</v>
      </c>
      <c r="O58" s="122"/>
      <c r="P58" s="103"/>
      <c r="Q58" s="104"/>
      <c r="R58" s="104"/>
      <c r="S58" s="104"/>
      <c r="T58" s="104"/>
      <c r="U58" s="105"/>
      <c r="V58" s="105"/>
      <c r="W58" s="105"/>
    </row>
    <row r="59" spans="1:23" x14ac:dyDescent="0.25">
      <c r="A59" s="88">
        <v>2025</v>
      </c>
      <c r="B59" t="s">
        <v>72</v>
      </c>
      <c r="C59" s="106" t="s">
        <v>43</v>
      </c>
      <c r="D59" s="107">
        <v>70785948.740000039</v>
      </c>
      <c r="E59" s="107">
        <v>56795780.780000016</v>
      </c>
      <c r="F59" s="107">
        <v>9612104.2900000028</v>
      </c>
      <c r="G59" s="107">
        <v>1690202.8099999998</v>
      </c>
      <c r="H59" s="107">
        <v>1468200.7000000002</v>
      </c>
      <c r="I59" s="107">
        <v>1219660.1600000001</v>
      </c>
      <c r="J59" s="108">
        <f ca="1">'Dues summary Siniya-UAQ'!$E59/'Dues summary Siniya-UAQ'!$D59</f>
        <v>0.80235953308492713</v>
      </c>
      <c r="K59" s="108">
        <f ca="1">'Dues summary Siniya-UAQ'!$F59/'Dues summary Siniya-UAQ'!$D59</f>
        <v>0.13579113455561206</v>
      </c>
      <c r="L59" s="108">
        <f ca="1">'Dues summary Siniya-UAQ'!$G59/'Dues summary Siniya-UAQ'!$D59</f>
        <v>2.387765990406077E-2</v>
      </c>
      <c r="M59" s="108">
        <f ca="1">$H59/'Dues summary Siniya-UAQ'!$D59</f>
        <v>2.0741414449254147E-2</v>
      </c>
      <c r="N59" s="109">
        <f ca="1">$I59/'Dues summary Siniya-UAQ'!$D59</f>
        <v>1.7230258006145634E-2</v>
      </c>
      <c r="O59" s="122"/>
      <c r="P59" s="103"/>
      <c r="Q59" s="104"/>
      <c r="R59" s="104"/>
      <c r="S59" s="104"/>
      <c r="T59" s="104"/>
      <c r="U59" s="105"/>
      <c r="V59" s="105"/>
      <c r="W59" s="105"/>
    </row>
    <row r="60" spans="1:23" x14ac:dyDescent="0.25">
      <c r="A60" s="88">
        <v>2025</v>
      </c>
      <c r="B60" t="s">
        <v>73</v>
      </c>
      <c r="C60" s="98" t="s">
        <v>44</v>
      </c>
      <c r="D60" s="99">
        <v>91757320.879999936</v>
      </c>
      <c r="E60" s="99">
        <v>76324144.579999909</v>
      </c>
      <c r="F60" s="99">
        <v>11660854.619999999</v>
      </c>
      <c r="G60" s="99">
        <v>2169819.4799999995</v>
      </c>
      <c r="H60" s="99">
        <v>376090.08000000007</v>
      </c>
      <c r="I60" s="99">
        <v>1226412.1200000003</v>
      </c>
      <c r="J60" s="100">
        <f ca="1">'Dues summary Siniya-UAQ'!$E60/'Dues summary Siniya-UAQ'!$D60</f>
        <v>0.83180441460160426</v>
      </c>
      <c r="K60" s="100">
        <f ca="1">'Dues summary Siniya-UAQ'!$F60/'Dues summary Siniya-UAQ'!$D60</f>
        <v>0.12708364311606313</v>
      </c>
      <c r="L60" s="100">
        <f ca="1">'Dues summary Siniya-UAQ'!$G60/'Dues summary Siniya-UAQ'!$D60</f>
        <v>2.364737177579199E-2</v>
      </c>
      <c r="M60" s="100">
        <f ca="1">$H60/'Dues summary Siniya-UAQ'!$D60</f>
        <v>4.0987473957729221E-3</v>
      </c>
      <c r="N60" s="101">
        <f ca="1">$I60/'Dues summary Siniya-UAQ'!$D60</f>
        <v>1.3365823110767368E-2</v>
      </c>
      <c r="O60" s="122"/>
      <c r="P60" s="103"/>
      <c r="Q60" s="104"/>
      <c r="R60" s="104"/>
      <c r="S60" s="104"/>
      <c r="T60" s="104"/>
      <c r="U60" s="105"/>
      <c r="V60" s="105"/>
      <c r="W60" s="105"/>
    </row>
    <row r="61" spans="1:23" x14ac:dyDescent="0.25">
      <c r="A61" s="88">
        <v>2025</v>
      </c>
      <c r="B61" t="s">
        <v>74</v>
      </c>
      <c r="C61" s="106" t="s">
        <v>45</v>
      </c>
      <c r="D61" s="107">
        <v>92598515.179999962</v>
      </c>
      <c r="E61" s="107">
        <v>76816242.24000001</v>
      </c>
      <c r="F61" s="107">
        <v>8703536.1100000031</v>
      </c>
      <c r="G61" s="107">
        <v>3117167.89</v>
      </c>
      <c r="H61" s="107">
        <v>1818882.92</v>
      </c>
      <c r="I61" s="107">
        <v>2142686.0200000009</v>
      </c>
      <c r="J61" s="108">
        <f ca="1">'Dues summary Siniya-UAQ'!$E61/'Dues summary Siniya-UAQ'!$D61</f>
        <v>0.82956235411203749</v>
      </c>
      <c r="K61" s="108">
        <f ca="1">'Dues summary Siniya-UAQ'!$F61/'Dues summary Siniya-UAQ'!$D61</f>
        <v>9.3992177877597866E-2</v>
      </c>
      <c r="L61" s="108">
        <f ca="1">'Dues summary Siniya-UAQ'!$G61/'Dues summary Siniya-UAQ'!$D61</f>
        <v>3.366325997712398E-2</v>
      </c>
      <c r="M61" s="108">
        <f ca="1">$H61/'Dues summary Siniya-UAQ'!$D61</f>
        <v>1.9642679112773228E-2</v>
      </c>
      <c r="N61" s="109">
        <f ca="1">$I61/'Dues summary Siniya-UAQ'!$D61</f>
        <v>2.3139528920467965E-2</v>
      </c>
      <c r="O61" s="122"/>
      <c r="P61" s="103"/>
      <c r="Q61" s="104"/>
      <c r="R61" s="104"/>
      <c r="S61" s="104"/>
      <c r="T61" s="104"/>
      <c r="U61" s="105"/>
      <c r="V61" s="105"/>
      <c r="W61" s="105"/>
    </row>
    <row r="62" spans="1:23" x14ac:dyDescent="0.25">
      <c r="A62" s="88">
        <v>2025</v>
      </c>
      <c r="B62" t="s">
        <v>75</v>
      </c>
      <c r="C62" s="98" t="s">
        <v>46</v>
      </c>
      <c r="D62" s="99">
        <v>85182746.73999998</v>
      </c>
      <c r="E62" s="99">
        <v>71593553.300000012</v>
      </c>
      <c r="F62" s="99">
        <v>8042325.3600000003</v>
      </c>
      <c r="G62" s="99">
        <v>1816569</v>
      </c>
      <c r="H62" s="99">
        <v>2099170.2800000003</v>
      </c>
      <c r="I62" s="99">
        <v>1631128.7999999996</v>
      </c>
      <c r="J62" s="100">
        <f ca="1">'Dues summary Siniya-UAQ'!$E62/'Dues summary Siniya-UAQ'!$D62</f>
        <v>0.84047011912544045</v>
      </c>
      <c r="K62" s="100">
        <f ca="1">'Dues summary Siniya-UAQ'!$F62/'Dues summary Siniya-UAQ'!$D62</f>
        <v>9.4412608982277602E-2</v>
      </c>
      <c r="L62" s="100">
        <f ca="1">'Dues summary Siniya-UAQ'!$G62/'Dues summary Siniya-UAQ'!$D62</f>
        <v>2.1325550883498082E-2</v>
      </c>
      <c r="M62" s="100">
        <f ca="1">$H62/'Dues summary Siniya-UAQ'!$D62</f>
        <v>2.4643139137168434E-2</v>
      </c>
      <c r="N62" s="101">
        <f ca="1">$I62/'Dues summary Siniya-UAQ'!$D62</f>
        <v>1.9148581871615753E-2</v>
      </c>
      <c r="O62" s="122"/>
      <c r="P62" s="103"/>
      <c r="Q62" s="104"/>
      <c r="R62" s="104"/>
      <c r="S62" s="104"/>
      <c r="T62" s="104"/>
      <c r="U62" s="105"/>
      <c r="V62" s="105"/>
      <c r="W62" s="105"/>
    </row>
    <row r="63" spans="1:23" x14ac:dyDescent="0.25">
      <c r="A63" s="88">
        <v>2025</v>
      </c>
      <c r="B63" t="s">
        <v>76</v>
      </c>
      <c r="C63" s="106" t="s">
        <v>47</v>
      </c>
      <c r="D63" s="107">
        <v>131879312.84999992</v>
      </c>
      <c r="E63" s="107">
        <v>117133087.4299999</v>
      </c>
      <c r="F63" s="107">
        <v>8771906.75</v>
      </c>
      <c r="G63" s="107">
        <v>2535457.7600000007</v>
      </c>
      <c r="H63" s="107">
        <v>835204.8200000003</v>
      </c>
      <c r="I63" s="107">
        <v>2603656.0900000008</v>
      </c>
      <c r="J63" s="108">
        <f ca="1">'Dues summary Siniya-UAQ'!$E63/'Dues summary Siniya-UAQ'!$D63</f>
        <v>0.88818393801632534</v>
      </c>
      <c r="K63" s="108">
        <f ca="1">'Dues summary Siniya-UAQ'!$F63/'Dues summary Siniya-UAQ'!$D63</f>
        <v>6.6514653135759078E-2</v>
      </c>
      <c r="L63" s="108">
        <f ca="1">'Dues summary Siniya-UAQ'!$G63/'Dues summary Siniya-UAQ'!$D63</f>
        <v>1.9225591225849357E-2</v>
      </c>
      <c r="M63" s="108">
        <f ca="1">$H63/'Dues summary Siniya-UAQ'!$D63</f>
        <v>6.3330995737744386E-3</v>
      </c>
      <c r="N63" s="109">
        <f ca="1">$I63/'Dues summary Siniya-UAQ'!$D63</f>
        <v>1.97427180482917E-2</v>
      </c>
      <c r="O63" s="122"/>
      <c r="P63" s="103"/>
      <c r="Q63" s="104"/>
      <c r="R63" s="104"/>
      <c r="S63" s="104"/>
      <c r="T63" s="104"/>
      <c r="U63" s="105"/>
      <c r="V63" s="105"/>
      <c r="W63" s="105"/>
    </row>
    <row r="64" spans="1:23" x14ac:dyDescent="0.25">
      <c r="A64" s="88">
        <v>2025</v>
      </c>
      <c r="B64" t="s">
        <v>77</v>
      </c>
      <c r="C64" s="98" t="s">
        <v>48</v>
      </c>
      <c r="D64" s="99">
        <v>136404969.61999995</v>
      </c>
      <c r="E64" s="99">
        <v>123047832.85999992</v>
      </c>
      <c r="F64" s="99">
        <v>6853546.5499999989</v>
      </c>
      <c r="G64" s="99">
        <v>3077900.5900000003</v>
      </c>
      <c r="H64" s="99">
        <v>1059861.3899999999</v>
      </c>
      <c r="I64" s="99">
        <v>2365828.2300000014</v>
      </c>
      <c r="J64" s="100">
        <f ca="1">'Dues summary Siniya-UAQ'!$E64/'Dues summary Siniya-UAQ'!$D64</f>
        <v>0.9020773451494426</v>
      </c>
      <c r="K64" s="100">
        <f ca="1">'Dues summary Siniya-UAQ'!$F64/'Dues summary Siniya-UAQ'!$D64</f>
        <v>5.024411184645812E-2</v>
      </c>
      <c r="L64" s="100">
        <f ca="1">'Dues summary Siniya-UAQ'!$G64/'Dues summary Siniya-UAQ'!$D64</f>
        <v>2.2564431476173378E-2</v>
      </c>
      <c r="M64" s="100">
        <f ca="1">$H64/'Dues summary Siniya-UAQ'!$D64</f>
        <v>7.7699617026607297E-3</v>
      </c>
      <c r="N64" s="101">
        <f ca="1">$I64/'Dues summary Siniya-UAQ'!$D64</f>
        <v>1.7344149825265012E-2</v>
      </c>
      <c r="O64" s="122"/>
      <c r="P64" s="103"/>
      <c r="Q64" s="104"/>
      <c r="R64" s="104"/>
      <c r="S64" s="104"/>
      <c r="T64" s="104"/>
      <c r="U64" s="105"/>
      <c r="V64" s="105"/>
      <c r="W64" s="105"/>
    </row>
    <row r="65" spans="1:26" x14ac:dyDescent="0.25">
      <c r="A65" s="88">
        <v>2025</v>
      </c>
      <c r="B65" t="s">
        <v>78</v>
      </c>
      <c r="C65" s="106" t="s">
        <v>49</v>
      </c>
      <c r="D65" s="107">
        <v>138072538.09999999</v>
      </c>
      <c r="E65" s="107">
        <v>117958255.83000003</v>
      </c>
      <c r="F65" s="107">
        <v>10051168.240000002</v>
      </c>
      <c r="G65" s="107">
        <v>4630608.5100000007</v>
      </c>
      <c r="H65" s="107">
        <v>1781265.4400000006</v>
      </c>
      <c r="I65" s="107">
        <v>3651240.0800000029</v>
      </c>
      <c r="J65" s="108">
        <f ca="1">'Dues summary Siniya-UAQ'!$E65/'Dues summary Siniya-UAQ'!$D65</f>
        <v>0.85432090590359067</v>
      </c>
      <c r="K65" s="108">
        <f ca="1">'Dues summary Siniya-UAQ'!$F65/'Dues summary Siniya-UAQ'!$D65</f>
        <v>7.2796287939027912E-2</v>
      </c>
      <c r="L65" s="108">
        <f ca="1">'Dues summary Siniya-UAQ'!$G65/'Dues summary Siniya-UAQ'!$D65</f>
        <v>3.3537505529493854E-2</v>
      </c>
      <c r="M65" s="108">
        <f ca="1">$H65/'Dues summary Siniya-UAQ'!$D65</f>
        <v>1.2900939350516659E-2</v>
      </c>
      <c r="N65" s="109">
        <f ca="1">$I65/'Dues summary Siniya-UAQ'!$D65</f>
        <v>2.6444361277371223E-2</v>
      </c>
      <c r="O65" s="122"/>
      <c r="P65" s="103"/>
      <c r="Q65" s="104"/>
      <c r="R65" s="104"/>
      <c r="S65" s="104"/>
      <c r="T65" s="104"/>
      <c r="U65" s="105"/>
      <c r="V65" s="105"/>
      <c r="W65" s="105"/>
    </row>
    <row r="66" spans="1:26" x14ac:dyDescent="0.25">
      <c r="A66" s="88">
        <v>2025</v>
      </c>
      <c r="B66" t="s">
        <v>79</v>
      </c>
      <c r="C66" s="98" t="s">
        <v>50</v>
      </c>
      <c r="D66" s="99">
        <v>156083194.3300001</v>
      </c>
      <c r="E66" s="99">
        <v>134809162.0500001</v>
      </c>
      <c r="F66" s="99">
        <v>11734903.700000001</v>
      </c>
      <c r="G66" s="99">
        <v>3974342.2000000011</v>
      </c>
      <c r="H66" s="99">
        <v>1728075.73</v>
      </c>
      <c r="I66" s="99">
        <v>3836710.6499999962</v>
      </c>
      <c r="J66" s="100">
        <f ca="1">'Dues summary Siniya-UAQ'!$E66/'Dues summary Siniya-UAQ'!$D66</f>
        <v>0.86370068621852258</v>
      </c>
      <c r="K66" s="100">
        <f ca="1">'Dues summary Siniya-UAQ'!$F66/'Dues summary Siniya-UAQ'!$D66</f>
        <v>7.5183646454527256E-2</v>
      </c>
      <c r="L66" s="100">
        <f ca="1">'Dues summary Siniya-UAQ'!$G66/'Dues summary Siniya-UAQ'!$D66</f>
        <v>2.5462973237190527E-2</v>
      </c>
      <c r="M66" s="100">
        <f ca="1">$H66/'Dues summary Siniya-UAQ'!$D66</f>
        <v>1.1071504125847158E-2</v>
      </c>
      <c r="N66" s="101">
        <f ca="1">$I66/'Dues summary Siniya-UAQ'!$D66</f>
        <v>2.4581189963912457E-2</v>
      </c>
      <c r="O66" s="122"/>
      <c r="P66" s="103"/>
      <c r="Q66" s="104"/>
      <c r="R66" s="104"/>
      <c r="S66" s="104"/>
      <c r="T66" s="104"/>
      <c r="U66" s="105"/>
      <c r="V66" s="105"/>
      <c r="W66" s="105"/>
    </row>
    <row r="67" spans="1:26" x14ac:dyDescent="0.25">
      <c r="A67" s="88">
        <v>2025</v>
      </c>
      <c r="B67" t="s">
        <v>80</v>
      </c>
      <c r="C67" s="106" t="s">
        <v>51</v>
      </c>
      <c r="D67" s="107">
        <v>127202967.88000005</v>
      </c>
      <c r="E67" s="107">
        <v>105637474.06000003</v>
      </c>
      <c r="F67" s="107">
        <v>9463339.5099999961</v>
      </c>
      <c r="G67" s="107">
        <v>5887458.5799999982</v>
      </c>
      <c r="H67" s="107">
        <v>2371404.8799999994</v>
      </c>
      <c r="I67" s="107">
        <v>3843290.85</v>
      </c>
      <c r="J67" s="108">
        <f ca="1">'Dues summary Siniya-UAQ'!$E67/'Dues summary Siniya-UAQ'!$D67</f>
        <v>0.8304639099274449</v>
      </c>
      <c r="K67" s="108">
        <f ca="1">'Dues summary Siniya-UAQ'!$F67/'Dues summary Siniya-UAQ'!$D67</f>
        <v>7.4395587364969831E-2</v>
      </c>
      <c r="L67" s="108">
        <f ca="1">'Dues summary Siniya-UAQ'!$G67/'Dues summary Siniya-UAQ'!$D67</f>
        <v>4.6283971813881518E-2</v>
      </c>
      <c r="M67" s="108">
        <f ca="1">$H67/'Dues summary Siniya-UAQ'!$D67</f>
        <v>1.8642685147386817E-2</v>
      </c>
      <c r="N67" s="109">
        <f ca="1">$I67/'Dues summary Siniya-UAQ'!$D67</f>
        <v>3.0213845746316706E-2</v>
      </c>
      <c r="O67" s="122"/>
      <c r="P67" s="103"/>
      <c r="Q67" s="104"/>
      <c r="R67" s="104"/>
      <c r="S67" s="104"/>
      <c r="T67" s="104"/>
      <c r="U67" s="105"/>
      <c r="V67" s="105"/>
      <c r="W67" s="105"/>
    </row>
    <row r="68" spans="1:26" x14ac:dyDescent="0.25">
      <c r="A68" s="88">
        <v>2025</v>
      </c>
      <c r="B68" t="s">
        <v>81</v>
      </c>
      <c r="C68" s="98" t="s">
        <v>52</v>
      </c>
      <c r="D68" s="99">
        <v>117136843.90000007</v>
      </c>
      <c r="E68" s="99">
        <v>99578244.170000046</v>
      </c>
      <c r="F68" s="99">
        <v>7552598.9100000001</v>
      </c>
      <c r="G68" s="99">
        <v>2344367.3400000008</v>
      </c>
      <c r="H68" s="99">
        <v>1417038.9700000002</v>
      </c>
      <c r="I68" s="99">
        <v>6244594.5099999979</v>
      </c>
      <c r="J68" s="100">
        <f ca="1">'Dues summary Siniya-UAQ'!$E68/'Dues summary Siniya-UAQ'!$D68</f>
        <v>0.85010181984252686</v>
      </c>
      <c r="K68" s="100">
        <f ca="1">'Dues summary Siniya-UAQ'!$F68/'Dues summary Siniya-UAQ'!$D68</f>
        <v>6.4476715084176822E-2</v>
      </c>
      <c r="L68" s="100">
        <f ca="1">'Dues summary Siniya-UAQ'!$G68/'Dues summary Siniya-UAQ'!$D68</f>
        <v>2.0013919292561709E-2</v>
      </c>
      <c r="M68" s="100">
        <f ca="1">$H68/'Dues summary Siniya-UAQ'!$D68</f>
        <v>1.2097295119285686E-2</v>
      </c>
      <c r="N68" s="101">
        <f ca="1">$I68/'Dues summary Siniya-UAQ'!$D68</f>
        <v>5.3310250661448753E-2</v>
      </c>
      <c r="O68" s="123"/>
      <c r="P68" s="103"/>
      <c r="Q68" s="104"/>
      <c r="R68" s="104"/>
      <c r="S68" s="104"/>
      <c r="T68" s="104"/>
      <c r="U68" s="105"/>
      <c r="V68" s="105"/>
      <c r="W68" s="105"/>
    </row>
    <row r="69" spans="1:26" x14ac:dyDescent="0.25">
      <c r="A69" s="88"/>
      <c r="C69" s="115" t="s">
        <v>40</v>
      </c>
      <c r="D69" s="116">
        <f t="shared" ref="D69:I69" ca="1" si="3">SUM(D57:D68)</f>
        <v>1275331437.23</v>
      </c>
      <c r="E69" s="116">
        <f t="shared" ca="1" si="3"/>
        <v>1074874388.48</v>
      </c>
      <c r="F69" s="116">
        <f t="shared" ca="1" si="3"/>
        <v>113168398.98</v>
      </c>
      <c r="G69" s="116">
        <f t="shared" ca="1" si="3"/>
        <v>37977696.770000003</v>
      </c>
      <c r="H69" s="116">
        <f t="shared" ca="1" si="3"/>
        <v>17244401.170000002</v>
      </c>
      <c r="I69" s="116">
        <f t="shared" ca="1" si="3"/>
        <v>32066551.829999998</v>
      </c>
      <c r="J69" s="117">
        <f ca="1">'Dues summary Siniya-UAQ'!$E69/'Dues summary Siniya-UAQ'!$D69</f>
        <v>0.84281964444835644</v>
      </c>
      <c r="K69" s="117">
        <f ca="1">'Dues summary Siniya-UAQ'!$F69/'Dues summary Siniya-UAQ'!$D69</f>
        <v>8.8736461500392397E-2</v>
      </c>
      <c r="L69" s="117">
        <f ca="1">'Dues summary Siniya-UAQ'!$G69/'Dues summary Siniya-UAQ'!$D69</f>
        <v>2.9778687846421296E-2</v>
      </c>
      <c r="M69" s="117">
        <f ca="1">$H69/'Dues summary Siniya-UAQ'!$D69</f>
        <v>1.352150559971655E-2</v>
      </c>
      <c r="N69" s="118">
        <f ca="1">$I69/'Dues summary Siniya-UAQ'!$D69</f>
        <v>2.5143700605113325E-2</v>
      </c>
      <c r="O69" s="122"/>
      <c r="P69" s="103"/>
      <c r="Q69" s="104"/>
      <c r="R69" s="104"/>
      <c r="S69" s="104"/>
      <c r="T69" s="104"/>
      <c r="U69" s="105"/>
      <c r="V69" s="105"/>
      <c r="W69" s="105"/>
    </row>
    <row r="70" spans="1:26" x14ac:dyDescent="0.25">
      <c r="A70" s="88">
        <v>2026</v>
      </c>
      <c r="B70" t="s">
        <v>70</v>
      </c>
      <c r="C70" s="106" t="s">
        <v>54</v>
      </c>
      <c r="D70" s="107">
        <v>143062134.59999996</v>
      </c>
      <c r="E70" s="107">
        <v>125500267.13999997</v>
      </c>
      <c r="F70" s="107">
        <v>7658428.2900000019</v>
      </c>
      <c r="G70" s="107">
        <v>2534418.5500000003</v>
      </c>
      <c r="H70" s="107">
        <v>2027314.0000000002</v>
      </c>
      <c r="I70" s="107">
        <v>5341706.6199999982</v>
      </c>
      <c r="J70" s="108">
        <f ca="1">'Dues summary Siniya-UAQ'!$E70/'Dues summary Siniya-UAQ'!$D70</f>
        <v>0.87724307686934233</v>
      </c>
      <c r="K70" s="108">
        <f ca="1">'Dues summary Siniya-UAQ'!$F70/'Dues summary Siniya-UAQ'!$D70</f>
        <v>5.3532182442355393E-2</v>
      </c>
      <c r="L70" s="108">
        <f ca="1">'Dues summary Siniya-UAQ'!$G70/'Dues summary Siniya-UAQ'!$D70</f>
        <v>1.771550911837157E-2</v>
      </c>
      <c r="M70" s="108">
        <f ca="1">$H70/'Dues summary Siniya-UAQ'!$D70</f>
        <v>1.4170863629767208E-2</v>
      </c>
      <c r="N70" s="109">
        <f ca="1">$I70/'Dues summary Siniya-UAQ'!$D70</f>
        <v>3.7338367940163528E-2</v>
      </c>
      <c r="O70" s="122"/>
      <c r="P70" s="103"/>
      <c r="Q70" s="104"/>
      <c r="R70" s="104"/>
      <c r="S70" s="104"/>
      <c r="T70" s="104"/>
      <c r="U70" s="105"/>
      <c r="V70" s="105"/>
      <c r="W70" s="105"/>
    </row>
    <row r="71" spans="1:26" x14ac:dyDescent="0.25">
      <c r="A71" s="88">
        <v>2026</v>
      </c>
      <c r="B71" t="s">
        <v>71</v>
      </c>
      <c r="C71" s="98" t="s">
        <v>55</v>
      </c>
      <c r="D71" s="99">
        <v>135499624.48000005</v>
      </c>
      <c r="E71" s="99">
        <v>121115867.22999991</v>
      </c>
      <c r="F71" s="99">
        <v>6647580.9199999999</v>
      </c>
      <c r="G71" s="99">
        <v>2149674.5199999996</v>
      </c>
      <c r="H71" s="99">
        <v>1034020.9299999997</v>
      </c>
      <c r="I71" s="99">
        <v>4552480.8799999952</v>
      </c>
      <c r="J71" s="100">
        <f ca="1">'Dues summary Siniya-UAQ'!$E71/'Dues summary Siniya-UAQ'!$D71</f>
        <v>0.89384651577301455</v>
      </c>
      <c r="K71" s="100">
        <f ca="1">'Dues summary Siniya-UAQ'!$F71/'Dues summary Siniya-UAQ'!$D71</f>
        <v>4.9059773748533105E-2</v>
      </c>
      <c r="L71" s="100">
        <f ca="1">'Dues summary Siniya-UAQ'!$G71/'Dues summary Siniya-UAQ'!$D71</f>
        <v>1.5864800572324058E-2</v>
      </c>
      <c r="M71" s="100">
        <f ca="1">$H71/'Dues summary Siniya-UAQ'!$D71</f>
        <v>7.6311719236729159E-3</v>
      </c>
      <c r="N71" s="101">
        <f ca="1">$I71/'Dues summary Siniya-UAQ'!$D71</f>
        <v>3.3597737982454322E-2</v>
      </c>
      <c r="O71" s="122"/>
      <c r="P71" s="103"/>
      <c r="Q71" s="104"/>
      <c r="R71" s="104"/>
      <c r="S71" s="104"/>
      <c r="T71" s="104"/>
      <c r="U71" s="105"/>
      <c r="V71" s="105"/>
      <c r="W71" s="105"/>
    </row>
    <row r="72" spans="1:26" x14ac:dyDescent="0.25">
      <c r="A72" s="88">
        <v>2026</v>
      </c>
      <c r="B72" t="s">
        <v>72</v>
      </c>
      <c r="C72" s="106" t="s">
        <v>56</v>
      </c>
      <c r="D72" s="107">
        <v>110937053.19</v>
      </c>
      <c r="E72" s="107">
        <v>99547452.50999999</v>
      </c>
      <c r="F72" s="107">
        <v>6369756.0800000001</v>
      </c>
      <c r="G72" s="107">
        <v>2119020.9500000007</v>
      </c>
      <c r="H72" s="107">
        <v>1363268.6100000008</v>
      </c>
      <c r="I72" s="107">
        <v>1537555.0399999998</v>
      </c>
      <c r="J72" s="108">
        <f ca="1">'Dues summary Siniya-UAQ'!$E72/'Dues summary Siniya-UAQ'!$D72</f>
        <v>0.89733276346818736</v>
      </c>
      <c r="K72" s="108">
        <f ca="1">'Dues summary Siniya-UAQ'!$F72/'Dues summary Siniya-UAQ'!$D72</f>
        <v>5.7417750849129076E-2</v>
      </c>
      <c r="L72" s="108">
        <f ca="1">'Dues summary Siniya-UAQ'!$G72/'Dues summary Siniya-UAQ'!$D72</f>
        <v>1.9101110846804176E-2</v>
      </c>
      <c r="M72" s="108">
        <f ca="1">$H72/'Dues summary Siniya-UAQ'!$D72</f>
        <v>1.2288667949969375E-2</v>
      </c>
      <c r="N72" s="109">
        <f ca="1">$I72/'Dues summary Siniya-UAQ'!$D72</f>
        <v>1.3859706885909937E-2</v>
      </c>
      <c r="O72" s="122"/>
      <c r="P72" s="103"/>
      <c r="Q72" s="104"/>
      <c r="R72" s="104"/>
      <c r="S72" s="104"/>
      <c r="T72" s="104"/>
      <c r="U72" s="105"/>
      <c r="V72" s="105"/>
      <c r="W72" s="105"/>
    </row>
    <row r="73" spans="1:26" x14ac:dyDescent="0.25">
      <c r="A73" s="88">
        <v>2026</v>
      </c>
      <c r="B73" t="s">
        <v>73</v>
      </c>
      <c r="C73" s="98" t="s">
        <v>57</v>
      </c>
      <c r="D73" s="99">
        <v>122957429.14999998</v>
      </c>
      <c r="E73" s="99">
        <v>107740803.37999995</v>
      </c>
      <c r="F73" s="99">
        <v>8447751.1199999992</v>
      </c>
      <c r="G73" s="99">
        <v>2802583.3200000012</v>
      </c>
      <c r="H73" s="99">
        <v>192978.10999999961</v>
      </c>
      <c r="I73" s="99">
        <v>3773313.2200000016</v>
      </c>
      <c r="J73" s="100">
        <f ca="1">'Dues summary Siniya-UAQ'!$E73/'Dues summary Siniya-UAQ'!$D73</f>
        <v>0.87624476312499389</v>
      </c>
      <c r="K73" s="100">
        <f ca="1">'Dues summary Siniya-UAQ'!$F73/'Dues summary Siniya-UAQ'!$D73</f>
        <v>6.870468241243316E-2</v>
      </c>
      <c r="L73" s="100">
        <f ca="1">'Dues summary Siniya-UAQ'!$G73/'Dues summary Siniya-UAQ'!$D73</f>
        <v>2.2793119044324146E-2</v>
      </c>
      <c r="M73" s="100">
        <f ca="1">$H73/'Dues summary Siniya-UAQ'!$D73</f>
        <v>1.5694709244821557E-3</v>
      </c>
      <c r="N73" s="101">
        <f ca="1">$I73/'Dues summary Siniya-UAQ'!$D73</f>
        <v>3.0687964493766436E-2</v>
      </c>
      <c r="O73" s="122"/>
      <c r="P73" s="103"/>
      <c r="Q73" s="104"/>
      <c r="R73" s="104"/>
      <c r="S73" s="104"/>
      <c r="T73" s="104"/>
      <c r="U73" s="105"/>
      <c r="V73" s="105"/>
      <c r="W73" s="105"/>
    </row>
    <row r="74" spans="1:26" x14ac:dyDescent="0.25">
      <c r="A74" s="88">
        <v>2026</v>
      </c>
      <c r="B74" t="s">
        <v>74</v>
      </c>
      <c r="C74" s="106" t="s">
        <v>58</v>
      </c>
      <c r="D74" s="107">
        <v>20890249.330000006</v>
      </c>
      <c r="E74" s="107">
        <v>19261017.550000008</v>
      </c>
      <c r="F74" s="107">
        <v>633053.41000000015</v>
      </c>
      <c r="G74" s="107">
        <v>216604.71000000005</v>
      </c>
      <c r="H74" s="107">
        <v>642948.52</v>
      </c>
      <c r="I74" s="107">
        <v>136625.13999999975</v>
      </c>
      <c r="J74" s="108">
        <f ca="1">'Dues summary Siniya-UAQ'!$E74/'Dues summary Siniya-UAQ'!$D74</f>
        <v>0.92200994089331934</v>
      </c>
      <c r="K74" s="108">
        <f ca="1">'Dues summary Siniya-UAQ'!$F74/'Dues summary Siniya-UAQ'!$D74</f>
        <v>3.0303774741974321E-2</v>
      </c>
      <c r="L74" s="108">
        <f ca="1">'Dues summary Siniya-UAQ'!$G74/'Dues summary Siniya-UAQ'!$D74</f>
        <v>1.0368699127441193E-2</v>
      </c>
      <c r="M74" s="108">
        <f ca="1">$H74/'Dues summary Siniya-UAQ'!$D74</f>
        <v>3.0777445967419666E-2</v>
      </c>
      <c r="N74" s="109">
        <f ca="1">$I74/'Dues summary Siniya-UAQ'!$D74</f>
        <v>6.5401392698456471E-3</v>
      </c>
      <c r="O74" s="122"/>
      <c r="P74" s="103"/>
      <c r="Q74" s="104"/>
      <c r="R74" s="104"/>
      <c r="S74" s="104"/>
      <c r="T74" s="104"/>
      <c r="U74" s="105"/>
      <c r="V74" s="105"/>
      <c r="W74" s="105"/>
    </row>
    <row r="75" spans="1:26" ht="15.75" thickBot="1" x14ac:dyDescent="0.3">
      <c r="C75" s="124" t="s">
        <v>59</v>
      </c>
      <c r="D75" s="125">
        <f t="shared" ref="D75:I75" ca="1" si="4">D56+D69+D70+D71+D72+D73+D74</f>
        <v>1898471433.7999997</v>
      </c>
      <c r="E75" s="125">
        <f t="shared" ca="1" si="4"/>
        <v>1610712357.4799998</v>
      </c>
      <c r="F75" s="125">
        <f t="shared" ca="1" si="4"/>
        <v>164152380.77000001</v>
      </c>
      <c r="G75" s="125">
        <f t="shared" ca="1" si="4"/>
        <v>51761404.280000001</v>
      </c>
      <c r="H75" s="125">
        <f t="shared" ca="1" si="4"/>
        <v>24032764.289999999</v>
      </c>
      <c r="I75" s="125">
        <f t="shared" ca="1" si="4"/>
        <v>47812526.979999989</v>
      </c>
      <c r="J75" s="126">
        <f ca="1">'Dues summary'!$E75/'Dues summary'!$D75</f>
        <v>0.71726278668117482</v>
      </c>
      <c r="K75" s="126">
        <f ca="1">'Dues summary'!$F75/'Dues summary'!$D75</f>
        <v>0.10360603800932755</v>
      </c>
      <c r="L75" s="126">
        <f ca="1">'Dues summary'!$G75/'Dues summary'!$D75</f>
        <v>4.8231291253469304E-2</v>
      </c>
      <c r="M75" s="126">
        <f ca="1">$H75/'Dues summary'!$D75</f>
        <v>1.3337104537272143E-3</v>
      </c>
      <c r="N75" s="127">
        <f ca="1">$I75/'Dues summary'!$D75</f>
        <v>2.6533804552343679E-3</v>
      </c>
      <c r="O75" s="128"/>
      <c r="P75" s="129"/>
      <c r="Q75" s="130"/>
      <c r="R75" s="130"/>
      <c r="S75" s="130"/>
      <c r="T75" s="130"/>
      <c r="U75" s="120"/>
      <c r="V75" s="120"/>
      <c r="W75" s="120"/>
    </row>
    <row r="76" spans="1:26" ht="15.75" thickBot="1" x14ac:dyDescent="0.3">
      <c r="C76" s="119"/>
      <c r="D76" s="119"/>
      <c r="E76" s="119"/>
      <c r="F76" s="119"/>
      <c r="G76" s="120"/>
      <c r="H76" s="120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20"/>
      <c r="U76" s="120"/>
      <c r="V76" s="119"/>
      <c r="W76" s="119"/>
      <c r="X76" s="120"/>
      <c r="Y76" s="120"/>
      <c r="Z76" s="120"/>
    </row>
    <row r="77" spans="1:26" ht="22.9" customHeight="1" thickBot="1" x14ac:dyDescent="0.4">
      <c r="C77" s="89" t="str">
        <f ca="1">_xlfn.CONCAT("New sales collection aging ")</f>
        <v xml:space="preserve">New sales collection aging </v>
      </c>
      <c r="D77" s="90"/>
      <c r="E77" s="90"/>
      <c r="F77" s="90"/>
      <c r="G77" s="90"/>
      <c r="H77" s="90"/>
      <c r="I77" s="90"/>
      <c r="J77" s="91"/>
      <c r="K77" s="102"/>
      <c r="L77" s="88"/>
      <c r="M77" s="88"/>
      <c r="N77" s="88"/>
      <c r="O77" s="121"/>
      <c r="P77" s="88"/>
      <c r="Q77" s="121"/>
      <c r="R77" s="88"/>
      <c r="S77" s="88"/>
      <c r="T77" s="88"/>
      <c r="U77" s="88"/>
      <c r="V77" s="88"/>
      <c r="W77" s="88"/>
    </row>
    <row r="78" spans="1:26" ht="60" x14ac:dyDescent="0.25">
      <c r="C78" s="94" t="s">
        <v>282</v>
      </c>
      <c r="D78" s="95" t="s">
        <v>298</v>
      </c>
      <c r="E78" s="95" t="s">
        <v>299</v>
      </c>
      <c r="F78" s="95" t="s">
        <v>300</v>
      </c>
      <c r="G78" s="95" t="s">
        <v>301</v>
      </c>
      <c r="H78" s="131">
        <v>0.3</v>
      </c>
      <c r="I78" s="95" t="s">
        <v>302</v>
      </c>
      <c r="J78" s="96" t="s">
        <v>303</v>
      </c>
      <c r="K78" s="88"/>
      <c r="L78" s="88"/>
      <c r="M78" s="88"/>
      <c r="N78" s="88"/>
      <c r="O78" s="123"/>
      <c r="P78" s="88"/>
      <c r="Q78" s="123"/>
      <c r="R78" s="132"/>
      <c r="S78" s="132"/>
      <c r="T78" s="132"/>
      <c r="U78" s="123"/>
      <c r="V78" s="123"/>
      <c r="W78" s="88"/>
    </row>
    <row r="79" spans="1:26" x14ac:dyDescent="0.25">
      <c r="A79" s="88">
        <v>2024</v>
      </c>
      <c r="B79" t="s">
        <v>70</v>
      </c>
      <c r="C79" s="98" t="s">
        <v>26</v>
      </c>
      <c r="D79" s="99">
        <v>0</v>
      </c>
      <c r="E79" s="133">
        <v>0</v>
      </c>
      <c r="F79" s="133">
        <v>0</v>
      </c>
      <c r="G79" s="133">
        <f ca="1">D79-SUM(E79:F79)</f>
        <v>0</v>
      </c>
      <c r="H79" s="134" t="e">
        <f t="shared" ref="H79:H110" ca="1" si="5">E79/D79</f>
        <v>#DIV/0!</v>
      </c>
      <c r="I79" s="134" t="e">
        <f t="shared" ref="I79:I110" ca="1" si="6">F79/D79</f>
        <v>#DIV/0!</v>
      </c>
      <c r="J79" s="135" t="e">
        <f t="shared" ref="J79:J110" ca="1" si="7">G79/D79</f>
        <v>#DIV/0!</v>
      </c>
      <c r="K79" s="88"/>
      <c r="L79" s="88"/>
      <c r="M79" s="88"/>
      <c r="N79" s="88"/>
      <c r="O79" s="123"/>
      <c r="P79" s="88"/>
      <c r="Q79" s="123"/>
      <c r="R79" s="132"/>
      <c r="S79" s="132"/>
      <c r="T79" s="132"/>
      <c r="U79" s="123"/>
      <c r="V79" s="123"/>
      <c r="W79" s="88"/>
    </row>
    <row r="80" spans="1:26" x14ac:dyDescent="0.25">
      <c r="A80" s="88">
        <v>2024</v>
      </c>
      <c r="B80" t="s">
        <v>71</v>
      </c>
      <c r="C80" s="106" t="s">
        <v>28</v>
      </c>
      <c r="D80" s="107">
        <v>0</v>
      </c>
      <c r="E80" s="136">
        <v>0</v>
      </c>
      <c r="F80" s="136">
        <v>0</v>
      </c>
      <c r="G80" s="136">
        <f t="shared" ref="G80:G90" ca="1" si="8">D80-SUM(E80:F80)</f>
        <v>0</v>
      </c>
      <c r="H80" s="137" t="e">
        <f t="shared" ca="1" si="5"/>
        <v>#DIV/0!</v>
      </c>
      <c r="I80" s="137" t="e">
        <f t="shared" ca="1" si="6"/>
        <v>#DIV/0!</v>
      </c>
      <c r="J80" s="138" t="e">
        <f t="shared" ca="1" si="7"/>
        <v>#DIV/0!</v>
      </c>
      <c r="K80" s="88"/>
      <c r="L80" s="88"/>
      <c r="M80" s="88"/>
      <c r="N80" s="88"/>
      <c r="O80" s="123"/>
      <c r="P80" s="88"/>
      <c r="Q80" s="123"/>
      <c r="R80" s="132"/>
      <c r="S80" s="132"/>
      <c r="T80" s="132"/>
      <c r="U80" s="123"/>
      <c r="V80" s="123"/>
      <c r="W80" s="88"/>
    </row>
    <row r="81" spans="1:23" x14ac:dyDescent="0.25">
      <c r="A81" s="88">
        <v>2024</v>
      </c>
      <c r="B81" t="s">
        <v>72</v>
      </c>
      <c r="C81" s="98" t="s">
        <v>29</v>
      </c>
      <c r="D81" s="99">
        <v>87596</v>
      </c>
      <c r="E81" s="133">
        <v>87596</v>
      </c>
      <c r="F81" s="133">
        <v>0</v>
      </c>
      <c r="G81" s="133">
        <f t="shared" ca="1" si="8"/>
        <v>0</v>
      </c>
      <c r="H81" s="134">
        <f t="shared" ca="1" si="5"/>
        <v>1</v>
      </c>
      <c r="I81" s="134">
        <f t="shared" ca="1" si="6"/>
        <v>0</v>
      </c>
      <c r="J81" s="135">
        <f t="shared" ca="1" si="7"/>
        <v>0</v>
      </c>
      <c r="K81" s="88"/>
      <c r="L81" s="88"/>
      <c r="M81" s="88"/>
      <c r="N81" s="88"/>
      <c r="O81" s="123"/>
      <c r="P81" s="88"/>
      <c r="Q81" s="123"/>
      <c r="R81" s="132"/>
      <c r="S81" s="132"/>
      <c r="T81" s="132"/>
      <c r="U81" s="123"/>
      <c r="V81" s="123"/>
      <c r="W81" s="88"/>
    </row>
    <row r="82" spans="1:23" x14ac:dyDescent="0.25">
      <c r="A82" s="88">
        <v>2024</v>
      </c>
      <c r="B82" t="s">
        <v>73</v>
      </c>
      <c r="C82" s="106" t="s">
        <v>30</v>
      </c>
      <c r="D82" s="107">
        <v>0</v>
      </c>
      <c r="E82" s="136">
        <v>0</v>
      </c>
      <c r="F82" s="136">
        <v>0</v>
      </c>
      <c r="G82" s="136">
        <f t="shared" ca="1" si="8"/>
        <v>0</v>
      </c>
      <c r="H82" s="137" t="e">
        <f t="shared" ca="1" si="5"/>
        <v>#DIV/0!</v>
      </c>
      <c r="I82" s="137" t="e">
        <f t="shared" ca="1" si="6"/>
        <v>#DIV/0!</v>
      </c>
      <c r="J82" s="138" t="e">
        <f t="shared" ca="1" si="7"/>
        <v>#DIV/0!</v>
      </c>
      <c r="K82" s="88"/>
      <c r="L82" s="88"/>
      <c r="M82" s="88"/>
      <c r="N82" s="88"/>
      <c r="O82" s="123"/>
      <c r="P82" s="88">
        <v>0</v>
      </c>
      <c r="Q82" s="123"/>
      <c r="R82" s="132"/>
      <c r="S82" s="132"/>
      <c r="T82" s="132"/>
      <c r="U82" s="123"/>
      <c r="V82" s="123"/>
      <c r="W82" s="88"/>
    </row>
    <row r="83" spans="1:23" x14ac:dyDescent="0.25">
      <c r="A83" s="88">
        <v>2024</v>
      </c>
      <c r="B83" t="s">
        <v>74</v>
      </c>
      <c r="C83" s="98" t="s">
        <v>31</v>
      </c>
      <c r="D83" s="99">
        <v>0</v>
      </c>
      <c r="E83" s="133">
        <v>0</v>
      </c>
      <c r="F83" s="133">
        <v>0</v>
      </c>
      <c r="G83" s="133">
        <f t="shared" ca="1" si="8"/>
        <v>0</v>
      </c>
      <c r="H83" s="134" t="e">
        <f t="shared" ca="1" si="5"/>
        <v>#DIV/0!</v>
      </c>
      <c r="I83" s="134" t="e">
        <f t="shared" ca="1" si="6"/>
        <v>#DIV/0!</v>
      </c>
      <c r="J83" s="135" t="e">
        <f t="shared" ca="1" si="7"/>
        <v>#DIV/0!</v>
      </c>
      <c r="K83" s="88"/>
      <c r="L83" s="88"/>
      <c r="M83" s="88"/>
      <c r="N83" s="88"/>
      <c r="O83" s="123"/>
      <c r="P83" s="88"/>
      <c r="Q83" s="123"/>
      <c r="R83" s="132"/>
      <c r="S83" s="132"/>
      <c r="T83" s="132"/>
      <c r="U83" s="123"/>
      <c r="V83" s="123"/>
      <c r="W83" s="88"/>
    </row>
    <row r="84" spans="1:23" x14ac:dyDescent="0.25">
      <c r="A84" s="88">
        <v>2024</v>
      </c>
      <c r="B84" t="s">
        <v>75</v>
      </c>
      <c r="C84" s="106" t="s">
        <v>33</v>
      </c>
      <c r="D84" s="107">
        <v>0</v>
      </c>
      <c r="E84" s="136">
        <v>0</v>
      </c>
      <c r="F84" s="136">
        <v>0</v>
      </c>
      <c r="G84" s="136">
        <f t="shared" ca="1" si="8"/>
        <v>0</v>
      </c>
      <c r="H84" s="137" t="e">
        <f t="shared" ca="1" si="5"/>
        <v>#DIV/0!</v>
      </c>
      <c r="I84" s="137" t="e">
        <f t="shared" ca="1" si="6"/>
        <v>#DIV/0!</v>
      </c>
      <c r="J84" s="138" t="e">
        <f t="shared" ca="1" si="7"/>
        <v>#DIV/0!</v>
      </c>
      <c r="K84" s="88"/>
      <c r="L84" s="88"/>
      <c r="M84" s="88"/>
      <c r="N84" s="88"/>
      <c r="O84" s="123"/>
      <c r="P84" s="88"/>
      <c r="Q84" s="123"/>
      <c r="R84" s="132"/>
      <c r="S84" s="132"/>
      <c r="T84" s="132"/>
      <c r="U84" s="123"/>
      <c r="V84" s="123"/>
      <c r="W84" s="88"/>
    </row>
    <row r="85" spans="1:23" x14ac:dyDescent="0.25">
      <c r="A85" s="88">
        <v>2024</v>
      </c>
      <c r="B85" t="s">
        <v>76</v>
      </c>
      <c r="C85" s="98" t="s">
        <v>34</v>
      </c>
      <c r="D85" s="99">
        <v>26260313</v>
      </c>
      <c r="E85" s="133">
        <v>26260313</v>
      </c>
      <c r="F85" s="133">
        <v>0</v>
      </c>
      <c r="G85" s="133">
        <f t="shared" ca="1" si="8"/>
        <v>0</v>
      </c>
      <c r="H85" s="134">
        <f t="shared" ca="1" si="5"/>
        <v>1</v>
      </c>
      <c r="I85" s="134">
        <f t="shared" ca="1" si="6"/>
        <v>0</v>
      </c>
      <c r="J85" s="135">
        <f t="shared" ca="1" si="7"/>
        <v>0</v>
      </c>
      <c r="K85" s="88"/>
      <c r="L85" s="88"/>
      <c r="M85" s="88"/>
      <c r="N85" s="88"/>
      <c r="O85" s="123"/>
      <c r="P85" s="88"/>
      <c r="Q85" s="123"/>
      <c r="R85" s="132"/>
      <c r="S85" s="132"/>
      <c r="T85" s="132"/>
      <c r="U85" s="123"/>
      <c r="V85" s="123"/>
      <c r="W85" s="88"/>
    </row>
    <row r="86" spans="1:23" x14ac:dyDescent="0.25">
      <c r="A86" s="88">
        <v>2024</v>
      </c>
      <c r="B86" t="s">
        <v>77</v>
      </c>
      <c r="C86" s="106" t="s">
        <v>35</v>
      </c>
      <c r="D86" s="107">
        <v>84480405</v>
      </c>
      <c r="E86" s="136">
        <v>84480405</v>
      </c>
      <c r="F86" s="136">
        <v>0</v>
      </c>
      <c r="G86" s="136">
        <f t="shared" ca="1" si="8"/>
        <v>0</v>
      </c>
      <c r="H86" s="137">
        <f t="shared" ca="1" si="5"/>
        <v>1</v>
      </c>
      <c r="I86" s="137">
        <f t="shared" ca="1" si="6"/>
        <v>0</v>
      </c>
      <c r="J86" s="138">
        <f t="shared" ca="1" si="7"/>
        <v>0</v>
      </c>
      <c r="K86" s="88"/>
      <c r="L86" s="88"/>
      <c r="M86" s="88"/>
      <c r="N86" s="88"/>
      <c r="O86" s="123"/>
      <c r="P86" s="88"/>
      <c r="Q86" s="123"/>
      <c r="R86" s="132"/>
      <c r="S86" s="132"/>
      <c r="T86" s="132"/>
      <c r="U86" s="123"/>
      <c r="V86" s="123"/>
      <c r="W86" s="88"/>
    </row>
    <row r="87" spans="1:23" x14ac:dyDescent="0.25">
      <c r="A87" s="88">
        <v>2024</v>
      </c>
      <c r="B87" t="s">
        <v>78</v>
      </c>
      <c r="C87" s="98" t="s">
        <v>36</v>
      </c>
      <c r="D87" s="99">
        <v>86117497</v>
      </c>
      <c r="E87" s="133">
        <v>84221096</v>
      </c>
      <c r="F87" s="133">
        <v>1896401</v>
      </c>
      <c r="G87" s="133">
        <f t="shared" ca="1" si="8"/>
        <v>0</v>
      </c>
      <c r="H87" s="134">
        <f t="shared" ca="1" si="5"/>
        <v>0.9779789117651666</v>
      </c>
      <c r="I87" s="134">
        <f t="shared" ca="1" si="6"/>
        <v>2.2021088234833393E-2</v>
      </c>
      <c r="J87" s="135">
        <f t="shared" ca="1" si="7"/>
        <v>0</v>
      </c>
      <c r="K87" s="88"/>
      <c r="L87" s="88"/>
      <c r="M87" s="88"/>
      <c r="N87" s="88"/>
      <c r="O87" s="123"/>
      <c r="P87" s="88"/>
      <c r="Q87" s="123"/>
      <c r="R87" s="132"/>
      <c r="S87" s="132"/>
      <c r="T87" s="132"/>
      <c r="U87" s="123"/>
      <c r="V87" s="123"/>
      <c r="W87" s="88"/>
    </row>
    <row r="88" spans="1:23" x14ac:dyDescent="0.25">
      <c r="A88" s="88">
        <v>2024</v>
      </c>
      <c r="B88" t="s">
        <v>79</v>
      </c>
      <c r="C88" s="106" t="s">
        <v>37</v>
      </c>
      <c r="D88" s="107">
        <v>123103346</v>
      </c>
      <c r="E88" s="136">
        <v>122739904</v>
      </c>
      <c r="F88" s="136">
        <v>161236</v>
      </c>
      <c r="G88" s="136">
        <f t="shared" ca="1" si="8"/>
        <v>202206</v>
      </c>
      <c r="H88" s="137">
        <f t="shared" ca="1" si="5"/>
        <v>0.99704766757517704</v>
      </c>
      <c r="I88" s="137">
        <f t="shared" ca="1" si="6"/>
        <v>1.3097613122554769E-3</v>
      </c>
      <c r="J88" s="138">
        <f t="shared" ca="1" si="7"/>
        <v>1.6425711125674846E-3</v>
      </c>
      <c r="K88" s="88"/>
      <c r="L88" s="88"/>
      <c r="M88" s="88"/>
      <c r="N88" s="88"/>
      <c r="O88" s="123"/>
      <c r="P88" s="88"/>
      <c r="Q88" s="123"/>
      <c r="R88" s="132"/>
      <c r="S88" s="132"/>
      <c r="T88" s="132"/>
      <c r="U88" s="123"/>
      <c r="V88" s="123"/>
      <c r="W88" s="88"/>
    </row>
    <row r="89" spans="1:23" x14ac:dyDescent="0.25">
      <c r="A89" s="88">
        <v>2024</v>
      </c>
      <c r="B89" t="s">
        <v>80</v>
      </c>
      <c r="C89" s="98" t="s">
        <v>38</v>
      </c>
      <c r="D89" s="99">
        <v>116979243</v>
      </c>
      <c r="E89" s="133">
        <v>114435455</v>
      </c>
      <c r="F89" s="133">
        <v>2534216</v>
      </c>
      <c r="G89" s="133">
        <f t="shared" ca="1" si="8"/>
        <v>9572</v>
      </c>
      <c r="H89" s="134">
        <f t="shared" ca="1" si="5"/>
        <v>0.97825436432342106</v>
      </c>
      <c r="I89" s="134">
        <f t="shared" ca="1" si="6"/>
        <v>2.1663809193909728E-2</v>
      </c>
      <c r="J89" s="135">
        <f t="shared" ca="1" si="7"/>
        <v>8.1826482669237314E-5</v>
      </c>
      <c r="K89" s="88"/>
      <c r="L89" s="88"/>
      <c r="M89" s="88"/>
      <c r="N89" s="88"/>
      <c r="O89" s="123"/>
      <c r="P89" s="88"/>
      <c r="Q89" s="123"/>
      <c r="R89" s="132"/>
      <c r="S89" s="132"/>
      <c r="T89" s="132"/>
      <c r="U89" s="123"/>
      <c r="V89" s="123"/>
      <c r="W89" s="88"/>
    </row>
    <row r="90" spans="1:23" x14ac:dyDescent="0.25">
      <c r="A90" s="88">
        <v>2024</v>
      </c>
      <c r="B90" t="s">
        <v>81</v>
      </c>
      <c r="C90" s="106" t="s">
        <v>39</v>
      </c>
      <c r="D90" s="107">
        <v>129240715</v>
      </c>
      <c r="E90" s="136">
        <v>126058460</v>
      </c>
      <c r="F90" s="136">
        <v>2828372</v>
      </c>
      <c r="G90" s="136">
        <f t="shared" ca="1" si="8"/>
        <v>353883</v>
      </c>
      <c r="H90" s="137">
        <f t="shared" ca="1" si="5"/>
        <v>0.97537730273312095</v>
      </c>
      <c r="I90" s="137">
        <f t="shared" ca="1" si="6"/>
        <v>2.18845276428562E-2</v>
      </c>
      <c r="J90" s="138">
        <f t="shared" ca="1" si="7"/>
        <v>2.7381696240228941E-3</v>
      </c>
      <c r="K90" s="88"/>
      <c r="L90" s="88"/>
      <c r="M90" s="88"/>
      <c r="N90" s="88"/>
      <c r="O90" s="123"/>
      <c r="P90" s="88"/>
      <c r="Q90" s="123"/>
      <c r="R90" s="132"/>
      <c r="S90" s="132"/>
      <c r="T90" s="132"/>
      <c r="U90" s="123"/>
      <c r="V90" s="123"/>
      <c r="W90" s="88"/>
    </row>
    <row r="91" spans="1:23" x14ac:dyDescent="0.25">
      <c r="A91" s="88"/>
      <c r="C91" s="115" t="s">
        <v>24</v>
      </c>
      <c r="D91" s="116">
        <f ca="1">SUM(D79:D90)</f>
        <v>566269115</v>
      </c>
      <c r="E91" s="139">
        <f ca="1">SUM(E79:E90)</f>
        <v>558283229</v>
      </c>
      <c r="F91" s="139">
        <f ca="1">SUM(F79:F90)</f>
        <v>7420225</v>
      </c>
      <c r="G91" s="139">
        <f ca="1">SUM(G79:G90)</f>
        <v>565661</v>
      </c>
      <c r="H91" s="140">
        <f ca="1">E91/D91</f>
        <v>0.98589736613129608</v>
      </c>
      <c r="I91" s="140">
        <f ca="1">F91/D91</f>
        <v>1.3103707766227017E-2</v>
      </c>
      <c r="J91" s="141">
        <f ca="1">G91/D91</f>
        <v>9.9892610247691153E-4</v>
      </c>
      <c r="K91" s="88"/>
      <c r="L91" s="88"/>
      <c r="M91" s="88"/>
      <c r="N91" s="88"/>
      <c r="O91" s="123"/>
      <c r="P91" s="88"/>
      <c r="Q91" s="123"/>
      <c r="R91" s="132"/>
      <c r="S91" s="132"/>
      <c r="T91" s="132"/>
      <c r="U91" s="123"/>
      <c r="V91" s="123"/>
      <c r="W91" s="88"/>
    </row>
    <row r="92" spans="1:23" x14ac:dyDescent="0.25">
      <c r="A92" s="88">
        <v>2025</v>
      </c>
      <c r="B92" t="s">
        <v>70</v>
      </c>
      <c r="C92" s="106" t="s">
        <v>41</v>
      </c>
      <c r="D92" s="107">
        <v>116146073</v>
      </c>
      <c r="E92" s="136">
        <v>115502515</v>
      </c>
      <c r="F92" s="136">
        <v>638710</v>
      </c>
      <c r="G92" s="136">
        <f t="shared" ref="G92:G103" ca="1" si="9">D92-SUM(E92:F92)</f>
        <v>4848</v>
      </c>
      <c r="H92" s="137">
        <f t="shared" ca="1" si="5"/>
        <v>0.99445906363101921</v>
      </c>
      <c r="I92" s="137">
        <f t="shared" ca="1" si="6"/>
        <v>5.4991958273096324E-3</v>
      </c>
      <c r="J92" s="138">
        <f t="shared" ca="1" si="7"/>
        <v>4.1740541671176436E-5</v>
      </c>
      <c r="K92" s="88"/>
      <c r="L92" s="88"/>
      <c r="M92" s="88"/>
      <c r="N92" s="88"/>
      <c r="O92" s="123"/>
      <c r="P92" s="88"/>
      <c r="Q92" s="123"/>
      <c r="R92" s="132"/>
      <c r="S92" s="132"/>
      <c r="T92" s="132"/>
      <c r="U92" s="123"/>
      <c r="V92" s="123"/>
      <c r="W92" s="88"/>
    </row>
    <row r="93" spans="1:23" x14ac:dyDescent="0.25">
      <c r="A93" s="88">
        <v>2025</v>
      </c>
      <c r="B93" t="s">
        <v>71</v>
      </c>
      <c r="C93" s="98" t="s">
        <v>42</v>
      </c>
      <c r="D93" s="99">
        <v>132445842</v>
      </c>
      <c r="E93" s="133">
        <v>131810168</v>
      </c>
      <c r="F93" s="133">
        <v>633931</v>
      </c>
      <c r="G93" s="133">
        <f t="shared" ca="1" si="9"/>
        <v>1743</v>
      </c>
      <c r="H93" s="134">
        <f t="shared" ca="1" si="5"/>
        <v>0.99520049863098003</v>
      </c>
      <c r="I93" s="134">
        <f t="shared" ca="1" si="6"/>
        <v>4.7863412729861315E-3</v>
      </c>
      <c r="J93" s="135">
        <f t="shared" ca="1" si="7"/>
        <v>1.3160096033818865E-5</v>
      </c>
      <c r="K93" s="88"/>
      <c r="L93" s="88"/>
      <c r="M93" s="88"/>
      <c r="N93" s="88"/>
      <c r="O93" s="123"/>
      <c r="P93" s="88"/>
      <c r="Q93" s="123"/>
      <c r="R93" s="132"/>
      <c r="S93" s="132"/>
      <c r="T93" s="132"/>
      <c r="U93" s="123"/>
      <c r="V93" s="123"/>
      <c r="W93" s="88"/>
    </row>
    <row r="94" spans="1:23" x14ac:dyDescent="0.25">
      <c r="A94" s="88">
        <v>2025</v>
      </c>
      <c r="B94" t="s">
        <v>72</v>
      </c>
      <c r="C94" s="106" t="s">
        <v>43</v>
      </c>
      <c r="D94" s="107">
        <v>107530606</v>
      </c>
      <c r="E94" s="136">
        <v>103679355</v>
      </c>
      <c r="F94" s="136">
        <v>3052424</v>
      </c>
      <c r="G94" s="136">
        <f t="shared" ca="1" si="9"/>
        <v>798827</v>
      </c>
      <c r="H94" s="137">
        <f t="shared" ca="1" si="5"/>
        <v>0.96418460619481672</v>
      </c>
      <c r="I94" s="137">
        <f t="shared" ca="1" si="6"/>
        <v>2.8386560008784846E-2</v>
      </c>
      <c r="J94" s="138">
        <f t="shared" ca="1" si="7"/>
        <v>7.4288337963983944E-3</v>
      </c>
      <c r="K94" s="88"/>
      <c r="L94" s="88"/>
      <c r="M94" s="88"/>
      <c r="N94" s="88"/>
      <c r="O94" s="123"/>
      <c r="P94" s="88"/>
      <c r="Q94" s="123"/>
      <c r="R94" s="132"/>
      <c r="S94" s="132"/>
      <c r="T94" s="132"/>
      <c r="U94" s="123"/>
      <c r="V94" s="123"/>
      <c r="W94" s="88"/>
    </row>
    <row r="95" spans="1:23" x14ac:dyDescent="0.25">
      <c r="A95" s="88">
        <v>2025</v>
      </c>
      <c r="B95" t="s">
        <v>73</v>
      </c>
      <c r="C95" s="98" t="s">
        <v>44</v>
      </c>
      <c r="D95" s="99">
        <v>95991165</v>
      </c>
      <c r="E95" s="133">
        <v>95298664</v>
      </c>
      <c r="F95" s="133">
        <v>576447</v>
      </c>
      <c r="G95" s="133">
        <f t="shared" ca="1" si="9"/>
        <v>116054</v>
      </c>
      <c r="H95" s="134">
        <f t="shared" ca="1" si="5"/>
        <v>0.99278578398334894</v>
      </c>
      <c r="I95" s="134">
        <f t="shared" ca="1" si="6"/>
        <v>6.0052089168831316E-3</v>
      </c>
      <c r="J95" s="135">
        <f t="shared" ca="1" si="7"/>
        <v>1.2090070997679838E-3</v>
      </c>
      <c r="K95" s="88"/>
      <c r="L95" s="88"/>
      <c r="M95" s="88"/>
      <c r="N95" s="88"/>
      <c r="O95" s="123"/>
      <c r="P95" s="88"/>
      <c r="Q95" s="123"/>
      <c r="R95" s="132"/>
      <c r="S95" s="132"/>
      <c r="T95" s="132"/>
      <c r="U95" s="123"/>
      <c r="V95" s="123"/>
      <c r="W95" s="88"/>
    </row>
    <row r="96" spans="1:23" x14ac:dyDescent="0.25">
      <c r="A96" s="88">
        <v>2025</v>
      </c>
      <c r="B96" t="s">
        <v>74</v>
      </c>
      <c r="C96" s="106" t="s">
        <v>45</v>
      </c>
      <c r="D96" s="107">
        <v>197584314</v>
      </c>
      <c r="E96" s="136">
        <v>195572959</v>
      </c>
      <c r="F96" s="136">
        <v>1997165</v>
      </c>
      <c r="G96" s="136">
        <f t="shared" ca="1" si="9"/>
        <v>14190</v>
      </c>
      <c r="H96" s="137">
        <f t="shared" ca="1" si="5"/>
        <v>0.98982026984186611</v>
      </c>
      <c r="I96" s="137">
        <f t="shared" ca="1" si="6"/>
        <v>1.0107912716188593E-2</v>
      </c>
      <c r="J96" s="138">
        <f t="shared" ca="1" si="7"/>
        <v>7.1817441945315556E-5</v>
      </c>
      <c r="K96" s="88"/>
      <c r="L96" s="88"/>
      <c r="M96" s="88"/>
      <c r="N96" s="88"/>
      <c r="O96" s="123"/>
      <c r="P96" s="88"/>
      <c r="Q96" s="123"/>
      <c r="R96" s="132"/>
      <c r="S96" s="132"/>
      <c r="T96" s="132"/>
      <c r="U96" s="123"/>
      <c r="V96" s="123"/>
      <c r="W96" s="88"/>
    </row>
    <row r="97" spans="1:26" x14ac:dyDescent="0.25">
      <c r="A97" s="88">
        <v>2025</v>
      </c>
      <c r="B97" t="s">
        <v>75</v>
      </c>
      <c r="C97" s="98" t="s">
        <v>46</v>
      </c>
      <c r="D97" s="99">
        <v>88041540</v>
      </c>
      <c r="E97" s="133">
        <v>87285736</v>
      </c>
      <c r="F97" s="133">
        <v>747673</v>
      </c>
      <c r="G97" s="133">
        <f t="shared" ca="1" si="9"/>
        <v>8131</v>
      </c>
      <c r="H97" s="134">
        <f t="shared" ca="1" si="5"/>
        <v>0.99141537051714457</v>
      </c>
      <c r="I97" s="134">
        <f t="shared" ca="1" si="6"/>
        <v>8.4922753509309359E-3</v>
      </c>
      <c r="J97" s="135">
        <f t="shared" ca="1" si="7"/>
        <v>9.2354131924543803E-5</v>
      </c>
      <c r="K97" s="88"/>
      <c r="L97" s="88"/>
      <c r="M97" s="88"/>
      <c r="N97" s="88"/>
      <c r="O97" s="123"/>
      <c r="P97" s="88"/>
      <c r="Q97" s="123"/>
      <c r="R97" s="132"/>
      <c r="S97" s="132"/>
      <c r="T97" s="132"/>
      <c r="U97" s="123"/>
      <c r="V97" s="123"/>
      <c r="W97" s="88"/>
    </row>
    <row r="98" spans="1:26" x14ac:dyDescent="0.25">
      <c r="A98" s="88">
        <v>2025</v>
      </c>
      <c r="B98" t="s">
        <v>76</v>
      </c>
      <c r="C98" s="106" t="s">
        <v>47</v>
      </c>
      <c r="D98" s="107">
        <v>54537445</v>
      </c>
      <c r="E98" s="136">
        <v>54168400</v>
      </c>
      <c r="F98" s="136">
        <v>323559</v>
      </c>
      <c r="G98" s="136">
        <f t="shared" ca="1" si="9"/>
        <v>45486</v>
      </c>
      <c r="H98" s="137">
        <f t="shared" ca="1" si="5"/>
        <v>0.99323318134907124</v>
      </c>
      <c r="I98" s="137">
        <f t="shared" ca="1" si="6"/>
        <v>5.9327861802106795E-3</v>
      </c>
      <c r="J98" s="138">
        <f t="shared" ca="1" si="7"/>
        <v>8.3403247071805434E-4</v>
      </c>
      <c r="K98" s="88"/>
      <c r="L98" s="88"/>
      <c r="M98" s="88"/>
      <c r="N98" s="88"/>
      <c r="O98" s="123"/>
      <c r="P98" s="88"/>
      <c r="Q98" s="123"/>
      <c r="R98" s="132"/>
      <c r="S98" s="132"/>
      <c r="T98" s="132"/>
      <c r="U98" s="123"/>
      <c r="V98" s="123"/>
      <c r="W98" s="88"/>
    </row>
    <row r="99" spans="1:26" x14ac:dyDescent="0.25">
      <c r="A99" s="88">
        <v>2025</v>
      </c>
      <c r="B99" t="s">
        <v>77</v>
      </c>
      <c r="C99" s="98" t="s">
        <v>48</v>
      </c>
      <c r="D99" s="99">
        <v>40657623</v>
      </c>
      <c r="E99" s="133">
        <v>39963585</v>
      </c>
      <c r="F99" s="133">
        <v>419388</v>
      </c>
      <c r="G99" s="133">
        <f t="shared" ca="1" si="9"/>
        <v>274650</v>
      </c>
      <c r="H99" s="134">
        <f t="shared" ca="1" si="5"/>
        <v>0.98292969561944143</v>
      </c>
      <c r="I99" s="134">
        <f t="shared" ca="1" si="6"/>
        <v>1.0315113601205855E-2</v>
      </c>
      <c r="J99" s="135">
        <f t="shared" ca="1" si="7"/>
        <v>6.7551907793527424E-3</v>
      </c>
      <c r="K99" s="88"/>
      <c r="L99" s="88"/>
      <c r="M99" s="88"/>
      <c r="N99" s="88"/>
      <c r="O99" s="123"/>
      <c r="P99" s="88"/>
      <c r="Q99" s="123"/>
      <c r="R99" s="132"/>
      <c r="S99" s="132"/>
      <c r="T99" s="132"/>
      <c r="U99" s="123"/>
      <c r="V99" s="123"/>
      <c r="W99" s="88"/>
    </row>
    <row r="100" spans="1:26" x14ac:dyDescent="0.25">
      <c r="A100" s="88">
        <v>2025</v>
      </c>
      <c r="B100" t="s">
        <v>78</v>
      </c>
      <c r="C100" s="106" t="s">
        <v>49</v>
      </c>
      <c r="D100" s="107">
        <v>58823919</v>
      </c>
      <c r="E100" s="136">
        <v>57746191</v>
      </c>
      <c r="F100" s="136">
        <v>605695</v>
      </c>
      <c r="G100" s="136">
        <f t="shared" ca="1" si="9"/>
        <v>472033</v>
      </c>
      <c r="H100" s="137">
        <f t="shared" ca="1" si="5"/>
        <v>0.98167874534166966</v>
      </c>
      <c r="I100" s="137">
        <f t="shared" ca="1" si="6"/>
        <v>1.0296746804645913E-2</v>
      </c>
      <c r="J100" s="138">
        <f t="shared" ca="1" si="7"/>
        <v>8.0245078536844844E-3</v>
      </c>
      <c r="K100" s="88"/>
      <c r="L100" s="88"/>
      <c r="M100" s="88"/>
      <c r="N100" s="88"/>
      <c r="O100" s="123"/>
      <c r="P100" s="88"/>
      <c r="Q100" s="123"/>
      <c r="R100" s="132"/>
      <c r="S100" s="132"/>
      <c r="T100" s="132"/>
      <c r="U100" s="123"/>
      <c r="V100" s="123"/>
      <c r="W100" s="88"/>
    </row>
    <row r="101" spans="1:26" x14ac:dyDescent="0.25">
      <c r="A101" s="88">
        <v>2025</v>
      </c>
      <c r="B101" t="s">
        <v>79</v>
      </c>
      <c r="C101" s="98" t="s">
        <v>50</v>
      </c>
      <c r="D101" s="99">
        <v>69030239</v>
      </c>
      <c r="E101" s="133">
        <v>68477978</v>
      </c>
      <c r="F101" s="133">
        <v>365783</v>
      </c>
      <c r="G101" s="133">
        <f t="shared" ca="1" si="9"/>
        <v>186478</v>
      </c>
      <c r="H101" s="134">
        <f t="shared" ca="1" si="5"/>
        <v>0.99199972348350118</v>
      </c>
      <c r="I101" s="134">
        <f t="shared" ca="1" si="6"/>
        <v>5.2988806832901161E-3</v>
      </c>
      <c r="J101" s="135">
        <f t="shared" ca="1" si="7"/>
        <v>2.7013958332086901E-3</v>
      </c>
      <c r="K101" s="88"/>
      <c r="L101" s="88"/>
      <c r="M101" s="88"/>
      <c r="N101" s="88"/>
      <c r="O101" s="123"/>
      <c r="P101" s="88"/>
      <c r="Q101" s="123"/>
      <c r="R101" s="132"/>
      <c r="S101" s="132"/>
      <c r="T101" s="132"/>
      <c r="U101" s="123"/>
      <c r="V101" s="123"/>
      <c r="W101" s="88"/>
    </row>
    <row r="102" spans="1:26" x14ac:dyDescent="0.25">
      <c r="A102" s="88">
        <v>2025</v>
      </c>
      <c r="B102" t="s">
        <v>80</v>
      </c>
      <c r="C102" s="106" t="s">
        <v>51</v>
      </c>
      <c r="D102" s="107">
        <v>53792355</v>
      </c>
      <c r="E102" s="136">
        <v>52509799</v>
      </c>
      <c r="F102" s="136">
        <v>1182837</v>
      </c>
      <c r="G102" s="136">
        <f t="shared" ca="1" si="9"/>
        <v>99719</v>
      </c>
      <c r="H102" s="137">
        <f t="shared" ca="1" si="5"/>
        <v>0.97615728108576028</v>
      </c>
      <c r="I102" s="137">
        <f t="shared" ca="1" si="6"/>
        <v>2.1988942480767017E-2</v>
      </c>
      <c r="J102" s="138">
        <f t="shared" ca="1" si="7"/>
        <v>1.8537764334727491E-3</v>
      </c>
      <c r="K102" s="88"/>
      <c r="L102" s="88"/>
      <c r="M102" s="88"/>
      <c r="N102" s="88"/>
      <c r="O102" s="123"/>
      <c r="P102" s="88"/>
      <c r="Q102" s="123"/>
      <c r="R102" s="132"/>
      <c r="S102" s="132"/>
      <c r="T102" s="132"/>
      <c r="U102" s="123"/>
      <c r="V102" s="123"/>
      <c r="W102" s="88"/>
    </row>
    <row r="103" spans="1:26" x14ac:dyDescent="0.25">
      <c r="A103" s="88">
        <v>2025</v>
      </c>
      <c r="B103" t="s">
        <v>81</v>
      </c>
      <c r="C103" s="98" t="s">
        <v>52</v>
      </c>
      <c r="D103" s="99">
        <v>61845759</v>
      </c>
      <c r="E103" s="133">
        <v>60526372</v>
      </c>
      <c r="F103" s="133">
        <v>1265778</v>
      </c>
      <c r="G103" s="133">
        <f t="shared" ca="1" si="9"/>
        <v>53609</v>
      </c>
      <c r="H103" s="134">
        <f t="shared" ca="1" si="5"/>
        <v>0.97866649190933208</v>
      </c>
      <c r="I103" s="134">
        <f t="shared" ca="1" si="6"/>
        <v>2.0466690367564249E-2</v>
      </c>
      <c r="J103" s="135">
        <f t="shared" ca="1" si="7"/>
        <v>8.6681772310369734E-4</v>
      </c>
      <c r="K103" s="88"/>
      <c r="L103" s="88"/>
      <c r="M103" s="88"/>
      <c r="N103" s="88"/>
      <c r="O103" s="123"/>
      <c r="P103" s="88"/>
      <c r="Q103" s="123"/>
      <c r="R103" s="132"/>
      <c r="S103" s="132"/>
      <c r="T103" s="132"/>
      <c r="U103" s="123"/>
      <c r="V103" s="123"/>
      <c r="W103" s="88"/>
    </row>
    <row r="104" spans="1:26" x14ac:dyDescent="0.25">
      <c r="A104" s="88"/>
      <c r="C104" s="115" t="s">
        <v>40</v>
      </c>
      <c r="D104" s="116">
        <f ca="1">SUM(D92:D103)</f>
        <v>1076426880</v>
      </c>
      <c r="E104" s="139">
        <f ca="1">SUM(E92:E103)</f>
        <v>1062541722</v>
      </c>
      <c r="F104" s="139">
        <f ca="1">SUM(F92:F103)</f>
        <v>11809390</v>
      </c>
      <c r="G104" s="139">
        <f ca="1">SUM(G92:G103)</f>
        <v>2075768</v>
      </c>
      <c r="H104" s="140">
        <f t="shared" ca="1" si="5"/>
        <v>0.98710069559021041</v>
      </c>
      <c r="I104" s="140">
        <f t="shared" ca="1" si="6"/>
        <v>1.0970917039901494E-2</v>
      </c>
      <c r="J104" s="141">
        <f t="shared" ca="1" si="7"/>
        <v>1.9283873698880505E-3</v>
      </c>
      <c r="K104" s="88"/>
      <c r="L104" s="88"/>
      <c r="M104" s="88"/>
      <c r="N104" s="88"/>
      <c r="O104" s="123"/>
      <c r="P104" s="88"/>
      <c r="Q104" s="123"/>
      <c r="R104" s="132"/>
      <c r="S104" s="132"/>
      <c r="T104" s="132"/>
      <c r="U104" s="123"/>
      <c r="V104" s="123"/>
      <c r="W104" s="88"/>
    </row>
    <row r="105" spans="1:26" x14ac:dyDescent="0.25">
      <c r="A105" s="88">
        <v>2026</v>
      </c>
      <c r="B105" t="s">
        <v>70</v>
      </c>
      <c r="C105" s="106" t="s">
        <v>54</v>
      </c>
      <c r="D105" s="107">
        <v>37653131</v>
      </c>
      <c r="E105" s="136">
        <v>36154499</v>
      </c>
      <c r="F105" s="136">
        <v>1407941</v>
      </c>
      <c r="G105" s="136">
        <f ca="1">D105-SUM(E105:F105)</f>
        <v>90691</v>
      </c>
      <c r="H105" s="137">
        <f t="shared" ca="1" si="5"/>
        <v>0.96019900708921124</v>
      </c>
      <c r="I105" s="137">
        <f t="shared" ca="1" si="6"/>
        <v>3.7392401710232274E-2</v>
      </c>
      <c r="J105" s="138">
        <f t="shared" ca="1" si="7"/>
        <v>2.4085912005564689E-3</v>
      </c>
      <c r="K105" s="88"/>
      <c r="L105" s="88"/>
      <c r="M105" s="88"/>
      <c r="N105" s="88"/>
      <c r="O105" s="123"/>
      <c r="P105" s="88"/>
      <c r="Q105" s="123"/>
      <c r="R105" s="132"/>
      <c r="S105" s="132"/>
      <c r="T105" s="132"/>
      <c r="U105" s="123"/>
      <c r="V105" s="123"/>
      <c r="W105" s="88"/>
    </row>
    <row r="106" spans="1:26" x14ac:dyDescent="0.25">
      <c r="A106" s="88">
        <v>2026</v>
      </c>
      <c r="B106" t="s">
        <v>71</v>
      </c>
      <c r="C106" s="98" t="s">
        <v>55</v>
      </c>
      <c r="D106" s="99">
        <v>36478061</v>
      </c>
      <c r="E106" s="133">
        <v>35485215</v>
      </c>
      <c r="F106" s="133">
        <v>924821</v>
      </c>
      <c r="G106" s="133">
        <f ca="1">D106-SUM(E106:F106)</f>
        <v>68025</v>
      </c>
      <c r="H106" s="134">
        <f t="shared" ca="1" si="5"/>
        <v>0.97278238007223028</v>
      </c>
      <c r="I106" s="134">
        <f t="shared" ca="1" si="6"/>
        <v>2.5352800413377233E-2</v>
      </c>
      <c r="J106" s="135">
        <f t="shared" ca="1" si="7"/>
        <v>1.8648195143925001E-3</v>
      </c>
      <c r="K106" s="88"/>
      <c r="L106" s="88"/>
      <c r="M106" s="88"/>
      <c r="N106" s="88"/>
      <c r="O106" s="123"/>
      <c r="P106" s="88"/>
      <c r="Q106" s="123"/>
      <c r="R106" s="132"/>
      <c r="S106" s="132"/>
      <c r="T106" s="132"/>
      <c r="U106" s="123"/>
      <c r="V106" s="123"/>
      <c r="W106" s="88"/>
    </row>
    <row r="107" spans="1:26" x14ac:dyDescent="0.25">
      <c r="A107" s="88">
        <v>2026</v>
      </c>
      <c r="B107" t="s">
        <v>72</v>
      </c>
      <c r="C107" s="106" t="s">
        <v>56</v>
      </c>
      <c r="D107" s="107">
        <v>12897611</v>
      </c>
      <c r="E107" s="136">
        <v>12710853</v>
      </c>
      <c r="F107" s="136">
        <v>166439</v>
      </c>
      <c r="G107" s="136">
        <f ca="1">D107-SUM(E107:F107)</f>
        <v>20319</v>
      </c>
      <c r="H107" s="137">
        <f t="shared" ca="1" si="5"/>
        <v>0.98551995404420245</v>
      </c>
      <c r="I107" s="137">
        <f t="shared" ca="1" si="6"/>
        <v>1.2904637920929697E-2</v>
      </c>
      <c r="J107" s="138">
        <f t="shared" ca="1" si="7"/>
        <v>1.5754080348678527E-3</v>
      </c>
      <c r="K107" s="88"/>
      <c r="L107" s="88"/>
      <c r="M107" s="88"/>
      <c r="N107" s="88"/>
      <c r="O107" s="123"/>
      <c r="P107" s="88"/>
      <c r="Q107" s="123"/>
      <c r="R107" s="132"/>
      <c r="S107" s="132"/>
      <c r="T107" s="132"/>
      <c r="U107" s="123"/>
      <c r="V107" s="123"/>
      <c r="W107" s="88"/>
    </row>
    <row r="108" spans="1:26" x14ac:dyDescent="0.25">
      <c r="A108" s="88">
        <v>2026</v>
      </c>
      <c r="B108" t="s">
        <v>73</v>
      </c>
      <c r="C108" s="98" t="s">
        <v>57</v>
      </c>
      <c r="D108" s="99">
        <v>6431549</v>
      </c>
      <c r="E108" s="133">
        <v>5819459</v>
      </c>
      <c r="F108" s="133">
        <v>584279</v>
      </c>
      <c r="G108" s="133">
        <f ca="1">D108-SUM(E108:F108)</f>
        <v>27811</v>
      </c>
      <c r="H108" s="134">
        <f t="shared" ca="1" si="5"/>
        <v>0.90483008059178283</v>
      </c>
      <c r="I108" s="134">
        <f t="shared" ca="1" si="6"/>
        <v>9.0845766704101924E-2</v>
      </c>
      <c r="J108" s="135">
        <f t="shared" ca="1" si="7"/>
        <v>4.3241527041152916E-3</v>
      </c>
      <c r="K108" s="88"/>
      <c r="L108" s="88"/>
      <c r="M108" s="88"/>
      <c r="N108" s="88"/>
      <c r="O108" s="123"/>
      <c r="P108" s="88"/>
      <c r="Q108" s="123"/>
      <c r="R108" s="132"/>
      <c r="S108" s="132"/>
      <c r="T108" s="132"/>
      <c r="U108" s="123"/>
      <c r="V108" s="123"/>
      <c r="W108" s="88"/>
    </row>
    <row r="109" spans="1:26" x14ac:dyDescent="0.25">
      <c r="A109" s="88">
        <v>2026</v>
      </c>
      <c r="B109" t="s">
        <v>74</v>
      </c>
      <c r="C109" s="106" t="s">
        <v>58</v>
      </c>
      <c r="D109" s="107">
        <v>368701</v>
      </c>
      <c r="E109" s="136">
        <v>308556</v>
      </c>
      <c r="F109" s="136">
        <v>57584</v>
      </c>
      <c r="G109" s="136">
        <f ca="1">D109-SUM(E109:F109)</f>
        <v>2561</v>
      </c>
      <c r="H109" s="137">
        <f ca="1">E109/D109</f>
        <v>0.83687323874901343</v>
      </c>
      <c r="I109" s="137">
        <f ca="1">F109/D109</f>
        <v>0.15618075351029695</v>
      </c>
      <c r="J109" s="138">
        <f ca="1">G109/D109</f>
        <v>6.94600774068961E-3</v>
      </c>
      <c r="K109" s="88"/>
      <c r="L109" s="88"/>
      <c r="M109" s="88"/>
      <c r="N109" s="88"/>
      <c r="O109" s="123"/>
      <c r="P109" s="88"/>
      <c r="Q109" s="123"/>
      <c r="R109" s="132"/>
      <c r="S109" s="132"/>
      <c r="T109" s="132"/>
      <c r="U109" s="123"/>
      <c r="V109" s="123"/>
      <c r="W109" s="88"/>
    </row>
    <row r="110" spans="1:26" ht="15.75" thickBot="1" x14ac:dyDescent="0.3">
      <c r="C110" s="124" t="s">
        <v>59</v>
      </c>
      <c r="D110" s="125">
        <f ca="1">D91+D104+D105+D106+D107+D108+D109</f>
        <v>1736525048</v>
      </c>
      <c r="E110" s="125">
        <f ca="1">E91+E104+E105+E106+E107+E108+E109</f>
        <v>1711303533</v>
      </c>
      <c r="F110" s="125">
        <f ca="1">F91+F104+F105+F106+F107+F108+F109</f>
        <v>22370679</v>
      </c>
      <c r="G110" s="125">
        <f ca="1">G91+G104+G105+G106+G107+G108+G109</f>
        <v>2850836</v>
      </c>
      <c r="H110" s="142">
        <f t="shared" ca="1" si="5"/>
        <v>0.98547587031408024</v>
      </c>
      <c r="I110" s="142">
        <f t="shared" ca="1" si="6"/>
        <v>1.2882439574231814E-2</v>
      </c>
      <c r="J110" s="143">
        <f t="shared" ca="1" si="7"/>
        <v>1.6416901116879253E-3</v>
      </c>
    </row>
    <row r="111" spans="1:26" x14ac:dyDescent="0.25">
      <c r="C111" s="119"/>
      <c r="D111" s="119">
        <f ca="1">SUM(Summary!G94,Summary!G107,Summary!G135,Summary!G148,Summary!G161,Summary!G120)</f>
        <v>1736525048</v>
      </c>
      <c r="E111" s="119"/>
      <c r="F111" s="119"/>
      <c r="G111" s="120"/>
      <c r="H111" s="120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20"/>
      <c r="U111" s="120"/>
      <c r="V111" s="119"/>
      <c r="W111" s="119"/>
      <c r="X111" s="120"/>
      <c r="Y111" s="120"/>
      <c r="Z111" s="120"/>
    </row>
    <row r="112" spans="1:26" ht="15.75" thickBot="1" x14ac:dyDescent="0.3"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</row>
    <row r="113" spans="1:23" ht="24" thickBot="1" x14ac:dyDescent="0.4">
      <c r="C113" s="89" t="str">
        <f ca="1">_xlfn.CONCAT("BA dues collection ageing monthwise")</f>
        <v>BA dues collection ageing monthwise</v>
      </c>
      <c r="D113" s="90"/>
      <c r="E113" s="90"/>
      <c r="F113" s="90"/>
      <c r="G113" s="90"/>
      <c r="H113" s="90"/>
      <c r="I113" s="90"/>
      <c r="J113" s="91"/>
      <c r="K113" s="97"/>
      <c r="L113" s="144"/>
      <c r="M113" s="144"/>
      <c r="N113" s="144"/>
      <c r="O113" s="88"/>
      <c r="P113" s="92"/>
      <c r="Q113" s="92"/>
      <c r="R113" s="92"/>
      <c r="S113" s="92"/>
      <c r="T113" s="92"/>
      <c r="U113" s="92"/>
      <c r="V113" s="92"/>
      <c r="W113" s="92"/>
    </row>
    <row r="114" spans="1:23" ht="45" x14ac:dyDescent="0.25">
      <c r="C114" s="94" t="s">
        <v>282</v>
      </c>
      <c r="D114" s="95" t="s">
        <v>304</v>
      </c>
      <c r="E114" s="95" t="s">
        <v>305</v>
      </c>
      <c r="F114" s="95" t="s">
        <v>306</v>
      </c>
      <c r="G114" s="95" t="s">
        <v>307</v>
      </c>
      <c r="H114" s="145" t="s">
        <v>302</v>
      </c>
      <c r="I114" s="145" t="s">
        <v>308</v>
      </c>
      <c r="J114" s="146" t="s">
        <v>309</v>
      </c>
      <c r="K114" s="102"/>
      <c r="L114" s="97"/>
      <c r="M114" s="97"/>
      <c r="N114" s="97"/>
      <c r="O114" s="88"/>
      <c r="P114" s="97"/>
      <c r="Q114" s="97"/>
      <c r="R114" s="97"/>
      <c r="S114" s="97"/>
      <c r="T114" s="97"/>
      <c r="U114" s="97"/>
      <c r="V114" s="97"/>
      <c r="W114" s="97"/>
    </row>
    <row r="115" spans="1:23" x14ac:dyDescent="0.25">
      <c r="A115" s="88">
        <v>2024</v>
      </c>
      <c r="B115" t="s">
        <v>70</v>
      </c>
      <c r="C115" s="98" t="s">
        <v>26</v>
      </c>
      <c r="D115" s="99">
        <v>0</v>
      </c>
      <c r="E115" s="133">
        <v>0</v>
      </c>
      <c r="F115" s="133">
        <v>0</v>
      </c>
      <c r="G115" s="133">
        <f ca="1">D115-SUM(E115:F115)</f>
        <v>0</v>
      </c>
      <c r="H115" s="100" t="e">
        <f ca="1">E115/D115</f>
        <v>#DIV/0!</v>
      </c>
      <c r="I115" s="100" t="e">
        <f ca="1">F115/D115</f>
        <v>#DIV/0!</v>
      </c>
      <c r="J115" s="101" t="e">
        <f ca="1">G115/D115</f>
        <v>#DIV/0!</v>
      </c>
      <c r="K115" s="102"/>
      <c r="L115" s="105"/>
      <c r="M115" s="105"/>
      <c r="N115" s="105"/>
      <c r="O115" s="88"/>
      <c r="P115" s="103"/>
      <c r="Q115" s="104"/>
      <c r="R115" s="102"/>
      <c r="S115" s="102"/>
      <c r="T115" s="102"/>
      <c r="U115" s="105"/>
      <c r="V115" s="105"/>
      <c r="W115" s="105"/>
    </row>
    <row r="116" spans="1:23" x14ac:dyDescent="0.25">
      <c r="A116" s="88">
        <v>2024</v>
      </c>
      <c r="B116" t="s">
        <v>71</v>
      </c>
      <c r="C116" s="106" t="s">
        <v>28</v>
      </c>
      <c r="D116" s="107">
        <v>0</v>
      </c>
      <c r="E116" s="136">
        <v>0</v>
      </c>
      <c r="F116" s="136">
        <v>0</v>
      </c>
      <c r="G116" s="136">
        <f t="shared" ref="G116:G126" ca="1" si="10">D116-SUM(E116:F116)</f>
        <v>0</v>
      </c>
      <c r="H116" s="108" t="e">
        <f t="shared" ref="H116:H146" ca="1" si="11">E116/D116</f>
        <v>#DIV/0!</v>
      </c>
      <c r="I116" s="108" t="e">
        <f t="shared" ref="I116:I146" ca="1" si="12">F116/D116</f>
        <v>#DIV/0!</v>
      </c>
      <c r="J116" s="109" t="e">
        <f t="shared" ref="J116:J146" ca="1" si="13">G116/D116</f>
        <v>#DIV/0!</v>
      </c>
      <c r="K116" s="102"/>
      <c r="L116" s="105"/>
      <c r="M116" s="105"/>
      <c r="N116" s="105"/>
      <c r="O116" s="88"/>
      <c r="P116" s="103"/>
      <c r="Q116" s="104"/>
      <c r="R116" s="102"/>
      <c r="S116" s="102"/>
      <c r="T116" s="102"/>
      <c r="U116" s="105"/>
      <c r="V116" s="105"/>
      <c r="W116" s="105"/>
    </row>
    <row r="117" spans="1:23" x14ac:dyDescent="0.25">
      <c r="A117" s="88">
        <v>2024</v>
      </c>
      <c r="B117" t="s">
        <v>72</v>
      </c>
      <c r="C117" s="98" t="s">
        <v>29</v>
      </c>
      <c r="D117" s="99">
        <v>0</v>
      </c>
      <c r="E117" s="133">
        <v>0</v>
      </c>
      <c r="F117" s="133">
        <v>0</v>
      </c>
      <c r="G117" s="133">
        <f t="shared" ca="1" si="10"/>
        <v>0</v>
      </c>
      <c r="H117" s="100" t="e">
        <f t="shared" ca="1" si="11"/>
        <v>#DIV/0!</v>
      </c>
      <c r="I117" s="100" t="e">
        <f t="shared" ca="1" si="12"/>
        <v>#DIV/0!</v>
      </c>
      <c r="J117" s="101" t="e">
        <f t="shared" ca="1" si="13"/>
        <v>#DIV/0!</v>
      </c>
      <c r="K117" s="102"/>
      <c r="L117" s="105"/>
      <c r="M117" s="105"/>
      <c r="N117" s="105"/>
      <c r="O117" s="88"/>
      <c r="P117" s="103"/>
      <c r="Q117" s="104"/>
      <c r="R117" s="102"/>
      <c r="S117" s="102"/>
      <c r="T117" s="102"/>
      <c r="U117" s="105"/>
      <c r="V117" s="105"/>
      <c r="W117" s="105"/>
    </row>
    <row r="118" spans="1:23" x14ac:dyDescent="0.25">
      <c r="A118" s="88">
        <v>2024</v>
      </c>
      <c r="B118" t="s">
        <v>73</v>
      </c>
      <c r="C118" s="106" t="s">
        <v>30</v>
      </c>
      <c r="D118" s="107">
        <v>0</v>
      </c>
      <c r="E118" s="136">
        <v>0</v>
      </c>
      <c r="F118" s="136">
        <v>0</v>
      </c>
      <c r="G118" s="136">
        <f t="shared" ca="1" si="10"/>
        <v>0</v>
      </c>
      <c r="H118" s="108" t="e">
        <f t="shared" ca="1" si="11"/>
        <v>#DIV/0!</v>
      </c>
      <c r="I118" s="108" t="e">
        <f t="shared" ca="1" si="12"/>
        <v>#DIV/0!</v>
      </c>
      <c r="J118" s="109" t="e">
        <f t="shared" ca="1" si="13"/>
        <v>#DIV/0!</v>
      </c>
      <c r="K118" s="102"/>
      <c r="L118" s="105"/>
      <c r="M118" s="105"/>
      <c r="N118" s="105"/>
      <c r="O118" s="88"/>
      <c r="P118" s="103"/>
      <c r="Q118" s="104"/>
      <c r="R118" s="102"/>
      <c r="S118" s="102"/>
      <c r="T118" s="102"/>
      <c r="U118" s="105"/>
      <c r="V118" s="105"/>
      <c r="W118" s="105"/>
    </row>
    <row r="119" spans="1:23" x14ac:dyDescent="0.25">
      <c r="A119" s="88">
        <v>2024</v>
      </c>
      <c r="B119" t="s">
        <v>74</v>
      </c>
      <c r="C119" s="98" t="s">
        <v>31</v>
      </c>
      <c r="D119" s="99">
        <v>0</v>
      </c>
      <c r="E119" s="133">
        <v>0</v>
      </c>
      <c r="F119" s="133">
        <v>0</v>
      </c>
      <c r="G119" s="133">
        <f t="shared" ca="1" si="10"/>
        <v>0</v>
      </c>
      <c r="H119" s="100" t="e">
        <f t="shared" ca="1" si="11"/>
        <v>#DIV/0!</v>
      </c>
      <c r="I119" s="100" t="e">
        <f t="shared" ca="1" si="12"/>
        <v>#DIV/0!</v>
      </c>
      <c r="J119" s="101" t="e">
        <f t="shared" ca="1" si="13"/>
        <v>#DIV/0!</v>
      </c>
      <c r="K119" s="102"/>
      <c r="L119" s="105"/>
      <c r="M119" s="105"/>
      <c r="N119" s="105"/>
      <c r="O119" s="88"/>
      <c r="P119" s="103"/>
      <c r="Q119" s="104"/>
      <c r="R119" s="102"/>
      <c r="S119" s="102"/>
      <c r="T119" s="102"/>
      <c r="U119" s="105"/>
      <c r="V119" s="105"/>
      <c r="W119" s="105"/>
    </row>
    <row r="120" spans="1:23" x14ac:dyDescent="0.25">
      <c r="A120" s="88">
        <v>2024</v>
      </c>
      <c r="B120" t="s">
        <v>75</v>
      </c>
      <c r="C120" s="106" t="s">
        <v>33</v>
      </c>
      <c r="D120" s="107">
        <v>0</v>
      </c>
      <c r="E120" s="136">
        <v>0</v>
      </c>
      <c r="F120" s="136">
        <v>0</v>
      </c>
      <c r="G120" s="136">
        <f t="shared" ca="1" si="10"/>
        <v>0</v>
      </c>
      <c r="H120" s="108" t="e">
        <f t="shared" ca="1" si="11"/>
        <v>#DIV/0!</v>
      </c>
      <c r="I120" s="108" t="e">
        <f t="shared" ca="1" si="12"/>
        <v>#DIV/0!</v>
      </c>
      <c r="J120" s="109" t="e">
        <f t="shared" ca="1" si="13"/>
        <v>#DIV/0!</v>
      </c>
      <c r="K120" s="102"/>
      <c r="L120" s="105"/>
      <c r="M120" s="105"/>
      <c r="N120" s="105"/>
      <c r="O120" s="88"/>
      <c r="P120" s="103"/>
      <c r="Q120" s="104"/>
      <c r="R120" s="102"/>
      <c r="S120" s="102"/>
      <c r="T120" s="102"/>
      <c r="U120" s="105"/>
      <c r="V120" s="105"/>
      <c r="W120" s="105"/>
    </row>
    <row r="121" spans="1:23" x14ac:dyDescent="0.25">
      <c r="A121" s="88">
        <v>2024</v>
      </c>
      <c r="B121" t="s">
        <v>76</v>
      </c>
      <c r="C121" s="98" t="s">
        <v>34</v>
      </c>
      <c r="D121" s="99">
        <v>0</v>
      </c>
      <c r="E121" s="133">
        <v>0</v>
      </c>
      <c r="F121" s="133">
        <v>0</v>
      </c>
      <c r="G121" s="133">
        <f t="shared" ca="1" si="10"/>
        <v>0</v>
      </c>
      <c r="H121" s="100" t="e">
        <f t="shared" ca="1" si="11"/>
        <v>#DIV/0!</v>
      </c>
      <c r="I121" s="100" t="e">
        <f t="shared" ca="1" si="12"/>
        <v>#DIV/0!</v>
      </c>
      <c r="J121" s="101" t="e">
        <f t="shared" ca="1" si="13"/>
        <v>#DIV/0!</v>
      </c>
      <c r="K121" s="102"/>
      <c r="L121" s="105"/>
      <c r="M121" s="105"/>
      <c r="N121" s="105"/>
      <c r="O121" s="88"/>
      <c r="P121" s="103"/>
      <c r="Q121" s="104"/>
      <c r="R121" s="102"/>
      <c r="S121" s="102"/>
      <c r="T121" s="102"/>
      <c r="U121" s="105"/>
      <c r="V121" s="105"/>
      <c r="W121" s="105"/>
    </row>
    <row r="122" spans="1:23" x14ac:dyDescent="0.25">
      <c r="A122" s="88">
        <v>2024</v>
      </c>
      <c r="B122" t="s">
        <v>77</v>
      </c>
      <c r="C122" s="106" t="s">
        <v>35</v>
      </c>
      <c r="D122" s="107">
        <v>0</v>
      </c>
      <c r="E122" s="136">
        <v>0</v>
      </c>
      <c r="F122" s="136">
        <v>0</v>
      </c>
      <c r="G122" s="136">
        <f t="shared" ca="1" si="10"/>
        <v>0</v>
      </c>
      <c r="H122" s="108" t="e">
        <f t="shared" ca="1" si="11"/>
        <v>#DIV/0!</v>
      </c>
      <c r="I122" s="108" t="e">
        <f t="shared" ca="1" si="12"/>
        <v>#DIV/0!</v>
      </c>
      <c r="J122" s="109" t="e">
        <f t="shared" ca="1" si="13"/>
        <v>#DIV/0!</v>
      </c>
      <c r="K122" s="102"/>
      <c r="L122" s="105"/>
      <c r="M122" s="105"/>
      <c r="N122" s="105"/>
      <c r="O122" s="88"/>
      <c r="P122" s="103"/>
      <c r="Q122" s="104"/>
      <c r="R122" s="102"/>
      <c r="S122" s="102"/>
      <c r="T122" s="102"/>
      <c r="U122" s="105"/>
      <c r="V122" s="105"/>
      <c r="W122" s="105"/>
    </row>
    <row r="123" spans="1:23" x14ac:dyDescent="0.25">
      <c r="A123" s="88">
        <v>2024</v>
      </c>
      <c r="B123" t="s">
        <v>78</v>
      </c>
      <c r="C123" s="98" t="s">
        <v>36</v>
      </c>
      <c r="D123" s="99">
        <v>2094215</v>
      </c>
      <c r="E123" s="133">
        <v>2094215</v>
      </c>
      <c r="F123" s="133">
        <v>0</v>
      </c>
      <c r="G123" s="133">
        <f t="shared" ca="1" si="10"/>
        <v>0</v>
      </c>
      <c r="H123" s="100">
        <f t="shared" ca="1" si="11"/>
        <v>1</v>
      </c>
      <c r="I123" s="100">
        <f t="shared" ca="1" si="12"/>
        <v>0</v>
      </c>
      <c r="J123" s="101">
        <f t="shared" ca="1" si="13"/>
        <v>0</v>
      </c>
      <c r="K123" s="102"/>
      <c r="L123" s="105"/>
      <c r="M123" s="105"/>
      <c r="N123" s="105"/>
      <c r="O123" s="88"/>
      <c r="P123" s="103"/>
      <c r="Q123" s="104"/>
      <c r="R123" s="102"/>
      <c r="S123" s="102"/>
      <c r="T123" s="102"/>
      <c r="U123" s="105"/>
      <c r="V123" s="105"/>
      <c r="W123" s="105"/>
    </row>
    <row r="124" spans="1:23" x14ac:dyDescent="0.25">
      <c r="A124" s="88">
        <v>2024</v>
      </c>
      <c r="B124" t="s">
        <v>79</v>
      </c>
      <c r="C124" s="106" t="s">
        <v>37</v>
      </c>
      <c r="D124" s="107">
        <v>5401488</v>
      </c>
      <c r="E124" s="136">
        <v>4765925</v>
      </c>
      <c r="F124" s="136">
        <v>635563</v>
      </c>
      <c r="G124" s="136">
        <f t="shared" ca="1" si="10"/>
        <v>0</v>
      </c>
      <c r="H124" s="108">
        <f t="shared" ca="1" si="11"/>
        <v>0.88233557123518558</v>
      </c>
      <c r="I124" s="108">
        <f t="shared" ca="1" si="12"/>
        <v>0.11766442876481444</v>
      </c>
      <c r="J124" s="109">
        <f t="shared" ca="1" si="13"/>
        <v>0</v>
      </c>
      <c r="K124" s="102"/>
      <c r="L124" s="105"/>
      <c r="M124" s="105"/>
      <c r="N124" s="105"/>
      <c r="O124" s="88"/>
      <c r="P124" s="103"/>
      <c r="Q124" s="104"/>
      <c r="R124" s="102"/>
      <c r="S124" s="102"/>
      <c r="T124" s="102"/>
      <c r="U124" s="105"/>
      <c r="V124" s="105"/>
      <c r="W124" s="105"/>
    </row>
    <row r="125" spans="1:23" x14ac:dyDescent="0.25">
      <c r="A125" s="88">
        <v>2024</v>
      </c>
      <c r="B125" t="s">
        <v>80</v>
      </c>
      <c r="C125" s="106" t="s">
        <v>38</v>
      </c>
      <c r="D125" s="107">
        <v>8928138</v>
      </c>
      <c r="E125" s="136">
        <v>6671773</v>
      </c>
      <c r="F125" s="136">
        <v>1649558</v>
      </c>
      <c r="G125" s="136">
        <f t="shared" ca="1" si="10"/>
        <v>606807</v>
      </c>
      <c r="H125" s="108">
        <f t="shared" ca="1" si="11"/>
        <v>0.74727485171040142</v>
      </c>
      <c r="I125" s="108">
        <f t="shared" ca="1" si="12"/>
        <v>0.18475946496346718</v>
      </c>
      <c r="J125" s="109">
        <f t="shared" ca="1" si="13"/>
        <v>6.7965683326131385E-2</v>
      </c>
      <c r="K125" s="102"/>
      <c r="L125" s="105"/>
      <c r="M125" s="105"/>
      <c r="N125" s="105"/>
      <c r="O125" s="88"/>
      <c r="P125" s="103"/>
      <c r="Q125" s="104"/>
      <c r="R125" s="102"/>
      <c r="S125" s="102"/>
      <c r="T125" s="102"/>
      <c r="U125" s="105"/>
      <c r="V125" s="105"/>
      <c r="W125" s="105"/>
    </row>
    <row r="126" spans="1:23" x14ac:dyDescent="0.25">
      <c r="A126" s="88">
        <v>2024</v>
      </c>
      <c r="B126" t="s">
        <v>81</v>
      </c>
      <c r="C126" s="98" t="s">
        <v>39</v>
      </c>
      <c r="D126" s="99">
        <v>8892231</v>
      </c>
      <c r="E126" s="133">
        <v>6534058</v>
      </c>
      <c r="F126" s="133">
        <v>1546112</v>
      </c>
      <c r="G126" s="133">
        <f t="shared" ca="1" si="10"/>
        <v>812061</v>
      </c>
      <c r="H126" s="100">
        <f t="shared" ca="1" si="11"/>
        <v>0.73480524741203868</v>
      </c>
      <c r="I126" s="100">
        <f t="shared" ca="1" si="12"/>
        <v>0.17387222621634549</v>
      </c>
      <c r="J126" s="101">
        <f t="shared" ca="1" si="13"/>
        <v>9.132252637161585E-2</v>
      </c>
      <c r="K126" s="102"/>
      <c r="L126" s="105"/>
      <c r="M126" s="105"/>
      <c r="N126" s="105"/>
      <c r="O126" s="88"/>
      <c r="P126" s="103"/>
      <c r="Q126" s="104"/>
      <c r="R126" s="102"/>
      <c r="S126" s="102"/>
      <c r="T126" s="102"/>
      <c r="U126" s="105"/>
      <c r="V126" s="105"/>
      <c r="W126" s="105"/>
    </row>
    <row r="127" spans="1:23" x14ac:dyDescent="0.25">
      <c r="A127" s="88"/>
      <c r="C127" s="115" t="s">
        <v>24</v>
      </c>
      <c r="D127" s="147">
        <f ca="1">SUM(D115:D126)</f>
        <v>25316072</v>
      </c>
      <c r="E127" s="148">
        <f ca="1">SUM(E115:E126)</f>
        <v>20065971</v>
      </c>
      <c r="F127" s="148">
        <f ca="1">SUM(F115:F126)</f>
        <v>3831233</v>
      </c>
      <c r="G127" s="148">
        <f ca="1">SUM(G115:G126)</f>
        <v>1418868</v>
      </c>
      <c r="H127" s="149">
        <f ca="1">E127/D127</f>
        <v>0.79261786741639861</v>
      </c>
      <c r="I127" s="149">
        <f ca="1">F127/D127</f>
        <v>0.15133599714837279</v>
      </c>
      <c r="J127" s="150">
        <f ca="1">G127/D127</f>
        <v>5.6046135435228656E-2</v>
      </c>
      <c r="K127" s="102"/>
      <c r="L127" s="105"/>
      <c r="M127" s="105"/>
      <c r="N127" s="105"/>
      <c r="O127" s="88"/>
      <c r="P127" s="103"/>
      <c r="Q127" s="104"/>
      <c r="R127" s="102"/>
      <c r="S127" s="102"/>
      <c r="T127" s="102"/>
      <c r="U127" s="105"/>
      <c r="V127" s="105"/>
      <c r="W127" s="105"/>
    </row>
    <row r="128" spans="1:23" x14ac:dyDescent="0.25">
      <c r="A128" s="88">
        <v>2025</v>
      </c>
      <c r="B128" t="s">
        <v>70</v>
      </c>
      <c r="C128" s="106" t="s">
        <v>41</v>
      </c>
      <c r="D128" s="107">
        <v>15040049</v>
      </c>
      <c r="E128" s="136">
        <v>11859519</v>
      </c>
      <c r="F128" s="136">
        <v>2416044</v>
      </c>
      <c r="G128" s="136">
        <f t="shared" ref="G128:G139" ca="1" si="14">D128-SUM(E128:F128)</f>
        <v>764486</v>
      </c>
      <c r="H128" s="108">
        <f t="shared" ca="1" si="11"/>
        <v>0.78852927939264028</v>
      </c>
      <c r="I128" s="108">
        <f t="shared" ca="1" si="12"/>
        <v>0.16064070004027248</v>
      </c>
      <c r="J128" s="109">
        <f t="shared" ca="1" si="13"/>
        <v>5.0830020567087249E-2</v>
      </c>
      <c r="K128" s="102"/>
      <c r="L128" s="105"/>
      <c r="M128" s="105"/>
      <c r="N128" s="105"/>
      <c r="O128" s="88"/>
      <c r="P128" s="103"/>
      <c r="Q128" s="104"/>
      <c r="R128" s="102"/>
      <c r="S128" s="102"/>
      <c r="T128" s="102"/>
      <c r="U128" s="105"/>
      <c r="V128" s="105"/>
      <c r="W128" s="105"/>
    </row>
    <row r="129" spans="1:23" x14ac:dyDescent="0.25">
      <c r="A129" s="88">
        <v>2025</v>
      </c>
      <c r="B129" t="s">
        <v>71</v>
      </c>
      <c r="C129" s="98" t="s">
        <v>42</v>
      </c>
      <c r="D129" s="99">
        <v>8809658</v>
      </c>
      <c r="E129" s="133">
        <v>4714681</v>
      </c>
      <c r="F129" s="133">
        <v>2557194</v>
      </c>
      <c r="G129" s="133">
        <f t="shared" ca="1" si="14"/>
        <v>1537783</v>
      </c>
      <c r="H129" s="100">
        <f t="shared" ca="1" si="11"/>
        <v>0.53517185343630824</v>
      </c>
      <c r="I129" s="100">
        <f t="shared" ca="1" si="12"/>
        <v>0.29027165413231704</v>
      </c>
      <c r="J129" s="101">
        <f t="shared" ca="1" si="13"/>
        <v>0.17455649243137475</v>
      </c>
      <c r="K129" s="102"/>
      <c r="L129" s="105"/>
      <c r="M129" s="105"/>
      <c r="N129" s="105"/>
      <c r="O129" s="88"/>
      <c r="P129" s="103"/>
      <c r="Q129" s="104"/>
      <c r="R129" s="102"/>
      <c r="S129" s="102"/>
      <c r="T129" s="102"/>
      <c r="U129" s="105"/>
      <c r="V129" s="105"/>
      <c r="W129" s="105"/>
    </row>
    <row r="130" spans="1:23" x14ac:dyDescent="0.25">
      <c r="A130" s="88">
        <v>2025</v>
      </c>
      <c r="B130" t="s">
        <v>72</v>
      </c>
      <c r="C130" s="106" t="s">
        <v>43</v>
      </c>
      <c r="D130" s="107">
        <v>7440928</v>
      </c>
      <c r="E130" s="136">
        <v>4827822</v>
      </c>
      <c r="F130" s="136">
        <v>832745</v>
      </c>
      <c r="G130" s="136">
        <f t="shared" ca="1" si="14"/>
        <v>1780361</v>
      </c>
      <c r="H130" s="108">
        <f t="shared" ca="1" si="11"/>
        <v>0.64881987838076116</v>
      </c>
      <c r="I130" s="108">
        <f t="shared" ca="1" si="12"/>
        <v>0.11191413221576664</v>
      </c>
      <c r="J130" s="109">
        <f t="shared" ca="1" si="13"/>
        <v>0.23926598940347227</v>
      </c>
      <c r="K130" s="102"/>
      <c r="L130" s="105"/>
      <c r="M130" s="105"/>
      <c r="N130" s="105"/>
      <c r="O130" s="88"/>
      <c r="P130" s="103"/>
      <c r="Q130" s="104"/>
      <c r="R130" s="102"/>
      <c r="S130" s="102"/>
      <c r="T130" s="102"/>
      <c r="U130" s="105"/>
      <c r="V130" s="105"/>
      <c r="W130" s="105"/>
    </row>
    <row r="131" spans="1:23" x14ac:dyDescent="0.25">
      <c r="A131" s="88">
        <v>2025</v>
      </c>
      <c r="B131" t="s">
        <v>73</v>
      </c>
      <c r="C131" s="98" t="s">
        <v>44</v>
      </c>
      <c r="D131" s="99">
        <v>5440790</v>
      </c>
      <c r="E131" s="133">
        <v>3068666</v>
      </c>
      <c r="F131" s="133">
        <v>1256137</v>
      </c>
      <c r="G131" s="133">
        <f t="shared" ca="1" si="14"/>
        <v>1115987</v>
      </c>
      <c r="H131" s="100">
        <f t="shared" ca="1" si="11"/>
        <v>0.56401110868090842</v>
      </c>
      <c r="I131" s="100">
        <f t="shared" ca="1" si="12"/>
        <v>0.23087400910529537</v>
      </c>
      <c r="J131" s="101">
        <f t="shared" ca="1" si="13"/>
        <v>0.20511488221379615</v>
      </c>
      <c r="K131" s="102"/>
      <c r="L131" s="105"/>
      <c r="M131" s="105"/>
      <c r="N131" s="105"/>
      <c r="O131" s="88"/>
      <c r="P131" s="103"/>
      <c r="Q131" s="104"/>
      <c r="R131" s="102"/>
      <c r="S131" s="102"/>
      <c r="T131" s="102"/>
      <c r="U131" s="105"/>
      <c r="V131" s="105"/>
      <c r="W131" s="105"/>
    </row>
    <row r="132" spans="1:23" x14ac:dyDescent="0.25">
      <c r="A132" s="88">
        <v>2025</v>
      </c>
      <c r="B132" t="s">
        <v>74</v>
      </c>
      <c r="C132" s="106" t="s">
        <v>45</v>
      </c>
      <c r="D132" s="107">
        <v>5986226</v>
      </c>
      <c r="E132" s="136">
        <v>2601452</v>
      </c>
      <c r="F132" s="136">
        <v>1203943</v>
      </c>
      <c r="G132" s="136">
        <f t="shared" ca="1" si="14"/>
        <v>2180831</v>
      </c>
      <c r="H132" s="108">
        <f t="shared" ca="1" si="11"/>
        <v>0.43457296801022882</v>
      </c>
      <c r="I132" s="108">
        <f t="shared" ca="1" si="12"/>
        <v>0.20111886854923286</v>
      </c>
      <c r="J132" s="109">
        <f t="shared" ca="1" si="13"/>
        <v>0.36430816344053835</v>
      </c>
      <c r="K132" s="102"/>
      <c r="L132" s="105"/>
      <c r="M132" s="105"/>
      <c r="N132" s="105"/>
      <c r="O132" s="88"/>
      <c r="P132" s="103"/>
      <c r="Q132" s="104"/>
      <c r="R132" s="102"/>
      <c r="S132" s="102"/>
      <c r="T132" s="102"/>
      <c r="U132" s="105"/>
      <c r="V132" s="105"/>
      <c r="W132" s="105"/>
    </row>
    <row r="133" spans="1:23" x14ac:dyDescent="0.25">
      <c r="A133" s="88">
        <v>2025</v>
      </c>
      <c r="B133" t="s">
        <v>75</v>
      </c>
      <c r="C133" s="98" t="s">
        <v>46</v>
      </c>
      <c r="D133" s="99">
        <v>5654038</v>
      </c>
      <c r="E133" s="133">
        <v>4185372</v>
      </c>
      <c r="F133" s="133">
        <v>443104</v>
      </c>
      <c r="G133" s="133">
        <f t="shared" ca="1" si="14"/>
        <v>1025562</v>
      </c>
      <c r="H133" s="100">
        <f t="shared" ca="1" si="11"/>
        <v>0.7402447595859809</v>
      </c>
      <c r="I133" s="100">
        <f t="shared" ca="1" si="12"/>
        <v>7.8369476823466691E-2</v>
      </c>
      <c r="J133" s="101">
        <f t="shared" ca="1" si="13"/>
        <v>0.18138576359055245</v>
      </c>
      <c r="K133" s="102"/>
      <c r="L133" s="105"/>
      <c r="M133" s="105"/>
      <c r="N133" s="105"/>
      <c r="O133" s="88"/>
      <c r="P133" s="103"/>
      <c r="Q133" s="104"/>
      <c r="R133" s="102"/>
      <c r="S133" s="102"/>
      <c r="T133" s="102"/>
      <c r="U133" s="105"/>
      <c r="V133" s="105"/>
      <c r="W133" s="105"/>
    </row>
    <row r="134" spans="1:23" x14ac:dyDescent="0.25">
      <c r="A134" s="88">
        <v>2025</v>
      </c>
      <c r="B134" t="s">
        <v>76</v>
      </c>
      <c r="C134" s="106" t="s">
        <v>47</v>
      </c>
      <c r="D134" s="107">
        <v>4286824</v>
      </c>
      <c r="E134" s="136">
        <v>2452008</v>
      </c>
      <c r="F134" s="136">
        <v>867289</v>
      </c>
      <c r="G134" s="136">
        <f t="shared" ca="1" si="14"/>
        <v>967527</v>
      </c>
      <c r="H134" s="108">
        <f t="shared" ca="1" si="11"/>
        <v>0.57198709347526278</v>
      </c>
      <c r="I134" s="108">
        <f t="shared" ca="1" si="12"/>
        <v>0.20231504722377219</v>
      </c>
      <c r="J134" s="109">
        <f t="shared" ca="1" si="13"/>
        <v>0.225697859300965</v>
      </c>
      <c r="K134" s="102"/>
      <c r="L134" s="105"/>
      <c r="M134" s="105"/>
      <c r="N134" s="105"/>
      <c r="O134" s="88"/>
      <c r="P134" s="103"/>
      <c r="Q134" s="104"/>
      <c r="R134" s="102"/>
      <c r="S134" s="102"/>
      <c r="T134" s="102"/>
      <c r="U134" s="105"/>
      <c r="V134" s="105"/>
      <c r="W134" s="105"/>
    </row>
    <row r="135" spans="1:23" x14ac:dyDescent="0.25">
      <c r="A135" s="88">
        <v>2025</v>
      </c>
      <c r="B135" t="s">
        <v>77</v>
      </c>
      <c r="C135" s="98" t="s">
        <v>48</v>
      </c>
      <c r="D135" s="99">
        <v>3939434</v>
      </c>
      <c r="E135" s="133">
        <v>1007789</v>
      </c>
      <c r="F135" s="133">
        <v>1568873</v>
      </c>
      <c r="G135" s="133">
        <f t="shared" ca="1" si="14"/>
        <v>1362772</v>
      </c>
      <c r="H135" s="100">
        <f t="shared" ca="1" si="11"/>
        <v>0.25582076003811716</v>
      </c>
      <c r="I135" s="100">
        <f t="shared" ca="1" si="12"/>
        <v>0.39824832704393576</v>
      </c>
      <c r="J135" s="101">
        <f t="shared" ca="1" si="13"/>
        <v>0.34593091291794709</v>
      </c>
      <c r="K135" s="102"/>
      <c r="L135" s="105"/>
      <c r="M135" s="105"/>
      <c r="N135" s="105"/>
      <c r="O135" s="88"/>
      <c r="P135" s="103"/>
      <c r="Q135" s="104"/>
      <c r="R135" s="102"/>
      <c r="S135" s="102"/>
      <c r="T135" s="102"/>
      <c r="U135" s="105"/>
      <c r="V135" s="105"/>
      <c r="W135" s="105"/>
    </row>
    <row r="136" spans="1:23" x14ac:dyDescent="0.25">
      <c r="A136" s="88">
        <v>2025</v>
      </c>
      <c r="B136" t="s">
        <v>78</v>
      </c>
      <c r="C136" s="106" t="s">
        <v>49</v>
      </c>
      <c r="D136" s="107">
        <v>3823703</v>
      </c>
      <c r="E136" s="136">
        <v>1134787</v>
      </c>
      <c r="F136" s="136">
        <v>1770214</v>
      </c>
      <c r="G136" s="136">
        <f t="shared" ca="1" si="14"/>
        <v>918702</v>
      </c>
      <c r="H136" s="108">
        <f t="shared" ca="1" si="11"/>
        <v>0.29677697247929558</v>
      </c>
      <c r="I136" s="108">
        <f t="shared" ca="1" si="12"/>
        <v>0.46295802785938134</v>
      </c>
      <c r="J136" s="109">
        <f t="shared" ca="1" si="13"/>
        <v>0.24026499966132306</v>
      </c>
      <c r="K136" s="102"/>
      <c r="L136" s="105"/>
      <c r="M136" s="105"/>
      <c r="N136" s="105"/>
      <c r="O136" s="88"/>
      <c r="P136" s="103"/>
      <c r="Q136" s="104"/>
      <c r="R136" s="102"/>
      <c r="S136" s="102"/>
      <c r="T136" s="102"/>
      <c r="U136" s="105"/>
      <c r="V136" s="105"/>
      <c r="W136" s="105"/>
    </row>
    <row r="137" spans="1:23" x14ac:dyDescent="0.25">
      <c r="A137" s="88">
        <v>2025</v>
      </c>
      <c r="B137" t="s">
        <v>79</v>
      </c>
      <c r="C137" s="98" t="s">
        <v>50</v>
      </c>
      <c r="D137" s="99">
        <v>2083581</v>
      </c>
      <c r="E137" s="133">
        <v>1077405</v>
      </c>
      <c r="F137" s="133">
        <v>121720</v>
      </c>
      <c r="G137" s="133">
        <f t="shared" ca="1" si="14"/>
        <v>884456</v>
      </c>
      <c r="H137" s="100">
        <f t="shared" ca="1" si="11"/>
        <v>0.51709292799272022</v>
      </c>
      <c r="I137" s="100">
        <f t="shared" ca="1" si="12"/>
        <v>5.8418655190270979E-2</v>
      </c>
      <c r="J137" s="101">
        <f t="shared" ca="1" si="13"/>
        <v>0.42448841681700877</v>
      </c>
      <c r="K137" s="102"/>
      <c r="L137" s="105"/>
      <c r="M137" s="105"/>
      <c r="N137" s="105"/>
      <c r="O137" s="88"/>
      <c r="P137" s="103"/>
      <c r="Q137" s="104"/>
      <c r="R137" s="102"/>
      <c r="S137" s="102"/>
      <c r="T137" s="102"/>
      <c r="U137" s="105"/>
      <c r="V137" s="105"/>
      <c r="W137" s="105"/>
    </row>
    <row r="138" spans="1:23" x14ac:dyDescent="0.25">
      <c r="A138" s="88">
        <v>2025</v>
      </c>
      <c r="B138" t="s">
        <v>80</v>
      </c>
      <c r="C138" s="106" t="s">
        <v>51</v>
      </c>
      <c r="D138" s="107">
        <v>830944</v>
      </c>
      <c r="E138" s="136">
        <v>417436</v>
      </c>
      <c r="F138" s="136">
        <v>206997</v>
      </c>
      <c r="G138" s="136">
        <f t="shared" ca="1" si="14"/>
        <v>206511</v>
      </c>
      <c r="H138" s="108">
        <f t="shared" ca="1" si="11"/>
        <v>0.5023635768475373</v>
      </c>
      <c r="I138" s="108">
        <f t="shared" ca="1" si="12"/>
        <v>0.2491106500558401</v>
      </c>
      <c r="J138" s="109">
        <f t="shared" ca="1" si="13"/>
        <v>0.24852577309662263</v>
      </c>
      <c r="K138" s="102"/>
      <c r="L138" s="105"/>
      <c r="M138" s="105"/>
      <c r="N138" s="105"/>
      <c r="O138" s="88"/>
      <c r="P138" s="103"/>
      <c r="Q138" s="104"/>
      <c r="R138" s="102"/>
      <c r="S138" s="102"/>
      <c r="T138" s="102"/>
      <c r="U138" s="105"/>
      <c r="V138" s="105"/>
      <c r="W138" s="105"/>
    </row>
    <row r="139" spans="1:23" x14ac:dyDescent="0.25">
      <c r="A139" s="88">
        <v>2025</v>
      </c>
      <c r="B139" t="s">
        <v>81</v>
      </c>
      <c r="C139" s="98" t="s">
        <v>52</v>
      </c>
      <c r="D139" s="99">
        <v>2030295</v>
      </c>
      <c r="E139" s="133">
        <v>1403020</v>
      </c>
      <c r="F139" s="133">
        <v>106040</v>
      </c>
      <c r="G139" s="133">
        <f t="shared" ca="1" si="14"/>
        <v>521235</v>
      </c>
      <c r="H139" s="100">
        <f t="shared" ca="1" si="11"/>
        <v>0.69104243472007765</v>
      </c>
      <c r="I139" s="100">
        <f t="shared" ca="1" si="12"/>
        <v>5.2228863293265267E-2</v>
      </c>
      <c r="J139" s="101">
        <f t="shared" ca="1" si="13"/>
        <v>0.25672870198665709</v>
      </c>
      <c r="K139" s="102"/>
      <c r="L139" s="105"/>
      <c r="M139" s="105"/>
      <c r="N139" s="105"/>
      <c r="O139" s="88"/>
      <c r="P139" s="103"/>
      <c r="Q139" s="104"/>
      <c r="R139" s="102"/>
      <c r="S139" s="102"/>
      <c r="T139" s="102"/>
      <c r="U139" s="105"/>
      <c r="V139" s="105"/>
      <c r="W139" s="105"/>
    </row>
    <row r="140" spans="1:23" x14ac:dyDescent="0.25">
      <c r="A140" s="88"/>
      <c r="C140" s="115" t="s">
        <v>40</v>
      </c>
      <c r="D140" s="147">
        <f ca="1">SUM(D128:D139)</f>
        <v>65366470</v>
      </c>
      <c r="E140" s="148">
        <f ca="1">SUM(E128:E139)</f>
        <v>38749957</v>
      </c>
      <c r="F140" s="148">
        <f ca="1">SUM(F128:F139)</f>
        <v>13350300</v>
      </c>
      <c r="G140" s="148">
        <f ca="1">SUM(G128:G139)</f>
        <v>13266213</v>
      </c>
      <c r="H140" s="149">
        <f t="shared" ca="1" si="11"/>
        <v>0.59281091666721486</v>
      </c>
      <c r="I140" s="149">
        <f t="shared" ca="1" si="12"/>
        <v>0.20423773840013082</v>
      </c>
      <c r="J140" s="150">
        <f t="shared" ca="1" si="13"/>
        <v>0.20295134493265432</v>
      </c>
      <c r="K140" s="102"/>
      <c r="L140" s="105"/>
      <c r="M140" s="105"/>
      <c r="N140" s="105"/>
      <c r="O140" s="88"/>
      <c r="P140" s="103"/>
      <c r="Q140" s="104"/>
      <c r="R140" s="102"/>
      <c r="S140" s="102"/>
      <c r="T140" s="102"/>
      <c r="U140" s="105"/>
      <c r="V140" s="105"/>
      <c r="W140" s="105"/>
    </row>
    <row r="141" spans="1:23" x14ac:dyDescent="0.25">
      <c r="A141" s="88">
        <v>2026</v>
      </c>
      <c r="B141" t="s">
        <v>70</v>
      </c>
      <c r="C141" s="106" t="s">
        <v>54</v>
      </c>
      <c r="D141" s="107">
        <v>1185355</v>
      </c>
      <c r="E141" s="136">
        <v>683296</v>
      </c>
      <c r="F141" s="136">
        <v>224664</v>
      </c>
      <c r="G141" s="136">
        <f ca="1">D141-SUM(E141:F141)</f>
        <v>277395</v>
      </c>
      <c r="H141" s="108">
        <f t="shared" ca="1" si="11"/>
        <v>0.5764484057518634</v>
      </c>
      <c r="I141" s="108">
        <f t="shared" ca="1" si="12"/>
        <v>0.18953309346145247</v>
      </c>
      <c r="J141" s="109">
        <f t="shared" ca="1" si="13"/>
        <v>0.23401850078668415</v>
      </c>
      <c r="K141" s="102"/>
      <c r="L141" s="105"/>
      <c r="M141" s="105"/>
      <c r="N141" s="105"/>
      <c r="O141" s="88"/>
      <c r="P141" s="103"/>
      <c r="Q141" s="104"/>
      <c r="R141" s="102"/>
      <c r="S141" s="102"/>
      <c r="T141" s="102"/>
      <c r="U141" s="105"/>
      <c r="V141" s="105"/>
      <c r="W141" s="105"/>
    </row>
    <row r="142" spans="1:23" x14ac:dyDescent="0.25">
      <c r="A142" s="88">
        <v>2026</v>
      </c>
      <c r="B142" t="s">
        <v>71</v>
      </c>
      <c r="C142" s="98" t="s">
        <v>55</v>
      </c>
      <c r="D142" s="99">
        <v>587796</v>
      </c>
      <c r="E142" s="133">
        <v>451116</v>
      </c>
      <c r="F142" s="133">
        <v>23407</v>
      </c>
      <c r="G142" s="133">
        <f ca="1">D142-SUM(E142:F142)</f>
        <v>113273</v>
      </c>
      <c r="H142" s="100">
        <f t="shared" ca="1" si="11"/>
        <v>0.76747034685503135</v>
      </c>
      <c r="I142" s="100">
        <f t="shared" ca="1" si="12"/>
        <v>3.982163879985573E-2</v>
      </c>
      <c r="J142" s="101">
        <f t="shared" ca="1" si="13"/>
        <v>0.19270801434511292</v>
      </c>
      <c r="K142" s="102"/>
      <c r="L142" s="105"/>
      <c r="M142" s="105"/>
      <c r="N142" s="105"/>
      <c r="O142" s="88"/>
      <c r="P142" s="103"/>
      <c r="Q142" s="104"/>
      <c r="R142" s="102"/>
      <c r="S142" s="102"/>
      <c r="T142" s="102"/>
      <c r="U142" s="105"/>
      <c r="V142" s="105"/>
      <c r="W142" s="105"/>
    </row>
    <row r="143" spans="1:23" x14ac:dyDescent="0.25">
      <c r="A143" s="88">
        <v>2026</v>
      </c>
      <c r="B143" t="s">
        <v>72</v>
      </c>
      <c r="C143" s="106" t="s">
        <v>56</v>
      </c>
      <c r="D143" s="107">
        <v>1258172</v>
      </c>
      <c r="E143" s="136">
        <v>937573</v>
      </c>
      <c r="F143" s="136">
        <v>275991</v>
      </c>
      <c r="G143" s="136">
        <f ca="1">D143-SUM(E143:F143)</f>
        <v>44608</v>
      </c>
      <c r="H143" s="108">
        <f t="shared" ca="1" si="11"/>
        <v>0.74518666764162611</v>
      </c>
      <c r="I143" s="108">
        <f t="shared" ca="1" si="12"/>
        <v>0.21935872042932128</v>
      </c>
      <c r="J143" s="109">
        <f t="shared" ca="1" si="13"/>
        <v>3.5454611929052623E-2</v>
      </c>
      <c r="K143" s="102"/>
      <c r="L143" s="105"/>
      <c r="M143" s="105"/>
      <c r="N143" s="105"/>
      <c r="O143" s="88"/>
      <c r="P143" s="103"/>
      <c r="Q143" s="104"/>
      <c r="R143" s="102"/>
      <c r="S143" s="102"/>
      <c r="T143" s="102"/>
      <c r="U143" s="105"/>
      <c r="V143" s="105"/>
      <c r="W143" s="105"/>
    </row>
    <row r="144" spans="1:23" x14ac:dyDescent="0.25">
      <c r="A144" s="88">
        <v>2026</v>
      </c>
      <c r="B144" t="s">
        <v>73</v>
      </c>
      <c r="C144" s="98" t="s">
        <v>57</v>
      </c>
      <c r="D144" s="99">
        <v>11411</v>
      </c>
      <c r="E144" s="133">
        <v>3010</v>
      </c>
      <c r="F144" s="133">
        <v>1002</v>
      </c>
      <c r="G144" s="133">
        <f ca="1">D144-SUM(E144:F144)</f>
        <v>7399</v>
      </c>
      <c r="H144" s="100">
        <f t="shared" ca="1" si="11"/>
        <v>0.26378056261502059</v>
      </c>
      <c r="I144" s="100">
        <f t="shared" ca="1" si="12"/>
        <v>8.7810007887126451E-2</v>
      </c>
      <c r="J144" s="101">
        <f t="shared" ca="1" si="13"/>
        <v>0.64840942949785296</v>
      </c>
      <c r="K144" s="102"/>
      <c r="L144" s="105"/>
      <c r="M144" s="105"/>
      <c r="N144" s="105"/>
      <c r="O144" s="88"/>
      <c r="P144" s="103"/>
      <c r="Q144" s="104"/>
      <c r="R144" s="102"/>
      <c r="S144" s="102"/>
      <c r="T144" s="102"/>
      <c r="U144" s="105"/>
      <c r="V144" s="105"/>
      <c r="W144" s="105"/>
    </row>
    <row r="145" spans="1:23" x14ac:dyDescent="0.25">
      <c r="A145" s="88">
        <v>2026</v>
      </c>
      <c r="B145" t="s">
        <v>74</v>
      </c>
      <c r="C145" s="106" t="s">
        <v>58</v>
      </c>
      <c r="D145" s="107">
        <v>2473</v>
      </c>
      <c r="E145" s="136">
        <v>0</v>
      </c>
      <c r="F145" s="136">
        <v>991</v>
      </c>
      <c r="G145" s="136">
        <f ca="1">D145-SUM(E145:F145)</f>
        <v>1482</v>
      </c>
      <c r="H145" s="108">
        <f ca="1">E145/D145</f>
        <v>0</v>
      </c>
      <c r="I145" s="108">
        <f ca="1">F145/D145</f>
        <v>0.40072786089769513</v>
      </c>
      <c r="J145" s="109">
        <f ca="1">G145/D145</f>
        <v>0.59927213910230492</v>
      </c>
      <c r="K145" s="102"/>
      <c r="L145" s="105"/>
      <c r="M145" s="105"/>
      <c r="N145" s="105"/>
      <c r="O145" s="88"/>
      <c r="P145" s="103"/>
      <c r="Q145" s="104"/>
      <c r="R145" s="102"/>
      <c r="S145" s="102"/>
      <c r="T145" s="102"/>
      <c r="U145" s="105"/>
      <c r="V145" s="105"/>
      <c r="W145" s="105"/>
    </row>
    <row r="146" spans="1:23" ht="15.75" thickBot="1" x14ac:dyDescent="0.3">
      <c r="C146" s="124" t="s">
        <v>59</v>
      </c>
      <c r="D146" s="125">
        <f ca="1">D127+D140+D141+D142+D143+D144+D145</f>
        <v>93727749</v>
      </c>
      <c r="E146" s="125">
        <f ca="1">E127+E140+E141+E142+E143+E144+E145</f>
        <v>60890923</v>
      </c>
      <c r="F146" s="125">
        <f ca="1">F127+F140+F141+F142+F143+F144+F145</f>
        <v>17707588</v>
      </c>
      <c r="G146" s="125">
        <f ca="1">G127+G140+G141+G142+G143+G144+G145</f>
        <v>15129238</v>
      </c>
      <c r="H146" s="126">
        <f t="shared" ca="1" si="11"/>
        <v>0.64965737094571641</v>
      </c>
      <c r="I146" s="126">
        <f t="shared" ca="1" si="12"/>
        <v>0.18892577906677349</v>
      </c>
      <c r="J146" s="127">
        <f t="shared" ca="1" si="13"/>
        <v>0.1614168499875101</v>
      </c>
      <c r="K146" s="102"/>
      <c r="L146" s="120"/>
      <c r="M146" s="120"/>
      <c r="N146" s="120"/>
      <c r="O146" s="88"/>
      <c r="P146" s="129"/>
      <c r="Q146" s="130"/>
      <c r="R146" s="119"/>
      <c r="S146" s="119"/>
      <c r="T146" s="119"/>
      <c r="U146" s="120"/>
      <c r="V146" s="120"/>
      <c r="W146" s="120"/>
    </row>
    <row r="147" spans="1:23" x14ac:dyDescent="0.25">
      <c r="C147" s="88"/>
      <c r="D147" s="88"/>
      <c r="E147" s="88"/>
      <c r="F147" s="88"/>
      <c r="G147" s="88"/>
      <c r="H147" s="88"/>
      <c r="I147" s="88"/>
      <c r="J147" s="88"/>
      <c r="K147" s="102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</row>
    <row r="148" spans="1:23" x14ac:dyDescent="0.25">
      <c r="C148" s="88"/>
      <c r="D148" s="88"/>
      <c r="E148" s="88"/>
      <c r="F148" s="88"/>
      <c r="G148" s="88"/>
      <c r="H148" s="88"/>
      <c r="I148" s="88"/>
      <c r="J148" s="88"/>
      <c r="K148" s="102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</row>
    <row r="166" spans="3:23" x14ac:dyDescent="0.25">
      <c r="C166" s="88"/>
      <c r="D166" s="123"/>
      <c r="E166" s="132"/>
      <c r="F166" s="132"/>
      <c r="G166" s="132"/>
      <c r="H166" s="123"/>
      <c r="I166" s="123"/>
      <c r="J166" s="88"/>
      <c r="K166" s="102"/>
      <c r="L166" s="88"/>
      <c r="M166" s="88"/>
      <c r="N166" s="88"/>
      <c r="O166" s="123"/>
      <c r="P166" s="88"/>
      <c r="Q166" s="123"/>
      <c r="R166" s="132"/>
      <c r="S166" s="132"/>
      <c r="T166" s="132"/>
      <c r="U166" s="123"/>
      <c r="V166" s="123"/>
      <c r="W166" s="88"/>
    </row>
    <row r="167" spans="3:23" ht="25.15" customHeight="1" x14ac:dyDescent="0.25">
      <c r="C167" s="88"/>
      <c r="D167" s="88"/>
      <c r="E167" s="88"/>
      <c r="F167" s="88"/>
      <c r="G167" s="88"/>
      <c r="H167" s="88"/>
      <c r="I167" s="88"/>
      <c r="J167" s="88"/>
      <c r="K167" s="102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</row>
  </sheetData>
  <mergeCells count="17">
    <mergeCell ref="C77:J77"/>
    <mergeCell ref="C113:J113"/>
    <mergeCell ref="P113:U113"/>
    <mergeCell ref="V113:W113"/>
    <mergeCell ref="V29:W29"/>
    <mergeCell ref="V31:W31"/>
    <mergeCell ref="V33:W33"/>
    <mergeCell ref="V36:W36"/>
    <mergeCell ref="C42:N42"/>
    <mergeCell ref="P42:U42"/>
    <mergeCell ref="V42:W42"/>
    <mergeCell ref="C7:H7"/>
    <mergeCell ref="P7:U7"/>
    <mergeCell ref="V17:W17"/>
    <mergeCell ref="V23:W23"/>
    <mergeCell ref="V25:W25"/>
    <mergeCell ref="V27:W27"/>
  </mergeCells>
  <printOptions horizontalCentered="1"/>
  <pageMargins left="0.70866141732283472" right="0.70866141732283472" top="1.9685039370078741" bottom="0.74803149606299213" header="0.31496062992125984" footer="0.31496062992125984"/>
  <pageSetup paperSize="8" scale="32" orientation="landscape" r:id="rId1"/>
  <headerFooter>
    <oddHeader>&amp;LSOBHA LLC&amp;CDues summary&amp;R&amp;D</oddHeader>
    <oddFooter>&amp;L&amp;"Aptos Narrow,Regular"COLLECTIONS&amp;R&amp;P/&amp;N</oddFooter>
  </headerFooter>
  <colBreaks count="2" manualBreakCount="2">
    <brk id="20" max="1048575" man="1"/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6095-21C9-4F6F-BA21-50A4C1288C16}">
  <sheetPr>
    <tabColor rgb="FFFF0000"/>
    <pageSetUpPr fitToPage="1"/>
  </sheetPr>
  <dimension ref="A1:Q186"/>
  <sheetViews>
    <sheetView zoomScale="70" zoomScaleNormal="70" workbookViewId="0">
      <pane ySplit="7" topLeftCell="A8" activePane="bottomLeft" state="frozen"/>
      <selection activeCell="B6" sqref="B6:I6"/>
      <selection pane="bottomLeft"/>
    </sheetView>
  </sheetViews>
  <sheetFormatPr defaultColWidth="18.5703125" defaultRowHeight="15" x14ac:dyDescent="0.25"/>
  <cols>
    <col min="1" max="1" width="27.7109375" bestFit="1" customWidth="1"/>
    <col min="2" max="4" width="13.28515625" bestFit="1" customWidth="1"/>
    <col min="5" max="5" width="17.28515625" customWidth="1"/>
    <col min="6" max="6" width="1.28515625" customWidth="1"/>
    <col min="7" max="7" width="27.7109375" bestFit="1" customWidth="1"/>
    <col min="8" max="10" width="13.28515625" bestFit="1" customWidth="1"/>
    <col min="11" max="11" width="17.7109375" bestFit="1" customWidth="1"/>
    <col min="12" max="12" width="1.28515625" customWidth="1"/>
    <col min="13" max="13" width="27.7109375" bestFit="1" customWidth="1"/>
    <col min="14" max="16" width="13.28515625" bestFit="1" customWidth="1"/>
    <col min="17" max="17" width="15" bestFit="1" customWidth="1"/>
  </cols>
  <sheetData>
    <row r="1" spans="1:17" ht="15.75" thickBot="1" x14ac:dyDescent="0.3">
      <c r="A1" s="51" t="str">
        <f ca="1">IF(AND(ABS(#REF!-#REF!)&lt;10,ABS(E180-E182)&lt;10,ABS(#REF!-#REF!)&lt;10,ABS(#REF!-#REF!)&lt;10,ABS(#REF!-#REF!)&lt;10,ABS(#REF!-#REF!)&lt;10,ABS(#REF!-#REF!)&lt;10,ABS(#REF!-#REF!)&lt;10,ABS(K180-K182)&lt;10,ABS(Q180-Q182)&lt;10,ABS(#REF!-#REF!)&lt;10,ABS(#REF!-#REF!)&lt;10),"Ok")</f>
        <v>Ok</v>
      </c>
      <c r="G1" s="151"/>
      <c r="M1" s="151"/>
    </row>
    <row r="5" spans="1:17" ht="19.5" thickBot="1" x14ac:dyDescent="0.35">
      <c r="A5" s="1">
        <v>2025</v>
      </c>
      <c r="B5" s="1" t="s">
        <v>310</v>
      </c>
      <c r="C5" s="1"/>
      <c r="D5" s="1"/>
      <c r="E5" s="1"/>
      <c r="F5" s="1"/>
      <c r="G5" s="1">
        <v>2026</v>
      </c>
      <c r="H5" s="1" t="s">
        <v>311</v>
      </c>
      <c r="I5" s="1"/>
      <c r="J5" s="1"/>
      <c r="K5" s="1"/>
      <c r="L5" s="1"/>
      <c r="M5" s="1">
        <v>2026</v>
      </c>
      <c r="N5" s="1" t="s">
        <v>312</v>
      </c>
      <c r="O5" s="1"/>
      <c r="P5" s="1"/>
      <c r="Q5" s="1"/>
    </row>
    <row r="6" spans="1:17" ht="18.75" x14ac:dyDescent="0.3">
      <c r="A6" s="152" t="str">
        <f ca="1">_xlfn.CONCAT("Nationality wise Sobha Dues-",B5,"'",A5)</f>
        <v>Nationality wise Sobha Dues-Q4'2025</v>
      </c>
      <c r="B6" s="153"/>
      <c r="C6" s="153"/>
      <c r="D6" s="153"/>
      <c r="E6" s="154"/>
      <c r="F6" s="155"/>
      <c r="G6" s="152" t="str">
        <f ca="1">_xlfn.CONCAT("Nationality wise Sobha Dues-",H5,"'",G5)</f>
        <v>Nationality wise Sobha Dues-Q1'2026</v>
      </c>
      <c r="H6" s="153"/>
      <c r="I6" s="153"/>
      <c r="J6" s="153"/>
      <c r="K6" s="154"/>
      <c r="L6" s="155"/>
      <c r="M6" s="152" t="str">
        <f ca="1">_xlfn.CONCAT("Nationality wise Sobha Dues-",N5,"'",M5)</f>
        <v>Nationality wise Sobha Dues-Q2'2026</v>
      </c>
      <c r="N6" s="153"/>
      <c r="O6" s="153"/>
      <c r="P6" s="153"/>
      <c r="Q6" s="154"/>
    </row>
    <row r="7" spans="1:17" ht="22.15" customHeight="1" x14ac:dyDescent="0.25">
      <c r="A7" s="156" t="s">
        <v>313</v>
      </c>
      <c r="B7" s="157" t="s">
        <v>79</v>
      </c>
      <c r="C7" s="157" t="s">
        <v>80</v>
      </c>
      <c r="D7" s="157" t="s">
        <v>81</v>
      </c>
      <c r="E7" s="158" t="s">
        <v>59</v>
      </c>
      <c r="F7" s="160"/>
      <c r="G7" s="156" t="s">
        <v>313</v>
      </c>
      <c r="H7" s="157" t="s">
        <v>70</v>
      </c>
      <c r="I7" s="157" t="s">
        <v>71</v>
      </c>
      <c r="J7" s="157" t="s">
        <v>72</v>
      </c>
      <c r="K7" s="158" t="s">
        <v>59</v>
      </c>
      <c r="L7" s="160"/>
      <c r="M7" s="156" t="s">
        <v>313</v>
      </c>
      <c r="N7" s="159" t="s">
        <v>73</v>
      </c>
      <c r="O7" s="157" t="s">
        <v>74</v>
      </c>
      <c r="P7" s="157" t="s">
        <v>75</v>
      </c>
      <c r="Q7" s="158" t="s">
        <v>59</v>
      </c>
    </row>
    <row r="8" spans="1:17" x14ac:dyDescent="0.25">
      <c r="A8" s="161" t="s">
        <v>314</v>
      </c>
      <c r="B8" s="27">
        <v>56278044.969999991</v>
      </c>
      <c r="C8" s="27">
        <v>45716686.029999986</v>
      </c>
      <c r="D8" s="27">
        <v>33562424.009999998</v>
      </c>
      <c r="E8" s="28">
        <f t="shared" ref="E8:E71" ca="1" si="0">SUM(B8:D8)</f>
        <v>135557155.00999996</v>
      </c>
      <c r="F8" s="27"/>
      <c r="G8" s="161" t="s">
        <v>314</v>
      </c>
      <c r="H8" s="27">
        <v>26844786.949999996</v>
      </c>
      <c r="I8" s="27">
        <v>31525716.920000006</v>
      </c>
      <c r="J8" s="27">
        <v>34928615.920000009</v>
      </c>
      <c r="K8" s="28">
        <f t="shared" ref="K8:K71" ca="1" si="1">SUM(H8:J8)</f>
        <v>93299119.790000021</v>
      </c>
      <c r="L8" s="27"/>
      <c r="M8" s="161" t="s">
        <v>314</v>
      </c>
      <c r="N8" s="27">
        <v>49897141.990000002</v>
      </c>
      <c r="O8" s="27">
        <v>8757376.9100000001</v>
      </c>
      <c r="P8" s="27">
        <v>0</v>
      </c>
      <c r="Q8" s="28">
        <f t="shared" ref="Q8:Q71" ca="1" si="2">SUM(N8:P8)</f>
        <v>58654518.900000006</v>
      </c>
    </row>
    <row r="9" spans="1:17" x14ac:dyDescent="0.25">
      <c r="A9" s="161" t="s">
        <v>315</v>
      </c>
      <c r="B9" s="27">
        <v>0</v>
      </c>
      <c r="C9" s="27">
        <v>1543319.84</v>
      </c>
      <c r="D9" s="27">
        <v>383338</v>
      </c>
      <c r="E9" s="28">
        <f t="shared" ca="1" si="0"/>
        <v>1926657.84</v>
      </c>
      <c r="F9" s="27"/>
      <c r="G9" s="161" t="s">
        <v>315</v>
      </c>
      <c r="H9" s="27">
        <v>841509.56000000052</v>
      </c>
      <c r="I9" s="27">
        <v>18976.619999999995</v>
      </c>
      <c r="J9" s="27">
        <v>0</v>
      </c>
      <c r="K9" s="28">
        <f t="shared" ca="1" si="1"/>
        <v>860486.18000000052</v>
      </c>
      <c r="L9" s="27"/>
      <c r="M9" s="161" t="s">
        <v>315</v>
      </c>
      <c r="N9" s="27">
        <v>1066361.6500000001</v>
      </c>
      <c r="O9" s="27">
        <v>0</v>
      </c>
      <c r="P9" s="27">
        <v>0</v>
      </c>
      <c r="Q9" s="28">
        <f t="shared" ca="1" si="2"/>
        <v>1066361.6500000001</v>
      </c>
    </row>
    <row r="10" spans="1:17" x14ac:dyDescent="0.25">
      <c r="A10" s="161" t="s">
        <v>316</v>
      </c>
      <c r="B10" s="27">
        <v>1515521.2999999998</v>
      </c>
      <c r="C10" s="27">
        <v>3081073.58</v>
      </c>
      <c r="D10" s="27">
        <v>502866.55000000005</v>
      </c>
      <c r="E10" s="28">
        <f t="shared" ca="1" si="0"/>
        <v>5099461.43</v>
      </c>
      <c r="F10" s="27"/>
      <c r="G10" s="161" t="s">
        <v>316</v>
      </c>
      <c r="H10" s="27">
        <v>493730.40000000014</v>
      </c>
      <c r="I10" s="27">
        <v>1042211.6699999996</v>
      </c>
      <c r="J10" s="27">
        <v>1606411.2000000007</v>
      </c>
      <c r="K10" s="28">
        <f t="shared" ca="1" si="1"/>
        <v>3142353.2700000005</v>
      </c>
      <c r="L10" s="27"/>
      <c r="M10" s="161" t="s">
        <v>316</v>
      </c>
      <c r="N10" s="27">
        <v>916976.2000000003</v>
      </c>
      <c r="O10" s="27">
        <v>1130187.3099999998</v>
      </c>
      <c r="P10" s="27">
        <v>0</v>
      </c>
      <c r="Q10" s="28">
        <f t="shared" ca="1" si="2"/>
        <v>2047163.5100000002</v>
      </c>
    </row>
    <row r="11" spans="1:17" x14ac:dyDescent="0.25">
      <c r="A11" s="161" t="s">
        <v>317</v>
      </c>
      <c r="B11" s="27">
        <v>19307827.520000003</v>
      </c>
      <c r="C11" s="27">
        <v>14883712.999999998</v>
      </c>
      <c r="D11" s="27">
        <v>11275776.119999997</v>
      </c>
      <c r="E11" s="28">
        <f t="shared" ca="1" si="0"/>
        <v>45467316.640000001</v>
      </c>
      <c r="F11" s="27"/>
      <c r="G11" s="161" t="s">
        <v>317</v>
      </c>
      <c r="H11" s="27">
        <v>16390294.91</v>
      </c>
      <c r="I11" s="27">
        <v>11907461.260000002</v>
      </c>
      <c r="J11" s="27">
        <v>11434396.480000002</v>
      </c>
      <c r="K11" s="28">
        <f t="shared" ca="1" si="1"/>
        <v>39732152.650000006</v>
      </c>
      <c r="L11" s="27"/>
      <c r="M11" s="161" t="s">
        <v>317</v>
      </c>
      <c r="N11" s="27">
        <v>9259356.629999999</v>
      </c>
      <c r="O11" s="27">
        <v>1201742.9599999997</v>
      </c>
      <c r="P11" s="27">
        <v>0</v>
      </c>
      <c r="Q11" s="28">
        <f t="shared" ca="1" si="2"/>
        <v>10461099.589999998</v>
      </c>
    </row>
    <row r="12" spans="1:17" x14ac:dyDescent="0.25">
      <c r="A12" s="161" t="s">
        <v>318</v>
      </c>
      <c r="B12" s="27">
        <v>41513894.230000012</v>
      </c>
      <c r="C12" s="27">
        <v>29375588.370000005</v>
      </c>
      <c r="D12" s="27">
        <v>36826059.420000009</v>
      </c>
      <c r="E12" s="28">
        <f t="shared" ca="1" si="0"/>
        <v>107715542.02000004</v>
      </c>
      <c r="F12" s="27"/>
      <c r="G12" s="161" t="s">
        <v>318</v>
      </c>
      <c r="H12" s="27">
        <v>38348382.149999999</v>
      </c>
      <c r="I12" s="27">
        <v>28977336.02</v>
      </c>
      <c r="J12" s="27">
        <v>35893726.440000005</v>
      </c>
      <c r="K12" s="28">
        <f t="shared" ca="1" si="1"/>
        <v>103219444.61000001</v>
      </c>
      <c r="L12" s="27"/>
      <c r="M12" s="161" t="s">
        <v>318</v>
      </c>
      <c r="N12" s="27">
        <v>41139638.689999998</v>
      </c>
      <c r="O12" s="27">
        <v>2163441.5599999977</v>
      </c>
      <c r="P12" s="27">
        <v>0</v>
      </c>
      <c r="Q12" s="28">
        <f t="shared" ca="1" si="2"/>
        <v>43303080.249999993</v>
      </c>
    </row>
    <row r="13" spans="1:17" x14ac:dyDescent="0.25">
      <c r="A13" s="161" t="s">
        <v>319</v>
      </c>
      <c r="B13" s="27">
        <v>48392635.18999999</v>
      </c>
      <c r="C13" s="27">
        <v>37567927.720000006</v>
      </c>
      <c r="D13" s="27">
        <v>33666280.320000008</v>
      </c>
      <c r="E13" s="28">
        <f t="shared" ca="1" si="0"/>
        <v>119626843.23</v>
      </c>
      <c r="F13" s="27"/>
      <c r="G13" s="161" t="s">
        <v>319</v>
      </c>
      <c r="H13" s="27">
        <v>43278578.559999995</v>
      </c>
      <c r="I13" s="27">
        <v>30973927.729999997</v>
      </c>
      <c r="J13" s="27">
        <v>26834769.440000001</v>
      </c>
      <c r="K13" s="28">
        <f t="shared" ca="1" si="1"/>
        <v>101087275.72999999</v>
      </c>
      <c r="L13" s="27"/>
      <c r="M13" s="161" t="s">
        <v>319</v>
      </c>
      <c r="N13" s="27">
        <v>33725896.890000001</v>
      </c>
      <c r="O13" s="27">
        <v>7513237.25</v>
      </c>
      <c r="P13" s="27">
        <v>0</v>
      </c>
      <c r="Q13" s="28">
        <f t="shared" ca="1" si="2"/>
        <v>41239134.140000001</v>
      </c>
    </row>
    <row r="14" spans="1:17" x14ac:dyDescent="0.25">
      <c r="A14" s="161" t="s">
        <v>320</v>
      </c>
      <c r="B14" s="27">
        <v>8612425.209999999</v>
      </c>
      <c r="C14" s="27">
        <v>6102417.0999999987</v>
      </c>
      <c r="D14" s="27">
        <v>9559183.0899999999</v>
      </c>
      <c r="E14" s="28">
        <f t="shared" ca="1" si="0"/>
        <v>24274025.399999999</v>
      </c>
      <c r="F14" s="27"/>
      <c r="G14" s="161" t="s">
        <v>320</v>
      </c>
      <c r="H14" s="27">
        <v>8785689.4400000013</v>
      </c>
      <c r="I14" s="27">
        <v>8224249.96</v>
      </c>
      <c r="J14" s="27">
        <v>6028569.669999999</v>
      </c>
      <c r="K14" s="28">
        <f t="shared" ca="1" si="1"/>
        <v>23038509.07</v>
      </c>
      <c r="L14" s="27"/>
      <c r="M14" s="161" t="s">
        <v>320</v>
      </c>
      <c r="N14" s="27">
        <v>6911028.4400000013</v>
      </c>
      <c r="O14" s="27">
        <v>577107.60000000009</v>
      </c>
      <c r="P14" s="27">
        <v>0</v>
      </c>
      <c r="Q14" s="28">
        <f t="shared" ca="1" si="2"/>
        <v>7488136.040000001</v>
      </c>
    </row>
    <row r="15" spans="1:17" x14ac:dyDescent="0.25">
      <c r="A15" s="161" t="s">
        <v>321</v>
      </c>
      <c r="B15" s="27">
        <v>140792706.9300001</v>
      </c>
      <c r="C15" s="27">
        <v>128992767.97000004</v>
      </c>
      <c r="D15" s="27">
        <v>136528226.05000004</v>
      </c>
      <c r="E15" s="28">
        <f t="shared" ca="1" si="0"/>
        <v>406313700.95000017</v>
      </c>
      <c r="F15" s="27"/>
      <c r="G15" s="161" t="s">
        <v>321</v>
      </c>
      <c r="H15" s="27">
        <v>130486003.07999992</v>
      </c>
      <c r="I15" s="27">
        <v>115563602.62</v>
      </c>
      <c r="J15" s="27">
        <v>105905350.06999995</v>
      </c>
      <c r="K15" s="28">
        <f t="shared" ca="1" si="1"/>
        <v>351954955.76999986</v>
      </c>
      <c r="L15" s="27"/>
      <c r="M15" s="161" t="s">
        <v>321</v>
      </c>
      <c r="N15" s="27">
        <v>106486560.96000002</v>
      </c>
      <c r="O15" s="27">
        <v>21176921.700000003</v>
      </c>
      <c r="P15" s="27">
        <v>0</v>
      </c>
      <c r="Q15" s="28">
        <f t="shared" ca="1" si="2"/>
        <v>127663482.66000003</v>
      </c>
    </row>
    <row r="16" spans="1:17" x14ac:dyDescent="0.25">
      <c r="A16" s="161" t="s">
        <v>322</v>
      </c>
      <c r="B16" s="27">
        <v>8704577.3299999963</v>
      </c>
      <c r="C16" s="27">
        <v>11060599.989999998</v>
      </c>
      <c r="D16" s="27">
        <v>5703504.1500000013</v>
      </c>
      <c r="E16" s="28">
        <f t="shared" ca="1" si="0"/>
        <v>25468681.469999995</v>
      </c>
      <c r="F16" s="27"/>
      <c r="G16" s="161" t="s">
        <v>322</v>
      </c>
      <c r="H16" s="27">
        <v>6743393.8999999994</v>
      </c>
      <c r="I16" s="27">
        <v>3731587.6900000004</v>
      </c>
      <c r="J16" s="27">
        <v>3065134.69</v>
      </c>
      <c r="K16" s="28">
        <f t="shared" ca="1" si="1"/>
        <v>13540116.279999999</v>
      </c>
      <c r="L16" s="27"/>
      <c r="M16" s="161" t="s">
        <v>322</v>
      </c>
      <c r="N16" s="27">
        <v>10895316.569999998</v>
      </c>
      <c r="O16" s="27">
        <v>2052687.5600000003</v>
      </c>
      <c r="P16" s="27">
        <v>0</v>
      </c>
      <c r="Q16" s="28">
        <f t="shared" ca="1" si="2"/>
        <v>12948004.129999999</v>
      </c>
    </row>
    <row r="17" spans="1:17" x14ac:dyDescent="0.25">
      <c r="A17" s="161" t="s">
        <v>323</v>
      </c>
      <c r="B17" s="27">
        <v>5583036.5600000015</v>
      </c>
      <c r="C17" s="27">
        <v>5683846.4099999992</v>
      </c>
      <c r="D17" s="27">
        <v>8641463.7199999988</v>
      </c>
      <c r="E17" s="28">
        <f t="shared" ca="1" si="0"/>
        <v>19908346.689999998</v>
      </c>
      <c r="F17" s="27"/>
      <c r="G17" s="161" t="s">
        <v>323</v>
      </c>
      <c r="H17" s="27">
        <v>4323180.7400000012</v>
      </c>
      <c r="I17" s="27">
        <v>6296705.9000000004</v>
      </c>
      <c r="J17" s="27">
        <v>5873164.4700000007</v>
      </c>
      <c r="K17" s="28">
        <f t="shared" ca="1" si="1"/>
        <v>16493051.110000001</v>
      </c>
      <c r="L17" s="27"/>
      <c r="M17" s="161" t="s">
        <v>323</v>
      </c>
      <c r="N17" s="27">
        <v>6645910.3199999984</v>
      </c>
      <c r="O17" s="27">
        <v>1370966.8699999996</v>
      </c>
      <c r="P17" s="27">
        <v>0</v>
      </c>
      <c r="Q17" s="28">
        <f t="shared" ca="1" si="2"/>
        <v>8016877.1899999976</v>
      </c>
    </row>
    <row r="18" spans="1:17" x14ac:dyDescent="0.25">
      <c r="A18" s="161" t="s">
        <v>324</v>
      </c>
      <c r="B18" s="27">
        <v>28017046.080000009</v>
      </c>
      <c r="C18" s="27">
        <v>25817231.859999996</v>
      </c>
      <c r="D18" s="27">
        <v>22763405.220000003</v>
      </c>
      <c r="E18" s="28">
        <f t="shared" ca="1" si="0"/>
        <v>76597683.160000011</v>
      </c>
      <c r="F18" s="27"/>
      <c r="G18" s="161" t="s">
        <v>324</v>
      </c>
      <c r="H18" s="27">
        <v>17422533.560000002</v>
      </c>
      <c r="I18" s="27">
        <v>29975751.140000001</v>
      </c>
      <c r="J18" s="27">
        <v>15492878.48</v>
      </c>
      <c r="K18" s="28">
        <f t="shared" ca="1" si="1"/>
        <v>62891163.180000007</v>
      </c>
      <c r="L18" s="27"/>
      <c r="M18" s="161" t="s">
        <v>324</v>
      </c>
      <c r="N18" s="27">
        <v>15661496.329999996</v>
      </c>
      <c r="O18" s="27">
        <v>5288169.79</v>
      </c>
      <c r="P18" s="27">
        <v>0</v>
      </c>
      <c r="Q18" s="28">
        <f t="shared" ca="1" si="2"/>
        <v>20949666.119999997</v>
      </c>
    </row>
    <row r="19" spans="1:17" x14ac:dyDescent="0.25">
      <c r="A19" s="161" t="s">
        <v>325</v>
      </c>
      <c r="B19" s="27">
        <v>7552655.6900000004</v>
      </c>
      <c r="C19" s="27">
        <v>10033217.330000002</v>
      </c>
      <c r="D19" s="27">
        <v>11294344.74</v>
      </c>
      <c r="E19" s="28">
        <f t="shared" ca="1" si="0"/>
        <v>28880217.760000005</v>
      </c>
      <c r="F19" s="27"/>
      <c r="G19" s="161" t="s">
        <v>325</v>
      </c>
      <c r="H19" s="27">
        <v>13053824.550000001</v>
      </c>
      <c r="I19" s="27">
        <v>11017196.289999997</v>
      </c>
      <c r="J19" s="27">
        <v>8456219.629999999</v>
      </c>
      <c r="K19" s="28">
        <f t="shared" ca="1" si="1"/>
        <v>32527240.469999995</v>
      </c>
      <c r="L19" s="27"/>
      <c r="M19" s="161" t="s">
        <v>325</v>
      </c>
      <c r="N19" s="27">
        <v>13414788.680000002</v>
      </c>
      <c r="O19" s="27">
        <v>1732393.9499999997</v>
      </c>
      <c r="P19" s="27">
        <v>0</v>
      </c>
      <c r="Q19" s="28">
        <f t="shared" ca="1" si="2"/>
        <v>15147182.630000001</v>
      </c>
    </row>
    <row r="20" spans="1:17" x14ac:dyDescent="0.25">
      <c r="A20" s="161" t="s">
        <v>326</v>
      </c>
      <c r="B20" s="27">
        <v>3479937.0600000005</v>
      </c>
      <c r="C20" s="27">
        <v>12616367.659999998</v>
      </c>
      <c r="D20" s="27">
        <v>3534819.29</v>
      </c>
      <c r="E20" s="28">
        <f t="shared" ca="1" si="0"/>
        <v>19631124.009999998</v>
      </c>
      <c r="F20" s="27"/>
      <c r="G20" s="161" t="s">
        <v>326</v>
      </c>
      <c r="H20" s="27">
        <v>12602766.18</v>
      </c>
      <c r="I20" s="27">
        <v>8816511.4099999964</v>
      </c>
      <c r="J20" s="27">
        <v>3029683.0299999979</v>
      </c>
      <c r="K20" s="28">
        <f t="shared" ca="1" si="1"/>
        <v>24448960.619999994</v>
      </c>
      <c r="L20" s="27"/>
      <c r="M20" s="161" t="s">
        <v>326</v>
      </c>
      <c r="N20" s="27">
        <v>1671276.9500000002</v>
      </c>
      <c r="O20" s="27">
        <v>1763.1100000001024</v>
      </c>
      <c r="P20" s="27">
        <v>0</v>
      </c>
      <c r="Q20" s="28">
        <f t="shared" ca="1" si="2"/>
        <v>1673040.0600000003</v>
      </c>
    </row>
    <row r="21" spans="1:17" x14ac:dyDescent="0.25">
      <c r="A21" s="161" t="s">
        <v>327</v>
      </c>
      <c r="B21" s="27">
        <v>16587138.569999998</v>
      </c>
      <c r="C21" s="27">
        <v>18464792.48</v>
      </c>
      <c r="D21" s="27">
        <v>19134027.84</v>
      </c>
      <c r="E21" s="28">
        <f t="shared" ca="1" si="0"/>
        <v>54185958.890000001</v>
      </c>
      <c r="F21" s="27"/>
      <c r="G21" s="161" t="s">
        <v>327</v>
      </c>
      <c r="H21" s="27">
        <v>20353582.680000003</v>
      </c>
      <c r="I21" s="27">
        <v>19726095.050000001</v>
      </c>
      <c r="J21" s="27">
        <v>16239748.719999999</v>
      </c>
      <c r="K21" s="28">
        <f t="shared" ca="1" si="1"/>
        <v>56319426.450000003</v>
      </c>
      <c r="L21" s="27"/>
      <c r="M21" s="161" t="s">
        <v>327</v>
      </c>
      <c r="N21" s="27">
        <v>14654490.390000001</v>
      </c>
      <c r="O21" s="27">
        <v>6002189.3599999994</v>
      </c>
      <c r="P21" s="27">
        <v>0</v>
      </c>
      <c r="Q21" s="28">
        <f t="shared" ca="1" si="2"/>
        <v>20656679.75</v>
      </c>
    </row>
    <row r="22" spans="1:17" x14ac:dyDescent="0.25">
      <c r="A22" s="161" t="s">
        <v>328</v>
      </c>
      <c r="B22" s="27">
        <v>9949030.6000000015</v>
      </c>
      <c r="C22" s="27">
        <v>16670727.08</v>
      </c>
      <c r="D22" s="27">
        <v>6080161.2999999998</v>
      </c>
      <c r="E22" s="28">
        <f t="shared" ca="1" si="0"/>
        <v>32699918.98</v>
      </c>
      <c r="F22" s="27"/>
      <c r="G22" s="161" t="s">
        <v>328</v>
      </c>
      <c r="H22" s="27">
        <v>13486919.310000001</v>
      </c>
      <c r="I22" s="27">
        <v>21563999.630000003</v>
      </c>
      <c r="J22" s="27">
        <v>4494090.3600000022</v>
      </c>
      <c r="K22" s="28">
        <f t="shared" ca="1" si="1"/>
        <v>39545009.300000004</v>
      </c>
      <c r="L22" s="27"/>
      <c r="M22" s="161" t="s">
        <v>328</v>
      </c>
      <c r="N22" s="27">
        <v>9242922.0200000014</v>
      </c>
      <c r="O22" s="27">
        <v>630231.44999999995</v>
      </c>
      <c r="P22" s="27">
        <v>0</v>
      </c>
      <c r="Q22" s="28">
        <f t="shared" ca="1" si="2"/>
        <v>9873153.4700000007</v>
      </c>
    </row>
    <row r="23" spans="1:17" x14ac:dyDescent="0.25">
      <c r="A23" s="161" t="s">
        <v>329</v>
      </c>
      <c r="B23" s="27">
        <v>0</v>
      </c>
      <c r="C23" s="27">
        <v>0</v>
      </c>
      <c r="D23" s="27">
        <v>0</v>
      </c>
      <c r="E23" s="28">
        <f t="shared" ca="1" si="0"/>
        <v>0</v>
      </c>
      <c r="F23" s="27"/>
      <c r="G23" s="161" t="s">
        <v>329</v>
      </c>
      <c r="H23" s="27">
        <v>0</v>
      </c>
      <c r="I23" s="27">
        <v>0</v>
      </c>
      <c r="J23" s="27">
        <v>550000</v>
      </c>
      <c r="K23" s="28">
        <f t="shared" ca="1" si="1"/>
        <v>550000</v>
      </c>
      <c r="L23" s="27"/>
      <c r="M23" s="161" t="s">
        <v>329</v>
      </c>
      <c r="N23" s="27">
        <v>1124000</v>
      </c>
      <c r="O23" s="27">
        <v>0</v>
      </c>
      <c r="P23" s="27">
        <v>0</v>
      </c>
      <c r="Q23" s="28">
        <f t="shared" ca="1" si="2"/>
        <v>1124000</v>
      </c>
    </row>
    <row r="24" spans="1:17" x14ac:dyDescent="0.25">
      <c r="A24" s="161" t="s">
        <v>330</v>
      </c>
      <c r="B24" s="27">
        <v>33336359.339999996</v>
      </c>
      <c r="C24" s="27">
        <v>54936413.639999993</v>
      </c>
      <c r="D24" s="27">
        <v>27372797.679999992</v>
      </c>
      <c r="E24" s="28">
        <f t="shared" ca="1" si="0"/>
        <v>115645570.65999998</v>
      </c>
      <c r="F24" s="27"/>
      <c r="G24" s="161" t="s">
        <v>330</v>
      </c>
      <c r="H24" s="27">
        <v>18224158.519999996</v>
      </c>
      <c r="I24" s="27">
        <v>23986878.209999997</v>
      </c>
      <c r="J24" s="27">
        <v>17093313.649999999</v>
      </c>
      <c r="K24" s="28">
        <f t="shared" ca="1" si="1"/>
        <v>59304350.379999988</v>
      </c>
      <c r="L24" s="27"/>
      <c r="M24" s="161" t="s">
        <v>330</v>
      </c>
      <c r="N24" s="27">
        <v>23400575.119999997</v>
      </c>
      <c r="O24" s="27">
        <v>4130349.1799999992</v>
      </c>
      <c r="P24" s="27">
        <v>0</v>
      </c>
      <c r="Q24" s="28">
        <f t="shared" ca="1" si="2"/>
        <v>27530924.299999997</v>
      </c>
    </row>
    <row r="25" spans="1:17" x14ac:dyDescent="0.25">
      <c r="A25" s="161" t="s">
        <v>331</v>
      </c>
      <c r="B25" s="27">
        <v>215624</v>
      </c>
      <c r="C25" s="27">
        <v>212732.82000000018</v>
      </c>
      <c r="D25" s="27">
        <v>129190.36999999965</v>
      </c>
      <c r="E25" s="28">
        <f t="shared" ca="1" si="0"/>
        <v>557547.18999999983</v>
      </c>
      <c r="F25" s="27"/>
      <c r="G25" s="161" t="s">
        <v>331</v>
      </c>
      <c r="H25" s="27">
        <v>496941.41999999993</v>
      </c>
      <c r="I25" s="27">
        <v>423462</v>
      </c>
      <c r="J25" s="27">
        <v>2598868.02</v>
      </c>
      <c r="K25" s="28">
        <f t="shared" ca="1" si="1"/>
        <v>3519271.44</v>
      </c>
      <c r="L25" s="27"/>
      <c r="M25" s="161" t="s">
        <v>331</v>
      </c>
      <c r="N25" s="27">
        <v>328474</v>
      </c>
      <c r="O25" s="27">
        <v>0</v>
      </c>
      <c r="P25" s="27">
        <v>0</v>
      </c>
      <c r="Q25" s="28">
        <f t="shared" ca="1" si="2"/>
        <v>328474</v>
      </c>
    </row>
    <row r="26" spans="1:17" x14ac:dyDescent="0.25">
      <c r="A26" s="161" t="s">
        <v>332</v>
      </c>
      <c r="B26" s="27">
        <v>40560723.539999992</v>
      </c>
      <c r="C26" s="27">
        <v>23967886.190000005</v>
      </c>
      <c r="D26" s="27">
        <v>22191738.399999999</v>
      </c>
      <c r="E26" s="28">
        <f t="shared" ca="1" si="0"/>
        <v>86720348.129999995</v>
      </c>
      <c r="F26" s="27"/>
      <c r="G26" s="161" t="s">
        <v>332</v>
      </c>
      <c r="H26" s="27">
        <v>33381900.379999992</v>
      </c>
      <c r="I26" s="27">
        <v>25198496.669999998</v>
      </c>
      <c r="J26" s="27">
        <v>29038623.480000004</v>
      </c>
      <c r="K26" s="28">
        <f t="shared" ca="1" si="1"/>
        <v>87619020.530000001</v>
      </c>
      <c r="L26" s="27"/>
      <c r="M26" s="161" t="s">
        <v>332</v>
      </c>
      <c r="N26" s="27">
        <v>22009179.989999998</v>
      </c>
      <c r="O26" s="27">
        <v>4572721.7300000004</v>
      </c>
      <c r="P26" s="27">
        <v>0</v>
      </c>
      <c r="Q26" s="28">
        <f t="shared" ca="1" si="2"/>
        <v>26581901.719999999</v>
      </c>
    </row>
    <row r="27" spans="1:17" x14ac:dyDescent="0.25">
      <c r="A27" s="161" t="s">
        <v>333</v>
      </c>
      <c r="B27" s="27">
        <v>9546170.1700000018</v>
      </c>
      <c r="C27" s="27">
        <v>5384542.8200000012</v>
      </c>
      <c r="D27" s="27">
        <v>5631428.0999999996</v>
      </c>
      <c r="E27" s="28">
        <f t="shared" ca="1" si="0"/>
        <v>20562141.090000004</v>
      </c>
      <c r="F27" s="27"/>
      <c r="G27" s="161" t="s">
        <v>333</v>
      </c>
      <c r="H27" s="27">
        <v>7096773.8200000003</v>
      </c>
      <c r="I27" s="27">
        <v>3278320.6799999997</v>
      </c>
      <c r="J27" s="27">
        <v>3299259.11</v>
      </c>
      <c r="K27" s="28">
        <f t="shared" ca="1" si="1"/>
        <v>13674353.609999999</v>
      </c>
      <c r="L27" s="27"/>
      <c r="M27" s="161" t="s">
        <v>333</v>
      </c>
      <c r="N27" s="27">
        <v>7690200.9500000002</v>
      </c>
      <c r="O27" s="27">
        <v>723607.44000000018</v>
      </c>
      <c r="P27" s="27">
        <v>0</v>
      </c>
      <c r="Q27" s="28">
        <f t="shared" ca="1" si="2"/>
        <v>8413808.3900000006</v>
      </c>
    </row>
    <row r="28" spans="1:17" x14ac:dyDescent="0.25">
      <c r="A28" s="161" t="s">
        <v>334</v>
      </c>
      <c r="B28" s="27">
        <v>12422868.440000001</v>
      </c>
      <c r="C28" s="27">
        <v>11971731.030000001</v>
      </c>
      <c r="D28" s="27">
        <v>9159403.5999999996</v>
      </c>
      <c r="E28" s="28">
        <f t="shared" ca="1" si="0"/>
        <v>33554003.07</v>
      </c>
      <c r="F28" s="27"/>
      <c r="G28" s="161" t="s">
        <v>334</v>
      </c>
      <c r="H28" s="27">
        <v>15462247.760000005</v>
      </c>
      <c r="I28" s="27">
        <v>14212172.09</v>
      </c>
      <c r="J28" s="27">
        <v>7348017.0900000008</v>
      </c>
      <c r="K28" s="28">
        <f t="shared" ca="1" si="1"/>
        <v>37022436.940000005</v>
      </c>
      <c r="L28" s="27"/>
      <c r="M28" s="161" t="s">
        <v>334</v>
      </c>
      <c r="N28" s="27">
        <v>12670748.739999998</v>
      </c>
      <c r="O28" s="27">
        <v>3877359.62</v>
      </c>
      <c r="P28" s="27">
        <v>0</v>
      </c>
      <c r="Q28" s="28">
        <f t="shared" ca="1" si="2"/>
        <v>16548108.359999999</v>
      </c>
    </row>
    <row r="29" spans="1:17" x14ac:dyDescent="0.25">
      <c r="A29" s="161" t="s">
        <v>335</v>
      </c>
      <c r="B29" s="27">
        <v>25724069.680000007</v>
      </c>
      <c r="C29" s="27">
        <v>16622944.9</v>
      </c>
      <c r="D29" s="27">
        <v>6467204.6099999994</v>
      </c>
      <c r="E29" s="28">
        <f t="shared" ca="1" si="0"/>
        <v>48814219.190000005</v>
      </c>
      <c r="F29" s="27"/>
      <c r="G29" s="161" t="s">
        <v>335</v>
      </c>
      <c r="H29" s="27">
        <v>13368639</v>
      </c>
      <c r="I29" s="27">
        <v>14826941.379999999</v>
      </c>
      <c r="J29" s="27">
        <v>16869632.990000002</v>
      </c>
      <c r="K29" s="28">
        <f t="shared" ca="1" si="1"/>
        <v>45065213.370000005</v>
      </c>
      <c r="L29" s="27"/>
      <c r="M29" s="161" t="s">
        <v>335</v>
      </c>
      <c r="N29" s="27">
        <v>38970228.000000007</v>
      </c>
      <c r="O29" s="27">
        <v>760693.47999999986</v>
      </c>
      <c r="P29" s="27">
        <v>0</v>
      </c>
      <c r="Q29" s="28">
        <f t="shared" ca="1" si="2"/>
        <v>39730921.480000004</v>
      </c>
    </row>
    <row r="30" spans="1:17" x14ac:dyDescent="0.25">
      <c r="A30" s="161" t="s">
        <v>336</v>
      </c>
      <c r="B30" s="27">
        <v>742559.81</v>
      </c>
      <c r="C30" s="27">
        <v>471087.05000000005</v>
      </c>
      <c r="D30" s="27">
        <v>730133.45999999973</v>
      </c>
      <c r="E30" s="28">
        <f t="shared" ca="1" si="0"/>
        <v>1943780.3199999998</v>
      </c>
      <c r="F30" s="27"/>
      <c r="G30" s="161" t="s">
        <v>336</v>
      </c>
      <c r="H30" s="27">
        <v>679479.13</v>
      </c>
      <c r="I30" s="27">
        <v>402933.5900000002</v>
      </c>
      <c r="J30" s="27">
        <v>78929</v>
      </c>
      <c r="K30" s="28">
        <f t="shared" ca="1" si="1"/>
        <v>1161341.7200000002</v>
      </c>
      <c r="L30" s="27"/>
      <c r="M30" s="161" t="s">
        <v>336</v>
      </c>
      <c r="N30" s="27">
        <v>0</v>
      </c>
      <c r="O30" s="27">
        <v>138251</v>
      </c>
      <c r="P30" s="27">
        <v>0</v>
      </c>
      <c r="Q30" s="28">
        <f t="shared" ca="1" si="2"/>
        <v>138251</v>
      </c>
    </row>
    <row r="31" spans="1:17" x14ac:dyDescent="0.25">
      <c r="A31" s="161" t="s">
        <v>337</v>
      </c>
      <c r="B31" s="27">
        <v>6844594.6500000004</v>
      </c>
      <c r="C31" s="27">
        <v>6845348.0399999982</v>
      </c>
      <c r="D31" s="27">
        <v>11791986.950000001</v>
      </c>
      <c r="E31" s="28">
        <f t="shared" ca="1" si="0"/>
        <v>25481929.640000001</v>
      </c>
      <c r="F31" s="27"/>
      <c r="G31" s="161" t="s">
        <v>337</v>
      </c>
      <c r="H31" s="27">
        <v>3850980.8499999992</v>
      </c>
      <c r="I31" s="27">
        <v>4605778.17</v>
      </c>
      <c r="J31" s="27">
        <v>1590973.96</v>
      </c>
      <c r="K31" s="28">
        <f t="shared" ca="1" si="1"/>
        <v>10047732.98</v>
      </c>
      <c r="L31" s="27"/>
      <c r="M31" s="161" t="s">
        <v>337</v>
      </c>
      <c r="N31" s="27">
        <v>1944104.6900000002</v>
      </c>
      <c r="O31" s="27">
        <v>8889873.5199999996</v>
      </c>
      <c r="P31" s="27">
        <v>0</v>
      </c>
      <c r="Q31" s="28">
        <f t="shared" ca="1" si="2"/>
        <v>10833978.209999999</v>
      </c>
    </row>
    <row r="32" spans="1:17" x14ac:dyDescent="0.25">
      <c r="A32" s="161" t="s">
        <v>338</v>
      </c>
      <c r="B32" s="27">
        <v>1367146.84</v>
      </c>
      <c r="C32" s="27">
        <v>522545.29999999993</v>
      </c>
      <c r="D32" s="27">
        <v>879174.19000000006</v>
      </c>
      <c r="E32" s="28">
        <f t="shared" ca="1" si="0"/>
        <v>2768866.33</v>
      </c>
      <c r="F32" s="27"/>
      <c r="G32" s="161" t="s">
        <v>338</v>
      </c>
      <c r="H32" s="27">
        <v>365109.25000000128</v>
      </c>
      <c r="I32" s="27">
        <v>142057</v>
      </c>
      <c r="J32" s="27">
        <v>1333114.43</v>
      </c>
      <c r="K32" s="28">
        <f t="shared" ca="1" si="1"/>
        <v>1840280.6800000011</v>
      </c>
      <c r="L32" s="27"/>
      <c r="M32" s="161" t="s">
        <v>338</v>
      </c>
      <c r="N32" s="27">
        <v>1233033.1199999996</v>
      </c>
      <c r="O32" s="27">
        <v>547915.8400000002</v>
      </c>
      <c r="P32" s="27">
        <v>0</v>
      </c>
      <c r="Q32" s="28">
        <f t="shared" ca="1" si="2"/>
        <v>1780948.96</v>
      </c>
    </row>
    <row r="33" spans="1:17" x14ac:dyDescent="0.25">
      <c r="A33" s="161" t="s">
        <v>339</v>
      </c>
      <c r="B33" s="27">
        <v>621853.5199999999</v>
      </c>
      <c r="C33" s="27">
        <v>383951.16</v>
      </c>
      <c r="D33" s="27">
        <v>1109172</v>
      </c>
      <c r="E33" s="28">
        <f t="shared" ca="1" si="0"/>
        <v>2114976.6799999997</v>
      </c>
      <c r="F33" s="27"/>
      <c r="G33" s="161" t="s">
        <v>339</v>
      </c>
      <c r="H33" s="27">
        <v>1073281.7800000003</v>
      </c>
      <c r="I33" s="27">
        <v>148097.64999999997</v>
      </c>
      <c r="J33" s="27">
        <v>498374.05000000005</v>
      </c>
      <c r="K33" s="28">
        <f t="shared" ca="1" si="1"/>
        <v>1719753.4800000002</v>
      </c>
      <c r="L33" s="27"/>
      <c r="M33" s="161" t="s">
        <v>339</v>
      </c>
      <c r="N33" s="27">
        <v>1006041.6</v>
      </c>
      <c r="O33" s="27">
        <v>0</v>
      </c>
      <c r="P33" s="27">
        <v>0</v>
      </c>
      <c r="Q33" s="28">
        <f t="shared" ca="1" si="2"/>
        <v>1006041.6</v>
      </c>
    </row>
    <row r="34" spans="1:17" x14ac:dyDescent="0.25">
      <c r="A34" s="161" t="s">
        <v>340</v>
      </c>
      <c r="B34" s="27">
        <v>17270602.230000004</v>
      </c>
      <c r="C34" s="27">
        <v>13318901.209999999</v>
      </c>
      <c r="D34" s="27">
        <v>11507748.000000002</v>
      </c>
      <c r="E34" s="28">
        <f t="shared" ca="1" si="0"/>
        <v>42097251.440000005</v>
      </c>
      <c r="F34" s="27"/>
      <c r="G34" s="161" t="s">
        <v>340</v>
      </c>
      <c r="H34" s="27">
        <v>17794844.700000003</v>
      </c>
      <c r="I34" s="27">
        <v>14390687.290000001</v>
      </c>
      <c r="J34" s="27">
        <v>15053654.410000002</v>
      </c>
      <c r="K34" s="28">
        <f t="shared" ca="1" si="1"/>
        <v>47239186.400000006</v>
      </c>
      <c r="L34" s="27"/>
      <c r="M34" s="161" t="s">
        <v>340</v>
      </c>
      <c r="N34" s="27">
        <v>13079663.42</v>
      </c>
      <c r="O34" s="27">
        <v>2615756.0300000003</v>
      </c>
      <c r="P34" s="27">
        <v>0</v>
      </c>
      <c r="Q34" s="28">
        <f t="shared" ca="1" si="2"/>
        <v>15695419.449999999</v>
      </c>
    </row>
    <row r="35" spans="1:17" x14ac:dyDescent="0.25">
      <c r="A35" s="161" t="s">
        <v>341</v>
      </c>
      <c r="B35" s="27">
        <v>1697635.21</v>
      </c>
      <c r="C35" s="27">
        <v>1942699.0899999999</v>
      </c>
      <c r="D35" s="27">
        <v>657522.77</v>
      </c>
      <c r="E35" s="28">
        <f t="shared" ca="1" si="0"/>
        <v>4297857.07</v>
      </c>
      <c r="F35" s="27"/>
      <c r="G35" s="161" t="s">
        <v>341</v>
      </c>
      <c r="H35" s="27">
        <v>2155633.88</v>
      </c>
      <c r="I35" s="27">
        <v>825341.8</v>
      </c>
      <c r="J35" s="27">
        <v>676959.2</v>
      </c>
      <c r="K35" s="28">
        <f t="shared" ca="1" si="1"/>
        <v>3657934.88</v>
      </c>
      <c r="L35" s="27"/>
      <c r="M35" s="161" t="s">
        <v>341</v>
      </c>
      <c r="N35" s="27">
        <v>1637909.5899999999</v>
      </c>
      <c r="O35" s="27">
        <v>639889.64999999979</v>
      </c>
      <c r="P35" s="27">
        <v>0</v>
      </c>
      <c r="Q35" s="28">
        <f t="shared" ca="1" si="2"/>
        <v>2277799.2399999998</v>
      </c>
    </row>
    <row r="36" spans="1:17" x14ac:dyDescent="0.25">
      <c r="A36" s="161" t="s">
        <v>342</v>
      </c>
      <c r="B36" s="27">
        <v>35184694.310000002</v>
      </c>
      <c r="C36" s="27">
        <v>25410516.579999994</v>
      </c>
      <c r="D36" s="27">
        <v>38054350.06000001</v>
      </c>
      <c r="E36" s="28">
        <f t="shared" ca="1" si="0"/>
        <v>98649560.950000018</v>
      </c>
      <c r="F36" s="27"/>
      <c r="G36" s="161" t="s">
        <v>342</v>
      </c>
      <c r="H36" s="27">
        <v>34834873.139999986</v>
      </c>
      <c r="I36" s="27">
        <v>35373666.040000014</v>
      </c>
      <c r="J36" s="27">
        <v>31727681.93</v>
      </c>
      <c r="K36" s="28">
        <f t="shared" ca="1" si="1"/>
        <v>101936221.11000001</v>
      </c>
      <c r="L36" s="27"/>
      <c r="M36" s="161" t="s">
        <v>342</v>
      </c>
      <c r="N36" s="27">
        <v>29611348.930000015</v>
      </c>
      <c r="O36" s="27">
        <v>5556383.2299999995</v>
      </c>
      <c r="P36" s="27">
        <v>0</v>
      </c>
      <c r="Q36" s="28">
        <f t="shared" ca="1" si="2"/>
        <v>35167732.160000011</v>
      </c>
    </row>
    <row r="37" spans="1:17" x14ac:dyDescent="0.25">
      <c r="A37" s="161" t="s">
        <v>343</v>
      </c>
      <c r="B37" s="27">
        <v>1035434.8799999999</v>
      </c>
      <c r="C37" s="27">
        <v>485937.41999999969</v>
      </c>
      <c r="D37" s="27">
        <v>1303876.8899999997</v>
      </c>
      <c r="E37" s="28">
        <f t="shared" ca="1" si="0"/>
        <v>2825249.1899999995</v>
      </c>
      <c r="F37" s="27"/>
      <c r="G37" s="161" t="s">
        <v>343</v>
      </c>
      <c r="H37" s="27">
        <v>1242667.7400000002</v>
      </c>
      <c r="I37" s="27">
        <v>481673</v>
      </c>
      <c r="J37" s="27">
        <v>1143794.0899999999</v>
      </c>
      <c r="K37" s="28">
        <f t="shared" ca="1" si="1"/>
        <v>2868134.83</v>
      </c>
      <c r="L37" s="27"/>
      <c r="M37" s="161" t="s">
        <v>343</v>
      </c>
      <c r="N37" s="27">
        <v>2483660.3199999998</v>
      </c>
      <c r="O37" s="27">
        <v>533788.52</v>
      </c>
      <c r="P37" s="27">
        <v>0</v>
      </c>
      <c r="Q37" s="28">
        <f t="shared" ca="1" si="2"/>
        <v>3017448.84</v>
      </c>
    </row>
    <row r="38" spans="1:17" x14ac:dyDescent="0.25">
      <c r="A38" s="161" t="s">
        <v>344</v>
      </c>
      <c r="B38" s="27">
        <v>37451744.520000003</v>
      </c>
      <c r="C38" s="27">
        <v>30915658.110000003</v>
      </c>
      <c r="D38" s="27">
        <v>24284266.659999996</v>
      </c>
      <c r="E38" s="28">
        <f t="shared" ca="1" si="0"/>
        <v>92651669.290000007</v>
      </c>
      <c r="F38" s="27"/>
      <c r="G38" s="161" t="s">
        <v>344</v>
      </c>
      <c r="H38" s="27">
        <v>30063397.920000002</v>
      </c>
      <c r="I38" s="27">
        <v>33849637.449999996</v>
      </c>
      <c r="J38" s="27">
        <v>24110120.859999999</v>
      </c>
      <c r="K38" s="28">
        <f t="shared" ca="1" si="1"/>
        <v>88023156.229999989</v>
      </c>
      <c r="L38" s="27"/>
      <c r="M38" s="161" t="s">
        <v>344</v>
      </c>
      <c r="N38" s="27">
        <v>33676147.490000002</v>
      </c>
      <c r="O38" s="27">
        <v>4442922.5900000008</v>
      </c>
      <c r="P38" s="27">
        <v>0</v>
      </c>
      <c r="Q38" s="28">
        <f t="shared" ca="1" si="2"/>
        <v>38119070.080000006</v>
      </c>
    </row>
    <row r="39" spans="1:17" x14ac:dyDescent="0.25">
      <c r="A39" s="161" t="s">
        <v>345</v>
      </c>
      <c r="B39" s="27">
        <v>1593359.35</v>
      </c>
      <c r="C39" s="27">
        <v>1578676.1499999997</v>
      </c>
      <c r="D39" s="27">
        <v>750469.62999999989</v>
      </c>
      <c r="E39" s="28">
        <f t="shared" ca="1" si="0"/>
        <v>3922505.13</v>
      </c>
      <c r="F39" s="27"/>
      <c r="G39" s="161" t="s">
        <v>345</v>
      </c>
      <c r="H39" s="27">
        <v>1889471.8000000003</v>
      </c>
      <c r="I39" s="27">
        <v>914458.52999999956</v>
      </c>
      <c r="J39" s="27">
        <v>776302.70000000007</v>
      </c>
      <c r="K39" s="28">
        <f t="shared" ca="1" si="1"/>
        <v>3580233.0300000003</v>
      </c>
      <c r="L39" s="27"/>
      <c r="M39" s="161" t="s">
        <v>345</v>
      </c>
      <c r="N39" s="27">
        <v>2416200.92</v>
      </c>
      <c r="O39" s="27">
        <v>389879.74999999965</v>
      </c>
      <c r="P39" s="27">
        <v>0</v>
      </c>
      <c r="Q39" s="28">
        <f t="shared" ca="1" si="2"/>
        <v>2806080.6699999995</v>
      </c>
    </row>
    <row r="40" spans="1:17" x14ac:dyDescent="0.25">
      <c r="A40" s="161" t="s">
        <v>346</v>
      </c>
      <c r="B40" s="27">
        <v>3364138.2199999988</v>
      </c>
      <c r="C40" s="27">
        <v>3202800.5</v>
      </c>
      <c r="D40" s="27">
        <v>5057937.9700000007</v>
      </c>
      <c r="E40" s="28">
        <f t="shared" ca="1" si="0"/>
        <v>11624876.689999999</v>
      </c>
      <c r="F40" s="27"/>
      <c r="G40" s="161" t="s">
        <v>346</v>
      </c>
      <c r="H40" s="27">
        <v>3960893.1399999997</v>
      </c>
      <c r="I40" s="27">
        <v>4494365.13</v>
      </c>
      <c r="J40" s="27">
        <v>6703095.3599999994</v>
      </c>
      <c r="K40" s="28">
        <f t="shared" ca="1" si="1"/>
        <v>15158353.629999999</v>
      </c>
      <c r="L40" s="27"/>
      <c r="M40" s="161" t="s">
        <v>346</v>
      </c>
      <c r="N40" s="27">
        <v>3671343.919999999</v>
      </c>
      <c r="O40" s="27">
        <v>651043.91</v>
      </c>
      <c r="P40" s="27">
        <v>0</v>
      </c>
      <c r="Q40" s="28">
        <f t="shared" ca="1" si="2"/>
        <v>4322387.8299999991</v>
      </c>
    </row>
    <row r="41" spans="1:17" x14ac:dyDescent="0.25">
      <c r="A41" s="161" t="s">
        <v>347</v>
      </c>
      <c r="B41" s="27">
        <v>6556705.25</v>
      </c>
      <c r="C41" s="27">
        <v>4613667.04</v>
      </c>
      <c r="D41" s="27">
        <v>4790240.17</v>
      </c>
      <c r="E41" s="28">
        <f t="shared" ca="1" si="0"/>
        <v>15960612.459999999</v>
      </c>
      <c r="F41" s="27"/>
      <c r="G41" s="161" t="s">
        <v>347</v>
      </c>
      <c r="H41" s="27">
        <v>5131178.1000000006</v>
      </c>
      <c r="I41" s="27">
        <v>4790744.4300000006</v>
      </c>
      <c r="J41" s="27">
        <v>1873975.21</v>
      </c>
      <c r="K41" s="28">
        <f t="shared" ca="1" si="1"/>
        <v>11795897.740000002</v>
      </c>
      <c r="L41" s="27"/>
      <c r="M41" s="161" t="s">
        <v>347</v>
      </c>
      <c r="N41" s="27">
        <v>3148152.0799999991</v>
      </c>
      <c r="O41" s="27">
        <v>929915.52000000014</v>
      </c>
      <c r="P41" s="27">
        <v>0</v>
      </c>
      <c r="Q41" s="28">
        <f t="shared" ca="1" si="2"/>
        <v>4078067.5999999992</v>
      </c>
    </row>
    <row r="42" spans="1:17" x14ac:dyDescent="0.25">
      <c r="A42" s="161" t="s">
        <v>348</v>
      </c>
      <c r="B42" s="27">
        <v>7478130.0299999993</v>
      </c>
      <c r="C42" s="27">
        <v>4192087.28</v>
      </c>
      <c r="D42" s="27">
        <v>3062925.24</v>
      </c>
      <c r="E42" s="28">
        <f t="shared" ca="1" si="0"/>
        <v>14733142.549999999</v>
      </c>
      <c r="F42" s="27"/>
      <c r="G42" s="161" t="s">
        <v>348</v>
      </c>
      <c r="H42" s="27">
        <v>3278144.09</v>
      </c>
      <c r="I42" s="27">
        <v>3012888.5500000003</v>
      </c>
      <c r="J42" s="27">
        <v>3561556.0100000002</v>
      </c>
      <c r="K42" s="28">
        <f t="shared" ca="1" si="1"/>
        <v>9852588.6500000004</v>
      </c>
      <c r="L42" s="27"/>
      <c r="M42" s="161" t="s">
        <v>348</v>
      </c>
      <c r="N42" s="27">
        <v>4997389.42</v>
      </c>
      <c r="O42" s="27">
        <v>85000</v>
      </c>
      <c r="P42" s="27">
        <v>0</v>
      </c>
      <c r="Q42" s="28">
        <f t="shared" ca="1" si="2"/>
        <v>5082389.42</v>
      </c>
    </row>
    <row r="43" spans="1:17" x14ac:dyDescent="0.25">
      <c r="A43" s="161" t="s">
        <v>349</v>
      </c>
      <c r="B43" s="27">
        <v>8677467.4599999972</v>
      </c>
      <c r="C43" s="27">
        <v>8166024.1099999994</v>
      </c>
      <c r="D43" s="27">
        <v>7874729.3600000003</v>
      </c>
      <c r="E43" s="28">
        <f t="shared" ca="1" si="0"/>
        <v>24718220.929999996</v>
      </c>
      <c r="F43" s="27"/>
      <c r="G43" s="161" t="s">
        <v>349</v>
      </c>
      <c r="H43" s="27">
        <v>6936943.3499999996</v>
      </c>
      <c r="I43" s="27">
        <v>6130405.8099999987</v>
      </c>
      <c r="J43" s="27">
        <v>2140099.31</v>
      </c>
      <c r="K43" s="28">
        <f t="shared" ca="1" si="1"/>
        <v>15207448.469999999</v>
      </c>
      <c r="L43" s="27"/>
      <c r="M43" s="161" t="s">
        <v>349</v>
      </c>
      <c r="N43" s="27">
        <v>5117427.7199999988</v>
      </c>
      <c r="O43" s="27">
        <v>1144408.1800000002</v>
      </c>
      <c r="P43" s="27">
        <v>0</v>
      </c>
      <c r="Q43" s="28">
        <f t="shared" ca="1" si="2"/>
        <v>6261835.8999999985</v>
      </c>
    </row>
    <row r="44" spans="1:17" x14ac:dyDescent="0.25">
      <c r="A44" s="161" t="s">
        <v>350</v>
      </c>
      <c r="B44" s="27">
        <v>7288239.9299999997</v>
      </c>
      <c r="C44" s="27">
        <v>8499506.9499999993</v>
      </c>
      <c r="D44" s="27">
        <v>4754765.4000000004</v>
      </c>
      <c r="E44" s="28">
        <f t="shared" ca="1" si="0"/>
        <v>20542512.280000001</v>
      </c>
      <c r="F44" s="27"/>
      <c r="G44" s="161" t="s">
        <v>350</v>
      </c>
      <c r="H44" s="27">
        <v>5760736.0800000001</v>
      </c>
      <c r="I44" s="27">
        <v>3725598.8899999997</v>
      </c>
      <c r="J44" s="27">
        <v>3637308.6799999997</v>
      </c>
      <c r="K44" s="28">
        <f t="shared" ca="1" si="1"/>
        <v>13123643.649999999</v>
      </c>
      <c r="L44" s="27"/>
      <c r="M44" s="161" t="s">
        <v>350</v>
      </c>
      <c r="N44" s="27">
        <v>6685333.1599999992</v>
      </c>
      <c r="O44" s="27">
        <v>950717.43999999994</v>
      </c>
      <c r="P44" s="27">
        <v>0</v>
      </c>
      <c r="Q44" s="28">
        <f t="shared" ca="1" si="2"/>
        <v>7636050.5999999996</v>
      </c>
    </row>
    <row r="45" spans="1:17" x14ac:dyDescent="0.25">
      <c r="A45" s="162" t="s">
        <v>351</v>
      </c>
      <c r="B45" s="27">
        <v>12064355.23</v>
      </c>
      <c r="C45" s="27">
        <v>11506715.399999999</v>
      </c>
      <c r="D45" s="27">
        <v>12203630.930000003</v>
      </c>
      <c r="E45" s="28">
        <f t="shared" ca="1" si="0"/>
        <v>35774701.560000002</v>
      </c>
      <c r="F45" s="27"/>
      <c r="G45" s="162" t="s">
        <v>351</v>
      </c>
      <c r="H45" s="27">
        <v>10397352.229999997</v>
      </c>
      <c r="I45" s="27">
        <v>6349260.0999999987</v>
      </c>
      <c r="J45" s="27">
        <v>7905040.4900000002</v>
      </c>
      <c r="K45" s="28">
        <f t="shared" ca="1" si="1"/>
        <v>24651652.819999993</v>
      </c>
      <c r="L45" s="27"/>
      <c r="M45" s="162" t="s">
        <v>351</v>
      </c>
      <c r="N45" s="27">
        <v>10092340.859999999</v>
      </c>
      <c r="O45" s="27">
        <v>694471.95000000019</v>
      </c>
      <c r="P45" s="27">
        <v>0</v>
      </c>
      <c r="Q45" s="28">
        <f t="shared" ca="1" si="2"/>
        <v>10786812.809999999</v>
      </c>
    </row>
    <row r="46" spans="1:17" x14ac:dyDescent="0.25">
      <c r="A46" s="162" t="s">
        <v>352</v>
      </c>
      <c r="B46" s="27">
        <v>9254495.1699999999</v>
      </c>
      <c r="C46" s="27">
        <v>8871801.7000000011</v>
      </c>
      <c r="D46" s="27">
        <v>8969119.4100000001</v>
      </c>
      <c r="E46" s="28">
        <f t="shared" ca="1" si="0"/>
        <v>27095416.280000001</v>
      </c>
      <c r="F46" s="27"/>
      <c r="G46" s="162" t="s">
        <v>352</v>
      </c>
      <c r="H46" s="27">
        <v>13675879.380000001</v>
      </c>
      <c r="I46" s="27">
        <v>5628641.2200000007</v>
      </c>
      <c r="J46" s="27">
        <v>4978871.3100000005</v>
      </c>
      <c r="K46" s="28">
        <f t="shared" ca="1" si="1"/>
        <v>24283391.910000004</v>
      </c>
      <c r="L46" s="27"/>
      <c r="M46" s="162" t="s">
        <v>352</v>
      </c>
      <c r="N46" s="27">
        <v>9130357.25</v>
      </c>
      <c r="O46" s="27">
        <v>1487406.6499999994</v>
      </c>
      <c r="P46" s="27">
        <v>0</v>
      </c>
      <c r="Q46" s="28">
        <f t="shared" ca="1" si="2"/>
        <v>10617763.899999999</v>
      </c>
    </row>
    <row r="47" spans="1:17" x14ac:dyDescent="0.25">
      <c r="A47" s="162" t="s">
        <v>353</v>
      </c>
      <c r="B47" s="27">
        <v>1644499.68</v>
      </c>
      <c r="C47" s="27">
        <v>2622104.3699999992</v>
      </c>
      <c r="D47" s="27">
        <v>2285995.580000001</v>
      </c>
      <c r="E47" s="28">
        <f t="shared" ca="1" si="0"/>
        <v>6552599.6299999999</v>
      </c>
      <c r="F47" s="27"/>
      <c r="G47" s="162" t="s">
        <v>353</v>
      </c>
      <c r="H47" s="27">
        <v>969045.00999999966</v>
      </c>
      <c r="I47" s="27">
        <v>3512086.37</v>
      </c>
      <c r="J47" s="27">
        <v>2438257.0199999996</v>
      </c>
      <c r="K47" s="28">
        <f t="shared" ca="1" si="1"/>
        <v>6919388.3999999994</v>
      </c>
      <c r="L47" s="27"/>
      <c r="M47" s="162" t="s">
        <v>353</v>
      </c>
      <c r="N47" s="27">
        <v>2089997.4199999995</v>
      </c>
      <c r="O47" s="27">
        <v>218382</v>
      </c>
      <c r="P47" s="27">
        <v>0</v>
      </c>
      <c r="Q47" s="28">
        <f t="shared" ca="1" si="2"/>
        <v>2308379.4199999995</v>
      </c>
    </row>
    <row r="48" spans="1:17" x14ac:dyDescent="0.25">
      <c r="A48" s="162" t="s">
        <v>354</v>
      </c>
      <c r="B48" s="27">
        <v>10207993</v>
      </c>
      <c r="C48" s="27">
        <v>664882.02</v>
      </c>
      <c r="D48" s="27">
        <v>0</v>
      </c>
      <c r="E48" s="28">
        <f t="shared" ca="1" si="0"/>
        <v>10872875.02</v>
      </c>
      <c r="F48" s="27"/>
      <c r="G48" s="162" t="s">
        <v>354</v>
      </c>
      <c r="H48" s="27">
        <v>103522.04000000004</v>
      </c>
      <c r="I48" s="27">
        <v>7</v>
      </c>
      <c r="J48" s="27">
        <v>34000</v>
      </c>
      <c r="K48" s="28">
        <f t="shared" ca="1" si="1"/>
        <v>137529.04000000004</v>
      </c>
      <c r="L48" s="27"/>
      <c r="M48" s="162" t="s">
        <v>354</v>
      </c>
      <c r="N48" s="27">
        <v>158962</v>
      </c>
      <c r="O48" s="27">
        <v>0</v>
      </c>
      <c r="P48" s="27">
        <v>0</v>
      </c>
      <c r="Q48" s="28">
        <f t="shared" ca="1" si="2"/>
        <v>158962</v>
      </c>
    </row>
    <row r="49" spans="1:17" x14ac:dyDescent="0.25">
      <c r="A49" s="162" t="s">
        <v>355</v>
      </c>
      <c r="B49" s="27">
        <v>11457295.280000001</v>
      </c>
      <c r="C49" s="27">
        <v>6920833.4799999995</v>
      </c>
      <c r="D49" s="27">
        <v>8223703.879999999</v>
      </c>
      <c r="E49" s="28">
        <f t="shared" ca="1" si="0"/>
        <v>26601832.640000001</v>
      </c>
      <c r="F49" s="27"/>
      <c r="G49" s="162" t="s">
        <v>355</v>
      </c>
      <c r="H49" s="27">
        <v>10795573.909999998</v>
      </c>
      <c r="I49" s="27">
        <v>11421378.039999999</v>
      </c>
      <c r="J49" s="27">
        <v>13393666.08</v>
      </c>
      <c r="K49" s="28">
        <f t="shared" ca="1" si="1"/>
        <v>35610618.029999994</v>
      </c>
      <c r="L49" s="27"/>
      <c r="M49" s="162" t="s">
        <v>355</v>
      </c>
      <c r="N49" s="27">
        <v>11321612.42</v>
      </c>
      <c r="O49" s="27">
        <v>653791.84000000008</v>
      </c>
      <c r="P49" s="27">
        <v>0</v>
      </c>
      <c r="Q49" s="28">
        <f t="shared" ca="1" si="2"/>
        <v>11975404.26</v>
      </c>
    </row>
    <row r="50" spans="1:17" x14ac:dyDescent="0.25">
      <c r="A50" s="162" t="s">
        <v>356</v>
      </c>
      <c r="B50" s="27">
        <v>2002522.2199999997</v>
      </c>
      <c r="C50" s="27">
        <v>618943.37999999966</v>
      </c>
      <c r="D50" s="27">
        <v>1383055.93</v>
      </c>
      <c r="E50" s="28">
        <f t="shared" ca="1" si="0"/>
        <v>4004521.5299999993</v>
      </c>
      <c r="F50" s="27"/>
      <c r="G50" s="162" t="s">
        <v>356</v>
      </c>
      <c r="H50" s="27">
        <v>1778336.1100000006</v>
      </c>
      <c r="I50" s="27">
        <v>1618560.7200000002</v>
      </c>
      <c r="J50" s="27">
        <v>584231.87000000034</v>
      </c>
      <c r="K50" s="28">
        <f t="shared" ca="1" si="1"/>
        <v>3981128.7000000011</v>
      </c>
      <c r="L50" s="27"/>
      <c r="M50" s="162" t="s">
        <v>356</v>
      </c>
      <c r="N50" s="27">
        <v>865230.39999999979</v>
      </c>
      <c r="O50" s="27">
        <v>21000</v>
      </c>
      <c r="P50" s="27">
        <v>0</v>
      </c>
      <c r="Q50" s="28">
        <f t="shared" ca="1" si="2"/>
        <v>886230.39999999979</v>
      </c>
    </row>
    <row r="51" spans="1:17" x14ac:dyDescent="0.25">
      <c r="A51" s="162" t="s">
        <v>357</v>
      </c>
      <c r="B51" s="27">
        <v>5318898.6599999983</v>
      </c>
      <c r="C51" s="27">
        <v>3704704.8</v>
      </c>
      <c r="D51" s="27">
        <v>7504263.9000000004</v>
      </c>
      <c r="E51" s="28">
        <f t="shared" ca="1" si="0"/>
        <v>16527867.359999998</v>
      </c>
      <c r="F51" s="27"/>
      <c r="G51" s="162" t="s">
        <v>357</v>
      </c>
      <c r="H51" s="27">
        <v>705068.86</v>
      </c>
      <c r="I51" s="27">
        <v>1603691.2</v>
      </c>
      <c r="J51" s="27">
        <v>3247274.9899999998</v>
      </c>
      <c r="K51" s="28">
        <f t="shared" ca="1" si="1"/>
        <v>5556035.0499999998</v>
      </c>
      <c r="L51" s="27"/>
      <c r="M51" s="162" t="s">
        <v>357</v>
      </c>
      <c r="N51" s="27">
        <v>689843.23999999987</v>
      </c>
      <c r="O51" s="27">
        <v>40000</v>
      </c>
      <c r="P51" s="27">
        <v>0</v>
      </c>
      <c r="Q51" s="28">
        <f t="shared" ca="1" si="2"/>
        <v>729843.23999999987</v>
      </c>
    </row>
    <row r="52" spans="1:17" x14ac:dyDescent="0.25">
      <c r="A52" s="162" t="s">
        <v>358</v>
      </c>
      <c r="B52" s="27">
        <v>2724715.2000000007</v>
      </c>
      <c r="C52" s="27">
        <v>2148532.77</v>
      </c>
      <c r="D52" s="27">
        <v>1230449.8599999999</v>
      </c>
      <c r="E52" s="28">
        <f t="shared" ca="1" si="0"/>
        <v>6103697.8300000001</v>
      </c>
      <c r="F52" s="27"/>
      <c r="G52" s="162" t="s">
        <v>358</v>
      </c>
      <c r="H52" s="27">
        <v>5634243.3599999994</v>
      </c>
      <c r="I52" s="27">
        <v>955821.88</v>
      </c>
      <c r="J52" s="27">
        <v>2204792.11</v>
      </c>
      <c r="K52" s="28">
        <f t="shared" ca="1" si="1"/>
        <v>8794857.3499999996</v>
      </c>
      <c r="L52" s="27"/>
      <c r="M52" s="162" t="s">
        <v>358</v>
      </c>
      <c r="N52" s="27">
        <v>3004998.3</v>
      </c>
      <c r="O52" s="27">
        <v>0</v>
      </c>
      <c r="P52" s="27">
        <v>0</v>
      </c>
      <c r="Q52" s="28">
        <f t="shared" ca="1" si="2"/>
        <v>3004998.3</v>
      </c>
    </row>
    <row r="53" spans="1:17" x14ac:dyDescent="0.25">
      <c r="A53" s="162" t="s">
        <v>359</v>
      </c>
      <c r="B53" s="27">
        <v>3802937.07</v>
      </c>
      <c r="C53" s="27">
        <v>2084819.92</v>
      </c>
      <c r="D53" s="27">
        <v>1875726.6099999999</v>
      </c>
      <c r="E53" s="28">
        <f t="shared" ca="1" si="0"/>
        <v>7763483.5999999996</v>
      </c>
      <c r="F53" s="27"/>
      <c r="G53" s="162" t="s">
        <v>359</v>
      </c>
      <c r="H53" s="27">
        <v>108941.94</v>
      </c>
      <c r="I53" s="27">
        <v>505632.24000000005</v>
      </c>
      <c r="J53" s="27">
        <v>586190.64</v>
      </c>
      <c r="K53" s="28">
        <f t="shared" ca="1" si="1"/>
        <v>1200764.82</v>
      </c>
      <c r="L53" s="27"/>
      <c r="M53" s="162" t="s">
        <v>359</v>
      </c>
      <c r="N53" s="27">
        <v>3416260.8100000005</v>
      </c>
      <c r="O53" s="27">
        <v>729990.46</v>
      </c>
      <c r="P53" s="27">
        <v>0</v>
      </c>
      <c r="Q53" s="28">
        <f t="shared" ca="1" si="2"/>
        <v>4146251.2700000005</v>
      </c>
    </row>
    <row r="54" spans="1:17" x14ac:dyDescent="0.25">
      <c r="A54" s="162" t="s">
        <v>360</v>
      </c>
      <c r="B54" s="27">
        <v>3882041.120000001</v>
      </c>
      <c r="C54" s="27">
        <v>1291360.1000000001</v>
      </c>
      <c r="D54" s="27">
        <v>5066062.2799999993</v>
      </c>
      <c r="E54" s="28">
        <f t="shared" ca="1" si="0"/>
        <v>10239463.5</v>
      </c>
      <c r="F54" s="27"/>
      <c r="G54" s="162" t="s">
        <v>360</v>
      </c>
      <c r="H54" s="27">
        <v>3504293.4899999998</v>
      </c>
      <c r="I54" s="27">
        <v>2955960.35</v>
      </c>
      <c r="J54" s="27">
        <v>2931399.4699999997</v>
      </c>
      <c r="K54" s="28">
        <f t="shared" ca="1" si="1"/>
        <v>9391653.3099999987</v>
      </c>
      <c r="L54" s="27"/>
      <c r="M54" s="162" t="s">
        <v>360</v>
      </c>
      <c r="N54" s="27">
        <v>3300573.2100000004</v>
      </c>
      <c r="O54" s="27">
        <v>449043.77</v>
      </c>
      <c r="P54" s="27">
        <v>0</v>
      </c>
      <c r="Q54" s="28">
        <f t="shared" ca="1" si="2"/>
        <v>3749616.9800000004</v>
      </c>
    </row>
    <row r="55" spans="1:17" x14ac:dyDescent="0.25">
      <c r="A55" s="162" t="s">
        <v>361</v>
      </c>
      <c r="B55" s="27">
        <v>12218827.050000003</v>
      </c>
      <c r="C55" s="27">
        <v>10284897.67</v>
      </c>
      <c r="D55" s="27">
        <v>7284082.7699999986</v>
      </c>
      <c r="E55" s="28">
        <f t="shared" ca="1" si="0"/>
        <v>29787807.490000002</v>
      </c>
      <c r="F55" s="27"/>
      <c r="G55" s="162" t="s">
        <v>361</v>
      </c>
      <c r="H55" s="27">
        <v>9968268.5299999975</v>
      </c>
      <c r="I55" s="27">
        <v>11236836.35</v>
      </c>
      <c r="J55" s="27">
        <v>8468900.1599999983</v>
      </c>
      <c r="K55" s="28">
        <f t="shared" ca="1" si="1"/>
        <v>29674005.039999992</v>
      </c>
      <c r="L55" s="27"/>
      <c r="M55" s="162" t="s">
        <v>361</v>
      </c>
      <c r="N55" s="27">
        <v>8228688.3300000001</v>
      </c>
      <c r="O55" s="27">
        <v>2842490.1599999992</v>
      </c>
      <c r="P55" s="27">
        <v>0</v>
      </c>
      <c r="Q55" s="28">
        <f t="shared" ca="1" si="2"/>
        <v>11071178.489999998</v>
      </c>
    </row>
    <row r="56" spans="1:17" x14ac:dyDescent="0.25">
      <c r="A56" s="162" t="s">
        <v>362</v>
      </c>
      <c r="B56" s="27">
        <v>8182487.5900000008</v>
      </c>
      <c r="C56" s="27">
        <v>10473547.109999998</v>
      </c>
      <c r="D56" s="27">
        <v>8486969.1799999978</v>
      </c>
      <c r="E56" s="28">
        <f t="shared" ca="1" si="0"/>
        <v>27143003.879999995</v>
      </c>
      <c r="F56" s="27"/>
      <c r="G56" s="162" t="s">
        <v>362</v>
      </c>
      <c r="H56" s="27">
        <v>9301164.1500000004</v>
      </c>
      <c r="I56" s="27">
        <v>6082559.8900000006</v>
      </c>
      <c r="J56" s="27">
        <v>6847166.1199999992</v>
      </c>
      <c r="K56" s="28">
        <f t="shared" ca="1" si="1"/>
        <v>22230890.16</v>
      </c>
      <c r="L56" s="27"/>
      <c r="M56" s="162" t="s">
        <v>362</v>
      </c>
      <c r="N56" s="27">
        <v>6761804.21</v>
      </c>
      <c r="O56" s="27">
        <v>2607242.96</v>
      </c>
      <c r="P56" s="27">
        <v>0</v>
      </c>
      <c r="Q56" s="28">
        <f t="shared" ca="1" si="2"/>
        <v>9369047.1699999999</v>
      </c>
    </row>
    <row r="57" spans="1:17" x14ac:dyDescent="0.25">
      <c r="A57" s="162" t="s">
        <v>363</v>
      </c>
      <c r="B57" s="27">
        <v>1600868.0800000003</v>
      </c>
      <c r="C57" s="27">
        <v>522521.5</v>
      </c>
      <c r="D57" s="27">
        <v>1900412.5099999998</v>
      </c>
      <c r="E57" s="28">
        <f t="shared" ca="1" si="0"/>
        <v>4023802.09</v>
      </c>
      <c r="F57" s="27"/>
      <c r="G57" s="162" t="s">
        <v>363</v>
      </c>
      <c r="H57" s="27">
        <v>1523667.31</v>
      </c>
      <c r="I57" s="27">
        <v>2158591.41</v>
      </c>
      <c r="J57" s="27">
        <v>1323960.5499999993</v>
      </c>
      <c r="K57" s="28">
        <f t="shared" ca="1" si="1"/>
        <v>5006219.2699999996</v>
      </c>
      <c r="L57" s="27"/>
      <c r="M57" s="162" t="s">
        <v>363</v>
      </c>
      <c r="N57" s="27">
        <v>859450.5700000003</v>
      </c>
      <c r="O57" s="27">
        <v>251597</v>
      </c>
      <c r="P57" s="27">
        <v>0</v>
      </c>
      <c r="Q57" s="28">
        <f t="shared" ca="1" si="2"/>
        <v>1111047.5700000003</v>
      </c>
    </row>
    <row r="58" spans="1:17" x14ac:dyDescent="0.25">
      <c r="A58" s="162" t="s">
        <v>364</v>
      </c>
      <c r="B58" s="27">
        <v>1925456.47</v>
      </c>
      <c r="C58" s="27">
        <v>1635131.5200000003</v>
      </c>
      <c r="D58" s="27">
        <v>1562000.3599999999</v>
      </c>
      <c r="E58" s="28">
        <f t="shared" ca="1" si="0"/>
        <v>5122588.3499999996</v>
      </c>
      <c r="F58" s="27"/>
      <c r="G58" s="162" t="s">
        <v>364</v>
      </c>
      <c r="H58" s="27">
        <v>3226165.28</v>
      </c>
      <c r="I58" s="27">
        <v>2578708.9700000007</v>
      </c>
      <c r="J58" s="27">
        <v>1318092.28</v>
      </c>
      <c r="K58" s="28">
        <f t="shared" ca="1" si="1"/>
        <v>7122966.5300000003</v>
      </c>
      <c r="L58" s="27"/>
      <c r="M58" s="162" t="s">
        <v>364</v>
      </c>
      <c r="N58" s="27">
        <v>1546833.6400000001</v>
      </c>
      <c r="O58" s="27">
        <v>0</v>
      </c>
      <c r="P58" s="27">
        <v>0</v>
      </c>
      <c r="Q58" s="28">
        <f t="shared" ca="1" si="2"/>
        <v>1546833.6400000001</v>
      </c>
    </row>
    <row r="59" spans="1:17" x14ac:dyDescent="0.25">
      <c r="A59" s="162" t="s">
        <v>365</v>
      </c>
      <c r="B59" s="27">
        <v>625641.60999999987</v>
      </c>
      <c r="C59" s="27">
        <v>874315.82000000018</v>
      </c>
      <c r="D59" s="27">
        <v>1040773.5800000001</v>
      </c>
      <c r="E59" s="28">
        <f t="shared" ca="1" si="0"/>
        <v>2540731.0100000002</v>
      </c>
      <c r="F59" s="27"/>
      <c r="G59" s="162" t="s">
        <v>365</v>
      </c>
      <c r="H59" s="27">
        <v>786012.81</v>
      </c>
      <c r="I59" s="27">
        <v>351884.11999999982</v>
      </c>
      <c r="J59" s="27">
        <v>1266276.96</v>
      </c>
      <c r="K59" s="28">
        <f t="shared" ca="1" si="1"/>
        <v>2404173.8899999997</v>
      </c>
      <c r="L59" s="27"/>
      <c r="M59" s="162" t="s">
        <v>365</v>
      </c>
      <c r="N59" s="27">
        <v>799940.26</v>
      </c>
      <c r="O59" s="27">
        <v>303251</v>
      </c>
      <c r="P59" s="27">
        <v>0</v>
      </c>
      <c r="Q59" s="28">
        <f t="shared" ca="1" si="2"/>
        <v>1103191.26</v>
      </c>
    </row>
    <row r="60" spans="1:17" x14ac:dyDescent="0.25">
      <c r="A60" s="162" t="s">
        <v>366</v>
      </c>
      <c r="B60" s="27">
        <v>1824522.28</v>
      </c>
      <c r="C60" s="27">
        <v>1154112.7699999993</v>
      </c>
      <c r="D60" s="27">
        <v>1023562.9200000002</v>
      </c>
      <c r="E60" s="28">
        <f t="shared" ca="1" si="0"/>
        <v>4002197.9699999997</v>
      </c>
      <c r="F60" s="27"/>
      <c r="G60" s="162" t="s">
        <v>366</v>
      </c>
      <c r="H60" s="27">
        <v>1991374.8299999991</v>
      </c>
      <c r="I60" s="27">
        <v>661100.56000000006</v>
      </c>
      <c r="J60" s="27">
        <v>2787574.84</v>
      </c>
      <c r="K60" s="28">
        <f t="shared" ca="1" si="1"/>
        <v>5440050.2299999986</v>
      </c>
      <c r="L60" s="27"/>
      <c r="M60" s="162" t="s">
        <v>366</v>
      </c>
      <c r="N60" s="27">
        <v>660533.68000000005</v>
      </c>
      <c r="O60" s="27">
        <v>915082.36999999918</v>
      </c>
      <c r="P60" s="27">
        <v>0</v>
      </c>
      <c r="Q60" s="28">
        <f t="shared" ca="1" si="2"/>
        <v>1575616.0499999993</v>
      </c>
    </row>
    <row r="61" spans="1:17" x14ac:dyDescent="0.25">
      <c r="A61" s="162" t="s">
        <v>367</v>
      </c>
      <c r="B61" s="27">
        <v>3299316.2399999998</v>
      </c>
      <c r="C61" s="27">
        <v>3834978.47</v>
      </c>
      <c r="D61" s="27">
        <v>2620629.4299999992</v>
      </c>
      <c r="E61" s="28">
        <f t="shared" ca="1" si="0"/>
        <v>9754924.1399999987</v>
      </c>
      <c r="F61" s="27"/>
      <c r="G61" s="162" t="s">
        <v>367</v>
      </c>
      <c r="H61" s="27">
        <v>4211288.5899999989</v>
      </c>
      <c r="I61" s="27">
        <v>3464222.27</v>
      </c>
      <c r="J61" s="27">
        <v>3647031.67</v>
      </c>
      <c r="K61" s="28">
        <f t="shared" ca="1" si="1"/>
        <v>11322542.529999999</v>
      </c>
      <c r="L61" s="27"/>
      <c r="M61" s="162" t="s">
        <v>367</v>
      </c>
      <c r="N61" s="27">
        <v>3143998.4899999998</v>
      </c>
      <c r="O61" s="27">
        <v>314055.59999999986</v>
      </c>
      <c r="P61" s="27">
        <v>0</v>
      </c>
      <c r="Q61" s="28">
        <f t="shared" ca="1" si="2"/>
        <v>3458054.09</v>
      </c>
    </row>
    <row r="62" spans="1:17" x14ac:dyDescent="0.25">
      <c r="A62" s="162" t="s">
        <v>368</v>
      </c>
      <c r="B62" s="27">
        <v>6157505.0899999999</v>
      </c>
      <c r="C62" s="27">
        <v>2243829.9299999997</v>
      </c>
      <c r="D62" s="27">
        <v>4227948.9300000016</v>
      </c>
      <c r="E62" s="28">
        <f t="shared" ca="1" si="0"/>
        <v>12629283.950000001</v>
      </c>
      <c r="F62" s="27"/>
      <c r="G62" s="162" t="s">
        <v>368</v>
      </c>
      <c r="H62" s="27">
        <v>2660665.2699999996</v>
      </c>
      <c r="I62" s="27">
        <v>2798120.8000000007</v>
      </c>
      <c r="J62" s="27">
        <v>1918233.73</v>
      </c>
      <c r="K62" s="28">
        <f t="shared" ca="1" si="1"/>
        <v>7377019.8000000007</v>
      </c>
      <c r="L62" s="27"/>
      <c r="M62" s="162" t="s">
        <v>368</v>
      </c>
      <c r="N62" s="27">
        <v>2190142.9300000006</v>
      </c>
      <c r="O62" s="27">
        <v>154113.88</v>
      </c>
      <c r="P62" s="27">
        <v>0</v>
      </c>
      <c r="Q62" s="28">
        <f t="shared" ca="1" si="2"/>
        <v>2344256.8100000005</v>
      </c>
    </row>
    <row r="63" spans="1:17" x14ac:dyDescent="0.25">
      <c r="A63" s="162" t="s">
        <v>369</v>
      </c>
      <c r="B63" s="27">
        <v>352884</v>
      </c>
      <c r="C63" s="27">
        <v>875354.42999999982</v>
      </c>
      <c r="D63" s="27">
        <v>94027</v>
      </c>
      <c r="E63" s="28">
        <f t="shared" ca="1" si="0"/>
        <v>1322265.4299999997</v>
      </c>
      <c r="F63" s="27"/>
      <c r="G63" s="162" t="s">
        <v>369</v>
      </c>
      <c r="H63" s="27">
        <v>256320</v>
      </c>
      <c r="I63" s="27">
        <v>1325670.3600000001</v>
      </c>
      <c r="J63" s="27">
        <v>0</v>
      </c>
      <c r="K63" s="28">
        <f t="shared" ca="1" si="1"/>
        <v>1581990.36</v>
      </c>
      <c r="L63" s="27"/>
      <c r="M63" s="162" t="s">
        <v>369</v>
      </c>
      <c r="N63" s="27">
        <v>284788</v>
      </c>
      <c r="O63" s="27">
        <v>659475.89999999979</v>
      </c>
      <c r="P63" s="27">
        <v>0</v>
      </c>
      <c r="Q63" s="28">
        <f t="shared" ca="1" si="2"/>
        <v>944263.89999999979</v>
      </c>
    </row>
    <row r="64" spans="1:17" x14ac:dyDescent="0.25">
      <c r="A64" s="162" t="s">
        <v>370</v>
      </c>
      <c r="B64" s="27">
        <v>759708.97</v>
      </c>
      <c r="C64" s="27">
        <v>990788.10000000009</v>
      </c>
      <c r="D64" s="27">
        <v>1334675.55</v>
      </c>
      <c r="E64" s="28">
        <f t="shared" ca="1" si="0"/>
        <v>3085172.62</v>
      </c>
      <c r="F64" s="27"/>
      <c r="G64" s="162" t="s">
        <v>370</v>
      </c>
      <c r="H64" s="27">
        <v>882894.58999999962</v>
      </c>
      <c r="I64" s="27">
        <v>933820</v>
      </c>
      <c r="J64" s="27">
        <v>974172.87999999989</v>
      </c>
      <c r="K64" s="28">
        <f t="shared" ca="1" si="1"/>
        <v>2790887.4699999997</v>
      </c>
      <c r="L64" s="27"/>
      <c r="M64" s="162" t="s">
        <v>370</v>
      </c>
      <c r="N64" s="27">
        <v>843511.19999999984</v>
      </c>
      <c r="O64" s="27">
        <v>360669.2100000002</v>
      </c>
      <c r="P64" s="27">
        <v>0</v>
      </c>
      <c r="Q64" s="28">
        <f t="shared" ca="1" si="2"/>
        <v>1204180.4100000001</v>
      </c>
    </row>
    <row r="65" spans="1:17" x14ac:dyDescent="0.25">
      <c r="A65" s="162" t="s">
        <v>371</v>
      </c>
      <c r="B65" s="27">
        <v>4550992.9499999993</v>
      </c>
      <c r="C65" s="27">
        <v>4240226.26</v>
      </c>
      <c r="D65" s="27">
        <v>4181725.92</v>
      </c>
      <c r="E65" s="28">
        <f t="shared" ca="1" si="0"/>
        <v>12972945.129999999</v>
      </c>
      <c r="F65" s="27"/>
      <c r="G65" s="162" t="s">
        <v>371</v>
      </c>
      <c r="H65" s="27">
        <v>4971431.97</v>
      </c>
      <c r="I65" s="27">
        <v>4153624.71</v>
      </c>
      <c r="J65" s="27">
        <v>2480502.0200000005</v>
      </c>
      <c r="K65" s="28">
        <f t="shared" ca="1" si="1"/>
        <v>11605558.699999999</v>
      </c>
      <c r="L65" s="27"/>
      <c r="M65" s="162" t="s">
        <v>371</v>
      </c>
      <c r="N65" s="27">
        <v>3512628.0999999996</v>
      </c>
      <c r="O65" s="27">
        <v>14446</v>
      </c>
      <c r="P65" s="27">
        <v>0</v>
      </c>
      <c r="Q65" s="28">
        <f t="shared" ca="1" si="2"/>
        <v>3527074.0999999996</v>
      </c>
    </row>
    <row r="66" spans="1:17" x14ac:dyDescent="0.25">
      <c r="A66" s="162" t="s">
        <v>372</v>
      </c>
      <c r="B66" s="27">
        <v>3716037</v>
      </c>
      <c r="C66" s="27">
        <v>113492.85000000009</v>
      </c>
      <c r="D66" s="27">
        <v>2968877.7499999991</v>
      </c>
      <c r="E66" s="28">
        <f t="shared" ca="1" si="0"/>
        <v>6798407.5999999996</v>
      </c>
      <c r="F66" s="27"/>
      <c r="G66" s="162" t="s">
        <v>372</v>
      </c>
      <c r="H66" s="27">
        <v>6176279</v>
      </c>
      <c r="I66" s="27">
        <v>3343028.92</v>
      </c>
      <c r="J66" s="27">
        <v>2684654</v>
      </c>
      <c r="K66" s="28">
        <f t="shared" ca="1" si="1"/>
        <v>12203961.92</v>
      </c>
      <c r="L66" s="27"/>
      <c r="M66" s="162" t="s">
        <v>372</v>
      </c>
      <c r="N66" s="27">
        <v>0</v>
      </c>
      <c r="O66" s="27">
        <v>0</v>
      </c>
      <c r="P66" s="27">
        <v>0</v>
      </c>
      <c r="Q66" s="28">
        <f t="shared" ca="1" si="2"/>
        <v>0</v>
      </c>
    </row>
    <row r="67" spans="1:17" x14ac:dyDescent="0.25">
      <c r="A67" s="162" t="s">
        <v>373</v>
      </c>
      <c r="B67" s="27">
        <v>59850</v>
      </c>
      <c r="C67" s="27">
        <v>0</v>
      </c>
      <c r="D67" s="27">
        <v>879436.41</v>
      </c>
      <c r="E67" s="28">
        <f t="shared" ca="1" si="0"/>
        <v>939286.41</v>
      </c>
      <c r="F67" s="27"/>
      <c r="G67" s="162" t="s">
        <v>373</v>
      </c>
      <c r="H67" s="27">
        <v>504791</v>
      </c>
      <c r="I67" s="27">
        <v>527396.03</v>
      </c>
      <c r="J67" s="27">
        <v>248882.72000000009</v>
      </c>
      <c r="K67" s="28">
        <f t="shared" ca="1" si="1"/>
        <v>1281069.75</v>
      </c>
      <c r="L67" s="27"/>
      <c r="M67" s="162" t="s">
        <v>373</v>
      </c>
      <c r="N67" s="27">
        <v>436320</v>
      </c>
      <c r="O67" s="27">
        <v>0</v>
      </c>
      <c r="P67" s="27">
        <v>0</v>
      </c>
      <c r="Q67" s="28">
        <f t="shared" ca="1" si="2"/>
        <v>436320</v>
      </c>
    </row>
    <row r="68" spans="1:17" x14ac:dyDescent="0.25">
      <c r="A68" s="162" t="s">
        <v>374</v>
      </c>
      <c r="B68" s="27">
        <v>985441.98</v>
      </c>
      <c r="C68" s="27">
        <v>390734.83999999997</v>
      </c>
      <c r="D68" s="27">
        <v>245872.32999999996</v>
      </c>
      <c r="E68" s="28">
        <f t="shared" ca="1" si="0"/>
        <v>1622049.15</v>
      </c>
      <c r="F68" s="27"/>
      <c r="G68" s="162" t="s">
        <v>374</v>
      </c>
      <c r="H68" s="27">
        <v>487125</v>
      </c>
      <c r="I68" s="27">
        <v>295081.5</v>
      </c>
      <c r="J68" s="27">
        <v>460867.64999999997</v>
      </c>
      <c r="K68" s="28">
        <f t="shared" ca="1" si="1"/>
        <v>1243074.1499999999</v>
      </c>
      <c r="L68" s="27"/>
      <c r="M68" s="162" t="s">
        <v>374</v>
      </c>
      <c r="N68" s="27">
        <v>1146423.3399999999</v>
      </c>
      <c r="O68" s="27">
        <v>0</v>
      </c>
      <c r="P68" s="27">
        <v>0</v>
      </c>
      <c r="Q68" s="28">
        <f t="shared" ca="1" si="2"/>
        <v>1146423.3399999999</v>
      </c>
    </row>
    <row r="69" spans="1:17" x14ac:dyDescent="0.25">
      <c r="A69" s="162" t="s">
        <v>375</v>
      </c>
      <c r="B69" s="27">
        <v>1309446.7</v>
      </c>
      <c r="C69" s="27">
        <v>260556.76000000007</v>
      </c>
      <c r="D69" s="27">
        <v>638107.09000000032</v>
      </c>
      <c r="E69" s="28">
        <f t="shared" ca="1" si="0"/>
        <v>2208110.5500000003</v>
      </c>
      <c r="F69" s="27"/>
      <c r="G69" s="162" t="s">
        <v>375</v>
      </c>
      <c r="H69" s="27">
        <v>1310801</v>
      </c>
      <c r="I69" s="27">
        <v>2267980.98</v>
      </c>
      <c r="J69" s="27">
        <v>189786</v>
      </c>
      <c r="K69" s="28">
        <f t="shared" ca="1" si="1"/>
        <v>3768567.98</v>
      </c>
      <c r="L69" s="27"/>
      <c r="M69" s="162" t="s">
        <v>375</v>
      </c>
      <c r="N69" s="27">
        <v>91750</v>
      </c>
      <c r="O69" s="27">
        <v>200000</v>
      </c>
      <c r="P69" s="27">
        <v>0</v>
      </c>
      <c r="Q69" s="28">
        <f t="shared" ca="1" si="2"/>
        <v>291750</v>
      </c>
    </row>
    <row r="70" spans="1:17" x14ac:dyDescent="0.25">
      <c r="A70" s="162" t="s">
        <v>376</v>
      </c>
      <c r="B70" s="27">
        <v>19130344.149999999</v>
      </c>
      <c r="C70" s="27">
        <v>6374173.4899999993</v>
      </c>
      <c r="D70" s="27">
        <v>5480588.6399999987</v>
      </c>
      <c r="E70" s="28">
        <f t="shared" ca="1" si="0"/>
        <v>30985106.279999994</v>
      </c>
      <c r="F70" s="27"/>
      <c r="G70" s="162" t="s">
        <v>376</v>
      </c>
      <c r="H70" s="27">
        <v>23093993.509999994</v>
      </c>
      <c r="I70" s="27">
        <v>4191535.02</v>
      </c>
      <c r="J70" s="27">
        <v>3561033.29</v>
      </c>
      <c r="K70" s="28">
        <f t="shared" ca="1" si="1"/>
        <v>30846561.819999993</v>
      </c>
      <c r="L70" s="27"/>
      <c r="M70" s="162" t="s">
        <v>376</v>
      </c>
      <c r="N70" s="27">
        <v>5836926.6799999997</v>
      </c>
      <c r="O70" s="27">
        <v>527648.90999999968</v>
      </c>
      <c r="P70" s="27">
        <v>0</v>
      </c>
      <c r="Q70" s="28">
        <f t="shared" ca="1" si="2"/>
        <v>6364575.5899999999</v>
      </c>
    </row>
    <row r="71" spans="1:17" x14ac:dyDescent="0.25">
      <c r="A71" s="162" t="s">
        <v>377</v>
      </c>
      <c r="B71" s="27">
        <v>13662721.079999996</v>
      </c>
      <c r="C71" s="27">
        <v>6094142.6999999993</v>
      </c>
      <c r="D71" s="27">
        <v>5685052.2199999997</v>
      </c>
      <c r="E71" s="28">
        <f t="shared" ca="1" si="0"/>
        <v>25441915.999999993</v>
      </c>
      <c r="F71" s="27"/>
      <c r="G71" s="162" t="s">
        <v>377</v>
      </c>
      <c r="H71" s="27">
        <v>3337846.1500000004</v>
      </c>
      <c r="I71" s="27">
        <v>3929659.37</v>
      </c>
      <c r="J71" s="27">
        <v>3201493.44</v>
      </c>
      <c r="K71" s="28">
        <f t="shared" ca="1" si="1"/>
        <v>10468998.960000001</v>
      </c>
      <c r="L71" s="27"/>
      <c r="M71" s="162" t="s">
        <v>377</v>
      </c>
      <c r="N71" s="27">
        <v>7962452.709999999</v>
      </c>
      <c r="O71" s="27">
        <v>1095318.3500000001</v>
      </c>
      <c r="P71" s="27">
        <v>0</v>
      </c>
      <c r="Q71" s="28">
        <f t="shared" ca="1" si="2"/>
        <v>9057771.0599999987</v>
      </c>
    </row>
    <row r="72" spans="1:17" x14ac:dyDescent="0.25">
      <c r="A72" s="162" t="s">
        <v>378</v>
      </c>
      <c r="B72" s="27">
        <v>6087922.7699999996</v>
      </c>
      <c r="C72" s="27">
        <v>3372114.44</v>
      </c>
      <c r="D72" s="27">
        <v>5084843.2699999996</v>
      </c>
      <c r="E72" s="28">
        <f t="shared" ref="E72:E135" ca="1" si="3">SUM(B72:D72)</f>
        <v>14544880.479999999</v>
      </c>
      <c r="F72" s="27"/>
      <c r="G72" s="162" t="s">
        <v>378</v>
      </c>
      <c r="H72" s="27">
        <v>2624544.2799999998</v>
      </c>
      <c r="I72" s="27">
        <v>2029564.2000000002</v>
      </c>
      <c r="J72" s="27">
        <v>2040359.3600000006</v>
      </c>
      <c r="K72" s="28">
        <f t="shared" ref="K72:K135" ca="1" si="4">SUM(H72:J72)</f>
        <v>6694467.8400000008</v>
      </c>
      <c r="L72" s="27"/>
      <c r="M72" s="162" t="s">
        <v>378</v>
      </c>
      <c r="N72" s="27">
        <v>2980792.47</v>
      </c>
      <c r="O72" s="27">
        <v>363880.91000000015</v>
      </c>
      <c r="P72" s="27">
        <v>0</v>
      </c>
      <c r="Q72" s="28">
        <f t="shared" ref="Q72:Q135" ca="1" si="5">SUM(N72:P72)</f>
        <v>3344673.3800000004</v>
      </c>
    </row>
    <row r="73" spans="1:17" x14ac:dyDescent="0.25">
      <c r="A73" s="162" t="s">
        <v>379</v>
      </c>
      <c r="B73" s="27">
        <v>1775231</v>
      </c>
      <c r="C73" s="27">
        <v>970695.53000000014</v>
      </c>
      <c r="D73" s="27">
        <v>598560.89999999991</v>
      </c>
      <c r="E73" s="28">
        <f t="shared" ca="1" si="3"/>
        <v>3344487.43</v>
      </c>
      <c r="F73" s="27"/>
      <c r="G73" s="162" t="s">
        <v>379</v>
      </c>
      <c r="H73" s="27">
        <v>579911.62</v>
      </c>
      <c r="I73" s="27">
        <v>1449168</v>
      </c>
      <c r="J73" s="27">
        <v>3602698.41</v>
      </c>
      <c r="K73" s="28">
        <f t="shared" ca="1" si="4"/>
        <v>5631778.0300000003</v>
      </c>
      <c r="L73" s="27"/>
      <c r="M73" s="162" t="s">
        <v>379</v>
      </c>
      <c r="N73" s="27">
        <v>1841508.59</v>
      </c>
      <c r="O73" s="27">
        <v>0</v>
      </c>
      <c r="P73" s="27">
        <v>0</v>
      </c>
      <c r="Q73" s="28">
        <f t="shared" ca="1" si="5"/>
        <v>1841508.59</v>
      </c>
    </row>
    <row r="74" spans="1:17" x14ac:dyDescent="0.25">
      <c r="A74" s="162" t="s">
        <v>380</v>
      </c>
      <c r="B74" s="27">
        <v>0</v>
      </c>
      <c r="C74" s="27">
        <v>521252.22</v>
      </c>
      <c r="D74" s="27">
        <v>405699.27999999997</v>
      </c>
      <c r="E74" s="28">
        <f t="shared" ca="1" si="3"/>
        <v>926951.5</v>
      </c>
      <c r="F74" s="27"/>
      <c r="G74" s="162" t="s">
        <v>380</v>
      </c>
      <c r="H74" s="27">
        <v>1504000</v>
      </c>
      <c r="I74" s="27">
        <v>30000</v>
      </c>
      <c r="J74" s="27">
        <v>4420806.6599999992</v>
      </c>
      <c r="K74" s="28">
        <f t="shared" ca="1" si="4"/>
        <v>5954806.6599999992</v>
      </c>
      <c r="L74" s="27"/>
      <c r="M74" s="162" t="s">
        <v>380</v>
      </c>
      <c r="N74" s="27">
        <v>0</v>
      </c>
      <c r="O74" s="27">
        <v>0</v>
      </c>
      <c r="P74" s="27">
        <v>0</v>
      </c>
      <c r="Q74" s="28">
        <f t="shared" ca="1" si="5"/>
        <v>0</v>
      </c>
    </row>
    <row r="75" spans="1:17" x14ac:dyDescent="0.25">
      <c r="A75" s="162" t="s">
        <v>381</v>
      </c>
      <c r="B75" s="27">
        <v>3439222.7500000009</v>
      </c>
      <c r="C75" s="27">
        <v>9600514.4900000021</v>
      </c>
      <c r="D75" s="27">
        <v>2657973.86</v>
      </c>
      <c r="E75" s="28">
        <f t="shared" ca="1" si="3"/>
        <v>15697711.100000001</v>
      </c>
      <c r="F75" s="27"/>
      <c r="G75" s="162" t="s">
        <v>381</v>
      </c>
      <c r="H75" s="27">
        <v>3226400.02</v>
      </c>
      <c r="I75" s="27">
        <v>6426545.8399999999</v>
      </c>
      <c r="J75" s="27">
        <v>2198059.5</v>
      </c>
      <c r="K75" s="28">
        <f t="shared" ca="1" si="4"/>
        <v>11851005.359999999</v>
      </c>
      <c r="L75" s="27"/>
      <c r="M75" s="162" t="s">
        <v>381</v>
      </c>
      <c r="N75" s="27">
        <v>3391870.8100000005</v>
      </c>
      <c r="O75" s="27">
        <v>409912.8600000001</v>
      </c>
      <c r="P75" s="27">
        <v>0</v>
      </c>
      <c r="Q75" s="28">
        <f t="shared" ca="1" si="5"/>
        <v>3801783.6700000009</v>
      </c>
    </row>
    <row r="76" spans="1:17" x14ac:dyDescent="0.25">
      <c r="A76" s="162" t="s">
        <v>382</v>
      </c>
      <c r="B76" s="27">
        <v>4069194.5999999987</v>
      </c>
      <c r="C76" s="27">
        <v>4643929.0099999988</v>
      </c>
      <c r="D76" s="27">
        <v>2448378.5199999996</v>
      </c>
      <c r="E76" s="28">
        <f t="shared" ca="1" si="3"/>
        <v>11161502.129999997</v>
      </c>
      <c r="F76" s="27"/>
      <c r="G76" s="162" t="s">
        <v>382</v>
      </c>
      <c r="H76" s="27">
        <v>2972626.35</v>
      </c>
      <c r="I76" s="27">
        <v>1923600.4199999997</v>
      </c>
      <c r="J76" s="27">
        <v>3420277.09</v>
      </c>
      <c r="K76" s="28">
        <f t="shared" ca="1" si="4"/>
        <v>8316503.8599999994</v>
      </c>
      <c r="L76" s="27"/>
      <c r="M76" s="162" t="s">
        <v>382</v>
      </c>
      <c r="N76" s="27">
        <v>2241378.14</v>
      </c>
      <c r="O76" s="27">
        <v>75000</v>
      </c>
      <c r="P76" s="27">
        <v>0</v>
      </c>
      <c r="Q76" s="28">
        <f t="shared" ca="1" si="5"/>
        <v>2316378.14</v>
      </c>
    </row>
    <row r="77" spans="1:17" x14ac:dyDescent="0.25">
      <c r="A77" s="162" t="s">
        <v>383</v>
      </c>
      <c r="B77" s="27">
        <v>2315643.4000000004</v>
      </c>
      <c r="C77" s="27">
        <v>940082.3</v>
      </c>
      <c r="D77" s="27">
        <v>279987.25</v>
      </c>
      <c r="E77" s="28">
        <f t="shared" ca="1" si="3"/>
        <v>3535712.95</v>
      </c>
      <c r="F77" s="27"/>
      <c r="G77" s="162" t="s">
        <v>383</v>
      </c>
      <c r="H77" s="27">
        <v>2238580.3200000003</v>
      </c>
      <c r="I77" s="27">
        <v>2045757.0600000003</v>
      </c>
      <c r="J77" s="27">
        <v>1214314</v>
      </c>
      <c r="K77" s="28">
        <f t="shared" ca="1" si="4"/>
        <v>5498651.3800000008</v>
      </c>
      <c r="L77" s="27"/>
      <c r="M77" s="162" t="s">
        <v>383</v>
      </c>
      <c r="N77" s="27">
        <v>676396.54</v>
      </c>
      <c r="O77" s="27">
        <v>0</v>
      </c>
      <c r="P77" s="27">
        <v>0</v>
      </c>
      <c r="Q77" s="28">
        <f t="shared" ca="1" si="5"/>
        <v>676396.54</v>
      </c>
    </row>
    <row r="78" spans="1:17" x14ac:dyDescent="0.25">
      <c r="A78" s="162" t="s">
        <v>384</v>
      </c>
      <c r="B78" s="27">
        <v>6672061.4999999991</v>
      </c>
      <c r="C78" s="27">
        <v>162010</v>
      </c>
      <c r="D78" s="27">
        <v>335007.62</v>
      </c>
      <c r="E78" s="28">
        <f t="shared" ca="1" si="3"/>
        <v>7169079.1199999992</v>
      </c>
      <c r="F78" s="27"/>
      <c r="G78" s="162" t="s">
        <v>384</v>
      </c>
      <c r="H78" s="27">
        <v>0</v>
      </c>
      <c r="I78" s="27">
        <v>0</v>
      </c>
      <c r="J78" s="27">
        <v>588673.60000000009</v>
      </c>
      <c r="K78" s="28">
        <f t="shared" ca="1" si="4"/>
        <v>588673.60000000009</v>
      </c>
      <c r="L78" s="27"/>
      <c r="M78" s="162" t="s">
        <v>384</v>
      </c>
      <c r="N78" s="27">
        <v>0</v>
      </c>
      <c r="O78" s="27">
        <v>155881</v>
      </c>
      <c r="P78" s="27">
        <v>0</v>
      </c>
      <c r="Q78" s="28">
        <f t="shared" ca="1" si="5"/>
        <v>155881</v>
      </c>
    </row>
    <row r="79" spans="1:17" x14ac:dyDescent="0.25">
      <c r="A79" s="162" t="s">
        <v>385</v>
      </c>
      <c r="B79" s="27">
        <v>1305138.0799999998</v>
      </c>
      <c r="C79" s="27">
        <v>302166.07999999996</v>
      </c>
      <c r="D79" s="27">
        <v>230501.4700000002</v>
      </c>
      <c r="E79" s="28">
        <f t="shared" ca="1" si="3"/>
        <v>1837805.63</v>
      </c>
      <c r="F79" s="27"/>
      <c r="G79" s="162" t="s">
        <v>385</v>
      </c>
      <c r="H79" s="27">
        <v>651324.91999999993</v>
      </c>
      <c r="I79" s="27">
        <v>844082.5399999998</v>
      </c>
      <c r="J79" s="27">
        <v>375936.53999999992</v>
      </c>
      <c r="K79" s="28">
        <f t="shared" ca="1" si="4"/>
        <v>1871343.9999999995</v>
      </c>
      <c r="L79" s="27"/>
      <c r="M79" s="162" t="s">
        <v>385</v>
      </c>
      <c r="N79" s="27">
        <v>774390.66000000015</v>
      </c>
      <c r="O79" s="27">
        <v>0</v>
      </c>
      <c r="P79" s="27">
        <v>0</v>
      </c>
      <c r="Q79" s="28">
        <f t="shared" ca="1" si="5"/>
        <v>774390.66000000015</v>
      </c>
    </row>
    <row r="80" spans="1:17" x14ac:dyDescent="0.25">
      <c r="A80" s="162" t="s">
        <v>386</v>
      </c>
      <c r="B80" s="27">
        <v>0</v>
      </c>
      <c r="C80" s="27">
        <v>0</v>
      </c>
      <c r="D80" s="27">
        <v>0</v>
      </c>
      <c r="E80" s="28">
        <f t="shared" ca="1" si="3"/>
        <v>0</v>
      </c>
      <c r="F80" s="27"/>
      <c r="G80" s="162" t="s">
        <v>386</v>
      </c>
      <c r="H80" s="27">
        <v>0</v>
      </c>
      <c r="I80" s="27">
        <v>65898</v>
      </c>
      <c r="J80" s="27">
        <v>0</v>
      </c>
      <c r="K80" s="28">
        <f t="shared" ca="1" si="4"/>
        <v>65898</v>
      </c>
      <c r="L80" s="27"/>
      <c r="M80" s="162" t="s">
        <v>386</v>
      </c>
      <c r="N80" s="27">
        <v>0</v>
      </c>
      <c r="O80" s="27">
        <v>0</v>
      </c>
      <c r="P80" s="27">
        <v>0</v>
      </c>
      <c r="Q80" s="28">
        <f t="shared" ca="1" si="5"/>
        <v>0</v>
      </c>
    </row>
    <row r="81" spans="1:17" x14ac:dyDescent="0.25">
      <c r="A81" s="162" t="s">
        <v>387</v>
      </c>
      <c r="B81" s="27">
        <v>7456011.8600000022</v>
      </c>
      <c r="C81" s="27">
        <v>3701550.25</v>
      </c>
      <c r="D81" s="27">
        <v>3088611.87</v>
      </c>
      <c r="E81" s="28">
        <f t="shared" ca="1" si="3"/>
        <v>14246173.980000004</v>
      </c>
      <c r="F81" s="27"/>
      <c r="G81" s="162" t="s">
        <v>387</v>
      </c>
      <c r="H81" s="27">
        <v>3266929.3899999997</v>
      </c>
      <c r="I81" s="27">
        <v>2266749.0099999998</v>
      </c>
      <c r="J81" s="27">
        <v>3196017.0500000003</v>
      </c>
      <c r="K81" s="28">
        <f t="shared" ca="1" si="4"/>
        <v>8729695.4499999993</v>
      </c>
      <c r="L81" s="27"/>
      <c r="M81" s="162" t="s">
        <v>387</v>
      </c>
      <c r="N81" s="27">
        <v>3626597.6400000006</v>
      </c>
      <c r="O81" s="27">
        <v>540929.82999999996</v>
      </c>
      <c r="P81" s="27">
        <v>0</v>
      </c>
      <c r="Q81" s="28">
        <f t="shared" ca="1" si="5"/>
        <v>4167527.4700000007</v>
      </c>
    </row>
    <row r="82" spans="1:17" x14ac:dyDescent="0.25">
      <c r="A82" s="162" t="s">
        <v>388</v>
      </c>
      <c r="B82" s="27">
        <v>2849165.8400000012</v>
      </c>
      <c r="C82" s="27">
        <v>3175199.5200000005</v>
      </c>
      <c r="D82" s="27">
        <v>130000</v>
      </c>
      <c r="E82" s="28">
        <f t="shared" ca="1" si="3"/>
        <v>6154365.3600000013</v>
      </c>
      <c r="F82" s="27"/>
      <c r="G82" s="162" t="s">
        <v>388</v>
      </c>
      <c r="H82" s="27">
        <v>223602.52000000025</v>
      </c>
      <c r="I82" s="27">
        <v>251800.79999999818</v>
      </c>
      <c r="J82" s="27">
        <v>1998587.5099999998</v>
      </c>
      <c r="K82" s="28">
        <f t="shared" ca="1" si="4"/>
        <v>2473990.8299999982</v>
      </c>
      <c r="L82" s="27"/>
      <c r="M82" s="162" t="s">
        <v>388</v>
      </c>
      <c r="N82" s="27">
        <v>864860.01999999979</v>
      </c>
      <c r="O82" s="27">
        <v>0</v>
      </c>
      <c r="P82" s="27">
        <v>0</v>
      </c>
      <c r="Q82" s="28">
        <f t="shared" ca="1" si="5"/>
        <v>864860.01999999979</v>
      </c>
    </row>
    <row r="83" spans="1:17" x14ac:dyDescent="0.25">
      <c r="A83" s="162" t="s">
        <v>389</v>
      </c>
      <c r="B83" s="27">
        <v>2782707.7</v>
      </c>
      <c r="C83" s="27">
        <v>1315068.1500000001</v>
      </c>
      <c r="D83" s="27">
        <v>2484660.9500000002</v>
      </c>
      <c r="E83" s="28">
        <f t="shared" ca="1" si="3"/>
        <v>6582436.8000000007</v>
      </c>
      <c r="F83" s="27"/>
      <c r="G83" s="162" t="s">
        <v>389</v>
      </c>
      <c r="H83" s="27">
        <v>3262183.07</v>
      </c>
      <c r="I83" s="27">
        <v>2619872.6100000003</v>
      </c>
      <c r="J83" s="27">
        <v>661861.53</v>
      </c>
      <c r="K83" s="28">
        <f t="shared" ca="1" si="4"/>
        <v>6543917.21</v>
      </c>
      <c r="L83" s="27"/>
      <c r="M83" s="162" t="s">
        <v>389</v>
      </c>
      <c r="N83" s="27">
        <v>740780.29000000027</v>
      </c>
      <c r="O83" s="27">
        <v>22835.599999999977</v>
      </c>
      <c r="P83" s="27">
        <v>0</v>
      </c>
      <c r="Q83" s="28">
        <f t="shared" ca="1" si="5"/>
        <v>763615.89000000025</v>
      </c>
    </row>
    <row r="84" spans="1:17" x14ac:dyDescent="0.25">
      <c r="A84" s="162" t="s">
        <v>390</v>
      </c>
      <c r="B84" s="27">
        <v>1786108.77</v>
      </c>
      <c r="C84" s="27">
        <v>3900776.59</v>
      </c>
      <c r="D84" s="27">
        <v>1100897</v>
      </c>
      <c r="E84" s="28">
        <f t="shared" ca="1" si="3"/>
        <v>6787782.3599999994</v>
      </c>
      <c r="F84" s="27"/>
      <c r="G84" s="162" t="s">
        <v>390</v>
      </c>
      <c r="H84" s="27">
        <v>3538196.1799999997</v>
      </c>
      <c r="I84" s="27">
        <v>1953031.9700000002</v>
      </c>
      <c r="J84" s="27">
        <v>1754568.61</v>
      </c>
      <c r="K84" s="28">
        <f t="shared" ca="1" si="4"/>
        <v>7245796.7600000007</v>
      </c>
      <c r="L84" s="27"/>
      <c r="M84" s="162" t="s">
        <v>390</v>
      </c>
      <c r="N84" s="27">
        <v>1422016.62</v>
      </c>
      <c r="O84" s="27">
        <v>349290.06000000006</v>
      </c>
      <c r="P84" s="27">
        <v>0</v>
      </c>
      <c r="Q84" s="28">
        <f t="shared" ca="1" si="5"/>
        <v>1771306.6800000002</v>
      </c>
    </row>
    <row r="85" spans="1:17" x14ac:dyDescent="0.25">
      <c r="A85" s="162" t="s">
        <v>391</v>
      </c>
      <c r="B85" s="27">
        <v>2739658.2700000005</v>
      </c>
      <c r="C85" s="27">
        <v>2160724.1599999997</v>
      </c>
      <c r="D85" s="27">
        <v>2881416.9699999997</v>
      </c>
      <c r="E85" s="28">
        <f t="shared" ca="1" si="3"/>
        <v>7781799.3999999994</v>
      </c>
      <c r="F85" s="27"/>
      <c r="G85" s="162" t="s">
        <v>391</v>
      </c>
      <c r="H85" s="27">
        <v>818382</v>
      </c>
      <c r="I85" s="27">
        <v>588710.95999999973</v>
      </c>
      <c r="J85" s="27">
        <v>779262.49999999988</v>
      </c>
      <c r="K85" s="28">
        <f t="shared" ca="1" si="4"/>
        <v>2186355.4599999995</v>
      </c>
      <c r="L85" s="27"/>
      <c r="M85" s="162" t="s">
        <v>391</v>
      </c>
      <c r="N85" s="27">
        <v>2303805.6800000002</v>
      </c>
      <c r="O85" s="27">
        <v>100000</v>
      </c>
      <c r="P85" s="27">
        <v>0</v>
      </c>
      <c r="Q85" s="28">
        <f t="shared" ca="1" si="5"/>
        <v>2403805.6800000002</v>
      </c>
    </row>
    <row r="86" spans="1:17" x14ac:dyDescent="0.25">
      <c r="A86" s="162" t="s">
        <v>392</v>
      </c>
      <c r="B86" s="27">
        <v>959509</v>
      </c>
      <c r="C86" s="27">
        <v>0</v>
      </c>
      <c r="D86" s="27">
        <v>1142546.21</v>
      </c>
      <c r="E86" s="28">
        <f t="shared" ca="1" si="3"/>
        <v>2102055.21</v>
      </c>
      <c r="F86" s="27"/>
      <c r="G86" s="162" t="s">
        <v>392</v>
      </c>
      <c r="H86" s="27">
        <v>3893251.8000000007</v>
      </c>
      <c r="I86" s="27">
        <v>1198068.3999999999</v>
      </c>
      <c r="J86" s="27">
        <v>110373.10000000009</v>
      </c>
      <c r="K86" s="28">
        <f t="shared" ca="1" si="4"/>
        <v>5201693.3000000007</v>
      </c>
      <c r="L86" s="27"/>
      <c r="M86" s="162" t="s">
        <v>392</v>
      </c>
      <c r="N86" s="27">
        <v>0</v>
      </c>
      <c r="O86" s="27">
        <v>0</v>
      </c>
      <c r="P86" s="27">
        <v>0</v>
      </c>
      <c r="Q86" s="28">
        <f t="shared" ca="1" si="5"/>
        <v>0</v>
      </c>
    </row>
    <row r="87" spans="1:17" x14ac:dyDescent="0.25">
      <c r="A87" s="162">
        <v>0</v>
      </c>
      <c r="B87" s="27">
        <v>0</v>
      </c>
      <c r="C87" s="27">
        <v>0</v>
      </c>
      <c r="D87" s="27">
        <v>0</v>
      </c>
      <c r="E87" s="28">
        <f t="shared" ca="1" si="3"/>
        <v>0</v>
      </c>
      <c r="F87" s="27"/>
      <c r="G87" s="162">
        <v>0</v>
      </c>
      <c r="H87" s="27">
        <v>0</v>
      </c>
      <c r="I87" s="27">
        <v>0</v>
      </c>
      <c r="J87" s="27">
        <v>0</v>
      </c>
      <c r="K87" s="28">
        <f t="shared" ca="1" si="4"/>
        <v>0</v>
      </c>
      <c r="L87" s="27"/>
      <c r="M87" s="162">
        <v>0</v>
      </c>
      <c r="N87" s="27">
        <v>0</v>
      </c>
      <c r="O87" s="27">
        <v>0</v>
      </c>
      <c r="P87" s="27">
        <v>0</v>
      </c>
      <c r="Q87" s="28">
        <f t="shared" ca="1" si="5"/>
        <v>0</v>
      </c>
    </row>
    <row r="88" spans="1:17" x14ac:dyDescent="0.25">
      <c r="A88" s="162" t="s">
        <v>393</v>
      </c>
      <c r="B88" s="27">
        <v>142056.33999999997</v>
      </c>
      <c r="C88" s="27">
        <v>0</v>
      </c>
      <c r="D88" s="27">
        <v>149760</v>
      </c>
      <c r="E88" s="28">
        <f t="shared" ca="1" si="3"/>
        <v>291816.33999999997</v>
      </c>
      <c r="F88" s="27"/>
      <c r="G88" s="162" t="s">
        <v>393</v>
      </c>
      <c r="H88" s="27">
        <v>144193.33999999997</v>
      </c>
      <c r="I88" s="27">
        <v>144262</v>
      </c>
      <c r="J88" s="27">
        <v>0</v>
      </c>
      <c r="K88" s="28">
        <f t="shared" ca="1" si="4"/>
        <v>288455.33999999997</v>
      </c>
      <c r="L88" s="27"/>
      <c r="M88" s="162" t="s">
        <v>393</v>
      </c>
      <c r="N88" s="27">
        <v>178565.40999999992</v>
      </c>
      <c r="O88" s="27">
        <v>0</v>
      </c>
      <c r="P88" s="27">
        <v>0</v>
      </c>
      <c r="Q88" s="28">
        <f t="shared" ca="1" si="5"/>
        <v>178565.40999999992</v>
      </c>
    </row>
    <row r="89" spans="1:17" x14ac:dyDescent="0.25">
      <c r="A89" s="162" t="s">
        <v>394</v>
      </c>
      <c r="B89" s="27">
        <v>97605.750000000233</v>
      </c>
      <c r="C89" s="27">
        <v>276919.4700000002</v>
      </c>
      <c r="D89" s="27">
        <v>0</v>
      </c>
      <c r="E89" s="28">
        <f t="shared" ca="1" si="3"/>
        <v>374525.22000000044</v>
      </c>
      <c r="F89" s="27"/>
      <c r="G89" s="162" t="s">
        <v>394</v>
      </c>
      <c r="H89" s="27">
        <v>0</v>
      </c>
      <c r="I89" s="27">
        <v>138391.19999999995</v>
      </c>
      <c r="J89" s="27">
        <v>0</v>
      </c>
      <c r="K89" s="28">
        <f t="shared" ca="1" si="4"/>
        <v>138391.19999999995</v>
      </c>
      <c r="L89" s="27"/>
      <c r="M89" s="162" t="s">
        <v>394</v>
      </c>
      <c r="N89" s="27">
        <v>0</v>
      </c>
      <c r="O89" s="27">
        <v>0</v>
      </c>
      <c r="P89" s="27">
        <v>0</v>
      </c>
      <c r="Q89" s="28">
        <f t="shared" ca="1" si="5"/>
        <v>0</v>
      </c>
    </row>
    <row r="90" spans="1:17" x14ac:dyDescent="0.25">
      <c r="A90" s="162" t="s">
        <v>395</v>
      </c>
      <c r="B90" s="27">
        <v>198962</v>
      </c>
      <c r="C90" s="27">
        <v>0</v>
      </c>
      <c r="D90" s="27">
        <v>630104.67999999993</v>
      </c>
      <c r="E90" s="28">
        <f t="shared" ca="1" si="3"/>
        <v>829066.67999999993</v>
      </c>
      <c r="F90" s="27"/>
      <c r="G90" s="162" t="s">
        <v>395</v>
      </c>
      <c r="H90" s="27">
        <v>311969</v>
      </c>
      <c r="I90" s="27">
        <v>0</v>
      </c>
      <c r="J90" s="27">
        <v>199940</v>
      </c>
      <c r="K90" s="28">
        <f t="shared" ca="1" si="4"/>
        <v>511909</v>
      </c>
      <c r="L90" s="27"/>
      <c r="M90" s="162" t="s">
        <v>395</v>
      </c>
      <c r="N90" s="27">
        <v>0</v>
      </c>
      <c r="O90" s="27">
        <v>0</v>
      </c>
      <c r="P90" s="27">
        <v>0</v>
      </c>
      <c r="Q90" s="28">
        <f t="shared" ca="1" si="5"/>
        <v>0</v>
      </c>
    </row>
    <row r="91" spans="1:17" x14ac:dyDescent="0.25">
      <c r="A91" s="162" t="s">
        <v>396</v>
      </c>
      <c r="B91" s="27">
        <v>0</v>
      </c>
      <c r="C91" s="27">
        <v>0</v>
      </c>
      <c r="D91" s="27">
        <v>0</v>
      </c>
      <c r="E91" s="28">
        <f t="shared" ca="1" si="3"/>
        <v>0</v>
      </c>
      <c r="F91" s="27"/>
      <c r="G91" s="162" t="s">
        <v>396</v>
      </c>
      <c r="H91" s="27">
        <v>0</v>
      </c>
      <c r="I91" s="27">
        <v>0</v>
      </c>
      <c r="J91" s="27">
        <v>0</v>
      </c>
      <c r="K91" s="28">
        <f t="shared" ca="1" si="4"/>
        <v>0</v>
      </c>
      <c r="L91" s="27"/>
      <c r="M91" s="162" t="s">
        <v>396</v>
      </c>
      <c r="N91" s="27">
        <v>0</v>
      </c>
      <c r="O91" s="27">
        <v>0</v>
      </c>
      <c r="P91" s="27">
        <v>0</v>
      </c>
      <c r="Q91" s="28">
        <f t="shared" ca="1" si="5"/>
        <v>0</v>
      </c>
    </row>
    <row r="92" spans="1:17" x14ac:dyDescent="0.25">
      <c r="A92" s="162" t="s">
        <v>397</v>
      </c>
      <c r="B92" s="27">
        <v>3436109.7800000003</v>
      </c>
      <c r="C92" s="27">
        <v>122841.21000000008</v>
      </c>
      <c r="D92" s="27">
        <v>294736.78999999998</v>
      </c>
      <c r="E92" s="28">
        <f t="shared" ca="1" si="3"/>
        <v>3853687.7800000003</v>
      </c>
      <c r="F92" s="27"/>
      <c r="G92" s="162" t="s">
        <v>397</v>
      </c>
      <c r="H92" s="27">
        <v>2902088.3600000003</v>
      </c>
      <c r="I92" s="27">
        <v>1355975.6</v>
      </c>
      <c r="J92" s="27">
        <v>294354.25999999989</v>
      </c>
      <c r="K92" s="28">
        <f t="shared" ca="1" si="4"/>
        <v>4552418.2200000007</v>
      </c>
      <c r="L92" s="27"/>
      <c r="M92" s="162" t="s">
        <v>397</v>
      </c>
      <c r="N92" s="27">
        <v>7823142.9199999999</v>
      </c>
      <c r="O92" s="27">
        <v>0</v>
      </c>
      <c r="P92" s="27">
        <v>0</v>
      </c>
      <c r="Q92" s="28">
        <f t="shared" ca="1" si="5"/>
        <v>7823142.9199999999</v>
      </c>
    </row>
    <row r="93" spans="1:17" x14ac:dyDescent="0.25">
      <c r="A93" s="162" t="s">
        <v>398</v>
      </c>
      <c r="B93" s="27">
        <v>1096074.8400000001</v>
      </c>
      <c r="C93" s="27">
        <v>1956404.36</v>
      </c>
      <c r="D93" s="27">
        <v>1342688.2</v>
      </c>
      <c r="E93" s="28">
        <f t="shared" ca="1" si="3"/>
        <v>4395167.4000000004</v>
      </c>
      <c r="F93" s="27"/>
      <c r="G93" s="162" t="s">
        <v>398</v>
      </c>
      <c r="H93" s="27">
        <v>1272986.7400000005</v>
      </c>
      <c r="I93" s="27">
        <v>891198.6</v>
      </c>
      <c r="J93" s="27">
        <v>858259.5</v>
      </c>
      <c r="K93" s="28">
        <f t="shared" ca="1" si="4"/>
        <v>3022444.8400000003</v>
      </c>
      <c r="L93" s="27"/>
      <c r="M93" s="162" t="s">
        <v>398</v>
      </c>
      <c r="N93" s="27">
        <v>1097985.8899999999</v>
      </c>
      <c r="O93" s="27">
        <v>105440</v>
      </c>
      <c r="P93" s="27">
        <v>0</v>
      </c>
      <c r="Q93" s="28">
        <f t="shared" ca="1" si="5"/>
        <v>1203425.8899999999</v>
      </c>
    </row>
    <row r="94" spans="1:17" x14ac:dyDescent="0.25">
      <c r="A94" s="162" t="s">
        <v>399</v>
      </c>
      <c r="B94" s="27">
        <v>526724.15999999992</v>
      </c>
      <c r="C94" s="27">
        <v>216228.39</v>
      </c>
      <c r="D94" s="27">
        <v>1362894.3900000001</v>
      </c>
      <c r="E94" s="28">
        <f t="shared" ca="1" si="3"/>
        <v>2105846.94</v>
      </c>
      <c r="F94" s="27"/>
      <c r="G94" s="162" t="s">
        <v>399</v>
      </c>
      <c r="H94" s="27">
        <v>949813.9800000001</v>
      </c>
      <c r="I94" s="27">
        <v>1556692.8</v>
      </c>
      <c r="J94" s="27">
        <v>1583220.6800000002</v>
      </c>
      <c r="K94" s="28">
        <f t="shared" ca="1" si="4"/>
        <v>4089727.4600000004</v>
      </c>
      <c r="L94" s="27"/>
      <c r="M94" s="162" t="s">
        <v>399</v>
      </c>
      <c r="N94" s="27">
        <v>741823</v>
      </c>
      <c r="O94" s="27">
        <v>136728.27000000002</v>
      </c>
      <c r="P94" s="27">
        <v>0</v>
      </c>
      <c r="Q94" s="28">
        <f t="shared" ca="1" si="5"/>
        <v>878551.27</v>
      </c>
    </row>
    <row r="95" spans="1:17" x14ac:dyDescent="0.25">
      <c r="A95" s="162" t="s">
        <v>400</v>
      </c>
      <c r="B95" s="27">
        <v>0</v>
      </c>
      <c r="C95" s="27">
        <v>120532</v>
      </c>
      <c r="D95" s="27">
        <v>1000000</v>
      </c>
      <c r="E95" s="28">
        <f t="shared" ca="1" si="3"/>
        <v>1120532</v>
      </c>
      <c r="F95" s="27"/>
      <c r="G95" s="162" t="s">
        <v>400</v>
      </c>
      <c r="H95" s="27">
        <v>2140471</v>
      </c>
      <c r="I95" s="27">
        <v>0</v>
      </c>
      <c r="J95" s="27">
        <v>0</v>
      </c>
      <c r="K95" s="28">
        <f t="shared" ca="1" si="4"/>
        <v>2140471</v>
      </c>
      <c r="L95" s="27"/>
      <c r="M95" s="162" t="s">
        <v>400</v>
      </c>
      <c r="N95" s="27">
        <v>170132.08999999997</v>
      </c>
      <c r="O95" s="27">
        <v>2489542</v>
      </c>
      <c r="P95" s="27">
        <v>0</v>
      </c>
      <c r="Q95" s="28">
        <f t="shared" ca="1" si="5"/>
        <v>2659674.09</v>
      </c>
    </row>
    <row r="96" spans="1:17" x14ac:dyDescent="0.25">
      <c r="A96" s="162" t="s">
        <v>401</v>
      </c>
      <c r="B96" s="27">
        <v>799563.94000000064</v>
      </c>
      <c r="C96" s="27">
        <v>817526.25</v>
      </c>
      <c r="D96" s="27">
        <v>164998.81999999969</v>
      </c>
      <c r="E96" s="28">
        <f t="shared" ca="1" si="3"/>
        <v>1782089.0100000002</v>
      </c>
      <c r="F96" s="27"/>
      <c r="G96" s="162" t="s">
        <v>401</v>
      </c>
      <c r="H96" s="27">
        <v>125559</v>
      </c>
      <c r="I96" s="27">
        <v>884984.09999999986</v>
      </c>
      <c r="J96" s="27">
        <v>686656</v>
      </c>
      <c r="K96" s="28">
        <f t="shared" ca="1" si="4"/>
        <v>1697199.0999999999</v>
      </c>
      <c r="L96" s="27"/>
      <c r="M96" s="162" t="s">
        <v>401</v>
      </c>
      <c r="N96" s="27">
        <v>363435</v>
      </c>
      <c r="O96" s="27">
        <v>0</v>
      </c>
      <c r="P96" s="27">
        <v>0</v>
      </c>
      <c r="Q96" s="28">
        <f t="shared" ca="1" si="5"/>
        <v>363435</v>
      </c>
    </row>
    <row r="97" spans="1:17" x14ac:dyDescent="0.25">
      <c r="A97" s="162" t="s">
        <v>402</v>
      </c>
      <c r="B97" s="27">
        <v>0</v>
      </c>
      <c r="C97" s="27">
        <v>0</v>
      </c>
      <c r="D97" s="27">
        <v>2.1399999998975545</v>
      </c>
      <c r="E97" s="28">
        <f t="shared" ca="1" si="3"/>
        <v>2.1399999998975545</v>
      </c>
      <c r="F97" s="27"/>
      <c r="G97" s="162" t="s">
        <v>402</v>
      </c>
      <c r="H97" s="27">
        <v>0</v>
      </c>
      <c r="I97" s="27">
        <v>0</v>
      </c>
      <c r="J97" s="27">
        <v>2.1000000000931323</v>
      </c>
      <c r="K97" s="28">
        <f t="shared" ca="1" si="4"/>
        <v>2.1000000000931323</v>
      </c>
      <c r="L97" s="27"/>
      <c r="M97" s="162" t="s">
        <v>402</v>
      </c>
      <c r="N97" s="27">
        <v>0</v>
      </c>
      <c r="O97" s="27">
        <v>0</v>
      </c>
      <c r="P97" s="27">
        <v>0</v>
      </c>
      <c r="Q97" s="28">
        <f t="shared" ca="1" si="5"/>
        <v>0</v>
      </c>
    </row>
    <row r="98" spans="1:17" x14ac:dyDescent="0.25">
      <c r="A98" s="162" t="s">
        <v>403</v>
      </c>
      <c r="B98" s="27">
        <v>120330</v>
      </c>
      <c r="C98" s="27">
        <v>0</v>
      </c>
      <c r="D98" s="27">
        <v>0</v>
      </c>
      <c r="E98" s="28">
        <f t="shared" ca="1" si="3"/>
        <v>120330</v>
      </c>
      <c r="F98" s="27"/>
      <c r="G98" s="162" t="s">
        <v>403</v>
      </c>
      <c r="H98" s="27">
        <v>0</v>
      </c>
      <c r="I98" s="27">
        <v>0</v>
      </c>
      <c r="J98" s="27">
        <v>188607.60000000056</v>
      </c>
      <c r="K98" s="28">
        <f t="shared" ca="1" si="4"/>
        <v>188607.60000000056</v>
      </c>
      <c r="L98" s="27"/>
      <c r="M98" s="162" t="s">
        <v>403</v>
      </c>
      <c r="N98" s="27">
        <v>0</v>
      </c>
      <c r="O98" s="27">
        <v>0</v>
      </c>
      <c r="P98" s="27">
        <v>0</v>
      </c>
      <c r="Q98" s="28">
        <f t="shared" ca="1" si="5"/>
        <v>0</v>
      </c>
    </row>
    <row r="99" spans="1:17" x14ac:dyDescent="0.25">
      <c r="A99" s="162" t="s">
        <v>404</v>
      </c>
      <c r="B99" s="27">
        <v>10153757.93</v>
      </c>
      <c r="C99" s="27">
        <v>7605466.6099999994</v>
      </c>
      <c r="D99" s="27">
        <v>395231</v>
      </c>
      <c r="E99" s="28">
        <f t="shared" ca="1" si="3"/>
        <v>18154455.539999999</v>
      </c>
      <c r="F99" s="27"/>
      <c r="G99" s="162" t="s">
        <v>404</v>
      </c>
      <c r="H99" s="27">
        <v>12346543.579999998</v>
      </c>
      <c r="I99" s="27">
        <v>751582.06000000017</v>
      </c>
      <c r="J99" s="27">
        <v>678117.70000000019</v>
      </c>
      <c r="K99" s="28">
        <f t="shared" ca="1" si="4"/>
        <v>13776243.34</v>
      </c>
      <c r="L99" s="27"/>
      <c r="M99" s="162" t="s">
        <v>404</v>
      </c>
      <c r="N99" s="27">
        <v>2614837.4400000004</v>
      </c>
      <c r="O99" s="27">
        <v>0</v>
      </c>
      <c r="P99" s="27">
        <v>0</v>
      </c>
      <c r="Q99" s="28">
        <f t="shared" ca="1" si="5"/>
        <v>2614837.4400000004</v>
      </c>
    </row>
    <row r="100" spans="1:17" x14ac:dyDescent="0.25">
      <c r="A100" s="162" t="s">
        <v>405</v>
      </c>
      <c r="B100" s="27">
        <v>486484.02000000014</v>
      </c>
      <c r="C100" s="27">
        <v>327471.74000000011</v>
      </c>
      <c r="D100" s="27">
        <v>682574.6</v>
      </c>
      <c r="E100" s="28">
        <f t="shared" ca="1" si="3"/>
        <v>1496530.3600000003</v>
      </c>
      <c r="F100" s="27"/>
      <c r="G100" s="162" t="s">
        <v>405</v>
      </c>
      <c r="H100" s="27">
        <v>332943.62</v>
      </c>
      <c r="I100" s="27">
        <v>1692876.39</v>
      </c>
      <c r="J100" s="27">
        <v>218998.69000000018</v>
      </c>
      <c r="K100" s="28">
        <f t="shared" ca="1" si="4"/>
        <v>2244818.7000000002</v>
      </c>
      <c r="L100" s="27"/>
      <c r="M100" s="162" t="s">
        <v>405</v>
      </c>
      <c r="N100" s="27">
        <v>162637.26000000036</v>
      </c>
      <c r="O100" s="27">
        <v>0</v>
      </c>
      <c r="P100" s="27">
        <v>0</v>
      </c>
      <c r="Q100" s="28">
        <f t="shared" ca="1" si="5"/>
        <v>162637.26000000036</v>
      </c>
    </row>
    <row r="101" spans="1:17" x14ac:dyDescent="0.25">
      <c r="A101" s="162" t="s">
        <v>406</v>
      </c>
      <c r="B101" s="27">
        <v>692999</v>
      </c>
      <c r="C101" s="27">
        <v>876793.02</v>
      </c>
      <c r="D101" s="27">
        <v>554961.61</v>
      </c>
      <c r="E101" s="28">
        <f t="shared" ca="1" si="3"/>
        <v>2124753.63</v>
      </c>
      <c r="F101" s="27"/>
      <c r="G101" s="162" t="s">
        <v>406</v>
      </c>
      <c r="H101" s="27">
        <v>636232.92999999993</v>
      </c>
      <c r="I101" s="27">
        <v>501872</v>
      </c>
      <c r="J101" s="27">
        <v>249408</v>
      </c>
      <c r="K101" s="28">
        <f t="shared" ca="1" si="4"/>
        <v>1387512.93</v>
      </c>
      <c r="L101" s="27"/>
      <c r="M101" s="162" t="s">
        <v>406</v>
      </c>
      <c r="N101" s="27">
        <v>318253</v>
      </c>
      <c r="O101" s="27">
        <v>367797.26</v>
      </c>
      <c r="P101" s="27">
        <v>0</v>
      </c>
      <c r="Q101" s="28">
        <f t="shared" ca="1" si="5"/>
        <v>686050.26</v>
      </c>
    </row>
    <row r="102" spans="1:17" x14ac:dyDescent="0.25">
      <c r="A102" s="162" t="s">
        <v>407</v>
      </c>
      <c r="B102" s="27">
        <v>904551.64</v>
      </c>
      <c r="C102" s="27">
        <v>263004.23</v>
      </c>
      <c r="D102" s="27">
        <v>473546.5</v>
      </c>
      <c r="E102" s="28">
        <f t="shared" ca="1" si="3"/>
        <v>1641102.37</v>
      </c>
      <c r="F102" s="27"/>
      <c r="G102" s="162" t="s">
        <v>407</v>
      </c>
      <c r="H102" s="27">
        <v>2060395.4099999997</v>
      </c>
      <c r="I102" s="27">
        <v>3813972.84</v>
      </c>
      <c r="J102" s="27">
        <v>313359.45999999996</v>
      </c>
      <c r="K102" s="28">
        <f t="shared" ca="1" si="4"/>
        <v>6187727.71</v>
      </c>
      <c r="L102" s="27"/>
      <c r="M102" s="162" t="s">
        <v>407</v>
      </c>
      <c r="N102" s="27">
        <v>860303</v>
      </c>
      <c r="O102" s="27">
        <v>764000</v>
      </c>
      <c r="P102" s="27">
        <v>0</v>
      </c>
      <c r="Q102" s="28">
        <f t="shared" ca="1" si="5"/>
        <v>1624303</v>
      </c>
    </row>
    <row r="103" spans="1:17" x14ac:dyDescent="0.25">
      <c r="A103" s="162" t="s">
        <v>408</v>
      </c>
      <c r="B103" s="27">
        <v>2219790.81</v>
      </c>
      <c r="C103" s="27">
        <v>774372.88000000012</v>
      </c>
      <c r="D103" s="27">
        <v>1056175.55</v>
      </c>
      <c r="E103" s="28">
        <f t="shared" ca="1" si="3"/>
        <v>4050339.24</v>
      </c>
      <c r="F103" s="27"/>
      <c r="G103" s="162" t="s">
        <v>408</v>
      </c>
      <c r="H103" s="27">
        <v>1714074.2500000002</v>
      </c>
      <c r="I103" s="27">
        <v>1136495.8600000001</v>
      </c>
      <c r="J103" s="27">
        <v>2370088.17</v>
      </c>
      <c r="K103" s="28">
        <f t="shared" ca="1" si="4"/>
        <v>5220658.28</v>
      </c>
      <c r="L103" s="27"/>
      <c r="M103" s="162" t="s">
        <v>408</v>
      </c>
      <c r="N103" s="27">
        <v>675186.21000000008</v>
      </c>
      <c r="O103" s="27">
        <v>313778.71999999974</v>
      </c>
      <c r="P103" s="27">
        <v>0</v>
      </c>
      <c r="Q103" s="28">
        <f t="shared" ca="1" si="5"/>
        <v>988964.92999999982</v>
      </c>
    </row>
    <row r="104" spans="1:17" x14ac:dyDescent="0.25">
      <c r="A104" s="162" t="s">
        <v>409</v>
      </c>
      <c r="B104" s="27">
        <v>3957094.9099999992</v>
      </c>
      <c r="C104" s="27">
        <v>3943585.330000001</v>
      </c>
      <c r="D104" s="27">
        <v>5017615.7100000009</v>
      </c>
      <c r="E104" s="28">
        <f t="shared" ca="1" si="3"/>
        <v>12918295.950000001</v>
      </c>
      <c r="F104" s="27"/>
      <c r="G104" s="162" t="s">
        <v>409</v>
      </c>
      <c r="H104" s="27">
        <v>5701463.8900000006</v>
      </c>
      <c r="I104" s="27">
        <v>7663822.7699999996</v>
      </c>
      <c r="J104" s="27">
        <v>5019429.9700000007</v>
      </c>
      <c r="K104" s="28">
        <f t="shared" ca="1" si="4"/>
        <v>18384716.630000003</v>
      </c>
      <c r="L104" s="27"/>
      <c r="M104" s="162" t="s">
        <v>409</v>
      </c>
      <c r="N104" s="27">
        <v>4025254.39</v>
      </c>
      <c r="O104" s="27">
        <v>1137674.76</v>
      </c>
      <c r="P104" s="27">
        <v>0</v>
      </c>
      <c r="Q104" s="28">
        <f t="shared" ca="1" si="5"/>
        <v>5162929.1500000004</v>
      </c>
    </row>
    <row r="105" spans="1:17" x14ac:dyDescent="0.25">
      <c r="A105" s="162" t="s">
        <v>410</v>
      </c>
      <c r="B105" s="27">
        <v>1068635.9099999999</v>
      </c>
      <c r="C105" s="27">
        <v>191531.15000000002</v>
      </c>
      <c r="D105" s="27">
        <v>572370</v>
      </c>
      <c r="E105" s="28">
        <f t="shared" ca="1" si="3"/>
        <v>1832537.06</v>
      </c>
      <c r="F105" s="27"/>
      <c r="G105" s="162" t="s">
        <v>410</v>
      </c>
      <c r="H105" s="27">
        <v>286050</v>
      </c>
      <c r="I105" s="27">
        <v>432904.16000000003</v>
      </c>
      <c r="J105" s="27">
        <v>416230.01</v>
      </c>
      <c r="K105" s="28">
        <f t="shared" ca="1" si="4"/>
        <v>1135184.17</v>
      </c>
      <c r="L105" s="27"/>
      <c r="M105" s="162" t="s">
        <v>410</v>
      </c>
      <c r="N105" s="27">
        <v>40.020000000018626</v>
      </c>
      <c r="O105" s="27">
        <v>0</v>
      </c>
      <c r="P105" s="27">
        <v>0</v>
      </c>
      <c r="Q105" s="28">
        <f t="shared" ca="1" si="5"/>
        <v>40.020000000018626</v>
      </c>
    </row>
    <row r="106" spans="1:17" x14ac:dyDescent="0.25">
      <c r="A106" s="162" t="s">
        <v>411</v>
      </c>
      <c r="B106" s="27">
        <v>240831.96999999997</v>
      </c>
      <c r="C106" s="27">
        <v>19030.300000000047</v>
      </c>
      <c r="D106" s="27">
        <v>50000</v>
      </c>
      <c r="E106" s="28">
        <f t="shared" ca="1" si="3"/>
        <v>309862.27</v>
      </c>
      <c r="F106" s="27"/>
      <c r="G106" s="162" t="s">
        <v>411</v>
      </c>
      <c r="H106" s="27">
        <v>390611.58</v>
      </c>
      <c r="I106" s="27">
        <v>65000</v>
      </c>
      <c r="J106" s="27">
        <v>10000</v>
      </c>
      <c r="K106" s="28">
        <f t="shared" ca="1" si="4"/>
        <v>465611.58</v>
      </c>
      <c r="L106" s="27"/>
      <c r="M106" s="162" t="s">
        <v>411</v>
      </c>
      <c r="N106" s="27">
        <v>237790</v>
      </c>
      <c r="O106" s="27">
        <v>0</v>
      </c>
      <c r="P106" s="27">
        <v>0</v>
      </c>
      <c r="Q106" s="28">
        <f t="shared" ca="1" si="5"/>
        <v>237790</v>
      </c>
    </row>
    <row r="107" spans="1:17" x14ac:dyDescent="0.25">
      <c r="A107" s="162" t="s">
        <v>412</v>
      </c>
      <c r="B107" s="27">
        <v>418735.72</v>
      </c>
      <c r="C107" s="27">
        <v>0</v>
      </c>
      <c r="D107" s="27">
        <v>0</v>
      </c>
      <c r="E107" s="28">
        <f t="shared" ca="1" si="3"/>
        <v>418735.72</v>
      </c>
      <c r="F107" s="27"/>
      <c r="G107" s="162" t="s">
        <v>412</v>
      </c>
      <c r="H107" s="27">
        <v>0</v>
      </c>
      <c r="I107" s="27">
        <v>0</v>
      </c>
      <c r="J107" s="27">
        <v>0</v>
      </c>
      <c r="K107" s="28">
        <f t="shared" ca="1" si="4"/>
        <v>0</v>
      </c>
      <c r="L107" s="27"/>
      <c r="M107" s="162" t="s">
        <v>412</v>
      </c>
      <c r="N107" s="27">
        <v>162000</v>
      </c>
      <c r="O107" s="27">
        <v>0</v>
      </c>
      <c r="P107" s="27">
        <v>0</v>
      </c>
      <c r="Q107" s="28">
        <f t="shared" ca="1" si="5"/>
        <v>162000</v>
      </c>
    </row>
    <row r="108" spans="1:17" x14ac:dyDescent="0.25">
      <c r="A108" s="162" t="s">
        <v>413</v>
      </c>
      <c r="B108" s="27">
        <v>1469358.8499999996</v>
      </c>
      <c r="C108" s="27">
        <v>616212.36</v>
      </c>
      <c r="D108" s="27">
        <v>1910190.91</v>
      </c>
      <c r="E108" s="28">
        <f t="shared" ca="1" si="3"/>
        <v>3995762.1199999992</v>
      </c>
      <c r="F108" s="27"/>
      <c r="G108" s="162" t="s">
        <v>413</v>
      </c>
      <c r="H108" s="27">
        <v>774374.0199999999</v>
      </c>
      <c r="I108" s="27">
        <v>1390986.0499999998</v>
      </c>
      <c r="J108" s="27">
        <v>1337962.5999999996</v>
      </c>
      <c r="K108" s="28">
        <f t="shared" ca="1" si="4"/>
        <v>3503322.6699999995</v>
      </c>
      <c r="L108" s="27"/>
      <c r="M108" s="162" t="s">
        <v>413</v>
      </c>
      <c r="N108" s="27">
        <v>2574778.9500000002</v>
      </c>
      <c r="O108" s="27">
        <v>189150</v>
      </c>
      <c r="P108" s="27">
        <v>0</v>
      </c>
      <c r="Q108" s="28">
        <f t="shared" ca="1" si="5"/>
        <v>2763928.95</v>
      </c>
    </row>
    <row r="109" spans="1:17" x14ac:dyDescent="0.25">
      <c r="A109" s="162" t="s">
        <v>414</v>
      </c>
      <c r="B109" s="27">
        <v>492610</v>
      </c>
      <c r="C109" s="27">
        <v>1541128.2699999996</v>
      </c>
      <c r="D109" s="27">
        <v>1667240.6400000001</v>
      </c>
      <c r="E109" s="28">
        <f t="shared" ca="1" si="3"/>
        <v>3700978.9099999997</v>
      </c>
      <c r="F109" s="27"/>
      <c r="G109" s="162" t="s">
        <v>414</v>
      </c>
      <c r="H109" s="27">
        <v>783408.10000000009</v>
      </c>
      <c r="I109" s="27">
        <v>2353516</v>
      </c>
      <c r="J109" s="27">
        <v>0</v>
      </c>
      <c r="K109" s="28">
        <f t="shared" ca="1" si="4"/>
        <v>3136924.1</v>
      </c>
      <c r="L109" s="27"/>
      <c r="M109" s="162" t="s">
        <v>414</v>
      </c>
      <c r="N109" s="27">
        <v>0</v>
      </c>
      <c r="O109" s="27">
        <v>174062.24</v>
      </c>
      <c r="P109" s="27">
        <v>0</v>
      </c>
      <c r="Q109" s="28">
        <f t="shared" ca="1" si="5"/>
        <v>174062.24</v>
      </c>
    </row>
    <row r="110" spans="1:17" x14ac:dyDescent="0.25">
      <c r="A110" s="162" t="s">
        <v>415</v>
      </c>
      <c r="B110" s="27">
        <v>0</v>
      </c>
      <c r="C110" s="27">
        <v>0</v>
      </c>
      <c r="D110" s="27">
        <v>121710</v>
      </c>
      <c r="E110" s="28">
        <f t="shared" ca="1" si="3"/>
        <v>121710</v>
      </c>
      <c r="F110" s="27"/>
      <c r="G110" s="162" t="s">
        <v>415</v>
      </c>
      <c r="H110" s="27">
        <v>475058.29000000004</v>
      </c>
      <c r="I110" s="27">
        <v>119954.12</v>
      </c>
      <c r="J110" s="27">
        <v>0</v>
      </c>
      <c r="K110" s="28">
        <f t="shared" ca="1" si="4"/>
        <v>595012.41</v>
      </c>
      <c r="L110" s="27"/>
      <c r="M110" s="162" t="s">
        <v>415</v>
      </c>
      <c r="N110" s="27">
        <v>13977</v>
      </c>
      <c r="O110" s="27">
        <v>0</v>
      </c>
      <c r="P110" s="27">
        <v>0</v>
      </c>
      <c r="Q110" s="28">
        <f t="shared" ca="1" si="5"/>
        <v>13977</v>
      </c>
    </row>
    <row r="111" spans="1:17" x14ac:dyDescent="0.25">
      <c r="A111" s="162" t="s">
        <v>416</v>
      </c>
      <c r="B111" s="27">
        <v>0</v>
      </c>
      <c r="C111" s="27">
        <v>0</v>
      </c>
      <c r="D111" s="27">
        <v>0</v>
      </c>
      <c r="E111" s="28">
        <f t="shared" ca="1" si="3"/>
        <v>0</v>
      </c>
      <c r="F111" s="27"/>
      <c r="G111" s="162" t="s">
        <v>416</v>
      </c>
      <c r="H111" s="27">
        <v>0</v>
      </c>
      <c r="I111" s="27">
        <v>0</v>
      </c>
      <c r="J111" s="27">
        <v>0</v>
      </c>
      <c r="K111" s="28">
        <f t="shared" ca="1" si="4"/>
        <v>0</v>
      </c>
      <c r="L111" s="27"/>
      <c r="M111" s="162" t="s">
        <v>416</v>
      </c>
      <c r="N111" s="27">
        <v>0</v>
      </c>
      <c r="O111" s="27">
        <v>0</v>
      </c>
      <c r="P111" s="27">
        <v>0</v>
      </c>
      <c r="Q111" s="28">
        <f t="shared" ca="1" si="5"/>
        <v>0</v>
      </c>
    </row>
    <row r="112" spans="1:17" x14ac:dyDescent="0.25">
      <c r="A112" s="162" t="s">
        <v>417</v>
      </c>
      <c r="B112" s="27">
        <v>176712.77000000002</v>
      </c>
      <c r="C112" s="27">
        <v>966123.86</v>
      </c>
      <c r="D112" s="27">
        <v>1339317</v>
      </c>
      <c r="E112" s="28">
        <f t="shared" ca="1" si="3"/>
        <v>2482153.63</v>
      </c>
      <c r="F112" s="27"/>
      <c r="G112" s="162" t="s">
        <v>417</v>
      </c>
      <c r="H112" s="27">
        <v>263951.76</v>
      </c>
      <c r="I112" s="27">
        <v>392934</v>
      </c>
      <c r="J112" s="27">
        <v>3954107.6999999993</v>
      </c>
      <c r="K112" s="28">
        <f t="shared" ca="1" si="4"/>
        <v>4610993.459999999</v>
      </c>
      <c r="L112" s="27"/>
      <c r="M112" s="162" t="s">
        <v>417</v>
      </c>
      <c r="N112" s="27">
        <v>0</v>
      </c>
      <c r="O112" s="27">
        <v>0</v>
      </c>
      <c r="P112" s="27">
        <v>0</v>
      </c>
      <c r="Q112" s="28">
        <f t="shared" ca="1" si="5"/>
        <v>0</v>
      </c>
    </row>
    <row r="113" spans="1:17" x14ac:dyDescent="0.25">
      <c r="A113" s="162" t="s">
        <v>418</v>
      </c>
      <c r="B113" s="27">
        <v>1650773.4099999997</v>
      </c>
      <c r="C113" s="27">
        <v>1415888.43</v>
      </c>
      <c r="D113" s="27">
        <v>1679772.02</v>
      </c>
      <c r="E113" s="28">
        <f t="shared" ca="1" si="3"/>
        <v>4746433.8599999994</v>
      </c>
      <c r="F113" s="27"/>
      <c r="G113" s="162" t="s">
        <v>418</v>
      </c>
      <c r="H113" s="27">
        <v>1523740.69</v>
      </c>
      <c r="I113" s="27">
        <v>2639534.73</v>
      </c>
      <c r="J113" s="27">
        <v>1261307.48</v>
      </c>
      <c r="K113" s="28">
        <f t="shared" ca="1" si="4"/>
        <v>5424582.9000000004</v>
      </c>
      <c r="L113" s="27"/>
      <c r="M113" s="162" t="s">
        <v>418</v>
      </c>
      <c r="N113" s="27">
        <v>1244107.7999999998</v>
      </c>
      <c r="O113" s="27">
        <v>402583.79999999993</v>
      </c>
      <c r="P113" s="27">
        <v>0</v>
      </c>
      <c r="Q113" s="28">
        <f t="shared" ca="1" si="5"/>
        <v>1646691.5999999996</v>
      </c>
    </row>
    <row r="114" spans="1:17" x14ac:dyDescent="0.25">
      <c r="A114" s="162" t="s">
        <v>419</v>
      </c>
      <c r="B114" s="27">
        <v>1201496.2199999997</v>
      </c>
      <c r="C114" s="27">
        <v>215472.08000000007</v>
      </c>
      <c r="D114" s="27">
        <v>6232205.3299999991</v>
      </c>
      <c r="E114" s="28">
        <f t="shared" ca="1" si="3"/>
        <v>7649173.629999999</v>
      </c>
      <c r="F114" s="27"/>
      <c r="G114" s="162" t="s">
        <v>419</v>
      </c>
      <c r="H114" s="27">
        <v>640674.04999999958</v>
      </c>
      <c r="I114" s="27">
        <v>319560.99999999977</v>
      </c>
      <c r="J114" s="27">
        <v>1370862</v>
      </c>
      <c r="K114" s="28">
        <f t="shared" ca="1" si="4"/>
        <v>2331097.0499999993</v>
      </c>
      <c r="L114" s="27"/>
      <c r="M114" s="162" t="s">
        <v>419</v>
      </c>
      <c r="N114" s="27">
        <v>163500</v>
      </c>
      <c r="O114" s="27">
        <v>214295.09000000008</v>
      </c>
      <c r="P114" s="27">
        <v>0</v>
      </c>
      <c r="Q114" s="28">
        <f t="shared" ca="1" si="5"/>
        <v>377795.09000000008</v>
      </c>
    </row>
    <row r="115" spans="1:17" x14ac:dyDescent="0.25">
      <c r="A115" s="162" t="s">
        <v>420</v>
      </c>
      <c r="B115" s="27">
        <v>124604</v>
      </c>
      <c r="C115" s="27">
        <v>282900</v>
      </c>
      <c r="D115" s="27">
        <v>0</v>
      </c>
      <c r="E115" s="28">
        <f t="shared" ca="1" si="3"/>
        <v>407504</v>
      </c>
      <c r="F115" s="27"/>
      <c r="G115" s="162" t="s">
        <v>420</v>
      </c>
      <c r="H115" s="27">
        <v>0</v>
      </c>
      <c r="I115" s="27">
        <v>955386.05999999959</v>
      </c>
      <c r="J115" s="27">
        <v>93779</v>
      </c>
      <c r="K115" s="28">
        <f t="shared" ca="1" si="4"/>
        <v>1049165.0599999996</v>
      </c>
      <c r="L115" s="27"/>
      <c r="M115" s="162" t="s">
        <v>420</v>
      </c>
      <c r="N115" s="27">
        <v>0</v>
      </c>
      <c r="O115" s="27">
        <v>0</v>
      </c>
      <c r="P115" s="27">
        <v>0</v>
      </c>
      <c r="Q115" s="28">
        <f t="shared" ca="1" si="5"/>
        <v>0</v>
      </c>
    </row>
    <row r="116" spans="1:17" x14ac:dyDescent="0.25">
      <c r="A116" s="162" t="s">
        <v>421</v>
      </c>
      <c r="B116" s="27">
        <v>631606.93999999994</v>
      </c>
      <c r="C116" s="27">
        <v>719581.82000000007</v>
      </c>
      <c r="D116" s="27">
        <v>1497012.1600000001</v>
      </c>
      <c r="E116" s="28">
        <f t="shared" ca="1" si="3"/>
        <v>2848200.92</v>
      </c>
      <c r="F116" s="27"/>
      <c r="G116" s="162" t="s">
        <v>421</v>
      </c>
      <c r="H116" s="27">
        <v>1997125.2899999996</v>
      </c>
      <c r="I116" s="27">
        <v>549273.72</v>
      </c>
      <c r="J116" s="27">
        <v>1328398.42</v>
      </c>
      <c r="K116" s="28">
        <f t="shared" ca="1" si="4"/>
        <v>3874797.4299999997</v>
      </c>
      <c r="L116" s="27"/>
      <c r="M116" s="162" t="s">
        <v>421</v>
      </c>
      <c r="N116" s="27">
        <v>595128.11</v>
      </c>
      <c r="O116" s="27">
        <v>158388.82999999996</v>
      </c>
      <c r="P116" s="27">
        <v>0</v>
      </c>
      <c r="Q116" s="28">
        <f t="shared" ca="1" si="5"/>
        <v>753516.94</v>
      </c>
    </row>
    <row r="117" spans="1:17" x14ac:dyDescent="0.25">
      <c r="A117" s="162" t="s">
        <v>422</v>
      </c>
      <c r="B117" s="27">
        <v>0</v>
      </c>
      <c r="C117" s="27">
        <v>757819</v>
      </c>
      <c r="D117" s="27">
        <v>604912.98</v>
      </c>
      <c r="E117" s="28">
        <f t="shared" ca="1" si="3"/>
        <v>1362731.98</v>
      </c>
      <c r="F117" s="27"/>
      <c r="G117" s="162" t="s">
        <v>422</v>
      </c>
      <c r="H117" s="27">
        <v>829907.81999999983</v>
      </c>
      <c r="I117" s="27">
        <v>3564</v>
      </c>
      <c r="J117" s="27">
        <v>10000</v>
      </c>
      <c r="K117" s="28">
        <f t="shared" ca="1" si="4"/>
        <v>843471.81999999983</v>
      </c>
      <c r="L117" s="27"/>
      <c r="M117" s="162" t="s">
        <v>422</v>
      </c>
      <c r="N117" s="27">
        <v>402300</v>
      </c>
      <c r="O117" s="27">
        <v>0</v>
      </c>
      <c r="P117" s="27">
        <v>0</v>
      </c>
      <c r="Q117" s="28">
        <f t="shared" ca="1" si="5"/>
        <v>402300</v>
      </c>
    </row>
    <row r="118" spans="1:17" x14ac:dyDescent="0.25">
      <c r="A118" s="162" t="s">
        <v>423</v>
      </c>
      <c r="B118" s="27">
        <v>81205.410000000033</v>
      </c>
      <c r="C118" s="27">
        <v>325854.89000000013</v>
      </c>
      <c r="D118" s="27">
        <v>123127</v>
      </c>
      <c r="E118" s="28">
        <f t="shared" ca="1" si="3"/>
        <v>530187.30000000016</v>
      </c>
      <c r="F118" s="27"/>
      <c r="G118" s="162" t="s">
        <v>423</v>
      </c>
      <c r="H118" s="27">
        <v>141990.08000000002</v>
      </c>
      <c r="I118" s="27">
        <v>482793</v>
      </c>
      <c r="J118" s="27">
        <v>113007.47999999986</v>
      </c>
      <c r="K118" s="28">
        <f t="shared" ca="1" si="4"/>
        <v>737790.55999999994</v>
      </c>
      <c r="L118" s="27"/>
      <c r="M118" s="162" t="s">
        <v>423</v>
      </c>
      <c r="N118" s="27">
        <v>0</v>
      </c>
      <c r="O118" s="27">
        <v>325749.99000000022</v>
      </c>
      <c r="P118" s="27">
        <v>0</v>
      </c>
      <c r="Q118" s="28">
        <f t="shared" ca="1" si="5"/>
        <v>325749.99000000022</v>
      </c>
    </row>
    <row r="119" spans="1:17" x14ac:dyDescent="0.25">
      <c r="A119" s="162" t="s">
        <v>424</v>
      </c>
      <c r="B119" s="27">
        <v>1408614.8699999996</v>
      </c>
      <c r="C119" s="27">
        <v>2532686.19</v>
      </c>
      <c r="D119" s="27">
        <v>737247.55000000028</v>
      </c>
      <c r="E119" s="28">
        <f t="shared" ca="1" si="3"/>
        <v>4678548.6099999994</v>
      </c>
      <c r="F119" s="27"/>
      <c r="G119" s="162" t="s">
        <v>424</v>
      </c>
      <c r="H119" s="27">
        <v>2542833.5199999996</v>
      </c>
      <c r="I119" s="27">
        <v>458857.80000000005</v>
      </c>
      <c r="J119" s="27">
        <v>1073044.2</v>
      </c>
      <c r="K119" s="28">
        <f t="shared" ca="1" si="4"/>
        <v>4074735.5199999996</v>
      </c>
      <c r="L119" s="27"/>
      <c r="M119" s="162" t="s">
        <v>424</v>
      </c>
      <c r="N119" s="27">
        <v>969376.82000000053</v>
      </c>
      <c r="O119" s="27">
        <v>119887.62999999989</v>
      </c>
      <c r="P119" s="27">
        <v>0</v>
      </c>
      <c r="Q119" s="28">
        <f t="shared" ca="1" si="5"/>
        <v>1089264.4500000004</v>
      </c>
    </row>
    <row r="120" spans="1:17" x14ac:dyDescent="0.25">
      <c r="A120" s="162" t="s">
        <v>425</v>
      </c>
      <c r="B120" s="27">
        <v>1008351.94</v>
      </c>
      <c r="C120" s="27">
        <v>558142</v>
      </c>
      <c r="D120" s="27">
        <v>1109658.06</v>
      </c>
      <c r="E120" s="28">
        <f t="shared" ca="1" si="3"/>
        <v>2676152</v>
      </c>
      <c r="F120" s="27"/>
      <c r="G120" s="162" t="s">
        <v>425</v>
      </c>
      <c r="H120" s="27">
        <v>4976527.82</v>
      </c>
      <c r="I120" s="27">
        <v>2411945.44</v>
      </c>
      <c r="J120" s="27">
        <v>872436.51</v>
      </c>
      <c r="K120" s="28">
        <f t="shared" ca="1" si="4"/>
        <v>8260909.7699999996</v>
      </c>
      <c r="L120" s="27"/>
      <c r="M120" s="162" t="s">
        <v>425</v>
      </c>
      <c r="N120" s="27">
        <v>2326234.399999999</v>
      </c>
      <c r="O120" s="27">
        <v>15000</v>
      </c>
      <c r="P120" s="27">
        <v>0</v>
      </c>
      <c r="Q120" s="28">
        <f t="shared" ca="1" si="5"/>
        <v>2341234.399999999</v>
      </c>
    </row>
    <row r="121" spans="1:17" x14ac:dyDescent="0.25">
      <c r="A121" s="162" t="s">
        <v>426</v>
      </c>
      <c r="B121" s="27">
        <v>420645.54</v>
      </c>
      <c r="C121" s="27">
        <v>906887.09</v>
      </c>
      <c r="D121" s="27">
        <v>1160724.9100000001</v>
      </c>
      <c r="E121" s="28">
        <f t="shared" ca="1" si="3"/>
        <v>2488257.54</v>
      </c>
      <c r="F121" s="27"/>
      <c r="G121" s="162" t="s">
        <v>426</v>
      </c>
      <c r="H121" s="27">
        <v>2750413.89</v>
      </c>
      <c r="I121" s="27">
        <v>1934755.2</v>
      </c>
      <c r="J121" s="27">
        <v>0.36999999999534339</v>
      </c>
      <c r="K121" s="28">
        <f t="shared" ca="1" si="4"/>
        <v>4685169.46</v>
      </c>
      <c r="L121" s="27"/>
      <c r="M121" s="162" t="s">
        <v>426</v>
      </c>
      <c r="N121" s="27">
        <v>1341982.56</v>
      </c>
      <c r="O121" s="27">
        <v>125679</v>
      </c>
      <c r="P121" s="27">
        <v>0</v>
      </c>
      <c r="Q121" s="28">
        <f t="shared" ca="1" si="5"/>
        <v>1467661.56</v>
      </c>
    </row>
    <row r="122" spans="1:17" x14ac:dyDescent="0.25">
      <c r="A122" s="162" t="s">
        <v>427</v>
      </c>
      <c r="B122" s="27">
        <v>700426.30999999994</v>
      </c>
      <c r="C122" s="27">
        <v>134753</v>
      </c>
      <c r="D122" s="27">
        <v>89212.040000000037</v>
      </c>
      <c r="E122" s="28">
        <f t="shared" ca="1" si="3"/>
        <v>924391.35</v>
      </c>
      <c r="F122" s="27"/>
      <c r="G122" s="162" t="s">
        <v>427</v>
      </c>
      <c r="H122" s="27">
        <v>143504.64000000001</v>
      </c>
      <c r="I122" s="27">
        <v>0</v>
      </c>
      <c r="J122" s="27">
        <v>186083.28000000003</v>
      </c>
      <c r="K122" s="28">
        <f t="shared" ca="1" si="4"/>
        <v>329587.92000000004</v>
      </c>
      <c r="L122" s="27"/>
      <c r="M122" s="162" t="s">
        <v>427</v>
      </c>
      <c r="N122" s="27">
        <v>221163.0999999998</v>
      </c>
      <c r="O122" s="27">
        <v>0</v>
      </c>
      <c r="P122" s="27">
        <v>0</v>
      </c>
      <c r="Q122" s="28">
        <f t="shared" ca="1" si="5"/>
        <v>221163.0999999998</v>
      </c>
    </row>
    <row r="123" spans="1:17" x14ac:dyDescent="0.25">
      <c r="A123" s="162" t="s">
        <v>428</v>
      </c>
      <c r="B123" s="27">
        <v>50000</v>
      </c>
      <c r="C123" s="27">
        <v>1553600.66</v>
      </c>
      <c r="D123" s="27">
        <v>120300.04999999993</v>
      </c>
      <c r="E123" s="28">
        <f t="shared" ca="1" si="3"/>
        <v>1723900.71</v>
      </c>
      <c r="F123" s="27"/>
      <c r="G123" s="162" t="s">
        <v>428</v>
      </c>
      <c r="H123" s="27">
        <v>610024</v>
      </c>
      <c r="I123" s="27">
        <v>197730</v>
      </c>
      <c r="J123" s="27">
        <v>0</v>
      </c>
      <c r="K123" s="28">
        <f t="shared" ca="1" si="4"/>
        <v>807754</v>
      </c>
      <c r="L123" s="27"/>
      <c r="M123" s="162" t="s">
        <v>428</v>
      </c>
      <c r="N123" s="27">
        <v>0</v>
      </c>
      <c r="O123" s="27">
        <v>0</v>
      </c>
      <c r="P123" s="27">
        <v>0</v>
      </c>
      <c r="Q123" s="28">
        <f t="shared" ca="1" si="5"/>
        <v>0</v>
      </c>
    </row>
    <row r="124" spans="1:17" x14ac:dyDescent="0.25">
      <c r="A124" s="162" t="s">
        <v>429</v>
      </c>
      <c r="B124" s="27">
        <v>715803.31</v>
      </c>
      <c r="C124" s="27">
        <v>315115.51</v>
      </c>
      <c r="D124" s="27">
        <v>160920.63</v>
      </c>
      <c r="E124" s="28">
        <f t="shared" ca="1" si="3"/>
        <v>1191839.4500000002</v>
      </c>
      <c r="F124" s="27"/>
      <c r="G124" s="162" t="s">
        <v>429</v>
      </c>
      <c r="H124" s="27">
        <v>284427.77</v>
      </c>
      <c r="I124" s="27">
        <v>1425733.5</v>
      </c>
      <c r="J124" s="27">
        <v>140715.22999999998</v>
      </c>
      <c r="K124" s="28">
        <f t="shared" ca="1" si="4"/>
        <v>1850876.5</v>
      </c>
      <c r="L124" s="27"/>
      <c r="M124" s="162" t="s">
        <v>429</v>
      </c>
      <c r="N124" s="27">
        <v>1878587.92</v>
      </c>
      <c r="O124" s="27">
        <v>114896</v>
      </c>
      <c r="P124" s="27">
        <v>0</v>
      </c>
      <c r="Q124" s="28">
        <f t="shared" ca="1" si="5"/>
        <v>1993483.92</v>
      </c>
    </row>
    <row r="125" spans="1:17" x14ac:dyDescent="0.25">
      <c r="A125" s="162" t="s">
        <v>430</v>
      </c>
      <c r="B125" s="27">
        <v>0</v>
      </c>
      <c r="C125" s="27">
        <v>0</v>
      </c>
      <c r="D125" s="27">
        <v>0</v>
      </c>
      <c r="E125" s="28">
        <f t="shared" ca="1" si="3"/>
        <v>0</v>
      </c>
      <c r="F125" s="27"/>
      <c r="G125" s="162" t="s">
        <v>430</v>
      </c>
      <c r="H125" s="27">
        <v>13859.549999999814</v>
      </c>
      <c r="I125" s="27">
        <v>0</v>
      </c>
      <c r="J125" s="27">
        <v>0</v>
      </c>
      <c r="K125" s="28">
        <f t="shared" ca="1" si="4"/>
        <v>13859.549999999814</v>
      </c>
      <c r="L125" s="27"/>
      <c r="M125" s="162" t="s">
        <v>430</v>
      </c>
      <c r="N125" s="27">
        <v>0</v>
      </c>
      <c r="O125" s="27">
        <v>0</v>
      </c>
      <c r="P125" s="27">
        <v>0</v>
      </c>
      <c r="Q125" s="28">
        <f t="shared" ca="1" si="5"/>
        <v>0</v>
      </c>
    </row>
    <row r="126" spans="1:17" x14ac:dyDescent="0.25">
      <c r="A126" s="162" t="s">
        <v>431</v>
      </c>
      <c r="B126" s="27">
        <v>649272.97</v>
      </c>
      <c r="C126" s="27">
        <v>1295359.31</v>
      </c>
      <c r="D126" s="27">
        <v>676238.86999999965</v>
      </c>
      <c r="E126" s="28">
        <f t="shared" ca="1" si="3"/>
        <v>2620871.1499999994</v>
      </c>
      <c r="F126" s="27"/>
      <c r="G126" s="162" t="s">
        <v>431</v>
      </c>
      <c r="H126" s="27">
        <v>794311.60000000009</v>
      </c>
      <c r="I126" s="27">
        <v>283092.96000000002</v>
      </c>
      <c r="J126" s="27">
        <v>811990.84</v>
      </c>
      <c r="K126" s="28">
        <f t="shared" ca="1" si="4"/>
        <v>1889395.4</v>
      </c>
      <c r="L126" s="27"/>
      <c r="M126" s="162" t="s">
        <v>431</v>
      </c>
      <c r="N126" s="27">
        <v>1488788.4899999998</v>
      </c>
      <c r="O126" s="27">
        <v>0</v>
      </c>
      <c r="P126" s="27">
        <v>0</v>
      </c>
      <c r="Q126" s="28">
        <f t="shared" ca="1" si="5"/>
        <v>1488788.4899999998</v>
      </c>
    </row>
    <row r="127" spans="1:17" x14ac:dyDescent="0.25">
      <c r="A127" s="162" t="s">
        <v>432</v>
      </c>
      <c r="B127" s="27">
        <v>472781</v>
      </c>
      <c r="C127" s="27">
        <v>0</v>
      </c>
      <c r="D127" s="27">
        <v>0</v>
      </c>
      <c r="E127" s="28">
        <f t="shared" ca="1" si="3"/>
        <v>472781</v>
      </c>
      <c r="F127" s="27"/>
      <c r="G127" s="162" t="s">
        <v>432</v>
      </c>
      <c r="H127" s="27">
        <v>0</v>
      </c>
      <c r="I127" s="27">
        <v>300778.26</v>
      </c>
      <c r="J127" s="27">
        <v>0</v>
      </c>
      <c r="K127" s="28">
        <f t="shared" ca="1" si="4"/>
        <v>300778.26</v>
      </c>
      <c r="L127" s="27"/>
      <c r="M127" s="162" t="s">
        <v>432</v>
      </c>
      <c r="N127" s="27">
        <v>0</v>
      </c>
      <c r="O127" s="27">
        <v>214718</v>
      </c>
      <c r="P127" s="27">
        <v>0</v>
      </c>
      <c r="Q127" s="28">
        <f t="shared" ca="1" si="5"/>
        <v>214718</v>
      </c>
    </row>
    <row r="128" spans="1:17" x14ac:dyDescent="0.25">
      <c r="A128" s="162" t="s">
        <v>433</v>
      </c>
      <c r="B128" s="27">
        <v>1365584.47</v>
      </c>
      <c r="C128" s="27">
        <v>573959.76</v>
      </c>
      <c r="D128" s="27">
        <v>6115058.21</v>
      </c>
      <c r="E128" s="28">
        <f t="shared" ca="1" si="3"/>
        <v>8054602.4399999995</v>
      </c>
      <c r="F128" s="27"/>
      <c r="G128" s="162" t="s">
        <v>433</v>
      </c>
      <c r="H128" s="27">
        <v>5443701.1500000004</v>
      </c>
      <c r="I128" s="27">
        <v>989254.6</v>
      </c>
      <c r="J128" s="27">
        <v>3156081.24</v>
      </c>
      <c r="K128" s="28">
        <f t="shared" ca="1" si="4"/>
        <v>9589036.9900000002</v>
      </c>
      <c r="L128" s="27"/>
      <c r="M128" s="162" t="s">
        <v>433</v>
      </c>
      <c r="N128" s="27">
        <v>5818149.2199999997</v>
      </c>
      <c r="O128" s="27">
        <v>165971.35999999999</v>
      </c>
      <c r="P128" s="27">
        <v>0</v>
      </c>
      <c r="Q128" s="28">
        <f t="shared" ca="1" si="5"/>
        <v>5984120.5800000001</v>
      </c>
    </row>
    <row r="129" spans="1:17" x14ac:dyDescent="0.25">
      <c r="A129" s="162" t="s">
        <v>434</v>
      </c>
      <c r="B129" s="27">
        <v>2433740.64</v>
      </c>
      <c r="C129" s="27">
        <v>356221.70000000019</v>
      </c>
      <c r="D129" s="27">
        <v>905235.78</v>
      </c>
      <c r="E129" s="28">
        <f t="shared" ca="1" si="3"/>
        <v>3695198.12</v>
      </c>
      <c r="F129" s="27"/>
      <c r="G129" s="162" t="s">
        <v>434</v>
      </c>
      <c r="H129" s="27">
        <v>507689.85999999993</v>
      </c>
      <c r="I129" s="27">
        <v>1296041.3499999999</v>
      </c>
      <c r="J129" s="27">
        <v>705300.27000000014</v>
      </c>
      <c r="K129" s="28">
        <f t="shared" ca="1" si="4"/>
        <v>2509031.48</v>
      </c>
      <c r="L129" s="27"/>
      <c r="M129" s="162" t="s">
        <v>434</v>
      </c>
      <c r="N129" s="27">
        <v>1786429.67</v>
      </c>
      <c r="O129" s="27">
        <v>0</v>
      </c>
      <c r="P129" s="27">
        <v>0</v>
      </c>
      <c r="Q129" s="28">
        <f t="shared" ca="1" si="5"/>
        <v>1786429.67</v>
      </c>
    </row>
    <row r="130" spans="1:17" x14ac:dyDescent="0.25">
      <c r="A130" s="162" t="s">
        <v>435</v>
      </c>
      <c r="B130" s="27">
        <v>0</v>
      </c>
      <c r="C130" s="27">
        <v>0</v>
      </c>
      <c r="D130" s="27">
        <v>0</v>
      </c>
      <c r="E130" s="28">
        <f t="shared" ca="1" si="3"/>
        <v>0</v>
      </c>
      <c r="F130" s="27"/>
      <c r="G130" s="162" t="s">
        <v>435</v>
      </c>
      <c r="H130" s="27">
        <v>0</v>
      </c>
      <c r="I130" s="27">
        <v>0</v>
      </c>
      <c r="J130" s="27">
        <v>268137</v>
      </c>
      <c r="K130" s="28">
        <f t="shared" ca="1" si="4"/>
        <v>268137</v>
      </c>
      <c r="L130" s="27"/>
      <c r="M130" s="162" t="s">
        <v>435</v>
      </c>
      <c r="N130" s="27">
        <v>0</v>
      </c>
      <c r="O130" s="27">
        <v>0</v>
      </c>
      <c r="P130" s="27">
        <v>0</v>
      </c>
      <c r="Q130" s="28">
        <f t="shared" ca="1" si="5"/>
        <v>0</v>
      </c>
    </row>
    <row r="131" spans="1:17" x14ac:dyDescent="0.25">
      <c r="A131" s="162" t="s">
        <v>436</v>
      </c>
      <c r="B131" s="27">
        <v>149577.17999999993</v>
      </c>
      <c r="C131" s="27">
        <v>245434</v>
      </c>
      <c r="D131" s="27">
        <v>280190.01</v>
      </c>
      <c r="E131" s="28">
        <f t="shared" ca="1" si="3"/>
        <v>675201.19</v>
      </c>
      <c r="F131" s="27"/>
      <c r="G131" s="162" t="s">
        <v>436</v>
      </c>
      <c r="H131" s="27">
        <v>1130582</v>
      </c>
      <c r="I131" s="27">
        <v>4815.1700000001583</v>
      </c>
      <c r="J131" s="27">
        <v>0</v>
      </c>
      <c r="K131" s="28">
        <f t="shared" ca="1" si="4"/>
        <v>1135397.1700000002</v>
      </c>
      <c r="L131" s="27"/>
      <c r="M131" s="162" t="s">
        <v>436</v>
      </c>
      <c r="N131" s="27">
        <v>0</v>
      </c>
      <c r="O131" s="27">
        <v>0</v>
      </c>
      <c r="P131" s="27">
        <v>0</v>
      </c>
      <c r="Q131" s="28">
        <f t="shared" ca="1" si="5"/>
        <v>0</v>
      </c>
    </row>
    <row r="132" spans="1:17" x14ac:dyDescent="0.25">
      <c r="A132" s="162" t="s">
        <v>437</v>
      </c>
      <c r="B132" s="27">
        <v>4399566.8000000007</v>
      </c>
      <c r="C132" s="27">
        <v>4233552.49</v>
      </c>
      <c r="D132" s="27">
        <v>2955098.52</v>
      </c>
      <c r="E132" s="28">
        <f t="shared" ca="1" si="3"/>
        <v>11588217.810000001</v>
      </c>
      <c r="F132" s="27"/>
      <c r="G132" s="162" t="s">
        <v>437</v>
      </c>
      <c r="H132" s="27">
        <v>4960915.3600000013</v>
      </c>
      <c r="I132" s="27">
        <v>1746852.4400000002</v>
      </c>
      <c r="J132" s="27">
        <v>1775511.27</v>
      </c>
      <c r="K132" s="28">
        <f t="shared" ca="1" si="4"/>
        <v>8483279.0700000022</v>
      </c>
      <c r="L132" s="27"/>
      <c r="M132" s="162" t="s">
        <v>437</v>
      </c>
      <c r="N132" s="27">
        <v>3241627.93</v>
      </c>
      <c r="O132" s="27">
        <v>155892</v>
      </c>
      <c r="P132" s="27">
        <v>0</v>
      </c>
      <c r="Q132" s="28">
        <f t="shared" ca="1" si="5"/>
        <v>3397519.93</v>
      </c>
    </row>
    <row r="133" spans="1:17" x14ac:dyDescent="0.25">
      <c r="A133" s="162" t="s">
        <v>438</v>
      </c>
      <c r="B133" s="27">
        <v>41753.630000000005</v>
      </c>
      <c r="C133" s="27">
        <v>165950</v>
      </c>
      <c r="D133" s="27">
        <v>379096</v>
      </c>
      <c r="E133" s="28">
        <f t="shared" ca="1" si="3"/>
        <v>586799.63</v>
      </c>
      <c r="F133" s="27"/>
      <c r="G133" s="162" t="s">
        <v>438</v>
      </c>
      <c r="H133" s="27">
        <v>225555</v>
      </c>
      <c r="I133" s="27">
        <v>245666</v>
      </c>
      <c r="J133" s="27">
        <v>620808.59000000008</v>
      </c>
      <c r="K133" s="28">
        <f t="shared" ca="1" si="4"/>
        <v>1092029.5900000001</v>
      </c>
      <c r="L133" s="27"/>
      <c r="M133" s="162" t="s">
        <v>438</v>
      </c>
      <c r="N133" s="27">
        <v>1715600</v>
      </c>
      <c r="O133" s="27">
        <v>1000000</v>
      </c>
      <c r="P133" s="27">
        <v>0</v>
      </c>
      <c r="Q133" s="28">
        <f t="shared" ca="1" si="5"/>
        <v>2715600</v>
      </c>
    </row>
    <row r="134" spans="1:17" x14ac:dyDescent="0.25">
      <c r="A134" s="162" t="s">
        <v>439</v>
      </c>
      <c r="B134" s="27">
        <v>316371.57999999996</v>
      </c>
      <c r="C134" s="27">
        <v>439353.08999999962</v>
      </c>
      <c r="D134" s="27">
        <v>1033744.13</v>
      </c>
      <c r="E134" s="28">
        <f t="shared" ca="1" si="3"/>
        <v>1789468.7999999996</v>
      </c>
      <c r="F134" s="27"/>
      <c r="G134" s="162" t="s">
        <v>439</v>
      </c>
      <c r="H134" s="27">
        <v>1093060.6499999997</v>
      </c>
      <c r="I134" s="27">
        <v>271603.98</v>
      </c>
      <c r="J134" s="27">
        <v>145933</v>
      </c>
      <c r="K134" s="28">
        <f t="shared" ca="1" si="4"/>
        <v>1510597.6299999997</v>
      </c>
      <c r="L134" s="27"/>
      <c r="M134" s="162" t="s">
        <v>439</v>
      </c>
      <c r="N134" s="27">
        <v>0</v>
      </c>
      <c r="O134" s="27">
        <v>0</v>
      </c>
      <c r="P134" s="27">
        <v>0</v>
      </c>
      <c r="Q134" s="28">
        <f t="shared" ca="1" si="5"/>
        <v>0</v>
      </c>
    </row>
    <row r="135" spans="1:17" x14ac:dyDescent="0.25">
      <c r="A135" s="162" t="s">
        <v>440</v>
      </c>
      <c r="B135" s="27">
        <v>572621.31000000006</v>
      </c>
      <c r="C135" s="27">
        <v>545373.79999999981</v>
      </c>
      <c r="D135" s="27">
        <v>0</v>
      </c>
      <c r="E135" s="28">
        <f t="shared" ca="1" si="3"/>
        <v>1117995.1099999999</v>
      </c>
      <c r="F135" s="27"/>
      <c r="G135" s="162" t="s">
        <v>440</v>
      </c>
      <c r="H135" s="27">
        <v>352592.56</v>
      </c>
      <c r="I135" s="27">
        <v>5</v>
      </c>
      <c r="J135" s="27">
        <v>131071.05999999959</v>
      </c>
      <c r="K135" s="28">
        <f t="shared" ca="1" si="4"/>
        <v>483668.61999999959</v>
      </c>
      <c r="L135" s="27"/>
      <c r="M135" s="162" t="s">
        <v>440</v>
      </c>
      <c r="N135" s="27">
        <v>733904.87999999989</v>
      </c>
      <c r="O135" s="27">
        <v>0</v>
      </c>
      <c r="P135" s="27">
        <v>0</v>
      </c>
      <c r="Q135" s="28">
        <f t="shared" ca="1" si="5"/>
        <v>733904.87999999989</v>
      </c>
    </row>
    <row r="136" spans="1:17" x14ac:dyDescent="0.25">
      <c r="A136" s="162" t="s">
        <v>441</v>
      </c>
      <c r="B136" s="27">
        <v>154598.26</v>
      </c>
      <c r="C136" s="27">
        <v>183625</v>
      </c>
      <c r="D136" s="27">
        <v>461905.14999999991</v>
      </c>
      <c r="E136" s="28">
        <f t="shared" ref="E136:E199" ca="1" si="6">SUM(B136:D136)</f>
        <v>800128.40999999992</v>
      </c>
      <c r="F136" s="27"/>
      <c r="G136" s="162" t="s">
        <v>441</v>
      </c>
      <c r="H136" s="27">
        <v>370143.95999999996</v>
      </c>
      <c r="I136" s="27">
        <v>0</v>
      </c>
      <c r="J136" s="27">
        <v>844548.74</v>
      </c>
      <c r="K136" s="28">
        <f t="shared" ref="K136:K199" ca="1" si="7">SUM(H136:J136)</f>
        <v>1214692.7</v>
      </c>
      <c r="L136" s="27"/>
      <c r="M136" s="162" t="s">
        <v>441</v>
      </c>
      <c r="N136" s="27">
        <v>1882745.96</v>
      </c>
      <c r="O136" s="27">
        <v>0</v>
      </c>
      <c r="P136" s="27">
        <v>0</v>
      </c>
      <c r="Q136" s="28">
        <f t="shared" ref="Q136:Q199" ca="1" si="8">SUM(N136:P136)</f>
        <v>1882745.96</v>
      </c>
    </row>
    <row r="137" spans="1:17" x14ac:dyDescent="0.25">
      <c r="A137" s="162" t="s">
        <v>442</v>
      </c>
      <c r="B137" s="27">
        <v>0</v>
      </c>
      <c r="C137" s="27">
        <v>337938.19000000006</v>
      </c>
      <c r="D137" s="27">
        <v>0</v>
      </c>
      <c r="E137" s="28">
        <f t="shared" ca="1" si="6"/>
        <v>337938.19000000006</v>
      </c>
      <c r="F137" s="27"/>
      <c r="G137" s="162" t="s">
        <v>442</v>
      </c>
      <c r="H137" s="27">
        <v>0</v>
      </c>
      <c r="I137" s="27">
        <v>0</v>
      </c>
      <c r="J137" s="27">
        <v>0</v>
      </c>
      <c r="K137" s="28">
        <f t="shared" ca="1" si="7"/>
        <v>0</v>
      </c>
      <c r="L137" s="27"/>
      <c r="M137" s="162" t="s">
        <v>442</v>
      </c>
      <c r="N137" s="27">
        <v>0</v>
      </c>
      <c r="O137" s="27">
        <v>0</v>
      </c>
      <c r="P137" s="27">
        <v>0</v>
      </c>
      <c r="Q137" s="28">
        <f t="shared" ca="1" si="8"/>
        <v>0</v>
      </c>
    </row>
    <row r="138" spans="1:17" x14ac:dyDescent="0.25">
      <c r="A138" s="162" t="s">
        <v>443</v>
      </c>
      <c r="B138" s="27">
        <v>1138258.92</v>
      </c>
      <c r="C138" s="27">
        <v>0</v>
      </c>
      <c r="D138" s="27">
        <v>149013.91999999998</v>
      </c>
      <c r="E138" s="28">
        <f t="shared" ca="1" si="6"/>
        <v>1287272.8399999999</v>
      </c>
      <c r="F138" s="27"/>
      <c r="G138" s="162" t="s">
        <v>443</v>
      </c>
      <c r="H138" s="27">
        <v>222352</v>
      </c>
      <c r="I138" s="27">
        <v>223800</v>
      </c>
      <c r="J138" s="27">
        <v>302247.32999999996</v>
      </c>
      <c r="K138" s="28">
        <f t="shared" ca="1" si="7"/>
        <v>748399.33</v>
      </c>
      <c r="L138" s="27"/>
      <c r="M138" s="162" t="s">
        <v>443</v>
      </c>
      <c r="N138" s="27">
        <v>365347.5</v>
      </c>
      <c r="O138" s="27">
        <v>0</v>
      </c>
      <c r="P138" s="27">
        <v>0</v>
      </c>
      <c r="Q138" s="28">
        <f t="shared" ca="1" si="8"/>
        <v>365347.5</v>
      </c>
    </row>
    <row r="139" spans="1:17" x14ac:dyDescent="0.25">
      <c r="A139" s="162" t="s">
        <v>444</v>
      </c>
      <c r="B139" s="27">
        <v>420800.00000000006</v>
      </c>
      <c r="C139" s="27">
        <v>54525.689999999711</v>
      </c>
      <c r="D139" s="27">
        <v>579930.06000000029</v>
      </c>
      <c r="E139" s="28">
        <f t="shared" ca="1" si="6"/>
        <v>1055255.75</v>
      </c>
      <c r="F139" s="27"/>
      <c r="G139" s="162" t="s">
        <v>444</v>
      </c>
      <c r="H139" s="27">
        <v>316936</v>
      </c>
      <c r="I139" s="27">
        <v>202803.13</v>
      </c>
      <c r="J139" s="27">
        <v>0</v>
      </c>
      <c r="K139" s="28">
        <f t="shared" ca="1" si="7"/>
        <v>519739.13</v>
      </c>
      <c r="L139" s="27"/>
      <c r="M139" s="162" t="s">
        <v>444</v>
      </c>
      <c r="N139" s="27">
        <v>5419.6500000000233</v>
      </c>
      <c r="O139" s="27">
        <v>1149.5999999999767</v>
      </c>
      <c r="P139" s="27">
        <v>0</v>
      </c>
      <c r="Q139" s="28">
        <f t="shared" ca="1" si="8"/>
        <v>6569.25</v>
      </c>
    </row>
    <row r="140" spans="1:17" x14ac:dyDescent="0.25">
      <c r="A140" s="162" t="s">
        <v>445</v>
      </c>
      <c r="B140" s="27">
        <v>323649</v>
      </c>
      <c r="C140" s="27">
        <v>65057.339999999967</v>
      </c>
      <c r="D140" s="27">
        <v>0</v>
      </c>
      <c r="E140" s="28">
        <f t="shared" ca="1" si="6"/>
        <v>388706.33999999997</v>
      </c>
      <c r="F140" s="27"/>
      <c r="G140" s="162" t="s">
        <v>445</v>
      </c>
      <c r="H140" s="27">
        <v>231344</v>
      </c>
      <c r="I140" s="27">
        <v>0</v>
      </c>
      <c r="J140" s="27">
        <v>307751.82999999996</v>
      </c>
      <c r="K140" s="28">
        <f t="shared" ca="1" si="7"/>
        <v>539095.82999999996</v>
      </c>
      <c r="L140" s="27"/>
      <c r="M140" s="162" t="s">
        <v>445</v>
      </c>
      <c r="N140" s="27">
        <v>417245.45999999996</v>
      </c>
      <c r="O140" s="27">
        <v>0</v>
      </c>
      <c r="P140" s="27">
        <v>0</v>
      </c>
      <c r="Q140" s="28">
        <f t="shared" ca="1" si="8"/>
        <v>417245.45999999996</v>
      </c>
    </row>
    <row r="141" spans="1:17" x14ac:dyDescent="0.25">
      <c r="A141" s="162" t="s">
        <v>446</v>
      </c>
      <c r="B141" s="27">
        <v>113983.59999999998</v>
      </c>
      <c r="C141" s="27">
        <v>70000</v>
      </c>
      <c r="D141" s="27">
        <v>125157.58999999997</v>
      </c>
      <c r="E141" s="28">
        <f t="shared" ca="1" si="6"/>
        <v>309141.18999999994</v>
      </c>
      <c r="F141" s="27"/>
      <c r="G141" s="162" t="s">
        <v>446</v>
      </c>
      <c r="H141" s="27">
        <v>0</v>
      </c>
      <c r="I141" s="27">
        <v>0</v>
      </c>
      <c r="J141" s="27">
        <v>0</v>
      </c>
      <c r="K141" s="28">
        <f t="shared" ca="1" si="7"/>
        <v>0</v>
      </c>
      <c r="L141" s="27"/>
      <c r="M141" s="162" t="s">
        <v>446</v>
      </c>
      <c r="N141" s="27">
        <v>121421</v>
      </c>
      <c r="O141" s="27">
        <v>0</v>
      </c>
      <c r="P141" s="27">
        <v>0</v>
      </c>
      <c r="Q141" s="28">
        <f t="shared" ca="1" si="8"/>
        <v>121421</v>
      </c>
    </row>
    <row r="142" spans="1:17" x14ac:dyDescent="0.25">
      <c r="A142" s="162" t="s">
        <v>447</v>
      </c>
      <c r="B142" s="27">
        <v>0</v>
      </c>
      <c r="C142" s="27">
        <v>217960.84999999963</v>
      </c>
      <c r="D142" s="27">
        <v>0</v>
      </c>
      <c r="E142" s="28">
        <f t="shared" ca="1" si="6"/>
        <v>217960.84999999963</v>
      </c>
      <c r="F142" s="27"/>
      <c r="G142" s="162" t="s">
        <v>447</v>
      </c>
      <c r="H142" s="27">
        <v>0</v>
      </c>
      <c r="I142" s="27">
        <v>0</v>
      </c>
      <c r="J142" s="27">
        <v>213382.30999999994</v>
      </c>
      <c r="K142" s="28">
        <f t="shared" ca="1" si="7"/>
        <v>213382.30999999994</v>
      </c>
      <c r="L142" s="27"/>
      <c r="M142" s="162" t="s">
        <v>447</v>
      </c>
      <c r="N142" s="27">
        <v>0</v>
      </c>
      <c r="O142" s="27">
        <v>0</v>
      </c>
      <c r="P142" s="27">
        <v>0</v>
      </c>
      <c r="Q142" s="28">
        <f t="shared" ca="1" si="8"/>
        <v>0</v>
      </c>
    </row>
    <row r="143" spans="1:17" x14ac:dyDescent="0.25">
      <c r="A143" s="162" t="s">
        <v>448</v>
      </c>
      <c r="B143" s="27">
        <v>135797.89999999997</v>
      </c>
      <c r="C143" s="27">
        <v>108479</v>
      </c>
      <c r="D143" s="27">
        <v>0</v>
      </c>
      <c r="E143" s="28">
        <f t="shared" ca="1" si="6"/>
        <v>244276.89999999997</v>
      </c>
      <c r="F143" s="27"/>
      <c r="G143" s="162" t="s">
        <v>448</v>
      </c>
      <c r="H143" s="27">
        <v>350499.00000000006</v>
      </c>
      <c r="I143" s="27">
        <v>439437</v>
      </c>
      <c r="J143" s="27">
        <v>0</v>
      </c>
      <c r="K143" s="28">
        <f t="shared" ca="1" si="7"/>
        <v>789936</v>
      </c>
      <c r="L143" s="27"/>
      <c r="M143" s="162" t="s">
        <v>448</v>
      </c>
      <c r="N143" s="27">
        <v>110320</v>
      </c>
      <c r="O143" s="27">
        <v>0</v>
      </c>
      <c r="P143" s="27">
        <v>0</v>
      </c>
      <c r="Q143" s="28">
        <f t="shared" ca="1" si="8"/>
        <v>110320</v>
      </c>
    </row>
    <row r="144" spans="1:17" x14ac:dyDescent="0.25">
      <c r="A144" s="162" t="s">
        <v>449</v>
      </c>
      <c r="B144" s="27">
        <v>179851</v>
      </c>
      <c r="C144" s="27">
        <v>494750.44000000018</v>
      </c>
      <c r="D144" s="27">
        <v>22510</v>
      </c>
      <c r="E144" s="28">
        <f t="shared" ca="1" si="6"/>
        <v>697111.44000000018</v>
      </c>
      <c r="F144" s="27"/>
      <c r="G144" s="162" t="s">
        <v>449</v>
      </c>
      <c r="H144" s="27">
        <v>217370.12</v>
      </c>
      <c r="I144" s="27">
        <v>86841</v>
      </c>
      <c r="J144" s="27">
        <v>98158</v>
      </c>
      <c r="K144" s="28">
        <f t="shared" ca="1" si="7"/>
        <v>402369.12</v>
      </c>
      <c r="L144" s="27"/>
      <c r="M144" s="162" t="s">
        <v>449</v>
      </c>
      <c r="N144" s="27">
        <v>788096.2300000001</v>
      </c>
      <c r="O144" s="27">
        <v>290042.18000000017</v>
      </c>
      <c r="P144" s="27">
        <v>0</v>
      </c>
      <c r="Q144" s="28">
        <f t="shared" ca="1" si="8"/>
        <v>1078138.4100000001</v>
      </c>
    </row>
    <row r="145" spans="1:17" x14ac:dyDescent="0.25">
      <c r="A145" s="162" t="s">
        <v>450</v>
      </c>
      <c r="B145" s="27">
        <v>105974.64999999991</v>
      </c>
      <c r="C145" s="27">
        <v>235177.10000000009</v>
      </c>
      <c r="D145" s="27">
        <v>278896</v>
      </c>
      <c r="E145" s="28">
        <f t="shared" ca="1" si="6"/>
        <v>620047.75</v>
      </c>
      <c r="F145" s="27"/>
      <c r="G145" s="162" t="s">
        <v>450</v>
      </c>
      <c r="H145" s="27">
        <v>116708</v>
      </c>
      <c r="I145" s="27">
        <v>147551.41000000003</v>
      </c>
      <c r="J145" s="27">
        <v>260406</v>
      </c>
      <c r="K145" s="28">
        <f t="shared" ca="1" si="7"/>
        <v>524665.41</v>
      </c>
      <c r="L145" s="27"/>
      <c r="M145" s="162" t="s">
        <v>450</v>
      </c>
      <c r="N145" s="27">
        <v>0.33000000007450581</v>
      </c>
      <c r="O145" s="27">
        <v>0</v>
      </c>
      <c r="P145" s="27">
        <v>0</v>
      </c>
      <c r="Q145" s="28">
        <f t="shared" ca="1" si="8"/>
        <v>0.33000000007450581</v>
      </c>
    </row>
    <row r="146" spans="1:17" x14ac:dyDescent="0.25">
      <c r="A146" s="162" t="s">
        <v>451</v>
      </c>
      <c r="B146" s="27">
        <v>0</v>
      </c>
      <c r="C146" s="27">
        <v>0</v>
      </c>
      <c r="D146" s="27">
        <v>0</v>
      </c>
      <c r="E146" s="28">
        <f t="shared" ca="1" si="6"/>
        <v>0</v>
      </c>
      <c r="F146" s="27"/>
      <c r="G146" s="162" t="s">
        <v>451</v>
      </c>
      <c r="H146" s="27">
        <v>0</v>
      </c>
      <c r="I146" s="27">
        <v>0</v>
      </c>
      <c r="J146" s="27">
        <v>0</v>
      </c>
      <c r="K146" s="28">
        <f t="shared" ca="1" si="7"/>
        <v>0</v>
      </c>
      <c r="L146" s="27"/>
      <c r="M146" s="162" t="s">
        <v>451</v>
      </c>
      <c r="N146" s="27">
        <v>0</v>
      </c>
      <c r="O146" s="27">
        <v>0</v>
      </c>
      <c r="P146" s="27">
        <v>0</v>
      </c>
      <c r="Q146" s="28">
        <f t="shared" ca="1" si="8"/>
        <v>0</v>
      </c>
    </row>
    <row r="147" spans="1:17" x14ac:dyDescent="0.25">
      <c r="A147" s="162" t="s">
        <v>452</v>
      </c>
      <c r="B147" s="27">
        <v>218552</v>
      </c>
      <c r="C147" s="27">
        <v>1126.1299999999464</v>
      </c>
      <c r="D147" s="27">
        <v>355590.01</v>
      </c>
      <c r="E147" s="28">
        <f t="shared" ca="1" si="6"/>
        <v>575268.1399999999</v>
      </c>
      <c r="F147" s="27"/>
      <c r="G147" s="162" t="s">
        <v>452</v>
      </c>
      <c r="H147" s="27">
        <v>381313.87999999995</v>
      </c>
      <c r="I147" s="27">
        <v>844955.42</v>
      </c>
      <c r="J147" s="27">
        <v>332181.44999999995</v>
      </c>
      <c r="K147" s="28">
        <f t="shared" ca="1" si="7"/>
        <v>1558450.75</v>
      </c>
      <c r="L147" s="27"/>
      <c r="M147" s="162" t="s">
        <v>452</v>
      </c>
      <c r="N147" s="27">
        <v>258519.76</v>
      </c>
      <c r="O147" s="27">
        <v>0</v>
      </c>
      <c r="P147" s="27">
        <v>0</v>
      </c>
      <c r="Q147" s="28">
        <f t="shared" ca="1" si="8"/>
        <v>258519.76</v>
      </c>
    </row>
    <row r="148" spans="1:17" x14ac:dyDescent="0.25">
      <c r="A148" s="162" t="s">
        <v>453</v>
      </c>
      <c r="B148" s="27">
        <v>147500</v>
      </c>
      <c r="C148" s="27">
        <v>0</v>
      </c>
      <c r="D148" s="27">
        <v>1926387</v>
      </c>
      <c r="E148" s="28">
        <f t="shared" ca="1" si="6"/>
        <v>2073887</v>
      </c>
      <c r="F148" s="27"/>
      <c r="G148" s="162" t="s">
        <v>453</v>
      </c>
      <c r="H148" s="27">
        <v>0</v>
      </c>
      <c r="I148" s="27">
        <v>0</v>
      </c>
      <c r="J148" s="27">
        <v>0</v>
      </c>
      <c r="K148" s="28">
        <f t="shared" ca="1" si="7"/>
        <v>0</v>
      </c>
      <c r="L148" s="27"/>
      <c r="M148" s="162" t="s">
        <v>453</v>
      </c>
      <c r="N148" s="27">
        <v>140436</v>
      </c>
      <c r="O148" s="27">
        <v>0</v>
      </c>
      <c r="P148" s="27">
        <v>0</v>
      </c>
      <c r="Q148" s="28">
        <f t="shared" ca="1" si="8"/>
        <v>140436</v>
      </c>
    </row>
    <row r="149" spans="1:17" x14ac:dyDescent="0.25">
      <c r="A149" s="162" t="s">
        <v>454</v>
      </c>
      <c r="B149" s="27">
        <v>115006.79999999999</v>
      </c>
      <c r="C149" s="27">
        <v>12662.290000000037</v>
      </c>
      <c r="D149" s="27">
        <v>184924</v>
      </c>
      <c r="E149" s="28">
        <f t="shared" ca="1" si="6"/>
        <v>312593.09000000003</v>
      </c>
      <c r="F149" s="27"/>
      <c r="G149" s="162" t="s">
        <v>454</v>
      </c>
      <c r="H149" s="27">
        <v>747926.66000000015</v>
      </c>
      <c r="I149" s="27">
        <v>0</v>
      </c>
      <c r="J149" s="27">
        <v>0</v>
      </c>
      <c r="K149" s="28">
        <f t="shared" ca="1" si="7"/>
        <v>747926.66000000015</v>
      </c>
      <c r="L149" s="27"/>
      <c r="M149" s="162" t="s">
        <v>454</v>
      </c>
      <c r="N149" s="27">
        <v>115013.80000000005</v>
      </c>
      <c r="O149" s="27">
        <v>0</v>
      </c>
      <c r="P149" s="27">
        <v>0</v>
      </c>
      <c r="Q149" s="28">
        <f t="shared" ca="1" si="8"/>
        <v>115013.80000000005</v>
      </c>
    </row>
    <row r="150" spans="1:17" x14ac:dyDescent="0.25">
      <c r="A150" s="162" t="s">
        <v>455</v>
      </c>
      <c r="B150" s="27">
        <v>126547.29999999993</v>
      </c>
      <c r="C150" s="27">
        <v>0</v>
      </c>
      <c r="D150" s="27">
        <v>102576</v>
      </c>
      <c r="E150" s="28">
        <f t="shared" ca="1" si="6"/>
        <v>229123.29999999993</v>
      </c>
      <c r="F150" s="27"/>
      <c r="G150" s="162" t="s">
        <v>455</v>
      </c>
      <c r="H150" s="27">
        <v>154247.60000000003</v>
      </c>
      <c r="I150" s="27">
        <v>0</v>
      </c>
      <c r="J150" s="27">
        <v>0</v>
      </c>
      <c r="K150" s="28">
        <f t="shared" ca="1" si="7"/>
        <v>154247.60000000003</v>
      </c>
      <c r="L150" s="27"/>
      <c r="M150" s="162" t="s">
        <v>455</v>
      </c>
      <c r="N150" s="27">
        <v>0</v>
      </c>
      <c r="O150" s="27">
        <v>0</v>
      </c>
      <c r="P150" s="27">
        <v>0</v>
      </c>
      <c r="Q150" s="28">
        <f t="shared" ca="1" si="8"/>
        <v>0</v>
      </c>
    </row>
    <row r="151" spans="1:17" x14ac:dyDescent="0.25">
      <c r="A151" s="162" t="s">
        <v>456</v>
      </c>
      <c r="B151" s="27">
        <v>0</v>
      </c>
      <c r="C151" s="27">
        <v>0</v>
      </c>
      <c r="D151" s="27">
        <v>0</v>
      </c>
      <c r="E151" s="28">
        <f t="shared" ca="1" si="6"/>
        <v>0</v>
      </c>
      <c r="F151" s="27"/>
      <c r="G151" s="162" t="s">
        <v>456</v>
      </c>
      <c r="H151" s="27">
        <v>0</v>
      </c>
      <c r="I151" s="27">
        <v>0</v>
      </c>
      <c r="J151" s="27">
        <v>0</v>
      </c>
      <c r="K151" s="28">
        <f t="shared" ca="1" si="7"/>
        <v>0</v>
      </c>
      <c r="L151" s="27"/>
      <c r="M151" s="162" t="s">
        <v>456</v>
      </c>
      <c r="N151" s="27">
        <v>0</v>
      </c>
      <c r="O151" s="27">
        <v>0</v>
      </c>
      <c r="P151" s="27">
        <v>0</v>
      </c>
      <c r="Q151" s="28">
        <f t="shared" ca="1" si="8"/>
        <v>0</v>
      </c>
    </row>
    <row r="152" spans="1:17" x14ac:dyDescent="0.25">
      <c r="A152" s="162" t="s">
        <v>457</v>
      </c>
      <c r="B152" s="27">
        <v>0</v>
      </c>
      <c r="C152" s="27">
        <v>0</v>
      </c>
      <c r="D152" s="27">
        <v>0</v>
      </c>
      <c r="E152" s="28">
        <f t="shared" ca="1" si="6"/>
        <v>0</v>
      </c>
      <c r="F152" s="27"/>
      <c r="G152" s="162" t="s">
        <v>457</v>
      </c>
      <c r="H152" s="27">
        <v>0</v>
      </c>
      <c r="I152" s="27">
        <v>227625</v>
      </c>
      <c r="J152" s="27">
        <v>0</v>
      </c>
      <c r="K152" s="28">
        <f t="shared" ca="1" si="7"/>
        <v>227625</v>
      </c>
      <c r="L152" s="27"/>
      <c r="M152" s="162" t="s">
        <v>457</v>
      </c>
      <c r="N152" s="27">
        <v>0</v>
      </c>
      <c r="O152" s="27">
        <v>0</v>
      </c>
      <c r="P152" s="27">
        <v>0</v>
      </c>
      <c r="Q152" s="28">
        <f t="shared" ca="1" si="8"/>
        <v>0</v>
      </c>
    </row>
    <row r="153" spans="1:17" x14ac:dyDescent="0.25">
      <c r="A153" s="162" t="s">
        <v>458</v>
      </c>
      <c r="B153" s="27">
        <v>0</v>
      </c>
      <c r="C153" s="27">
        <v>0</v>
      </c>
      <c r="D153" s="27">
        <v>0</v>
      </c>
      <c r="E153" s="28">
        <f t="shared" ca="1" si="6"/>
        <v>0</v>
      </c>
      <c r="F153" s="27"/>
      <c r="G153" s="162" t="s">
        <v>458</v>
      </c>
      <c r="H153" s="27">
        <v>0</v>
      </c>
      <c r="I153" s="27">
        <v>0</v>
      </c>
      <c r="J153" s="27">
        <v>127000</v>
      </c>
      <c r="K153" s="28">
        <f t="shared" ca="1" si="7"/>
        <v>127000</v>
      </c>
      <c r="L153" s="27"/>
      <c r="M153" s="162" t="s">
        <v>458</v>
      </c>
      <c r="N153" s="27">
        <v>0</v>
      </c>
      <c r="O153" s="27">
        <v>0</v>
      </c>
      <c r="P153" s="27">
        <v>0</v>
      </c>
      <c r="Q153" s="28">
        <f t="shared" ca="1" si="8"/>
        <v>0</v>
      </c>
    </row>
    <row r="154" spans="1:17" x14ac:dyDescent="0.25">
      <c r="A154" s="162" t="s">
        <v>459</v>
      </c>
      <c r="B154" s="27">
        <v>0</v>
      </c>
      <c r="C154" s="27">
        <v>0</v>
      </c>
      <c r="D154" s="27">
        <v>0</v>
      </c>
      <c r="E154" s="28">
        <f t="shared" ca="1" si="6"/>
        <v>0</v>
      </c>
      <c r="F154" s="27"/>
      <c r="G154" s="162" t="s">
        <v>459</v>
      </c>
      <c r="H154" s="27">
        <v>0</v>
      </c>
      <c r="I154" s="27">
        <v>0</v>
      </c>
      <c r="J154" s="27">
        <v>0</v>
      </c>
      <c r="K154" s="28">
        <f t="shared" ca="1" si="7"/>
        <v>0</v>
      </c>
      <c r="L154" s="27"/>
      <c r="M154" s="162" t="s">
        <v>459</v>
      </c>
      <c r="N154" s="27">
        <v>0</v>
      </c>
      <c r="O154" s="27">
        <v>0</v>
      </c>
      <c r="P154" s="27">
        <v>0</v>
      </c>
      <c r="Q154" s="28">
        <f t="shared" ca="1" si="8"/>
        <v>0</v>
      </c>
    </row>
    <row r="155" spans="1:17" x14ac:dyDescent="0.25">
      <c r="A155" s="162" t="s">
        <v>460</v>
      </c>
      <c r="B155" s="27">
        <v>0</v>
      </c>
      <c r="C155" s="27">
        <v>0</v>
      </c>
      <c r="D155" s="27">
        <v>0</v>
      </c>
      <c r="E155" s="28">
        <f t="shared" ca="1" si="6"/>
        <v>0</v>
      </c>
      <c r="F155" s="27"/>
      <c r="G155" s="162" t="s">
        <v>460</v>
      </c>
      <c r="H155" s="27">
        <v>1271717.17</v>
      </c>
      <c r="I155" s="27">
        <v>0</v>
      </c>
      <c r="J155" s="27">
        <v>0</v>
      </c>
      <c r="K155" s="28">
        <f t="shared" ca="1" si="7"/>
        <v>1271717.17</v>
      </c>
      <c r="L155" s="27"/>
      <c r="M155" s="162" t="s">
        <v>460</v>
      </c>
      <c r="N155" s="27">
        <v>0</v>
      </c>
      <c r="O155" s="27">
        <v>0</v>
      </c>
      <c r="P155" s="27">
        <v>0</v>
      </c>
      <c r="Q155" s="28">
        <f t="shared" ca="1" si="8"/>
        <v>0</v>
      </c>
    </row>
    <row r="156" spans="1:17" x14ac:dyDescent="0.25">
      <c r="A156" s="162" t="s">
        <v>461</v>
      </c>
      <c r="B156" s="27">
        <v>222086.40000000002</v>
      </c>
      <c r="C156" s="27">
        <v>0</v>
      </c>
      <c r="D156" s="27">
        <v>166157.69999999972</v>
      </c>
      <c r="E156" s="28">
        <f t="shared" ca="1" si="6"/>
        <v>388244.09999999974</v>
      </c>
      <c r="F156" s="27"/>
      <c r="G156" s="162" t="s">
        <v>461</v>
      </c>
      <c r="H156" s="27">
        <v>0</v>
      </c>
      <c r="I156" s="27">
        <v>0</v>
      </c>
      <c r="J156" s="27">
        <v>0</v>
      </c>
      <c r="K156" s="28">
        <f t="shared" ca="1" si="7"/>
        <v>0</v>
      </c>
      <c r="L156" s="27"/>
      <c r="M156" s="162" t="s">
        <v>461</v>
      </c>
      <c r="N156" s="27">
        <v>0</v>
      </c>
      <c r="O156" s="27">
        <v>0</v>
      </c>
      <c r="P156" s="27">
        <v>0</v>
      </c>
      <c r="Q156" s="28">
        <f t="shared" ca="1" si="8"/>
        <v>0</v>
      </c>
    </row>
    <row r="157" spans="1:17" x14ac:dyDescent="0.25">
      <c r="A157" s="162" t="s">
        <v>462</v>
      </c>
      <c r="B157" s="27">
        <v>741536.68000000017</v>
      </c>
      <c r="C157" s="27">
        <v>593836.39999999991</v>
      </c>
      <c r="D157" s="27">
        <v>499883.49</v>
      </c>
      <c r="E157" s="28">
        <f t="shared" ca="1" si="6"/>
        <v>1835256.57</v>
      </c>
      <c r="F157" s="27"/>
      <c r="G157" s="162" t="s">
        <v>462</v>
      </c>
      <c r="H157" s="27">
        <v>221877.18</v>
      </c>
      <c r="I157" s="27">
        <v>392774.85000000009</v>
      </c>
      <c r="J157" s="27">
        <v>1418018.15</v>
      </c>
      <c r="K157" s="28">
        <f t="shared" ca="1" si="7"/>
        <v>2032670.18</v>
      </c>
      <c r="L157" s="27"/>
      <c r="M157" s="162" t="s">
        <v>462</v>
      </c>
      <c r="N157" s="27">
        <v>390587.72</v>
      </c>
      <c r="O157" s="27">
        <v>26080</v>
      </c>
      <c r="P157" s="27">
        <v>0</v>
      </c>
      <c r="Q157" s="28">
        <f t="shared" ca="1" si="8"/>
        <v>416667.72</v>
      </c>
    </row>
    <row r="158" spans="1:17" x14ac:dyDescent="0.25">
      <c r="A158" s="162" t="s">
        <v>463</v>
      </c>
      <c r="B158" s="27">
        <v>262979.46999999997</v>
      </c>
      <c r="C158" s="27">
        <v>0</v>
      </c>
      <c r="D158" s="27">
        <v>0</v>
      </c>
      <c r="E158" s="28">
        <f t="shared" ca="1" si="6"/>
        <v>262979.46999999997</v>
      </c>
      <c r="F158" s="27"/>
      <c r="G158" s="162" t="s">
        <v>463</v>
      </c>
      <c r="H158" s="27">
        <v>0</v>
      </c>
      <c r="I158" s="27">
        <v>0</v>
      </c>
      <c r="J158" s="27">
        <v>0</v>
      </c>
      <c r="K158" s="28">
        <f t="shared" ca="1" si="7"/>
        <v>0</v>
      </c>
      <c r="L158" s="27"/>
      <c r="M158" s="162" t="s">
        <v>463</v>
      </c>
      <c r="N158" s="27">
        <v>261350.42999999993</v>
      </c>
      <c r="O158" s="27">
        <v>0</v>
      </c>
      <c r="P158" s="27">
        <v>0</v>
      </c>
      <c r="Q158" s="28">
        <f t="shared" ca="1" si="8"/>
        <v>261350.42999999993</v>
      </c>
    </row>
    <row r="159" spans="1:17" x14ac:dyDescent="0.25">
      <c r="A159" s="162" t="s">
        <v>464</v>
      </c>
      <c r="B159" s="27">
        <v>1451732.96</v>
      </c>
      <c r="C159" s="27">
        <v>99995</v>
      </c>
      <c r="D159" s="27">
        <v>80000</v>
      </c>
      <c r="E159" s="28">
        <f t="shared" ca="1" si="6"/>
        <v>1631727.96</v>
      </c>
      <c r="F159" s="27"/>
      <c r="G159" s="162" t="s">
        <v>464</v>
      </c>
      <c r="H159" s="27">
        <v>0</v>
      </c>
      <c r="I159" s="27">
        <v>0</v>
      </c>
      <c r="J159" s="27">
        <v>160000</v>
      </c>
      <c r="K159" s="28">
        <f t="shared" ca="1" si="7"/>
        <v>160000</v>
      </c>
      <c r="L159" s="27"/>
      <c r="M159" s="162" t="s">
        <v>464</v>
      </c>
      <c r="N159" s="27">
        <v>0</v>
      </c>
      <c r="O159" s="27">
        <v>0</v>
      </c>
      <c r="P159" s="27">
        <v>0</v>
      </c>
      <c r="Q159" s="28">
        <f t="shared" ca="1" si="8"/>
        <v>0</v>
      </c>
    </row>
    <row r="160" spans="1:17" x14ac:dyDescent="0.25">
      <c r="A160" s="162" t="s">
        <v>465</v>
      </c>
      <c r="B160" s="27">
        <v>0</v>
      </c>
      <c r="C160" s="27">
        <v>0</v>
      </c>
      <c r="D160" s="27">
        <v>0</v>
      </c>
      <c r="E160" s="28">
        <f t="shared" ca="1" si="6"/>
        <v>0</v>
      </c>
      <c r="F160" s="27"/>
      <c r="G160" s="162" t="s">
        <v>465</v>
      </c>
      <c r="H160" s="27">
        <v>0</v>
      </c>
      <c r="I160" s="27">
        <v>0</v>
      </c>
      <c r="J160" s="27">
        <v>0</v>
      </c>
      <c r="K160" s="28">
        <f t="shared" ca="1" si="7"/>
        <v>0</v>
      </c>
      <c r="L160" s="27"/>
      <c r="M160" s="162" t="s">
        <v>465</v>
      </c>
      <c r="N160" s="27">
        <v>0</v>
      </c>
      <c r="O160" s="27">
        <v>0</v>
      </c>
      <c r="P160" s="27">
        <v>0</v>
      </c>
      <c r="Q160" s="28">
        <f t="shared" ca="1" si="8"/>
        <v>0</v>
      </c>
    </row>
    <row r="161" spans="1:17" x14ac:dyDescent="0.25">
      <c r="A161" s="162" t="s">
        <v>466</v>
      </c>
      <c r="B161" s="27">
        <v>0</v>
      </c>
      <c r="C161" s="27">
        <v>0</v>
      </c>
      <c r="D161" s="27">
        <v>0</v>
      </c>
      <c r="E161" s="28">
        <f t="shared" ca="1" si="6"/>
        <v>0</v>
      </c>
      <c r="F161" s="27"/>
      <c r="G161" s="162" t="s">
        <v>466</v>
      </c>
      <c r="H161" s="27">
        <v>0</v>
      </c>
      <c r="I161" s="27">
        <v>0</v>
      </c>
      <c r="J161" s="27">
        <v>0</v>
      </c>
      <c r="K161" s="28">
        <f t="shared" ca="1" si="7"/>
        <v>0</v>
      </c>
      <c r="L161" s="27"/>
      <c r="M161" s="162" t="s">
        <v>466</v>
      </c>
      <c r="N161" s="27">
        <v>0</v>
      </c>
      <c r="O161" s="27">
        <v>0</v>
      </c>
      <c r="P161" s="27">
        <v>0</v>
      </c>
      <c r="Q161" s="28">
        <f t="shared" ca="1" si="8"/>
        <v>0</v>
      </c>
    </row>
    <row r="162" spans="1:17" x14ac:dyDescent="0.25">
      <c r="A162" s="162" t="s">
        <v>467</v>
      </c>
      <c r="B162" s="27">
        <v>1114709.3500000001</v>
      </c>
      <c r="C162" s="27">
        <v>0</v>
      </c>
      <c r="D162" s="27">
        <v>206416.77000000002</v>
      </c>
      <c r="E162" s="28">
        <f t="shared" ca="1" si="6"/>
        <v>1321126.1200000001</v>
      </c>
      <c r="F162" s="27"/>
      <c r="G162" s="162" t="s">
        <v>467</v>
      </c>
      <c r="H162" s="27">
        <v>699364.94000000006</v>
      </c>
      <c r="I162" s="27">
        <v>268403.90000000002</v>
      </c>
      <c r="J162" s="27">
        <v>451542</v>
      </c>
      <c r="K162" s="28">
        <f t="shared" ca="1" si="7"/>
        <v>1419310.84</v>
      </c>
      <c r="L162" s="27"/>
      <c r="M162" s="162" t="s">
        <v>467</v>
      </c>
      <c r="N162" s="27">
        <v>100000</v>
      </c>
      <c r="O162" s="27">
        <v>74113.13</v>
      </c>
      <c r="P162" s="27">
        <v>0</v>
      </c>
      <c r="Q162" s="28">
        <f t="shared" ca="1" si="8"/>
        <v>174113.13</v>
      </c>
    </row>
    <row r="163" spans="1:17" x14ac:dyDescent="0.25">
      <c r="A163" s="162" t="s">
        <v>468</v>
      </c>
      <c r="B163" s="27">
        <v>0.58999999996740371</v>
      </c>
      <c r="C163" s="27">
        <v>0</v>
      </c>
      <c r="D163" s="27">
        <v>0</v>
      </c>
      <c r="E163" s="28">
        <f t="shared" ca="1" si="6"/>
        <v>0.58999999996740371</v>
      </c>
      <c r="F163" s="27"/>
      <c r="G163" s="162" t="s">
        <v>468</v>
      </c>
      <c r="H163" s="27">
        <v>0</v>
      </c>
      <c r="I163" s="27">
        <v>0</v>
      </c>
      <c r="J163" s="27">
        <v>0</v>
      </c>
      <c r="K163" s="28">
        <f t="shared" ca="1" si="7"/>
        <v>0</v>
      </c>
      <c r="L163" s="27"/>
      <c r="M163" s="162" t="s">
        <v>468</v>
      </c>
      <c r="N163" s="27">
        <v>0</v>
      </c>
      <c r="O163" s="27">
        <v>115716.5</v>
      </c>
      <c r="P163" s="27">
        <v>0</v>
      </c>
      <c r="Q163" s="28">
        <f t="shared" ca="1" si="8"/>
        <v>115716.5</v>
      </c>
    </row>
    <row r="164" spans="1:17" x14ac:dyDescent="0.25">
      <c r="A164" s="162" t="s">
        <v>469</v>
      </c>
      <c r="B164" s="27">
        <v>43932</v>
      </c>
      <c r="C164" s="27">
        <v>108449</v>
      </c>
      <c r="D164" s="27">
        <v>0</v>
      </c>
      <c r="E164" s="28">
        <f t="shared" ca="1" si="6"/>
        <v>152381</v>
      </c>
      <c r="F164" s="27"/>
      <c r="G164" s="162" t="s">
        <v>469</v>
      </c>
      <c r="H164" s="27">
        <v>36610</v>
      </c>
      <c r="I164" s="27">
        <v>0.77000000001862645</v>
      </c>
      <c r="J164" s="27">
        <v>0</v>
      </c>
      <c r="K164" s="28">
        <f t="shared" ca="1" si="7"/>
        <v>36610.770000000019</v>
      </c>
      <c r="L164" s="27"/>
      <c r="M164" s="162" t="s">
        <v>469</v>
      </c>
      <c r="N164" s="27">
        <v>0</v>
      </c>
      <c r="O164" s="27">
        <v>0</v>
      </c>
      <c r="P164" s="27">
        <v>0</v>
      </c>
      <c r="Q164" s="28">
        <f t="shared" ca="1" si="8"/>
        <v>0</v>
      </c>
    </row>
    <row r="165" spans="1:17" x14ac:dyDescent="0.25">
      <c r="A165" s="162" t="s">
        <v>470</v>
      </c>
      <c r="B165" s="27">
        <v>0</v>
      </c>
      <c r="C165" s="27">
        <v>0</v>
      </c>
      <c r="D165" s="27">
        <v>0</v>
      </c>
      <c r="E165" s="28">
        <f t="shared" ca="1" si="6"/>
        <v>0</v>
      </c>
      <c r="F165" s="27"/>
      <c r="G165" s="162" t="s">
        <v>470</v>
      </c>
      <c r="H165" s="27">
        <v>0</v>
      </c>
      <c r="I165" s="27">
        <v>0</v>
      </c>
      <c r="J165" s="27">
        <v>142849.59999999998</v>
      </c>
      <c r="K165" s="28">
        <f t="shared" ca="1" si="7"/>
        <v>142849.59999999998</v>
      </c>
      <c r="L165" s="27"/>
      <c r="M165" s="162" t="s">
        <v>470</v>
      </c>
      <c r="N165" s="27">
        <v>0</v>
      </c>
      <c r="O165" s="27">
        <v>0</v>
      </c>
      <c r="P165" s="27">
        <v>0</v>
      </c>
      <c r="Q165" s="28">
        <f t="shared" ca="1" si="8"/>
        <v>0</v>
      </c>
    </row>
    <row r="166" spans="1:17" x14ac:dyDescent="0.25">
      <c r="A166" s="162" t="s">
        <v>471</v>
      </c>
      <c r="B166" s="27">
        <v>0</v>
      </c>
      <c r="C166" s="27">
        <v>0</v>
      </c>
      <c r="D166" s="27">
        <v>121481</v>
      </c>
      <c r="E166" s="28">
        <f t="shared" ca="1" si="6"/>
        <v>121481</v>
      </c>
      <c r="F166" s="27"/>
      <c r="G166" s="162" t="s">
        <v>471</v>
      </c>
      <c r="H166" s="27">
        <v>0</v>
      </c>
      <c r="I166" s="27">
        <v>0</v>
      </c>
      <c r="J166" s="27">
        <v>0</v>
      </c>
      <c r="K166" s="28">
        <f t="shared" ca="1" si="7"/>
        <v>0</v>
      </c>
      <c r="L166" s="27"/>
      <c r="M166" s="162" t="s">
        <v>471</v>
      </c>
      <c r="N166" s="27">
        <v>0</v>
      </c>
      <c r="O166" s="27">
        <v>0</v>
      </c>
      <c r="P166" s="27">
        <v>0</v>
      </c>
      <c r="Q166" s="28">
        <f t="shared" ca="1" si="8"/>
        <v>0</v>
      </c>
    </row>
    <row r="167" spans="1:17" x14ac:dyDescent="0.25">
      <c r="A167" s="162" t="s">
        <v>472</v>
      </c>
      <c r="B167" s="27">
        <v>0</v>
      </c>
      <c r="C167" s="27">
        <v>0</v>
      </c>
      <c r="D167" s="27">
        <v>0</v>
      </c>
      <c r="E167" s="28">
        <f t="shared" ca="1" si="6"/>
        <v>0</v>
      </c>
      <c r="F167" s="27"/>
      <c r="G167" s="162" t="s">
        <v>472</v>
      </c>
      <c r="H167" s="27">
        <v>475192.54000000004</v>
      </c>
      <c r="I167" s="27">
        <v>0</v>
      </c>
      <c r="J167" s="27">
        <v>0</v>
      </c>
      <c r="K167" s="28">
        <f t="shared" ca="1" si="7"/>
        <v>475192.54000000004</v>
      </c>
      <c r="L167" s="27"/>
      <c r="M167" s="162" t="s">
        <v>472</v>
      </c>
      <c r="N167" s="27">
        <v>0</v>
      </c>
      <c r="O167" s="27">
        <v>0</v>
      </c>
      <c r="P167" s="27">
        <v>0</v>
      </c>
      <c r="Q167" s="28">
        <f t="shared" ca="1" si="8"/>
        <v>0</v>
      </c>
    </row>
    <row r="168" spans="1:17" x14ac:dyDescent="0.25">
      <c r="A168" s="162" t="s">
        <v>473</v>
      </c>
      <c r="B168" s="27">
        <v>0</v>
      </c>
      <c r="C168" s="27">
        <v>284549.7200000002</v>
      </c>
      <c r="D168" s="27">
        <v>0</v>
      </c>
      <c r="E168" s="28">
        <f t="shared" ca="1" si="6"/>
        <v>284549.7200000002</v>
      </c>
      <c r="F168" s="27"/>
      <c r="G168" s="162" t="s">
        <v>473</v>
      </c>
      <c r="H168" s="27">
        <v>0</v>
      </c>
      <c r="I168" s="27">
        <v>0</v>
      </c>
      <c r="J168" s="27">
        <v>0</v>
      </c>
      <c r="K168" s="28">
        <f t="shared" ca="1" si="7"/>
        <v>0</v>
      </c>
      <c r="L168" s="27"/>
      <c r="M168" s="162" t="s">
        <v>473</v>
      </c>
      <c r="N168" s="27">
        <v>0</v>
      </c>
      <c r="O168" s="27">
        <v>0</v>
      </c>
      <c r="P168" s="27">
        <v>0</v>
      </c>
      <c r="Q168" s="28">
        <f t="shared" ca="1" si="8"/>
        <v>0</v>
      </c>
    </row>
    <row r="169" spans="1:17" x14ac:dyDescent="0.25">
      <c r="A169" s="162" t="s">
        <v>474</v>
      </c>
      <c r="B169" s="27">
        <v>0</v>
      </c>
      <c r="C169" s="27">
        <v>70000</v>
      </c>
      <c r="D169" s="27">
        <v>665000</v>
      </c>
      <c r="E169" s="28">
        <f t="shared" ca="1" si="6"/>
        <v>735000</v>
      </c>
      <c r="F169" s="27"/>
      <c r="G169" s="162" t="s">
        <v>474</v>
      </c>
      <c r="H169" s="27">
        <v>702626</v>
      </c>
      <c r="I169" s="27">
        <v>1540000</v>
      </c>
      <c r="J169" s="27">
        <v>985000</v>
      </c>
      <c r="K169" s="28">
        <f t="shared" ca="1" si="7"/>
        <v>3227626</v>
      </c>
      <c r="L169" s="27"/>
      <c r="M169" s="162" t="s">
        <v>474</v>
      </c>
      <c r="N169" s="27">
        <v>170000</v>
      </c>
      <c r="O169" s="27">
        <v>0</v>
      </c>
      <c r="P169" s="27">
        <v>0</v>
      </c>
      <c r="Q169" s="28">
        <f t="shared" ca="1" si="8"/>
        <v>170000</v>
      </c>
    </row>
    <row r="170" spans="1:17" x14ac:dyDescent="0.25">
      <c r="A170" s="162" t="s">
        <v>475</v>
      </c>
      <c r="B170" s="27">
        <v>0</v>
      </c>
      <c r="C170" s="27">
        <v>0</v>
      </c>
      <c r="D170" s="27">
        <v>0</v>
      </c>
      <c r="E170" s="28">
        <f t="shared" ca="1" si="6"/>
        <v>0</v>
      </c>
      <c r="F170" s="27"/>
      <c r="G170" s="162" t="s">
        <v>475</v>
      </c>
      <c r="H170" s="27">
        <v>0</v>
      </c>
      <c r="I170" s="27">
        <v>0</v>
      </c>
      <c r="J170" s="27">
        <v>0</v>
      </c>
      <c r="K170" s="28">
        <f t="shared" ca="1" si="7"/>
        <v>0</v>
      </c>
      <c r="L170" s="27"/>
      <c r="M170" s="162" t="s">
        <v>475</v>
      </c>
      <c r="N170" s="27">
        <v>0</v>
      </c>
      <c r="O170" s="27">
        <v>0</v>
      </c>
      <c r="P170" s="27">
        <v>0</v>
      </c>
      <c r="Q170" s="28">
        <f t="shared" ca="1" si="8"/>
        <v>0</v>
      </c>
    </row>
    <row r="171" spans="1:17" x14ac:dyDescent="0.25">
      <c r="A171" s="162" t="s">
        <v>476</v>
      </c>
      <c r="B171" s="27">
        <v>0</v>
      </c>
      <c r="C171" s="27">
        <v>0</v>
      </c>
      <c r="D171" s="27">
        <v>0</v>
      </c>
      <c r="E171" s="28">
        <f t="shared" ca="1" si="6"/>
        <v>0</v>
      </c>
      <c r="F171" s="27"/>
      <c r="G171" s="162" t="s">
        <v>476</v>
      </c>
      <c r="H171" s="27">
        <v>0</v>
      </c>
      <c r="I171" s="27">
        <v>0</v>
      </c>
      <c r="J171" s="27">
        <v>0</v>
      </c>
      <c r="K171" s="28">
        <f t="shared" ca="1" si="7"/>
        <v>0</v>
      </c>
      <c r="L171" s="27"/>
      <c r="M171" s="162" t="s">
        <v>476</v>
      </c>
      <c r="N171" s="27">
        <v>0</v>
      </c>
      <c r="O171" s="27">
        <v>0</v>
      </c>
      <c r="P171" s="27">
        <v>0</v>
      </c>
      <c r="Q171" s="28">
        <f t="shared" ca="1" si="8"/>
        <v>0</v>
      </c>
    </row>
    <row r="172" spans="1:17" x14ac:dyDescent="0.25">
      <c r="A172" s="162" t="s">
        <v>477</v>
      </c>
      <c r="B172" s="27">
        <v>0</v>
      </c>
      <c r="C172" s="27">
        <v>0</v>
      </c>
      <c r="D172" s="27">
        <v>0</v>
      </c>
      <c r="E172" s="28">
        <f t="shared" ca="1" si="6"/>
        <v>0</v>
      </c>
      <c r="F172" s="27"/>
      <c r="G172" s="162" t="s">
        <v>477</v>
      </c>
      <c r="H172" s="27">
        <v>0</v>
      </c>
      <c r="I172" s="27">
        <v>0</v>
      </c>
      <c r="J172" s="27">
        <v>0</v>
      </c>
      <c r="K172" s="28">
        <f t="shared" ca="1" si="7"/>
        <v>0</v>
      </c>
      <c r="L172" s="27"/>
      <c r="M172" s="162" t="s">
        <v>477</v>
      </c>
      <c r="N172" s="27">
        <v>0</v>
      </c>
      <c r="O172" s="27">
        <v>0</v>
      </c>
      <c r="P172" s="27">
        <v>0</v>
      </c>
      <c r="Q172" s="28">
        <f t="shared" ca="1" si="8"/>
        <v>0</v>
      </c>
    </row>
    <row r="173" spans="1:17" x14ac:dyDescent="0.25">
      <c r="A173" s="162" t="s">
        <v>478</v>
      </c>
      <c r="B173" s="27">
        <v>0</v>
      </c>
      <c r="C173" s="27">
        <v>0</v>
      </c>
      <c r="D173" s="27">
        <v>0</v>
      </c>
      <c r="E173" s="28">
        <f t="shared" ca="1" si="6"/>
        <v>0</v>
      </c>
      <c r="F173" s="27"/>
      <c r="G173" s="162" t="s">
        <v>478</v>
      </c>
      <c r="H173" s="27">
        <v>0</v>
      </c>
      <c r="I173" s="27">
        <v>0</v>
      </c>
      <c r="J173" s="27">
        <v>195769.84000000003</v>
      </c>
      <c r="K173" s="28">
        <f t="shared" ca="1" si="7"/>
        <v>195769.84000000003</v>
      </c>
      <c r="L173" s="27"/>
      <c r="M173" s="162" t="s">
        <v>478</v>
      </c>
      <c r="N173" s="27">
        <v>0</v>
      </c>
      <c r="O173" s="27">
        <v>0</v>
      </c>
      <c r="P173" s="27">
        <v>0</v>
      </c>
      <c r="Q173" s="28">
        <f t="shared" ca="1" si="8"/>
        <v>0</v>
      </c>
    </row>
    <row r="174" spans="1:17" x14ac:dyDescent="0.25">
      <c r="A174" s="162" t="s">
        <v>479</v>
      </c>
      <c r="B174" s="27">
        <v>0</v>
      </c>
      <c r="C174" s="27">
        <v>1286167</v>
      </c>
      <c r="D174" s="27">
        <v>0</v>
      </c>
      <c r="E174" s="28">
        <f t="shared" ca="1" si="6"/>
        <v>1286167</v>
      </c>
      <c r="F174" s="27"/>
      <c r="G174" s="162" t="s">
        <v>479</v>
      </c>
      <c r="H174" s="27">
        <v>54196</v>
      </c>
      <c r="I174" s="27">
        <v>100000</v>
      </c>
      <c r="J174" s="27">
        <v>102435.35999999987</v>
      </c>
      <c r="K174" s="28">
        <f t="shared" ca="1" si="7"/>
        <v>256631.35999999987</v>
      </c>
      <c r="L174" s="27"/>
      <c r="M174" s="162" t="s">
        <v>479</v>
      </c>
      <c r="N174" s="27">
        <v>225</v>
      </c>
      <c r="O174" s="27">
        <v>0</v>
      </c>
      <c r="P174" s="27">
        <v>0</v>
      </c>
      <c r="Q174" s="28">
        <f t="shared" ca="1" si="8"/>
        <v>225</v>
      </c>
    </row>
    <row r="175" spans="1:17" x14ac:dyDescent="0.25">
      <c r="A175" s="162" t="s">
        <v>480</v>
      </c>
      <c r="B175" s="27">
        <v>0</v>
      </c>
      <c r="C175" s="27">
        <v>0</v>
      </c>
      <c r="D175" s="27">
        <v>999.73999999999069</v>
      </c>
      <c r="E175" s="28">
        <f t="shared" ca="1" si="6"/>
        <v>999.73999999999069</v>
      </c>
      <c r="F175" s="27"/>
      <c r="G175" s="162" t="s">
        <v>480</v>
      </c>
      <c r="H175" s="27">
        <v>0</v>
      </c>
      <c r="I175" s="27">
        <v>0</v>
      </c>
      <c r="J175" s="27">
        <v>0</v>
      </c>
      <c r="K175" s="28">
        <f t="shared" ca="1" si="7"/>
        <v>0</v>
      </c>
      <c r="L175" s="27"/>
      <c r="M175" s="162" t="s">
        <v>480</v>
      </c>
      <c r="N175" s="27">
        <v>0</v>
      </c>
      <c r="O175" s="27">
        <v>0</v>
      </c>
      <c r="P175" s="27">
        <v>0</v>
      </c>
      <c r="Q175" s="28">
        <f t="shared" ca="1" si="8"/>
        <v>0</v>
      </c>
    </row>
    <row r="176" spans="1:17" x14ac:dyDescent="0.25">
      <c r="A176" s="162" t="s">
        <v>481</v>
      </c>
      <c r="B176" s="27">
        <v>0</v>
      </c>
      <c r="C176" s="27">
        <v>0</v>
      </c>
      <c r="D176" s="27">
        <v>197946</v>
      </c>
      <c r="E176" s="28">
        <f t="shared" ca="1" si="6"/>
        <v>197946</v>
      </c>
      <c r="F176" s="27"/>
      <c r="G176" s="162" t="s">
        <v>481</v>
      </c>
      <c r="H176" s="27">
        <v>0</v>
      </c>
      <c r="I176" s="27">
        <v>0</v>
      </c>
      <c r="J176" s="27">
        <v>204814.25</v>
      </c>
      <c r="K176" s="28">
        <f t="shared" ca="1" si="7"/>
        <v>204814.25</v>
      </c>
      <c r="L176" s="27"/>
      <c r="M176" s="162" t="s">
        <v>481</v>
      </c>
      <c r="N176" s="27">
        <v>0</v>
      </c>
      <c r="O176" s="27">
        <v>0</v>
      </c>
      <c r="P176" s="27">
        <v>0</v>
      </c>
      <c r="Q176" s="28">
        <f t="shared" ca="1" si="8"/>
        <v>0</v>
      </c>
    </row>
    <row r="177" spans="1:17" x14ac:dyDescent="0.25">
      <c r="A177" s="162" t="s">
        <v>482</v>
      </c>
      <c r="B177" s="27">
        <v>0</v>
      </c>
      <c r="C177" s="27">
        <v>0</v>
      </c>
      <c r="D177" s="27">
        <v>0</v>
      </c>
      <c r="E177" s="28">
        <f t="shared" ca="1" si="6"/>
        <v>0</v>
      </c>
      <c r="F177" s="27"/>
      <c r="G177" s="162" t="s">
        <v>482</v>
      </c>
      <c r="H177" s="27">
        <v>178213</v>
      </c>
      <c r="I177" s="27">
        <v>0</v>
      </c>
      <c r="J177" s="27">
        <v>0</v>
      </c>
      <c r="K177" s="28">
        <f t="shared" ca="1" si="7"/>
        <v>178213</v>
      </c>
      <c r="L177" s="27"/>
      <c r="M177" s="162" t="s">
        <v>482</v>
      </c>
      <c r="N177" s="27">
        <v>0</v>
      </c>
      <c r="O177" s="27">
        <v>0</v>
      </c>
      <c r="P177" s="27">
        <v>0</v>
      </c>
      <c r="Q177" s="28">
        <f t="shared" ca="1" si="8"/>
        <v>0</v>
      </c>
    </row>
    <row r="178" spans="1:17" x14ac:dyDescent="0.25">
      <c r="A178" s="162" t="s">
        <v>483</v>
      </c>
      <c r="B178" s="27">
        <v>0</v>
      </c>
      <c r="C178" s="27">
        <v>0</v>
      </c>
      <c r="D178" s="27">
        <v>0</v>
      </c>
      <c r="E178" s="28">
        <f t="shared" ca="1" si="6"/>
        <v>0</v>
      </c>
      <c r="F178" s="27"/>
      <c r="G178" s="162" t="s">
        <v>483</v>
      </c>
      <c r="H178" s="27">
        <v>93902.649999999965</v>
      </c>
      <c r="I178" s="27">
        <v>0</v>
      </c>
      <c r="J178" s="27">
        <v>0</v>
      </c>
      <c r="K178" s="28">
        <f t="shared" ca="1" si="7"/>
        <v>93902.649999999965</v>
      </c>
      <c r="L178" s="27"/>
      <c r="M178" s="162" t="s">
        <v>483</v>
      </c>
      <c r="N178" s="27">
        <v>0</v>
      </c>
      <c r="O178" s="27">
        <v>0</v>
      </c>
      <c r="P178" s="27">
        <v>0</v>
      </c>
      <c r="Q178" s="28">
        <f t="shared" ca="1" si="8"/>
        <v>0</v>
      </c>
    </row>
    <row r="179" spans="1:17" ht="15.75" thickBot="1" x14ac:dyDescent="0.3">
      <c r="A179" s="162" t="s">
        <v>484</v>
      </c>
      <c r="B179" s="27">
        <v>0</v>
      </c>
      <c r="C179" s="27">
        <v>0</v>
      </c>
      <c r="D179" s="27">
        <v>0</v>
      </c>
      <c r="E179" s="28">
        <f t="shared" ca="1" si="6"/>
        <v>0</v>
      </c>
      <c r="F179" s="27"/>
      <c r="G179" s="162" t="s">
        <v>484</v>
      </c>
      <c r="H179" s="27">
        <v>0</v>
      </c>
      <c r="I179" s="27">
        <v>0</v>
      </c>
      <c r="J179" s="27">
        <v>0</v>
      </c>
      <c r="K179" s="28">
        <f t="shared" ca="1" si="7"/>
        <v>0</v>
      </c>
      <c r="L179" s="27"/>
      <c r="M179" s="162" t="s">
        <v>484</v>
      </c>
      <c r="N179" s="27">
        <v>1068165</v>
      </c>
      <c r="O179" s="27">
        <v>0</v>
      </c>
      <c r="P179" s="27">
        <v>0</v>
      </c>
      <c r="Q179" s="28">
        <f t="shared" ca="1" si="8"/>
        <v>1068165</v>
      </c>
    </row>
    <row r="180" spans="1:17" ht="15.75" thickBot="1" x14ac:dyDescent="0.3">
      <c r="A180" s="163" t="s">
        <v>27</v>
      </c>
      <c r="B180" s="164">
        <f ca="1">SUM(B8:B179)</f>
        <v>896337262.77999997</v>
      </c>
      <c r="C180" s="164">
        <f ca="1">SUM(C8:C179)</f>
        <v>759252894.11000037</v>
      </c>
      <c r="D180" s="164">
        <f ca="1">SUM(D8:D179)</f>
        <v>699053424.68999958</v>
      </c>
      <c r="E180" s="165">
        <f ca="1">SUM(E8:E179)</f>
        <v>2354643581.5800014</v>
      </c>
      <c r="F180" s="166"/>
      <c r="G180" s="163" t="s">
        <v>27</v>
      </c>
      <c r="H180" s="164">
        <f ca="1">SUM(H8:H179)</f>
        <v>783083916.4599998</v>
      </c>
      <c r="I180" s="164">
        <f ca="1">SUM(I8:I179)</f>
        <v>679398501.69999993</v>
      </c>
      <c r="J180" s="164">
        <f ca="1">SUM(J8:J179)</f>
        <v>595619874.43000031</v>
      </c>
      <c r="K180" s="165">
        <f ca="1">SUM(K8:K179)</f>
        <v>2058102292.5900002</v>
      </c>
      <c r="L180" s="166"/>
      <c r="M180" s="163" t="s">
        <v>27</v>
      </c>
      <c r="N180" s="164">
        <f ca="1">SUM(N8:N179)</f>
        <v>699873007.71999967</v>
      </c>
      <c r="O180" s="164">
        <f ca="1">SUM(O8:O179)</f>
        <v>126934438.63999997</v>
      </c>
      <c r="P180" s="164">
        <f ca="1">SUM(P8:P179)</f>
        <v>0</v>
      </c>
      <c r="Q180" s="165">
        <f ca="1">SUM(Q8:Q179)</f>
        <v>826807446.35999954</v>
      </c>
    </row>
    <row r="182" spans="1:17" x14ac:dyDescent="0.25">
      <c r="E182" s="23">
        <f ca="1">SUM(Summary!K34:K36)</f>
        <v>2354643581.5799975</v>
      </c>
      <c r="F182" s="167"/>
      <c r="K182" s="23">
        <f ca="1">SUM(Summary!K38:'Summary'!K40)</f>
        <v>2058102292.5899999</v>
      </c>
      <c r="L182" s="167"/>
      <c r="Q182" s="23">
        <f ca="1">SUM(Summary!K41,Summary!K42)</f>
        <v>826807446.3599999</v>
      </c>
    </row>
    <row r="183" spans="1:17" x14ac:dyDescent="0.25">
      <c r="E183" s="16">
        <f ca="1">E180-E182</f>
        <v>3.814697265625E-6</v>
      </c>
      <c r="K183" s="16">
        <f ca="1">K180-K182</f>
        <v>0</v>
      </c>
      <c r="Q183" s="16">
        <f ca="1">Q180-Q182</f>
        <v>0</v>
      </c>
    </row>
    <row r="186" spans="1:17" x14ac:dyDescent="0.25">
      <c r="E186" s="16"/>
      <c r="F186" s="16"/>
      <c r="K186" s="16"/>
      <c r="L186" s="16"/>
      <c r="Q186" s="16"/>
    </row>
  </sheetData>
  <mergeCells count="3">
    <mergeCell ref="A6:E6"/>
    <mergeCell ref="G6:K6"/>
    <mergeCell ref="M6:Q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6" orientation="landscape" r:id="rId1"/>
  <headerFooter>
    <oddHeader>&amp;L&amp;"Aptos Narrow,Regular"SOBHA LLC&amp;R&amp;D</oddHeader>
    <oddFooter>&amp;L&amp;"Aptos Narrow,Regular"COLLECTION&amp;R&amp;P/&amp;N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7670-C454-4642-91CA-280923CCDDA7}">
  <sheetPr>
    <tabColor theme="6" tint="0.39997558519241921"/>
  </sheetPr>
  <dimension ref="A1:DD93"/>
  <sheetViews>
    <sheetView showGridLines="0" zoomScale="80" zoomScaleNormal="80" workbookViewId="0">
      <selection activeCell="B6" sqref="B6:I6"/>
    </sheetView>
  </sheetViews>
  <sheetFormatPr defaultRowHeight="15" x14ac:dyDescent="0.25"/>
  <cols>
    <col min="1" max="1" width="11.5703125" bestFit="1" customWidth="1"/>
    <col min="2" max="2" width="16.28515625" bestFit="1" customWidth="1"/>
    <col min="3" max="9" width="15.28515625" bestFit="1" customWidth="1"/>
    <col min="10" max="10" width="12.28515625" bestFit="1" customWidth="1"/>
    <col min="11" max="11" width="11.28515625" bestFit="1" customWidth="1"/>
    <col min="12" max="12" width="12.28515625" bestFit="1" customWidth="1"/>
    <col min="13" max="13" width="11.28515625" bestFit="1" customWidth="1"/>
    <col min="15" max="15" width="11.5703125" bestFit="1" customWidth="1"/>
    <col min="16" max="16" width="16.28515625" bestFit="1" customWidth="1"/>
    <col min="17" max="23" width="15.28515625" bestFit="1" customWidth="1"/>
    <col min="24" max="24" width="12.28515625" bestFit="1" customWidth="1"/>
    <col min="25" max="25" width="11.28515625" bestFit="1" customWidth="1"/>
    <col min="26" max="26" width="12.28515625" bestFit="1" customWidth="1"/>
    <col min="27" max="27" width="11.28515625" bestFit="1" customWidth="1"/>
    <col min="28" max="28" width="10.5703125" customWidth="1"/>
    <col min="29" max="29" width="19.28515625" customWidth="1"/>
    <col min="30" max="31" width="14.28515625" bestFit="1" customWidth="1"/>
    <col min="32" max="32" width="12.42578125" bestFit="1" customWidth="1"/>
    <col min="33" max="33" width="14.28515625" bestFit="1" customWidth="1"/>
    <col min="34" max="34" width="12.42578125" bestFit="1" customWidth="1"/>
    <col min="35" max="35" width="14.28515625" bestFit="1" customWidth="1"/>
    <col min="36" max="36" width="12.42578125" bestFit="1" customWidth="1"/>
    <col min="38" max="38" width="11" bestFit="1" customWidth="1"/>
    <col min="39" max="40" width="12.42578125" bestFit="1" customWidth="1"/>
    <col min="41" max="41" width="10.42578125" bestFit="1" customWidth="1"/>
    <col min="42" max="42" width="11.42578125" bestFit="1" customWidth="1"/>
    <col min="43" max="43" width="14.28515625" bestFit="1" customWidth="1"/>
    <col min="44" max="46" width="12.42578125" bestFit="1" customWidth="1"/>
    <col min="48" max="48" width="11" bestFit="1" customWidth="1"/>
    <col min="49" max="50" width="11.42578125" bestFit="1" customWidth="1"/>
    <col min="51" max="52" width="10.42578125" bestFit="1" customWidth="1"/>
    <col min="53" max="54" width="11.42578125" bestFit="1" customWidth="1"/>
    <col min="55" max="56" width="10.42578125" bestFit="1" customWidth="1"/>
    <col min="108" max="108" width="13" bestFit="1" customWidth="1"/>
  </cols>
  <sheetData>
    <row r="1" spans="1:108" ht="15.75" thickBot="1" x14ac:dyDescent="0.3">
      <c r="B1" s="168" t="s">
        <v>485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P1" s="168" t="s">
        <v>485</v>
      </c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C1" s="169" t="str">
        <f ca="1">IF(AND(ABS(SUM(B35,F35,J35)-B36)&lt;10,ABS(SUM(B54,F54,J54)-B55)&lt;10,ABS(SUM(B16,F16,J16)-B17)&lt;10,ABS(SUM(B73,F73,J73)-B74)&lt;10),"Ok","Nok")</f>
        <v>Ok</v>
      </c>
    </row>
    <row r="2" spans="1:108" x14ac:dyDescent="0.25">
      <c r="A2" s="170" t="s">
        <v>486</v>
      </c>
      <c r="B2" s="171" t="s">
        <v>487</v>
      </c>
      <c r="C2" s="172"/>
      <c r="D2" s="172"/>
      <c r="E2" s="173"/>
      <c r="F2" s="171" t="s">
        <v>488</v>
      </c>
      <c r="G2" s="172"/>
      <c r="H2" s="172"/>
      <c r="I2" s="173"/>
      <c r="J2" s="171" t="s">
        <v>489</v>
      </c>
      <c r="K2" s="172"/>
      <c r="L2" s="172"/>
      <c r="M2" s="173"/>
      <c r="O2" s="170">
        <v>2026</v>
      </c>
      <c r="P2" s="171" t="s">
        <v>487</v>
      </c>
      <c r="Q2" s="172"/>
      <c r="R2" s="172"/>
      <c r="S2" s="173"/>
      <c r="T2" s="171" t="s">
        <v>488</v>
      </c>
      <c r="U2" s="172"/>
      <c r="V2" s="172"/>
      <c r="W2" s="173"/>
      <c r="X2" s="171" t="s">
        <v>489</v>
      </c>
      <c r="Y2" s="172"/>
      <c r="Z2" s="172"/>
      <c r="AA2" s="173"/>
      <c r="DD2">
        <v>41660163683.430565</v>
      </c>
    </row>
    <row r="3" spans="1:108" x14ac:dyDescent="0.25">
      <c r="A3" s="170" t="s">
        <v>282</v>
      </c>
      <c r="B3" s="170" t="s">
        <v>490</v>
      </c>
      <c r="C3" s="170" t="s">
        <v>491</v>
      </c>
      <c r="D3" s="170" t="s">
        <v>492</v>
      </c>
      <c r="E3" s="170" t="s">
        <v>493</v>
      </c>
      <c r="F3" s="170" t="s">
        <v>490</v>
      </c>
      <c r="G3" s="170" t="s">
        <v>491</v>
      </c>
      <c r="H3" s="170" t="s">
        <v>492</v>
      </c>
      <c r="I3" s="170" t="s">
        <v>493</v>
      </c>
      <c r="J3" s="170" t="s">
        <v>490</v>
      </c>
      <c r="K3" s="170" t="s">
        <v>491</v>
      </c>
      <c r="L3" s="170" t="s">
        <v>492</v>
      </c>
      <c r="M3" s="170" t="s">
        <v>493</v>
      </c>
      <c r="O3" s="170" t="s">
        <v>282</v>
      </c>
      <c r="P3" s="170" t="s">
        <v>490</v>
      </c>
      <c r="Q3" s="170" t="s">
        <v>491</v>
      </c>
      <c r="R3" s="170" t="s">
        <v>492</v>
      </c>
      <c r="S3" s="170" t="s">
        <v>493</v>
      </c>
      <c r="T3" s="170" t="s">
        <v>490</v>
      </c>
      <c r="U3" s="170" t="s">
        <v>491</v>
      </c>
      <c r="V3" s="170" t="s">
        <v>492</v>
      </c>
      <c r="W3" s="170" t="s">
        <v>493</v>
      </c>
      <c r="X3" s="170" t="s">
        <v>490</v>
      </c>
      <c r="Y3" s="170" t="s">
        <v>491</v>
      </c>
      <c r="Z3" s="170" t="s">
        <v>492</v>
      </c>
      <c r="AA3" s="170" t="s">
        <v>493</v>
      </c>
    </row>
    <row r="4" spans="1:108" x14ac:dyDescent="0.25">
      <c r="A4" s="174" t="s">
        <v>70</v>
      </c>
      <c r="B4" s="175">
        <v>538077906.76999974</v>
      </c>
      <c r="C4" s="175">
        <v>193187009</v>
      </c>
      <c r="D4" s="175">
        <v>255604808.93999997</v>
      </c>
      <c r="E4" s="175">
        <v>86079322.059999958</v>
      </c>
      <c r="F4" s="175">
        <v>570677212.29000056</v>
      </c>
      <c r="G4" s="175">
        <v>145660009</v>
      </c>
      <c r="H4" s="175">
        <v>345610927.22000003</v>
      </c>
      <c r="I4" s="175">
        <v>79397445.779999986</v>
      </c>
      <c r="J4" s="175">
        <v>615837.69999999995</v>
      </c>
      <c r="K4" s="175">
        <v>1038</v>
      </c>
      <c r="L4" s="175">
        <v>614642.26</v>
      </c>
      <c r="M4" s="175">
        <v>156.73999999999069</v>
      </c>
      <c r="O4" s="174" t="s">
        <v>70</v>
      </c>
      <c r="P4" s="175">
        <v>628561527.78999889</v>
      </c>
      <c r="Q4" s="175">
        <v>166085165</v>
      </c>
      <c r="R4" s="175">
        <v>297560340.98000008</v>
      </c>
      <c r="S4" s="175">
        <v>162603173.02000013</v>
      </c>
      <c r="T4" s="175">
        <v>688797706.81999981</v>
      </c>
      <c r="U4" s="175">
        <v>65369636</v>
      </c>
      <c r="V4" s="175">
        <v>485521603.48000038</v>
      </c>
      <c r="W4" s="175">
        <v>137874994.52000013</v>
      </c>
      <c r="X4" s="175">
        <v>5095.99</v>
      </c>
      <c r="Y4" s="175">
        <v>0</v>
      </c>
      <c r="Z4" s="175">
        <v>1972</v>
      </c>
      <c r="AA4" s="175">
        <v>3125</v>
      </c>
      <c r="AB4" s="176" t="s">
        <v>494</v>
      </c>
      <c r="AC4" s="176"/>
      <c r="AD4" s="176"/>
      <c r="AE4" s="176"/>
      <c r="AF4" s="176"/>
      <c r="AG4" s="176"/>
      <c r="AH4" s="176"/>
      <c r="AI4" s="176"/>
    </row>
    <row r="5" spans="1:108" x14ac:dyDescent="0.25">
      <c r="A5" s="174" t="s">
        <v>71</v>
      </c>
      <c r="B5" s="175">
        <v>565673849.89999986</v>
      </c>
      <c r="C5" s="175">
        <v>197790465</v>
      </c>
      <c r="D5" s="175">
        <v>289490150.41999996</v>
      </c>
      <c r="E5" s="175">
        <v>75658240.580000013</v>
      </c>
      <c r="F5" s="175">
        <v>623899918.41000009</v>
      </c>
      <c r="G5" s="175">
        <v>180761861</v>
      </c>
      <c r="H5" s="175">
        <v>356272759.43999994</v>
      </c>
      <c r="I5" s="175">
        <v>86740918.560000047</v>
      </c>
      <c r="J5" s="175">
        <v>0</v>
      </c>
      <c r="K5" s="175">
        <v>0</v>
      </c>
      <c r="L5" s="175">
        <v>0</v>
      </c>
      <c r="M5" s="175">
        <v>0</v>
      </c>
      <c r="O5" s="174" t="s">
        <v>71</v>
      </c>
      <c r="P5" s="175">
        <v>650976684.94000018</v>
      </c>
      <c r="Q5" s="175">
        <v>198841169</v>
      </c>
      <c r="R5" s="175">
        <v>278496566.38000023</v>
      </c>
      <c r="S5" s="175">
        <v>171165322.61999995</v>
      </c>
      <c r="T5" s="175">
        <v>592340054.37</v>
      </c>
      <c r="U5" s="175">
        <v>52337179</v>
      </c>
      <c r="V5" s="175">
        <v>400194319.36000007</v>
      </c>
      <c r="W5" s="175">
        <v>139686303.64000005</v>
      </c>
      <c r="X5" s="175">
        <v>1024060.9799999997</v>
      </c>
      <c r="Y5" s="175">
        <v>1667</v>
      </c>
      <c r="Z5" s="175">
        <v>707615.95999999566</v>
      </c>
      <c r="AA5" s="175">
        <v>309953.04000000434</v>
      </c>
      <c r="AB5" s="176"/>
      <c r="AC5" s="176"/>
      <c r="AD5" s="176"/>
      <c r="AE5" s="176"/>
      <c r="AF5" s="176"/>
      <c r="AG5" s="176"/>
      <c r="AH5" s="176"/>
      <c r="AI5" s="176"/>
    </row>
    <row r="6" spans="1:108" x14ac:dyDescent="0.25">
      <c r="A6" s="174" t="s">
        <v>72</v>
      </c>
      <c r="B6" s="175">
        <v>572662308.08000004</v>
      </c>
      <c r="C6" s="175">
        <v>188231726</v>
      </c>
      <c r="D6" s="175">
        <v>296913637.42999977</v>
      </c>
      <c r="E6" s="175">
        <v>85083917.570000112</v>
      </c>
      <c r="F6" s="175">
        <v>669828928.38999963</v>
      </c>
      <c r="G6" s="175">
        <v>192695194</v>
      </c>
      <c r="H6" s="175">
        <v>376194628.8599996</v>
      </c>
      <c r="I6" s="175">
        <v>100931796.14000002</v>
      </c>
      <c r="J6" s="175">
        <v>0</v>
      </c>
      <c r="K6" s="175">
        <v>0</v>
      </c>
      <c r="L6" s="175">
        <v>0</v>
      </c>
      <c r="M6" s="175">
        <v>0</v>
      </c>
      <c r="O6" s="174" t="s">
        <v>72</v>
      </c>
      <c r="P6" s="175">
        <v>373161733.2499997</v>
      </c>
      <c r="Q6" s="175">
        <v>40706718</v>
      </c>
      <c r="R6" s="175">
        <v>214689782.69999993</v>
      </c>
      <c r="S6" s="175">
        <v>116284235.3</v>
      </c>
      <c r="T6" s="175">
        <v>495354820.04000026</v>
      </c>
      <c r="U6" s="175">
        <v>32577336</v>
      </c>
      <c r="V6" s="175">
        <v>380650689.00999969</v>
      </c>
      <c r="W6" s="175">
        <v>82100052.99000001</v>
      </c>
      <c r="X6" s="175">
        <v>488661.80000000005</v>
      </c>
      <c r="Y6" s="175">
        <v>0</v>
      </c>
      <c r="Z6" s="175">
        <v>279402.7199999952</v>
      </c>
      <c r="AA6" s="175">
        <v>209356.2800000048</v>
      </c>
      <c r="AB6" s="176"/>
      <c r="AC6" s="176"/>
      <c r="AD6" s="176"/>
      <c r="AE6" s="176"/>
      <c r="AF6" s="176"/>
      <c r="AG6" s="176"/>
      <c r="AH6" s="176"/>
      <c r="AI6" s="176"/>
    </row>
    <row r="7" spans="1:108" x14ac:dyDescent="0.25">
      <c r="A7" s="174" t="s">
        <v>73</v>
      </c>
      <c r="B7" s="175">
        <v>660470580.30000043</v>
      </c>
      <c r="C7" s="175">
        <v>188640739</v>
      </c>
      <c r="D7" s="175">
        <v>344281244.97999978</v>
      </c>
      <c r="E7" s="175">
        <v>125122060.02</v>
      </c>
      <c r="F7" s="175">
        <v>849738353.59000003</v>
      </c>
      <c r="G7" s="175">
        <v>178481257</v>
      </c>
      <c r="H7" s="175">
        <v>530097244.64999932</v>
      </c>
      <c r="I7" s="175">
        <v>141145104.3499999</v>
      </c>
      <c r="J7" s="175">
        <v>0</v>
      </c>
      <c r="K7" s="175">
        <v>0</v>
      </c>
      <c r="L7" s="175">
        <v>0</v>
      </c>
      <c r="M7" s="175">
        <v>0</v>
      </c>
      <c r="O7" s="174" t="s">
        <v>73</v>
      </c>
      <c r="P7" s="175">
        <v>573625341.45000052</v>
      </c>
      <c r="Q7" s="175">
        <v>77809831</v>
      </c>
      <c r="R7" s="175">
        <v>327535194.03000003</v>
      </c>
      <c r="S7" s="175">
        <v>162516658.96999982</v>
      </c>
      <c r="T7" s="175">
        <v>509135181.59000045</v>
      </c>
      <c r="U7" s="175">
        <v>45718486</v>
      </c>
      <c r="V7" s="175">
        <v>372005062.00000018</v>
      </c>
      <c r="W7" s="175">
        <v>91256850.999999985</v>
      </c>
      <c r="X7" s="175">
        <v>472667.11999999965</v>
      </c>
      <c r="Y7" s="175">
        <v>4000</v>
      </c>
      <c r="Z7" s="175">
        <v>332751.69000000053</v>
      </c>
      <c r="AA7" s="175">
        <v>135952.30999999947</v>
      </c>
      <c r="AB7" s="176"/>
      <c r="AC7" s="176"/>
      <c r="AD7" s="176"/>
      <c r="AE7" s="176"/>
      <c r="AF7" s="176"/>
      <c r="AG7" s="176"/>
      <c r="AH7" s="176"/>
      <c r="AI7" s="176"/>
    </row>
    <row r="8" spans="1:108" x14ac:dyDescent="0.25">
      <c r="A8" s="174" t="s">
        <v>74</v>
      </c>
      <c r="B8" s="175">
        <v>938253286.4799993</v>
      </c>
      <c r="C8" s="175">
        <v>293210785</v>
      </c>
      <c r="D8" s="175">
        <v>458280013.33000064</v>
      </c>
      <c r="E8" s="175">
        <v>182430796.67000023</v>
      </c>
      <c r="F8" s="175">
        <v>922673298.75999939</v>
      </c>
      <c r="G8" s="175">
        <v>192424236</v>
      </c>
      <c r="H8" s="175">
        <v>581673174.65999985</v>
      </c>
      <c r="I8" s="175">
        <v>148559447.33999991</v>
      </c>
      <c r="J8" s="175">
        <v>0</v>
      </c>
      <c r="K8" s="175">
        <v>0</v>
      </c>
      <c r="L8" s="175">
        <v>0</v>
      </c>
      <c r="M8" s="175">
        <v>0</v>
      </c>
      <c r="O8" s="174" t="s">
        <v>74</v>
      </c>
      <c r="P8" s="175">
        <v>126935206.03</v>
      </c>
      <c r="Q8" s="175">
        <v>11710076</v>
      </c>
      <c r="R8" s="175">
        <v>87755756.070000023</v>
      </c>
      <c r="S8" s="175">
        <v>26773881.929999989</v>
      </c>
      <c r="T8" s="175">
        <v>63747370.170000002</v>
      </c>
      <c r="U8" s="175">
        <v>11105786</v>
      </c>
      <c r="V8" s="175">
        <v>39085402.330000013</v>
      </c>
      <c r="W8" s="175">
        <v>13555197.670000004</v>
      </c>
      <c r="X8" s="175">
        <v>174958</v>
      </c>
      <c r="Y8" s="175">
        <v>0</v>
      </c>
      <c r="Z8" s="175">
        <v>93280.239999999991</v>
      </c>
      <c r="AA8" s="175">
        <v>81677.760000000009</v>
      </c>
      <c r="AB8" s="176"/>
      <c r="AC8" s="176"/>
      <c r="AD8" s="176"/>
      <c r="AE8" s="176"/>
      <c r="AF8" s="176"/>
      <c r="AG8" s="176"/>
      <c r="AH8" s="176"/>
      <c r="AI8" s="176"/>
    </row>
    <row r="9" spans="1:108" x14ac:dyDescent="0.25">
      <c r="A9" s="174" t="s">
        <v>75</v>
      </c>
      <c r="B9" s="175">
        <v>705549363.42000008</v>
      </c>
      <c r="C9" s="175">
        <v>175534786</v>
      </c>
      <c r="D9" s="175">
        <v>377491975.91000021</v>
      </c>
      <c r="E9" s="175">
        <v>147873314.08999994</v>
      </c>
      <c r="F9" s="175">
        <v>694796645.19999921</v>
      </c>
      <c r="G9" s="175">
        <v>120818443</v>
      </c>
      <c r="H9" s="175">
        <v>461669521.38000047</v>
      </c>
      <c r="I9" s="175">
        <v>112295003.61999999</v>
      </c>
      <c r="J9" s="175">
        <v>0</v>
      </c>
      <c r="K9" s="175">
        <v>0</v>
      </c>
      <c r="L9" s="175">
        <v>0</v>
      </c>
      <c r="M9" s="175">
        <v>0</v>
      </c>
      <c r="O9" s="174" t="s">
        <v>75</v>
      </c>
      <c r="P9" s="175">
        <v>0</v>
      </c>
      <c r="Q9" s="175">
        <v>0</v>
      </c>
      <c r="R9" s="175">
        <v>0</v>
      </c>
      <c r="S9" s="175">
        <v>0</v>
      </c>
      <c r="T9" s="175">
        <v>0</v>
      </c>
      <c r="U9" s="175">
        <v>0</v>
      </c>
      <c r="V9" s="175">
        <v>0</v>
      </c>
      <c r="W9" s="175">
        <v>0</v>
      </c>
      <c r="X9" s="175">
        <v>0</v>
      </c>
      <c r="Y9" s="175">
        <v>0</v>
      </c>
      <c r="Z9" s="175">
        <v>0</v>
      </c>
      <c r="AA9" s="175">
        <v>0</v>
      </c>
      <c r="AB9" s="176"/>
      <c r="AC9" s="176"/>
      <c r="AD9" s="176"/>
      <c r="AE9" s="176"/>
      <c r="AF9" s="176"/>
      <c r="AG9" s="176"/>
      <c r="AH9" s="176"/>
      <c r="AI9" s="176"/>
    </row>
    <row r="10" spans="1:108" x14ac:dyDescent="0.25">
      <c r="A10" s="174" t="s">
        <v>76</v>
      </c>
      <c r="B10" s="175">
        <v>788034950.70000005</v>
      </c>
      <c r="C10" s="175">
        <v>173866070</v>
      </c>
      <c r="D10" s="175">
        <v>482844897.43000025</v>
      </c>
      <c r="E10" s="175">
        <v>121184338.56999999</v>
      </c>
      <c r="F10" s="175">
        <v>759455532.60000026</v>
      </c>
      <c r="G10" s="175">
        <v>88904063</v>
      </c>
      <c r="H10" s="175">
        <v>517395817.67999995</v>
      </c>
      <c r="I10" s="175">
        <v>153118051.31999987</v>
      </c>
      <c r="J10" s="175">
        <v>0</v>
      </c>
      <c r="K10" s="175">
        <v>0</v>
      </c>
      <c r="L10" s="175">
        <v>0</v>
      </c>
      <c r="M10" s="175">
        <v>0</v>
      </c>
      <c r="O10" s="174" t="s">
        <v>76</v>
      </c>
      <c r="P10" s="175">
        <v>0</v>
      </c>
      <c r="Q10" s="175">
        <v>0</v>
      </c>
      <c r="R10" s="175">
        <v>0</v>
      </c>
      <c r="S10" s="175">
        <v>0</v>
      </c>
      <c r="T10" s="175">
        <v>0</v>
      </c>
      <c r="U10" s="175">
        <v>0</v>
      </c>
      <c r="V10" s="175">
        <v>0</v>
      </c>
      <c r="W10" s="175">
        <v>0</v>
      </c>
      <c r="X10" s="175">
        <v>0</v>
      </c>
      <c r="Y10" s="175">
        <v>0</v>
      </c>
      <c r="Z10" s="175">
        <v>0</v>
      </c>
      <c r="AA10" s="175">
        <v>0</v>
      </c>
      <c r="AB10" s="176"/>
      <c r="AC10" s="176"/>
      <c r="AD10" s="176"/>
      <c r="AE10" s="176"/>
      <c r="AF10" s="176"/>
      <c r="AG10" s="176"/>
      <c r="AH10" s="176"/>
      <c r="AI10" s="176"/>
    </row>
    <row r="11" spans="1:108" x14ac:dyDescent="0.25">
      <c r="A11" s="174" t="s">
        <v>77</v>
      </c>
      <c r="B11" s="175">
        <v>645033266.91000044</v>
      </c>
      <c r="C11" s="175">
        <v>149363871</v>
      </c>
      <c r="D11" s="175">
        <v>305733109.21999979</v>
      </c>
      <c r="E11" s="175">
        <v>184432651.77999985</v>
      </c>
      <c r="F11" s="175">
        <v>688181177.43999946</v>
      </c>
      <c r="G11" s="175">
        <v>75605851</v>
      </c>
      <c r="H11" s="175">
        <v>477370316.17999959</v>
      </c>
      <c r="I11" s="175">
        <v>135159053.81999999</v>
      </c>
      <c r="J11" s="175">
        <v>0</v>
      </c>
      <c r="K11" s="175">
        <v>0</v>
      </c>
      <c r="L11" s="175">
        <v>0</v>
      </c>
      <c r="M11" s="175">
        <v>0</v>
      </c>
      <c r="O11" s="174" t="s">
        <v>77</v>
      </c>
      <c r="P11" s="175">
        <v>0</v>
      </c>
      <c r="Q11" s="175">
        <v>0</v>
      </c>
      <c r="R11" s="175">
        <v>0</v>
      </c>
      <c r="S11" s="175">
        <v>0</v>
      </c>
      <c r="T11" s="175">
        <v>0</v>
      </c>
      <c r="U11" s="175">
        <v>0</v>
      </c>
      <c r="V11" s="175">
        <v>0</v>
      </c>
      <c r="W11" s="175">
        <v>0</v>
      </c>
      <c r="X11" s="175">
        <v>0</v>
      </c>
      <c r="Y11" s="175">
        <v>0</v>
      </c>
      <c r="Z11" s="175">
        <v>0</v>
      </c>
      <c r="AA11" s="175">
        <v>0</v>
      </c>
      <c r="AB11" s="176"/>
      <c r="AC11" s="176"/>
      <c r="AD11" s="176"/>
      <c r="AE11" s="176"/>
      <c r="AF11" s="176"/>
      <c r="AG11" s="176"/>
      <c r="AH11" s="176"/>
      <c r="AI11" s="176"/>
    </row>
    <row r="12" spans="1:108" x14ac:dyDescent="0.25">
      <c r="A12" s="174" t="s">
        <v>78</v>
      </c>
      <c r="B12" s="175">
        <v>679819948.20999944</v>
      </c>
      <c r="C12" s="175">
        <v>189823185</v>
      </c>
      <c r="D12" s="175">
        <v>354423255.53000027</v>
      </c>
      <c r="E12" s="175">
        <v>131662029.47000007</v>
      </c>
      <c r="F12" s="175">
        <v>673332424.22000062</v>
      </c>
      <c r="G12" s="175">
        <v>98195724</v>
      </c>
      <c r="H12" s="175">
        <v>441800811.68000001</v>
      </c>
      <c r="I12" s="175">
        <v>133264251.32000004</v>
      </c>
      <c r="J12" s="175">
        <v>15999.75</v>
      </c>
      <c r="K12" s="175">
        <v>1000</v>
      </c>
      <c r="L12" s="175">
        <v>15000</v>
      </c>
      <c r="M12" s="175">
        <v>-1</v>
      </c>
      <c r="O12" s="174" t="s">
        <v>78</v>
      </c>
      <c r="P12" s="175">
        <v>0</v>
      </c>
      <c r="Q12" s="175">
        <v>0</v>
      </c>
      <c r="R12" s="175">
        <v>0</v>
      </c>
      <c r="S12" s="175">
        <v>0</v>
      </c>
      <c r="T12" s="175">
        <v>0</v>
      </c>
      <c r="U12" s="175">
        <v>0</v>
      </c>
      <c r="V12" s="175">
        <v>0</v>
      </c>
      <c r="W12" s="175">
        <v>0</v>
      </c>
      <c r="X12" s="175">
        <v>0</v>
      </c>
      <c r="Y12" s="175">
        <v>0</v>
      </c>
      <c r="Z12" s="175">
        <v>0</v>
      </c>
      <c r="AA12" s="175">
        <v>0</v>
      </c>
      <c r="AB12" s="176"/>
      <c r="AC12" s="176"/>
      <c r="AD12" s="176"/>
      <c r="AE12" s="176"/>
      <c r="AF12" s="176"/>
      <c r="AG12" s="176"/>
      <c r="AH12" s="176"/>
      <c r="AI12" s="176"/>
    </row>
    <row r="13" spans="1:108" x14ac:dyDescent="0.25">
      <c r="A13" s="174" t="s">
        <v>79</v>
      </c>
      <c r="B13" s="175">
        <v>712631492.85000098</v>
      </c>
      <c r="C13" s="175">
        <v>172741442</v>
      </c>
      <c r="D13" s="175">
        <v>351260824.34999973</v>
      </c>
      <c r="E13" s="175">
        <v>185073368.6499998</v>
      </c>
      <c r="F13" s="175">
        <v>802094973.08999956</v>
      </c>
      <c r="G13" s="175">
        <v>108100526</v>
      </c>
      <c r="H13" s="175">
        <v>544933705.7100004</v>
      </c>
      <c r="I13" s="175">
        <v>149046900.28999999</v>
      </c>
      <c r="J13" s="175">
        <v>152066.59000000003</v>
      </c>
      <c r="K13" s="175">
        <v>0</v>
      </c>
      <c r="L13" s="175">
        <v>142732.72000000009</v>
      </c>
      <c r="M13" s="175">
        <v>9345.2799999999115</v>
      </c>
      <c r="O13" s="174" t="s">
        <v>79</v>
      </c>
      <c r="P13" s="175">
        <v>0</v>
      </c>
      <c r="Q13" s="175">
        <v>0</v>
      </c>
      <c r="R13" s="175">
        <v>0</v>
      </c>
      <c r="S13" s="175">
        <v>0</v>
      </c>
      <c r="T13" s="175">
        <v>0</v>
      </c>
      <c r="U13" s="175">
        <v>0</v>
      </c>
      <c r="V13" s="175">
        <v>0</v>
      </c>
      <c r="W13" s="175">
        <v>0</v>
      </c>
      <c r="X13" s="175">
        <v>0</v>
      </c>
      <c r="Y13" s="175">
        <v>0</v>
      </c>
      <c r="Z13" s="175">
        <v>0</v>
      </c>
      <c r="AA13" s="175">
        <v>0</v>
      </c>
      <c r="AB13" s="176"/>
      <c r="AC13" s="176"/>
      <c r="AD13" s="176"/>
      <c r="AE13" s="176"/>
      <c r="AF13" s="176"/>
      <c r="AG13" s="176"/>
      <c r="AH13" s="176"/>
      <c r="AI13" s="176"/>
    </row>
    <row r="14" spans="1:108" x14ac:dyDescent="0.25">
      <c r="A14" s="174" t="s">
        <v>80</v>
      </c>
      <c r="B14" s="175">
        <v>622214143.75999963</v>
      </c>
      <c r="C14" s="175">
        <v>150360479</v>
      </c>
      <c r="D14" s="175">
        <v>331480480.15000069</v>
      </c>
      <c r="E14" s="175">
        <v>137622838.8499999</v>
      </c>
      <c r="F14" s="175">
        <v>669191039.15999997</v>
      </c>
      <c r="G14" s="175">
        <v>84793714</v>
      </c>
      <c r="H14" s="175">
        <v>427663282.96000016</v>
      </c>
      <c r="I14" s="175">
        <v>156712534.03999999</v>
      </c>
      <c r="J14" s="175">
        <v>219617.1</v>
      </c>
      <c r="K14" s="175">
        <v>100000</v>
      </c>
      <c r="L14" s="175">
        <v>109131</v>
      </c>
      <c r="M14" s="175">
        <v>618</v>
      </c>
      <c r="O14" s="174" t="s">
        <v>80</v>
      </c>
      <c r="P14" s="175">
        <v>0</v>
      </c>
      <c r="Q14" s="175">
        <v>0</v>
      </c>
      <c r="R14" s="175">
        <v>0</v>
      </c>
      <c r="S14" s="175">
        <v>0</v>
      </c>
      <c r="T14" s="175">
        <v>0</v>
      </c>
      <c r="U14" s="175">
        <v>0</v>
      </c>
      <c r="V14" s="175">
        <v>0</v>
      </c>
      <c r="W14" s="175">
        <v>0</v>
      </c>
      <c r="X14" s="175">
        <v>0</v>
      </c>
      <c r="Y14" s="175">
        <v>0</v>
      </c>
      <c r="Z14" s="175">
        <v>0</v>
      </c>
      <c r="AA14" s="175">
        <v>0</v>
      </c>
      <c r="AB14" s="176"/>
      <c r="AC14" s="176"/>
      <c r="AD14" s="176"/>
      <c r="AE14" s="176"/>
      <c r="AF14" s="176"/>
      <c r="AG14" s="176"/>
      <c r="AH14" s="176"/>
      <c r="AI14" s="176"/>
    </row>
    <row r="15" spans="1:108" x14ac:dyDescent="0.25">
      <c r="A15" s="174" t="s">
        <v>81</v>
      </c>
      <c r="B15" s="175">
        <v>673522399.36000037</v>
      </c>
      <c r="C15" s="175">
        <v>188214495</v>
      </c>
      <c r="D15" s="175">
        <v>286494862.80000025</v>
      </c>
      <c r="E15" s="175">
        <v>196321742.19999999</v>
      </c>
      <c r="F15" s="175">
        <v>719189036.15000033</v>
      </c>
      <c r="G15" s="175">
        <v>93747998</v>
      </c>
      <c r="H15" s="175">
        <v>412468561.88999999</v>
      </c>
      <c r="I15" s="175">
        <v>212899510.1100004</v>
      </c>
      <c r="J15" s="175">
        <v>134473.04</v>
      </c>
      <c r="K15" s="175">
        <v>39917</v>
      </c>
      <c r="L15" s="175">
        <v>90000</v>
      </c>
      <c r="M15" s="175">
        <v>4556</v>
      </c>
      <c r="O15" s="174" t="s">
        <v>81</v>
      </c>
      <c r="P15" s="175">
        <v>0</v>
      </c>
      <c r="Q15" s="175">
        <v>0</v>
      </c>
      <c r="R15" s="175">
        <v>0</v>
      </c>
      <c r="S15" s="175">
        <v>0</v>
      </c>
      <c r="T15" s="175">
        <v>0</v>
      </c>
      <c r="U15" s="175">
        <v>0</v>
      </c>
      <c r="V15" s="175">
        <v>0</v>
      </c>
      <c r="W15" s="175">
        <v>0</v>
      </c>
      <c r="X15" s="175">
        <v>0</v>
      </c>
      <c r="Y15" s="175">
        <v>0</v>
      </c>
      <c r="Z15" s="175">
        <v>0</v>
      </c>
      <c r="AA15" s="175">
        <v>0</v>
      </c>
      <c r="AB15" s="176"/>
      <c r="AC15" s="176"/>
      <c r="AD15" s="176"/>
      <c r="AE15" s="176"/>
      <c r="AF15" s="176"/>
      <c r="AG15" s="176"/>
      <c r="AH15" s="176"/>
      <c r="AI15" s="176"/>
    </row>
    <row r="16" spans="1:108" x14ac:dyDescent="0.25">
      <c r="A16" s="177" t="s">
        <v>59</v>
      </c>
      <c r="B16" s="178">
        <f ca="1">SUM(B4:B15)</f>
        <v>8101943496.7400007</v>
      </c>
      <c r="C16" s="178">
        <f ca="1">SUM(C4:C15)</f>
        <v>2260965052</v>
      </c>
      <c r="D16" s="178">
        <f ca="1">SUM(D4:D15)</f>
        <v>4134299260.4900012</v>
      </c>
      <c r="E16" s="178">
        <f ca="1">SUM(E4:E15)</f>
        <v>1658544620.51</v>
      </c>
      <c r="F16" s="178">
        <f ca="1">SUM(F4:F15)</f>
        <v>8643058539.2999973</v>
      </c>
      <c r="G16" s="178">
        <f t="shared" ref="G16:M16" ca="1" si="0">SUM(G4:G15)</f>
        <v>1560188876</v>
      </c>
      <c r="H16" s="178">
        <f t="shared" ca="1" si="0"/>
        <v>5473150752.3099995</v>
      </c>
      <c r="I16" s="178">
        <f t="shared" ca="1" si="0"/>
        <v>1609270016.6899998</v>
      </c>
      <c r="J16" s="178">
        <f t="shared" ca="1" si="0"/>
        <v>1137994.18</v>
      </c>
      <c r="K16" s="178">
        <f t="shared" ca="1" si="0"/>
        <v>141955</v>
      </c>
      <c r="L16" s="178">
        <f t="shared" ca="1" si="0"/>
        <v>971505.9800000001</v>
      </c>
      <c r="M16" s="178">
        <f t="shared" ca="1" si="0"/>
        <v>14675.019999999902</v>
      </c>
      <c r="O16" s="177" t="s">
        <v>59</v>
      </c>
      <c r="P16" s="178">
        <f ca="1">SUM(P4:P15)</f>
        <v>2353260493.4599996</v>
      </c>
      <c r="Q16" s="178">
        <f ca="1">SUM(Q4:Q15)</f>
        <v>495152959</v>
      </c>
      <c r="R16" s="178">
        <f ca="1">SUM(R4:R15)</f>
        <v>1206037640.1600003</v>
      </c>
      <c r="S16" s="178">
        <f ca="1">SUM(S4:S15)</f>
        <v>639343271.83999991</v>
      </c>
      <c r="T16" s="178">
        <f ca="1">SUM(T4:T15)</f>
        <v>2349375132.9900007</v>
      </c>
      <c r="U16" s="178">
        <f t="shared" ref="U16:AA16" ca="1" si="1">SUM(U4:U15)</f>
        <v>207108423</v>
      </c>
      <c r="V16" s="178">
        <f t="shared" ca="1" si="1"/>
        <v>1677457076.1800003</v>
      </c>
      <c r="W16" s="178">
        <f t="shared" ca="1" si="1"/>
        <v>464473399.82000023</v>
      </c>
      <c r="X16" s="178">
        <f t="shared" ca="1" si="1"/>
        <v>2165443.8899999997</v>
      </c>
      <c r="Y16" s="178">
        <f t="shared" ca="1" si="1"/>
        <v>5667</v>
      </c>
      <c r="Z16" s="178">
        <f t="shared" ca="1" si="1"/>
        <v>1415022.6099999913</v>
      </c>
      <c r="AA16" s="178">
        <f t="shared" ca="1" si="1"/>
        <v>740064.39000000863</v>
      </c>
      <c r="AB16" s="176"/>
      <c r="AC16" s="176"/>
      <c r="AD16" s="176"/>
      <c r="AE16" s="176"/>
      <c r="AF16" s="176"/>
      <c r="AG16" s="176"/>
      <c r="AH16" s="176"/>
      <c r="AI16" s="176"/>
    </row>
    <row r="17" spans="1:35" x14ac:dyDescent="0.25">
      <c r="B17" s="23">
        <f ca="1">Summary!E24</f>
        <v>16746140030.220007</v>
      </c>
      <c r="P17" s="23">
        <f ca="1">Summary!E37</f>
        <v>4704801070.3399935</v>
      </c>
      <c r="AB17" s="176"/>
      <c r="AC17" s="176"/>
      <c r="AD17" s="176"/>
      <c r="AE17" s="176"/>
      <c r="AF17" s="176"/>
      <c r="AG17" s="176"/>
      <c r="AH17" s="176"/>
      <c r="AI17" s="176"/>
    </row>
    <row r="18" spans="1:35" x14ac:dyDescent="0.25">
      <c r="AB18" s="176"/>
      <c r="AC18" s="176"/>
      <c r="AD18" s="176"/>
      <c r="AE18" s="176"/>
      <c r="AF18" s="176"/>
      <c r="AG18" s="176"/>
      <c r="AH18" s="176"/>
      <c r="AI18" s="176"/>
    </row>
    <row r="19" spans="1:35" x14ac:dyDescent="0.25">
      <c r="AB19" s="176"/>
      <c r="AC19" s="176"/>
      <c r="AD19" s="176"/>
      <c r="AE19" s="176"/>
      <c r="AF19" s="176"/>
      <c r="AG19" s="176"/>
      <c r="AH19" s="176"/>
      <c r="AI19" s="176"/>
    </row>
    <row r="20" spans="1:35" x14ac:dyDescent="0.25">
      <c r="B20" s="168" t="s">
        <v>19</v>
      </c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P20" s="168" t="s">
        <v>19</v>
      </c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76"/>
      <c r="AC20" s="176"/>
      <c r="AD20" s="176"/>
      <c r="AE20" s="176"/>
      <c r="AF20" s="176"/>
      <c r="AG20" s="176"/>
      <c r="AH20" s="176"/>
      <c r="AI20" s="176"/>
    </row>
    <row r="21" spans="1:35" x14ac:dyDescent="0.25">
      <c r="A21" s="170" t="s">
        <v>486</v>
      </c>
      <c r="B21" s="171" t="s">
        <v>487</v>
      </c>
      <c r="C21" s="172"/>
      <c r="D21" s="172"/>
      <c r="E21" s="173"/>
      <c r="F21" s="171" t="s">
        <v>488</v>
      </c>
      <c r="G21" s="172"/>
      <c r="H21" s="172"/>
      <c r="I21" s="173"/>
      <c r="J21" s="171" t="s">
        <v>489</v>
      </c>
      <c r="K21" s="172"/>
      <c r="L21" s="172"/>
      <c r="M21" s="173"/>
      <c r="O21" s="170">
        <v>2026</v>
      </c>
      <c r="P21" s="171" t="s">
        <v>487</v>
      </c>
      <c r="Q21" s="172"/>
      <c r="R21" s="172"/>
      <c r="S21" s="173"/>
      <c r="T21" s="171" t="s">
        <v>488</v>
      </c>
      <c r="U21" s="172"/>
      <c r="V21" s="172"/>
      <c r="W21" s="173"/>
      <c r="X21" s="171" t="s">
        <v>489</v>
      </c>
      <c r="Y21" s="172"/>
      <c r="Z21" s="172"/>
      <c r="AA21" s="173"/>
      <c r="AB21" s="176"/>
      <c r="AC21" s="176"/>
      <c r="AD21" s="176"/>
      <c r="AE21" s="176"/>
      <c r="AF21" s="176"/>
      <c r="AG21" s="176"/>
      <c r="AH21" s="176"/>
      <c r="AI21" s="176"/>
    </row>
    <row r="22" spans="1:35" x14ac:dyDescent="0.25">
      <c r="A22" s="170" t="s">
        <v>282</v>
      </c>
      <c r="B22" s="170" t="s">
        <v>490</v>
      </c>
      <c r="C22" s="170" t="s">
        <v>491</v>
      </c>
      <c r="D22" s="170" t="s">
        <v>492</v>
      </c>
      <c r="E22" s="170" t="s">
        <v>493</v>
      </c>
      <c r="F22" s="170" t="s">
        <v>490</v>
      </c>
      <c r="G22" s="170" t="s">
        <v>491</v>
      </c>
      <c r="H22" s="170" t="s">
        <v>492</v>
      </c>
      <c r="I22" s="170" t="s">
        <v>493</v>
      </c>
      <c r="J22" s="170" t="s">
        <v>490</v>
      </c>
      <c r="K22" s="170" t="s">
        <v>491</v>
      </c>
      <c r="L22" s="170" t="s">
        <v>492</v>
      </c>
      <c r="M22" s="170" t="s">
        <v>493</v>
      </c>
      <c r="O22" s="170" t="s">
        <v>282</v>
      </c>
      <c r="P22" s="170" t="s">
        <v>490</v>
      </c>
      <c r="Q22" s="170" t="s">
        <v>491</v>
      </c>
      <c r="R22" s="170" t="s">
        <v>492</v>
      </c>
      <c r="S22" s="170" t="s">
        <v>493</v>
      </c>
      <c r="T22" s="170" t="s">
        <v>490</v>
      </c>
      <c r="U22" s="170" t="s">
        <v>491</v>
      </c>
      <c r="V22" s="170" t="s">
        <v>492</v>
      </c>
      <c r="W22" s="170" t="s">
        <v>493</v>
      </c>
      <c r="X22" s="170" t="s">
        <v>490</v>
      </c>
      <c r="Y22" s="170" t="s">
        <v>491</v>
      </c>
      <c r="Z22" s="170" t="s">
        <v>492</v>
      </c>
      <c r="AA22" s="170" t="s">
        <v>493</v>
      </c>
      <c r="AB22" s="176"/>
      <c r="AC22" s="176"/>
      <c r="AD22" s="176"/>
      <c r="AE22" s="176"/>
      <c r="AF22" s="176"/>
      <c r="AG22" s="176"/>
      <c r="AH22" s="176"/>
      <c r="AI22" s="176"/>
    </row>
    <row r="23" spans="1:35" x14ac:dyDescent="0.25">
      <c r="A23" s="174" t="s">
        <v>70</v>
      </c>
      <c r="B23" s="175">
        <v>510429064.13999969</v>
      </c>
      <c r="C23" s="175">
        <v>166579631</v>
      </c>
      <c r="D23" s="175">
        <v>254671517.91999996</v>
      </c>
      <c r="E23" s="175">
        <v>85971155.079999954</v>
      </c>
      <c r="F23" s="175">
        <v>409245479.02000034</v>
      </c>
      <c r="G23" s="175">
        <v>56121314</v>
      </c>
      <c r="H23" s="175">
        <v>284805114.08000004</v>
      </c>
      <c r="I23" s="175">
        <v>68319213.919999987</v>
      </c>
      <c r="J23" s="175">
        <v>615837.69999999995</v>
      </c>
      <c r="K23" s="175">
        <v>1038</v>
      </c>
      <c r="L23" s="175">
        <v>614642.26</v>
      </c>
      <c r="M23" s="175">
        <v>156.73999999999069</v>
      </c>
      <c r="O23" s="174" t="s">
        <v>70</v>
      </c>
      <c r="P23" s="175">
        <v>605831668.71999896</v>
      </c>
      <c r="Q23" s="175">
        <v>156546001</v>
      </c>
      <c r="R23" s="175">
        <v>287901406.10000008</v>
      </c>
      <c r="S23" s="175">
        <v>159396971.90000013</v>
      </c>
      <c r="T23" s="175">
        <v>494050879.03999984</v>
      </c>
      <c r="U23" s="175">
        <v>36421435</v>
      </c>
      <c r="V23" s="175">
        <v>352118403.76000041</v>
      </c>
      <c r="W23" s="175">
        <v>105511263.24000014</v>
      </c>
      <c r="X23" s="175">
        <v>5095.99</v>
      </c>
      <c r="Y23" s="175">
        <v>0</v>
      </c>
      <c r="Z23" s="175">
        <v>1972</v>
      </c>
      <c r="AA23" s="175">
        <v>3125</v>
      </c>
      <c r="AB23" s="176"/>
      <c r="AC23" s="176"/>
      <c r="AD23" s="176"/>
      <c r="AE23" s="176"/>
      <c r="AF23" s="176"/>
      <c r="AG23" s="176"/>
      <c r="AH23" s="176"/>
      <c r="AI23" s="176"/>
    </row>
    <row r="24" spans="1:35" x14ac:dyDescent="0.25">
      <c r="A24" s="174" t="s">
        <v>71</v>
      </c>
      <c r="B24" s="175">
        <v>545991384.62999988</v>
      </c>
      <c r="C24" s="175">
        <v>178236908</v>
      </c>
      <c r="D24" s="175">
        <v>289490149.41999996</v>
      </c>
      <c r="E24" s="175">
        <v>75534338.580000013</v>
      </c>
      <c r="F24" s="175">
        <v>428510905.13999999</v>
      </c>
      <c r="G24" s="175">
        <v>67869576</v>
      </c>
      <c r="H24" s="175">
        <v>289784785.58999997</v>
      </c>
      <c r="I24" s="175">
        <v>70751179.410000041</v>
      </c>
      <c r="J24" s="175">
        <v>0</v>
      </c>
      <c r="K24" s="175">
        <v>0</v>
      </c>
      <c r="L24" s="175">
        <v>0</v>
      </c>
      <c r="M24" s="175">
        <v>0</v>
      </c>
      <c r="O24" s="174" t="s">
        <v>71</v>
      </c>
      <c r="P24" s="175">
        <v>621798169.12000012</v>
      </c>
      <c r="Q24" s="175">
        <v>188227330</v>
      </c>
      <c r="R24" s="175">
        <v>270048911.88000023</v>
      </c>
      <c r="S24" s="175">
        <v>161362623.11999995</v>
      </c>
      <c r="T24" s="175">
        <v>401859307.53999996</v>
      </c>
      <c r="U24" s="175">
        <v>25912696</v>
      </c>
      <c r="V24" s="175">
        <v>273142349.38000011</v>
      </c>
      <c r="W24" s="175">
        <v>102729463.62000005</v>
      </c>
      <c r="X24" s="175">
        <v>1024060.9799999997</v>
      </c>
      <c r="Y24" s="175">
        <v>1667</v>
      </c>
      <c r="Z24" s="175">
        <v>707615.95999999566</v>
      </c>
      <c r="AA24" s="175">
        <v>309953.04000000434</v>
      </c>
      <c r="AB24" s="176"/>
      <c r="AC24" s="176"/>
      <c r="AD24" s="176"/>
      <c r="AE24" s="176"/>
      <c r="AF24" s="176"/>
      <c r="AG24" s="176"/>
      <c r="AH24" s="176"/>
      <c r="AI24" s="176"/>
    </row>
    <row r="25" spans="1:35" x14ac:dyDescent="0.25">
      <c r="A25" s="174" t="s">
        <v>72</v>
      </c>
      <c r="B25" s="175">
        <v>560413794.6500001</v>
      </c>
      <c r="C25" s="175">
        <v>176066321</v>
      </c>
      <c r="D25" s="175">
        <v>296912257.85999978</v>
      </c>
      <c r="E25" s="175">
        <v>85029193.140000105</v>
      </c>
      <c r="F25" s="175">
        <v>482034103.8399995</v>
      </c>
      <c r="G25" s="175">
        <v>97329993</v>
      </c>
      <c r="H25" s="175">
        <v>305410059.68999958</v>
      </c>
      <c r="I25" s="175">
        <v>79294204.310000017</v>
      </c>
      <c r="J25" s="175">
        <v>0</v>
      </c>
      <c r="K25" s="175">
        <v>0</v>
      </c>
      <c r="L25" s="175">
        <v>0</v>
      </c>
      <c r="M25" s="175">
        <v>0</v>
      </c>
      <c r="O25" s="174" t="s">
        <v>72</v>
      </c>
      <c r="P25" s="175">
        <v>357436156.07999974</v>
      </c>
      <c r="Q25" s="175">
        <v>37139579</v>
      </c>
      <c r="R25" s="175">
        <v>207278322.83999991</v>
      </c>
      <c r="S25" s="175">
        <v>111775503.16</v>
      </c>
      <c r="T25" s="175">
        <v>364185636.44000024</v>
      </c>
      <c r="U25" s="175">
        <v>23195449</v>
      </c>
      <c r="V25" s="175">
        <v>277125095.67999971</v>
      </c>
      <c r="W25" s="175">
        <v>63865243.320000023</v>
      </c>
      <c r="X25" s="175">
        <v>488661.80000000005</v>
      </c>
      <c r="Y25" s="175">
        <v>0</v>
      </c>
      <c r="Z25" s="175">
        <v>279402.7199999952</v>
      </c>
      <c r="AA25" s="175">
        <v>209356.2800000048</v>
      </c>
      <c r="AB25" s="176"/>
      <c r="AC25" s="176"/>
      <c r="AD25" s="176"/>
      <c r="AE25" s="176"/>
      <c r="AF25" s="176"/>
      <c r="AG25" s="176"/>
      <c r="AH25" s="176"/>
      <c r="AI25" s="176"/>
    </row>
    <row r="26" spans="1:35" x14ac:dyDescent="0.25">
      <c r="A26" s="174" t="s">
        <v>73</v>
      </c>
      <c r="B26" s="175">
        <v>635083088.41000044</v>
      </c>
      <c r="C26" s="175">
        <v>173139613</v>
      </c>
      <c r="D26" s="175">
        <v>344281243.97999978</v>
      </c>
      <c r="E26" s="175">
        <v>115290642.02</v>
      </c>
      <c r="F26" s="175">
        <v>637578438.05000007</v>
      </c>
      <c r="G26" s="175">
        <v>97991218</v>
      </c>
      <c r="H26" s="175">
        <v>438339924.76999938</v>
      </c>
      <c r="I26" s="175">
        <v>101247091.2299999</v>
      </c>
      <c r="J26" s="175">
        <v>0</v>
      </c>
      <c r="K26" s="175">
        <v>0</v>
      </c>
      <c r="L26" s="175">
        <v>0</v>
      </c>
      <c r="M26" s="175">
        <v>0</v>
      </c>
      <c r="O26" s="174" t="s">
        <v>73</v>
      </c>
      <c r="P26" s="175">
        <v>482209231.90000051</v>
      </c>
      <c r="Q26" s="175">
        <v>39299197</v>
      </c>
      <c r="R26" s="175">
        <v>292344546.00999999</v>
      </c>
      <c r="S26" s="175">
        <v>145120715.98999983</v>
      </c>
      <c r="T26" s="175">
        <v>357917295.09000039</v>
      </c>
      <c r="U26" s="175">
        <v>5195932</v>
      </c>
      <c r="V26" s="175">
        <v>282735539.2900002</v>
      </c>
      <c r="W26" s="175">
        <v>69835987.709999964</v>
      </c>
      <c r="X26" s="175">
        <v>431942.11999999965</v>
      </c>
      <c r="Y26" s="175">
        <v>0</v>
      </c>
      <c r="Z26" s="175">
        <v>296026.69000000053</v>
      </c>
      <c r="AA26" s="175">
        <v>135952.30999999947</v>
      </c>
      <c r="AB26" s="176"/>
      <c r="AC26" s="176"/>
      <c r="AD26" s="176"/>
      <c r="AE26" s="176"/>
      <c r="AF26" s="176"/>
      <c r="AG26" s="176"/>
      <c r="AH26" s="176"/>
      <c r="AI26" s="176"/>
    </row>
    <row r="27" spans="1:35" x14ac:dyDescent="0.25">
      <c r="A27" s="174" t="s">
        <v>74</v>
      </c>
      <c r="B27" s="175">
        <v>856592834.12999928</v>
      </c>
      <c r="C27" s="175">
        <v>214908436</v>
      </c>
      <c r="D27" s="175">
        <v>457142667.72000062</v>
      </c>
      <c r="E27" s="175">
        <v>181247275.28000021</v>
      </c>
      <c r="F27" s="175">
        <v>662662234.95999944</v>
      </c>
      <c r="G27" s="175">
        <v>73142271</v>
      </c>
      <c r="H27" s="175">
        <v>490212005.08999985</v>
      </c>
      <c r="I27" s="175">
        <v>99303486.909999967</v>
      </c>
      <c r="J27" s="175">
        <v>0</v>
      </c>
      <c r="K27" s="175">
        <v>0</v>
      </c>
      <c r="L27" s="175">
        <v>0</v>
      </c>
      <c r="M27" s="175">
        <v>0</v>
      </c>
      <c r="O27" s="174" t="s">
        <v>74</v>
      </c>
      <c r="P27" s="175">
        <v>110305799.99000001</v>
      </c>
      <c r="Q27" s="175">
        <v>5937137</v>
      </c>
      <c r="R27" s="175">
        <v>78493971.130000025</v>
      </c>
      <c r="S27" s="175">
        <v>25233687.86999999</v>
      </c>
      <c r="T27" s="175">
        <v>41069457.329999998</v>
      </c>
      <c r="U27" s="175">
        <v>906654</v>
      </c>
      <c r="V27" s="175">
        <v>27493662.640000008</v>
      </c>
      <c r="W27" s="175">
        <v>12669149.360000003</v>
      </c>
      <c r="X27" s="175">
        <v>138233</v>
      </c>
      <c r="Y27" s="175">
        <v>0</v>
      </c>
      <c r="Z27" s="175">
        <v>56555.239999999991</v>
      </c>
      <c r="AA27" s="175">
        <v>81677.760000000009</v>
      </c>
      <c r="AB27" s="176"/>
      <c r="AC27" s="176"/>
      <c r="AD27" s="176"/>
      <c r="AE27" s="176"/>
      <c r="AF27" s="176"/>
      <c r="AG27" s="176"/>
      <c r="AH27" s="176"/>
      <c r="AI27" s="176"/>
    </row>
    <row r="28" spans="1:35" x14ac:dyDescent="0.25">
      <c r="A28" s="174" t="s">
        <v>75</v>
      </c>
      <c r="B28" s="175">
        <v>682053120.97000003</v>
      </c>
      <c r="C28" s="175">
        <v>156621745</v>
      </c>
      <c r="D28" s="175">
        <v>374515359.03000021</v>
      </c>
      <c r="E28" s="175">
        <v>146721073.96999994</v>
      </c>
      <c r="F28" s="175">
        <v>511905653.56999934</v>
      </c>
      <c r="G28" s="175">
        <v>51689944</v>
      </c>
      <c r="H28" s="175">
        <v>379463391.52000052</v>
      </c>
      <c r="I28" s="175">
        <v>80752574.479999974</v>
      </c>
      <c r="J28" s="175">
        <v>0</v>
      </c>
      <c r="K28" s="175">
        <v>0</v>
      </c>
      <c r="L28" s="175">
        <v>0</v>
      </c>
      <c r="M28" s="175">
        <v>0</v>
      </c>
      <c r="O28" s="174" t="s">
        <v>75</v>
      </c>
      <c r="P28" s="175">
        <v>0</v>
      </c>
      <c r="Q28" s="175">
        <v>0</v>
      </c>
      <c r="R28" s="175">
        <v>0</v>
      </c>
      <c r="S28" s="175">
        <v>0</v>
      </c>
      <c r="T28" s="175">
        <v>0</v>
      </c>
      <c r="U28" s="175">
        <v>0</v>
      </c>
      <c r="V28" s="175">
        <v>0</v>
      </c>
      <c r="W28" s="175">
        <v>0</v>
      </c>
      <c r="X28" s="175">
        <v>0</v>
      </c>
      <c r="Y28" s="175">
        <v>0</v>
      </c>
      <c r="Z28" s="175">
        <v>0</v>
      </c>
      <c r="AA28" s="175">
        <v>0</v>
      </c>
      <c r="AB28" s="176"/>
      <c r="AC28" s="176"/>
      <c r="AD28" s="176"/>
      <c r="AE28" s="176"/>
      <c r="AF28" s="176"/>
      <c r="AG28" s="176"/>
      <c r="AH28" s="176"/>
      <c r="AI28" s="176"/>
    </row>
    <row r="29" spans="1:35" x14ac:dyDescent="0.25">
      <c r="A29" s="174" t="s">
        <v>76</v>
      </c>
      <c r="B29" s="175">
        <v>769630016.08000004</v>
      </c>
      <c r="C29" s="175">
        <v>162377913</v>
      </c>
      <c r="D29" s="175">
        <v>478183368.72000027</v>
      </c>
      <c r="E29" s="175">
        <v>119201658.28</v>
      </c>
      <c r="F29" s="175">
        <v>560383472.32000005</v>
      </c>
      <c r="G29" s="175">
        <v>45854775</v>
      </c>
      <c r="H29" s="175">
        <v>390178033.53999996</v>
      </c>
      <c r="I29" s="175">
        <v>124346056.4599999</v>
      </c>
      <c r="J29" s="175">
        <v>0</v>
      </c>
      <c r="K29" s="175">
        <v>0</v>
      </c>
      <c r="L29" s="175">
        <v>0</v>
      </c>
      <c r="M29" s="175">
        <v>0</v>
      </c>
      <c r="O29" s="174" t="s">
        <v>76</v>
      </c>
      <c r="P29" s="175">
        <v>0</v>
      </c>
      <c r="Q29" s="175">
        <v>0</v>
      </c>
      <c r="R29" s="175">
        <v>0</v>
      </c>
      <c r="S29" s="175">
        <v>0</v>
      </c>
      <c r="T29" s="175">
        <v>0</v>
      </c>
      <c r="U29" s="175">
        <v>0</v>
      </c>
      <c r="V29" s="175">
        <v>0</v>
      </c>
      <c r="W29" s="175">
        <v>0</v>
      </c>
      <c r="X29" s="175">
        <v>0</v>
      </c>
      <c r="Y29" s="175">
        <v>0</v>
      </c>
      <c r="Z29" s="175">
        <v>0</v>
      </c>
      <c r="AA29" s="175">
        <v>0</v>
      </c>
      <c r="AB29" s="176"/>
      <c r="AC29" s="176"/>
      <c r="AD29" s="176"/>
      <c r="AE29" s="176"/>
      <c r="AF29" s="176"/>
      <c r="AG29" s="176"/>
      <c r="AH29" s="176"/>
      <c r="AI29" s="176"/>
    </row>
    <row r="30" spans="1:35" x14ac:dyDescent="0.25">
      <c r="A30" s="174" t="s">
        <v>77</v>
      </c>
      <c r="B30" s="175">
        <v>629640004.78000033</v>
      </c>
      <c r="C30" s="175">
        <v>141988209</v>
      </c>
      <c r="D30" s="175">
        <v>298862388.53999978</v>
      </c>
      <c r="E30" s="175">
        <v>183895719.45999986</v>
      </c>
      <c r="F30" s="175">
        <v>495412189.50999957</v>
      </c>
      <c r="G30" s="175">
        <v>42323890</v>
      </c>
      <c r="H30" s="175">
        <v>347836067.23999959</v>
      </c>
      <c r="I30" s="175">
        <v>105232647.76000001</v>
      </c>
      <c r="J30" s="175">
        <v>0</v>
      </c>
      <c r="K30" s="175">
        <v>0</v>
      </c>
      <c r="L30" s="175">
        <v>0</v>
      </c>
      <c r="M30" s="175">
        <v>0</v>
      </c>
      <c r="O30" s="174" t="s">
        <v>77</v>
      </c>
      <c r="P30" s="175">
        <v>0</v>
      </c>
      <c r="Q30" s="175">
        <v>0</v>
      </c>
      <c r="R30" s="175">
        <v>0</v>
      </c>
      <c r="S30" s="175">
        <v>0</v>
      </c>
      <c r="T30" s="175">
        <v>0</v>
      </c>
      <c r="U30" s="175">
        <v>0</v>
      </c>
      <c r="V30" s="175">
        <v>0</v>
      </c>
      <c r="W30" s="175">
        <v>0</v>
      </c>
      <c r="X30" s="175">
        <v>0</v>
      </c>
      <c r="Y30" s="175">
        <v>0</v>
      </c>
      <c r="Z30" s="175">
        <v>0</v>
      </c>
      <c r="AA30" s="175">
        <v>0</v>
      </c>
      <c r="AB30" s="176"/>
      <c r="AC30" s="176"/>
      <c r="AD30" s="176"/>
      <c r="AE30" s="176"/>
      <c r="AF30" s="176"/>
      <c r="AG30" s="176"/>
      <c r="AH30" s="176"/>
      <c r="AI30" s="176"/>
    </row>
    <row r="31" spans="1:35" x14ac:dyDescent="0.25">
      <c r="A31" s="174" t="s">
        <v>78</v>
      </c>
      <c r="B31" s="175">
        <v>661866803.99999952</v>
      </c>
      <c r="C31" s="175">
        <v>180112585</v>
      </c>
      <c r="D31" s="175">
        <v>347902259.45000029</v>
      </c>
      <c r="E31" s="175">
        <v>130471820.55000007</v>
      </c>
      <c r="F31" s="175">
        <v>453108408.9300006</v>
      </c>
      <c r="G31" s="175">
        <v>49082405</v>
      </c>
      <c r="H31" s="175">
        <v>310249269.66000003</v>
      </c>
      <c r="I31" s="175">
        <v>93751955.340000033</v>
      </c>
      <c r="J31" s="175">
        <v>15999.75</v>
      </c>
      <c r="K31" s="175">
        <v>1000</v>
      </c>
      <c r="L31" s="175">
        <v>15000</v>
      </c>
      <c r="M31" s="175">
        <v>-1</v>
      </c>
      <c r="O31" s="174" t="s">
        <v>78</v>
      </c>
      <c r="P31" s="175">
        <v>0</v>
      </c>
      <c r="Q31" s="175">
        <v>0</v>
      </c>
      <c r="R31" s="175">
        <v>0</v>
      </c>
      <c r="S31" s="175">
        <v>0</v>
      </c>
      <c r="T31" s="175">
        <v>0</v>
      </c>
      <c r="U31" s="175">
        <v>0</v>
      </c>
      <c r="V31" s="175">
        <v>0</v>
      </c>
      <c r="W31" s="175">
        <v>0</v>
      </c>
      <c r="X31" s="175">
        <v>0</v>
      </c>
      <c r="Y31" s="175">
        <v>0</v>
      </c>
      <c r="Z31" s="175">
        <v>0</v>
      </c>
      <c r="AA31" s="175">
        <v>0</v>
      </c>
      <c r="AB31" s="176"/>
      <c r="AC31" s="176"/>
      <c r="AD31" s="176"/>
      <c r="AE31" s="176"/>
      <c r="AF31" s="176"/>
      <c r="AG31" s="176"/>
      <c r="AH31" s="176"/>
      <c r="AI31" s="176"/>
    </row>
    <row r="32" spans="1:35" x14ac:dyDescent="0.25">
      <c r="A32" s="174" t="s">
        <v>79</v>
      </c>
      <c r="B32" s="175">
        <v>683703922.950001</v>
      </c>
      <c r="C32" s="175">
        <v>154095178</v>
      </c>
      <c r="D32" s="175">
        <v>344370489.85999972</v>
      </c>
      <c r="E32" s="175">
        <v>181869078.13999978</v>
      </c>
      <c r="F32" s="175">
        <v>569363411.23999989</v>
      </c>
      <c r="G32" s="175">
        <v>57716551</v>
      </c>
      <c r="H32" s="175">
        <v>395740845.87000024</v>
      </c>
      <c r="I32" s="175">
        <v>115906258.13</v>
      </c>
      <c r="J32" s="175">
        <v>152066.59000000003</v>
      </c>
      <c r="K32" s="175">
        <v>0</v>
      </c>
      <c r="L32" s="175">
        <v>142732.72000000009</v>
      </c>
      <c r="M32" s="175">
        <v>9345.2799999999115</v>
      </c>
      <c r="O32" s="174" t="s">
        <v>79</v>
      </c>
      <c r="P32" s="175">
        <v>0</v>
      </c>
      <c r="Q32" s="175">
        <v>0</v>
      </c>
      <c r="R32" s="175">
        <v>0</v>
      </c>
      <c r="S32" s="175">
        <v>0</v>
      </c>
      <c r="T32" s="175">
        <v>0</v>
      </c>
      <c r="U32" s="175">
        <v>0</v>
      </c>
      <c r="V32" s="175">
        <v>0</v>
      </c>
      <c r="W32" s="175">
        <v>0</v>
      </c>
      <c r="X32" s="175">
        <v>0</v>
      </c>
      <c r="Y32" s="175">
        <v>0</v>
      </c>
      <c r="Z32" s="175">
        <v>0</v>
      </c>
      <c r="AA32" s="175">
        <v>0</v>
      </c>
      <c r="AB32" s="176"/>
      <c r="AC32" s="176"/>
      <c r="AD32" s="176"/>
      <c r="AE32" s="176"/>
      <c r="AF32" s="176"/>
      <c r="AG32" s="176"/>
      <c r="AH32" s="176"/>
      <c r="AI32" s="176"/>
    </row>
    <row r="33" spans="1:35" x14ac:dyDescent="0.25">
      <c r="A33" s="174" t="s">
        <v>80</v>
      </c>
      <c r="B33" s="175">
        <v>593597672.55999959</v>
      </c>
      <c r="C33" s="175">
        <v>136927666</v>
      </c>
      <c r="D33" s="175">
        <v>320474316.3900007</v>
      </c>
      <c r="E33" s="175">
        <v>133858876.60999988</v>
      </c>
      <c r="F33" s="175">
        <v>481874219.30999988</v>
      </c>
      <c r="G33" s="175">
        <v>44434172</v>
      </c>
      <c r="H33" s="175">
        <v>311466478.84000003</v>
      </c>
      <c r="I33" s="175">
        <v>125973774.16</v>
      </c>
      <c r="J33" s="175">
        <v>219617.1</v>
      </c>
      <c r="K33" s="175">
        <v>100000</v>
      </c>
      <c r="L33" s="175">
        <v>109131</v>
      </c>
      <c r="M33" s="175">
        <v>618</v>
      </c>
      <c r="O33" s="174" t="s">
        <v>80</v>
      </c>
      <c r="P33" s="175">
        <v>0</v>
      </c>
      <c r="Q33" s="175">
        <v>0</v>
      </c>
      <c r="R33" s="175">
        <v>0</v>
      </c>
      <c r="S33" s="175">
        <v>0</v>
      </c>
      <c r="T33" s="175">
        <v>0</v>
      </c>
      <c r="U33" s="175">
        <v>0</v>
      </c>
      <c r="V33" s="175">
        <v>0</v>
      </c>
      <c r="W33" s="175">
        <v>0</v>
      </c>
      <c r="X33" s="175">
        <v>0</v>
      </c>
      <c r="Y33" s="175">
        <v>0</v>
      </c>
      <c r="Z33" s="175">
        <v>0</v>
      </c>
      <c r="AA33" s="175">
        <v>0</v>
      </c>
      <c r="AB33" s="176"/>
      <c r="AC33" s="176"/>
      <c r="AD33" s="176"/>
      <c r="AE33" s="176"/>
      <c r="AF33" s="176"/>
      <c r="AG33" s="176"/>
      <c r="AH33" s="176"/>
      <c r="AI33" s="176"/>
    </row>
    <row r="34" spans="1:35" x14ac:dyDescent="0.25">
      <c r="A34" s="174" t="s">
        <v>81</v>
      </c>
      <c r="B34" s="175">
        <v>650093049.50000036</v>
      </c>
      <c r="C34" s="175">
        <v>174776787</v>
      </c>
      <c r="D34" s="175">
        <v>279717272.44000024</v>
      </c>
      <c r="E34" s="175">
        <v>193321847.55999997</v>
      </c>
      <c r="F34" s="175">
        <v>520507450.25000048</v>
      </c>
      <c r="G34" s="175">
        <v>45339947</v>
      </c>
      <c r="H34" s="175">
        <v>302109308.3499999</v>
      </c>
      <c r="I34" s="175">
        <v>173008395.65000039</v>
      </c>
      <c r="J34" s="175">
        <v>134473.04</v>
      </c>
      <c r="K34" s="175">
        <v>39917</v>
      </c>
      <c r="L34" s="175">
        <v>90000</v>
      </c>
      <c r="M34" s="175">
        <v>4556</v>
      </c>
      <c r="O34" s="174" t="s">
        <v>81</v>
      </c>
      <c r="P34" s="175">
        <v>0</v>
      </c>
      <c r="Q34" s="175">
        <v>0</v>
      </c>
      <c r="R34" s="175">
        <v>0</v>
      </c>
      <c r="S34" s="175">
        <v>0</v>
      </c>
      <c r="T34" s="175">
        <v>0</v>
      </c>
      <c r="U34" s="175">
        <v>0</v>
      </c>
      <c r="V34" s="175">
        <v>0</v>
      </c>
      <c r="W34" s="175">
        <v>0</v>
      </c>
      <c r="X34" s="175">
        <v>0</v>
      </c>
      <c r="Y34" s="175">
        <v>0</v>
      </c>
      <c r="Z34" s="175">
        <v>0</v>
      </c>
      <c r="AA34" s="175">
        <v>0</v>
      </c>
      <c r="AB34" s="176"/>
      <c r="AC34" s="176"/>
      <c r="AD34" s="176"/>
      <c r="AE34" s="176"/>
      <c r="AF34" s="176"/>
      <c r="AG34" s="176"/>
      <c r="AH34" s="176"/>
      <c r="AI34" s="176"/>
    </row>
    <row r="35" spans="1:35" x14ac:dyDescent="0.25">
      <c r="A35" s="177" t="s">
        <v>59</v>
      </c>
      <c r="B35" s="178">
        <f t="shared" ref="B35:M35" ca="1" si="2">SUM(B23:B34)</f>
        <v>7779094756.7999992</v>
      </c>
      <c r="C35" s="178">
        <f t="shared" ca="1" si="2"/>
        <v>2015830992</v>
      </c>
      <c r="D35" s="178">
        <f t="shared" ca="1" si="2"/>
        <v>4086523291.3300014</v>
      </c>
      <c r="E35" s="178">
        <f t="shared" ca="1" si="2"/>
        <v>1632412678.6699998</v>
      </c>
      <c r="F35" s="178">
        <f t="shared" ca="1" si="2"/>
        <v>6212585966.1399994</v>
      </c>
      <c r="G35" s="178">
        <f t="shared" ca="1" si="2"/>
        <v>728896056</v>
      </c>
      <c r="H35" s="178">
        <f t="shared" ca="1" si="2"/>
        <v>4245595284.2399998</v>
      </c>
      <c r="I35" s="178">
        <f t="shared" ca="1" si="2"/>
        <v>1237886837.7600002</v>
      </c>
      <c r="J35" s="178">
        <f t="shared" ca="1" si="2"/>
        <v>1137994.18</v>
      </c>
      <c r="K35" s="178">
        <f t="shared" ca="1" si="2"/>
        <v>141955</v>
      </c>
      <c r="L35" s="178">
        <f t="shared" ca="1" si="2"/>
        <v>971505.9800000001</v>
      </c>
      <c r="M35" s="178">
        <f t="shared" ca="1" si="2"/>
        <v>14675.019999999902</v>
      </c>
      <c r="O35" s="177" t="s">
        <v>59</v>
      </c>
      <c r="P35" s="178">
        <f t="shared" ref="P35:AA35" ca="1" si="3">SUM(P23:P34)</f>
        <v>2177581025.8099995</v>
      </c>
      <c r="Q35" s="178">
        <f t="shared" ca="1" si="3"/>
        <v>427149244</v>
      </c>
      <c r="R35" s="178">
        <f t="shared" ca="1" si="3"/>
        <v>1136067157.9600003</v>
      </c>
      <c r="S35" s="178">
        <f t="shared" ca="1" si="3"/>
        <v>602889502.03999984</v>
      </c>
      <c r="T35" s="178">
        <f t="shared" ca="1" si="3"/>
        <v>1659082575.4400003</v>
      </c>
      <c r="U35" s="178">
        <f t="shared" ca="1" si="3"/>
        <v>91632166</v>
      </c>
      <c r="V35" s="178">
        <f t="shared" ca="1" si="3"/>
        <v>1212615050.7500007</v>
      </c>
      <c r="W35" s="178">
        <f t="shared" ca="1" si="3"/>
        <v>354611107.25000018</v>
      </c>
      <c r="X35" s="178">
        <f t="shared" ca="1" si="3"/>
        <v>2087993.8899999994</v>
      </c>
      <c r="Y35" s="178">
        <f t="shared" ca="1" si="3"/>
        <v>1667</v>
      </c>
      <c r="Z35" s="178">
        <f t="shared" ca="1" si="3"/>
        <v>1341572.6099999913</v>
      </c>
      <c r="AA35" s="178">
        <f t="shared" ca="1" si="3"/>
        <v>740064.39000000863</v>
      </c>
      <c r="AB35" s="176"/>
      <c r="AC35" s="176"/>
      <c r="AD35" s="176"/>
      <c r="AE35" s="176"/>
      <c r="AF35" s="176"/>
      <c r="AG35" s="176"/>
      <c r="AH35" s="176"/>
      <c r="AI35" s="176"/>
    </row>
    <row r="36" spans="1:35" x14ac:dyDescent="0.25">
      <c r="B36" s="23">
        <f ca="1">Summary!E65</f>
        <v>13992818717.120007</v>
      </c>
      <c r="P36" s="23">
        <f ca="1">Summary!E78</f>
        <v>3838751595.1399946</v>
      </c>
      <c r="AB36" s="176"/>
      <c r="AC36" s="176"/>
      <c r="AD36" s="176"/>
      <c r="AE36" s="176"/>
      <c r="AF36" s="176"/>
      <c r="AG36" s="176"/>
      <c r="AH36" s="176"/>
      <c r="AI36" s="176"/>
    </row>
    <row r="37" spans="1:35" x14ac:dyDescent="0.25">
      <c r="AB37" s="176"/>
      <c r="AC37" s="176"/>
      <c r="AD37" s="176"/>
      <c r="AE37" s="176"/>
      <c r="AF37" s="176"/>
      <c r="AG37" s="176"/>
      <c r="AH37" s="176"/>
      <c r="AI37" s="176"/>
    </row>
    <row r="38" spans="1:35" x14ac:dyDescent="0.25">
      <c r="AB38" s="176"/>
      <c r="AC38" s="176"/>
      <c r="AD38" s="176"/>
      <c r="AE38" s="176"/>
      <c r="AF38" s="176"/>
      <c r="AG38" s="176"/>
      <c r="AH38" s="176"/>
      <c r="AI38" s="176"/>
    </row>
    <row r="39" spans="1:35" x14ac:dyDescent="0.25">
      <c r="B39" s="168" t="s">
        <v>21</v>
      </c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P39" s="168" t="s">
        <v>21</v>
      </c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76"/>
      <c r="AC39" s="176"/>
      <c r="AD39" s="176"/>
      <c r="AE39" s="176"/>
      <c r="AF39" s="176"/>
      <c r="AG39" s="176"/>
      <c r="AH39" s="176"/>
      <c r="AI39" s="176"/>
    </row>
    <row r="40" spans="1:35" x14ac:dyDescent="0.25">
      <c r="A40" s="170" t="s">
        <v>486</v>
      </c>
      <c r="B40" s="171" t="s">
        <v>487</v>
      </c>
      <c r="C40" s="172"/>
      <c r="D40" s="172"/>
      <c r="E40" s="173"/>
      <c r="F40" s="171" t="s">
        <v>488</v>
      </c>
      <c r="G40" s="172"/>
      <c r="H40" s="172"/>
      <c r="I40" s="173"/>
      <c r="J40" s="171" t="s">
        <v>489</v>
      </c>
      <c r="K40" s="172"/>
      <c r="L40" s="172"/>
      <c r="M40" s="173"/>
      <c r="O40" s="170">
        <v>2026</v>
      </c>
      <c r="P40" s="171" t="s">
        <v>487</v>
      </c>
      <c r="Q40" s="172"/>
      <c r="R40" s="172"/>
      <c r="S40" s="173"/>
      <c r="T40" s="171" t="s">
        <v>488</v>
      </c>
      <c r="U40" s="172"/>
      <c r="V40" s="172"/>
      <c r="W40" s="173"/>
      <c r="X40" s="171" t="s">
        <v>489</v>
      </c>
      <c r="Y40" s="172"/>
      <c r="Z40" s="172"/>
      <c r="AA40" s="173"/>
      <c r="AB40" s="176"/>
      <c r="AC40" s="176"/>
      <c r="AD40" s="176"/>
      <c r="AE40" s="176"/>
      <c r="AF40" s="176"/>
      <c r="AG40" s="176"/>
      <c r="AH40" s="176"/>
      <c r="AI40" s="176"/>
    </row>
    <row r="41" spans="1:35" x14ac:dyDescent="0.25">
      <c r="A41" s="170" t="s">
        <v>282</v>
      </c>
      <c r="B41" s="170" t="s">
        <v>490</v>
      </c>
      <c r="C41" s="170" t="s">
        <v>491</v>
      </c>
      <c r="D41" s="170" t="s">
        <v>492</v>
      </c>
      <c r="E41" s="170" t="s">
        <v>493</v>
      </c>
      <c r="F41" s="170" t="s">
        <v>490</v>
      </c>
      <c r="G41" s="170" t="s">
        <v>491</v>
      </c>
      <c r="H41" s="170" t="s">
        <v>492</v>
      </c>
      <c r="I41" s="170" t="s">
        <v>493</v>
      </c>
      <c r="J41" s="170" t="s">
        <v>490</v>
      </c>
      <c r="K41" s="170" t="s">
        <v>491</v>
      </c>
      <c r="L41" s="170" t="s">
        <v>492</v>
      </c>
      <c r="M41" s="170" t="s">
        <v>493</v>
      </c>
      <c r="O41" s="170" t="s">
        <v>282</v>
      </c>
      <c r="P41" s="170" t="s">
        <v>490</v>
      </c>
      <c r="Q41" s="170" t="s">
        <v>491</v>
      </c>
      <c r="R41" s="170" t="s">
        <v>492</v>
      </c>
      <c r="S41" s="170" t="s">
        <v>493</v>
      </c>
      <c r="T41" s="170" t="s">
        <v>490</v>
      </c>
      <c r="U41" s="170" t="s">
        <v>491</v>
      </c>
      <c r="V41" s="170" t="s">
        <v>492</v>
      </c>
      <c r="W41" s="170" t="s">
        <v>493</v>
      </c>
      <c r="X41" s="170" t="s">
        <v>490</v>
      </c>
      <c r="Y41" s="170" t="s">
        <v>491</v>
      </c>
      <c r="Z41" s="170" t="s">
        <v>492</v>
      </c>
      <c r="AA41" s="170" t="s">
        <v>493</v>
      </c>
      <c r="AB41" s="176"/>
      <c r="AC41" s="176"/>
      <c r="AD41" s="176"/>
      <c r="AE41" s="176"/>
      <c r="AF41" s="176"/>
      <c r="AG41" s="176"/>
      <c r="AH41" s="176"/>
      <c r="AI41" s="176"/>
    </row>
    <row r="42" spans="1:35" x14ac:dyDescent="0.25">
      <c r="A42" s="174" t="s">
        <v>70</v>
      </c>
      <c r="B42" s="175">
        <v>27648842.630000003</v>
      </c>
      <c r="C42" s="175">
        <v>26607378</v>
      </c>
      <c r="D42" s="175">
        <v>933291.02</v>
      </c>
      <c r="E42" s="175">
        <v>108166.98000000001</v>
      </c>
      <c r="F42" s="175">
        <v>161431733.27000022</v>
      </c>
      <c r="G42" s="175">
        <v>89538695</v>
      </c>
      <c r="H42" s="175">
        <v>60805813.140000008</v>
      </c>
      <c r="I42" s="175">
        <v>11078231.860000001</v>
      </c>
      <c r="J42" s="175">
        <v>0</v>
      </c>
      <c r="K42" s="175">
        <v>0</v>
      </c>
      <c r="L42" s="175">
        <v>0</v>
      </c>
      <c r="M42" s="175">
        <v>0</v>
      </c>
      <c r="O42" s="174" t="s">
        <v>70</v>
      </c>
      <c r="P42" s="175">
        <v>11608199.65</v>
      </c>
      <c r="Q42" s="175">
        <v>4786651</v>
      </c>
      <c r="R42" s="175">
        <v>4195051.51</v>
      </c>
      <c r="S42" s="175">
        <v>2415763.4900000002</v>
      </c>
      <c r="T42" s="175">
        <v>182358569.56999996</v>
      </c>
      <c r="U42" s="175">
        <v>25675655</v>
      </c>
      <c r="V42" s="175">
        <v>126051568.97999997</v>
      </c>
      <c r="W42" s="175">
        <v>30599641.019999985</v>
      </c>
      <c r="X42" s="175">
        <v>0</v>
      </c>
      <c r="Y42" s="175">
        <v>0</v>
      </c>
      <c r="Z42" s="175">
        <v>0</v>
      </c>
      <c r="AA42" s="175">
        <v>0</v>
      </c>
      <c r="AB42" s="176"/>
      <c r="AC42" s="176"/>
      <c r="AD42" s="176"/>
      <c r="AE42" s="176"/>
      <c r="AF42" s="176"/>
      <c r="AG42" s="176"/>
      <c r="AH42" s="176"/>
      <c r="AI42" s="176"/>
    </row>
    <row r="43" spans="1:35" x14ac:dyDescent="0.25">
      <c r="A43" s="174" t="s">
        <v>71</v>
      </c>
      <c r="B43" s="175">
        <v>19682465.27</v>
      </c>
      <c r="C43" s="175">
        <v>19553557</v>
      </c>
      <c r="D43" s="175">
        <v>1</v>
      </c>
      <c r="E43" s="175">
        <v>123902</v>
      </c>
      <c r="F43" s="175">
        <v>195389013.27000007</v>
      </c>
      <c r="G43" s="175">
        <v>112892285</v>
      </c>
      <c r="H43" s="175">
        <v>66487973.849999994</v>
      </c>
      <c r="I43" s="175">
        <v>15989739.150000008</v>
      </c>
      <c r="J43" s="175">
        <v>0</v>
      </c>
      <c r="K43" s="175">
        <v>0</v>
      </c>
      <c r="L43" s="175">
        <v>0</v>
      </c>
      <c r="M43" s="175">
        <v>0</v>
      </c>
      <c r="O43" s="174" t="s">
        <v>71</v>
      </c>
      <c r="P43" s="175">
        <v>16235451.209999999</v>
      </c>
      <c r="Q43" s="175">
        <v>6342837</v>
      </c>
      <c r="R43" s="175">
        <v>5171204.9499999993</v>
      </c>
      <c r="S43" s="175">
        <v>4527786.05</v>
      </c>
      <c r="T43" s="175">
        <v>178455952.94999999</v>
      </c>
      <c r="U43" s="175">
        <v>22767842</v>
      </c>
      <c r="V43" s="175">
        <v>120645772.52999997</v>
      </c>
      <c r="W43" s="175">
        <v>34994879.469999991</v>
      </c>
      <c r="X43" s="175">
        <v>0</v>
      </c>
      <c r="Y43" s="175">
        <v>0</v>
      </c>
      <c r="Z43" s="175">
        <v>0</v>
      </c>
      <c r="AA43" s="175">
        <v>0</v>
      </c>
      <c r="AB43" s="176"/>
      <c r="AC43" s="176"/>
      <c r="AD43" s="176"/>
      <c r="AE43" s="176"/>
      <c r="AF43" s="176"/>
      <c r="AG43" s="176"/>
      <c r="AH43" s="176"/>
      <c r="AI43" s="176"/>
    </row>
    <row r="44" spans="1:35" x14ac:dyDescent="0.25">
      <c r="A44" s="174" t="s">
        <v>72</v>
      </c>
      <c r="B44" s="175">
        <v>12248513.43</v>
      </c>
      <c r="C44" s="175">
        <v>12165405</v>
      </c>
      <c r="D44" s="175">
        <v>1379.570000000007</v>
      </c>
      <c r="E44" s="175">
        <v>54724.429999999993</v>
      </c>
      <c r="F44" s="175">
        <v>187794824.55000007</v>
      </c>
      <c r="G44" s="175">
        <v>95365201</v>
      </c>
      <c r="H44" s="175">
        <v>70784569.170000032</v>
      </c>
      <c r="I44" s="175">
        <v>21637591.829999998</v>
      </c>
      <c r="J44" s="175">
        <v>0</v>
      </c>
      <c r="K44" s="175">
        <v>0</v>
      </c>
      <c r="L44" s="175">
        <v>0</v>
      </c>
      <c r="M44" s="175">
        <v>0</v>
      </c>
      <c r="O44" s="174" t="s">
        <v>72</v>
      </c>
      <c r="P44" s="175">
        <v>10174231.080000002</v>
      </c>
      <c r="Q44" s="175">
        <v>2432169</v>
      </c>
      <c r="R44" s="175">
        <v>4664633.709999999</v>
      </c>
      <c r="S44" s="175">
        <v>2884028.2900000005</v>
      </c>
      <c r="T44" s="175">
        <v>123328504.93000002</v>
      </c>
      <c r="U44" s="175">
        <v>8119260</v>
      </c>
      <c r="V44" s="175">
        <v>99040574.189999983</v>
      </c>
      <c r="W44" s="175">
        <v>16141768.809999993</v>
      </c>
      <c r="X44" s="175">
        <v>0</v>
      </c>
      <c r="Y44" s="175">
        <v>0</v>
      </c>
      <c r="Z44" s="175">
        <v>0</v>
      </c>
      <c r="AA44" s="175">
        <v>0</v>
      </c>
      <c r="AB44" s="176"/>
      <c r="AC44" s="176"/>
      <c r="AD44" s="176"/>
      <c r="AE44" s="176"/>
      <c r="AF44" s="176"/>
      <c r="AG44" s="176"/>
      <c r="AH44" s="176"/>
      <c r="AI44" s="176"/>
    </row>
    <row r="45" spans="1:35" x14ac:dyDescent="0.25">
      <c r="A45" s="174" t="s">
        <v>73</v>
      </c>
      <c r="B45" s="175">
        <v>25357491.890000001</v>
      </c>
      <c r="C45" s="175">
        <v>15471126</v>
      </c>
      <c r="D45" s="175">
        <v>1</v>
      </c>
      <c r="E45" s="175">
        <v>9831418</v>
      </c>
      <c r="F45" s="175">
        <v>212159915.53999996</v>
      </c>
      <c r="G45" s="175">
        <v>80490039</v>
      </c>
      <c r="H45" s="175">
        <v>91757319.879999936</v>
      </c>
      <c r="I45" s="175">
        <v>39898013.11999999</v>
      </c>
      <c r="J45" s="175">
        <v>0</v>
      </c>
      <c r="K45" s="175">
        <v>0</v>
      </c>
      <c r="L45" s="175">
        <v>0</v>
      </c>
      <c r="M45" s="175">
        <v>0</v>
      </c>
      <c r="O45" s="174" t="s">
        <v>73</v>
      </c>
      <c r="P45" s="175">
        <v>47734942.440000005</v>
      </c>
      <c r="Q45" s="175">
        <v>2445158</v>
      </c>
      <c r="R45" s="175">
        <v>30205905.669999991</v>
      </c>
      <c r="S45" s="175">
        <v>14813875.329999998</v>
      </c>
      <c r="T45" s="175">
        <v>99496987.580000028</v>
      </c>
      <c r="U45" s="175">
        <v>3216206</v>
      </c>
      <c r="V45" s="175">
        <v>79582783.669999972</v>
      </c>
      <c r="W45" s="175">
        <v>16693055.330000008</v>
      </c>
      <c r="X45" s="175">
        <v>0</v>
      </c>
      <c r="Y45" s="175">
        <v>0</v>
      </c>
      <c r="Z45" s="175">
        <v>0</v>
      </c>
      <c r="AA45" s="175">
        <v>0</v>
      </c>
      <c r="AB45" s="176"/>
      <c r="AC45" s="176"/>
      <c r="AD45" s="176"/>
      <c r="AE45" s="176"/>
      <c r="AF45" s="176"/>
      <c r="AG45" s="176"/>
      <c r="AH45" s="176"/>
      <c r="AI45" s="176"/>
    </row>
    <row r="46" spans="1:35" x14ac:dyDescent="0.25">
      <c r="A46" s="174" t="s">
        <v>74</v>
      </c>
      <c r="B46" s="175">
        <v>51437732.030000001</v>
      </c>
      <c r="C46" s="175">
        <v>48917565</v>
      </c>
      <c r="D46" s="175">
        <v>1085689.4500000002</v>
      </c>
      <c r="E46" s="175">
        <v>402242.55000000005</v>
      </c>
      <c r="F46" s="175">
        <v>222703238.12000006</v>
      </c>
      <c r="G46" s="175">
        <v>83882137</v>
      </c>
      <c r="H46" s="175">
        <v>91065742.939999953</v>
      </c>
      <c r="I46" s="175">
        <v>47743407.059999958</v>
      </c>
      <c r="J46" s="175">
        <v>0</v>
      </c>
      <c r="K46" s="175">
        <v>0</v>
      </c>
      <c r="L46" s="175">
        <v>0</v>
      </c>
      <c r="M46" s="175">
        <v>0</v>
      </c>
      <c r="O46" s="174" t="s">
        <v>74</v>
      </c>
      <c r="P46" s="175">
        <v>8812269.6999999993</v>
      </c>
      <c r="Q46" s="175">
        <v>221891</v>
      </c>
      <c r="R46" s="175">
        <v>7335512.2700000005</v>
      </c>
      <c r="S46" s="175">
        <v>1211349.7299999997</v>
      </c>
      <c r="T46" s="175">
        <v>10525278.07</v>
      </c>
      <c r="U46" s="175">
        <v>144811</v>
      </c>
      <c r="V46" s="175">
        <v>9770893.4200000018</v>
      </c>
      <c r="W46" s="175">
        <v>608580.58000000042</v>
      </c>
      <c r="X46" s="175">
        <v>0</v>
      </c>
      <c r="Y46" s="175">
        <v>0</v>
      </c>
      <c r="Z46" s="175">
        <v>0</v>
      </c>
      <c r="AA46" s="175">
        <v>0</v>
      </c>
      <c r="AB46" s="176"/>
      <c r="AC46" s="176"/>
      <c r="AD46" s="176"/>
      <c r="AE46" s="176"/>
      <c r="AF46" s="176"/>
      <c r="AG46" s="176"/>
      <c r="AH46" s="176"/>
      <c r="AI46" s="176"/>
    </row>
    <row r="47" spans="1:35" x14ac:dyDescent="0.25">
      <c r="A47" s="174" t="s">
        <v>75</v>
      </c>
      <c r="B47" s="175">
        <v>14043708.219999999</v>
      </c>
      <c r="C47" s="175">
        <v>11552597</v>
      </c>
      <c r="D47" s="175">
        <v>1260213.48</v>
      </c>
      <c r="E47" s="175">
        <v>777557.52</v>
      </c>
      <c r="F47" s="175">
        <v>168325475.19999996</v>
      </c>
      <c r="G47" s="175">
        <v>59815567</v>
      </c>
      <c r="H47" s="175">
        <v>79265267.079999983</v>
      </c>
      <c r="I47" s="175">
        <v>29230703.920000017</v>
      </c>
      <c r="J47" s="175">
        <v>0</v>
      </c>
      <c r="K47" s="175">
        <v>0</v>
      </c>
      <c r="L47" s="175">
        <v>0</v>
      </c>
      <c r="M47" s="175">
        <v>0</v>
      </c>
      <c r="O47" s="174" t="s">
        <v>75</v>
      </c>
      <c r="P47" s="175">
        <v>0</v>
      </c>
      <c r="Q47" s="175">
        <v>0</v>
      </c>
      <c r="R47" s="175">
        <v>0</v>
      </c>
      <c r="S47" s="175">
        <v>0</v>
      </c>
      <c r="T47" s="175">
        <v>0</v>
      </c>
      <c r="U47" s="175">
        <v>0</v>
      </c>
      <c r="V47" s="175">
        <v>0</v>
      </c>
      <c r="W47" s="175">
        <v>0</v>
      </c>
      <c r="X47" s="175">
        <v>0</v>
      </c>
      <c r="Y47" s="175">
        <v>0</v>
      </c>
      <c r="Z47" s="175">
        <v>0</v>
      </c>
      <c r="AA47" s="175">
        <v>0</v>
      </c>
      <c r="AB47" s="176"/>
      <c r="AC47" s="176"/>
      <c r="AD47" s="176"/>
      <c r="AE47" s="176"/>
      <c r="AF47" s="176"/>
      <c r="AG47" s="176"/>
      <c r="AH47" s="176"/>
      <c r="AI47" s="176"/>
    </row>
    <row r="48" spans="1:35" x14ac:dyDescent="0.25">
      <c r="A48" s="174" t="s">
        <v>76</v>
      </c>
      <c r="B48" s="175">
        <v>9389847.1000000015</v>
      </c>
      <c r="C48" s="175">
        <v>6968171</v>
      </c>
      <c r="D48" s="175">
        <v>690132.51000000013</v>
      </c>
      <c r="E48" s="175">
        <v>1460977.49</v>
      </c>
      <c r="F48" s="175">
        <v>183560200.18000025</v>
      </c>
      <c r="G48" s="175">
        <v>36259207</v>
      </c>
      <c r="H48" s="175">
        <v>120676135.41999993</v>
      </c>
      <c r="I48" s="175">
        <v>26591865.579999972</v>
      </c>
      <c r="J48" s="175">
        <v>0</v>
      </c>
      <c r="K48" s="175">
        <v>0</v>
      </c>
      <c r="L48" s="175">
        <v>0</v>
      </c>
      <c r="M48" s="175">
        <v>0</v>
      </c>
      <c r="O48" s="174" t="s">
        <v>76</v>
      </c>
      <c r="P48" s="175">
        <v>0</v>
      </c>
      <c r="Q48" s="175">
        <v>0</v>
      </c>
      <c r="R48" s="175">
        <v>0</v>
      </c>
      <c r="S48" s="175">
        <v>0</v>
      </c>
      <c r="T48" s="175">
        <v>0</v>
      </c>
      <c r="U48" s="175">
        <v>0</v>
      </c>
      <c r="V48" s="175">
        <v>0</v>
      </c>
      <c r="W48" s="175">
        <v>0</v>
      </c>
      <c r="X48" s="175">
        <v>0</v>
      </c>
      <c r="Y48" s="175">
        <v>0</v>
      </c>
      <c r="Z48" s="175">
        <v>0</v>
      </c>
      <c r="AA48" s="175">
        <v>0</v>
      </c>
      <c r="AB48" s="176"/>
      <c r="AC48" s="176"/>
      <c r="AD48" s="176"/>
      <c r="AE48" s="176"/>
      <c r="AF48" s="176"/>
      <c r="AG48" s="176"/>
      <c r="AH48" s="176"/>
      <c r="AI48" s="176"/>
    </row>
    <row r="49" spans="1:35" x14ac:dyDescent="0.25">
      <c r="A49" s="174" t="s">
        <v>77</v>
      </c>
      <c r="B49" s="175">
        <v>5501659.1900000004</v>
      </c>
      <c r="C49" s="175">
        <v>3203870</v>
      </c>
      <c r="D49" s="175">
        <v>1766518.1</v>
      </c>
      <c r="E49" s="175">
        <v>101725.90000000008</v>
      </c>
      <c r="F49" s="175">
        <v>177767514.29999992</v>
      </c>
      <c r="G49" s="175">
        <v>27505651</v>
      </c>
      <c r="H49" s="175">
        <v>122855572.43999997</v>
      </c>
      <c r="I49" s="175">
        <v>27379910.559999995</v>
      </c>
      <c r="J49" s="175">
        <v>0</v>
      </c>
      <c r="K49" s="175">
        <v>0</v>
      </c>
      <c r="L49" s="175">
        <v>0</v>
      </c>
      <c r="M49" s="175">
        <v>0</v>
      </c>
      <c r="O49" s="174" t="s">
        <v>77</v>
      </c>
      <c r="P49" s="175">
        <v>0</v>
      </c>
      <c r="Q49" s="175">
        <v>0</v>
      </c>
      <c r="R49" s="175">
        <v>0</v>
      </c>
      <c r="S49" s="175">
        <v>0</v>
      </c>
      <c r="T49" s="175">
        <v>0</v>
      </c>
      <c r="U49" s="175">
        <v>0</v>
      </c>
      <c r="V49" s="175">
        <v>0</v>
      </c>
      <c r="W49" s="175">
        <v>0</v>
      </c>
      <c r="X49" s="175">
        <v>0</v>
      </c>
      <c r="Y49" s="175">
        <v>0</v>
      </c>
      <c r="Z49" s="175">
        <v>0</v>
      </c>
      <c r="AA49" s="175">
        <v>0</v>
      </c>
      <c r="AB49" s="176"/>
      <c r="AC49" s="176"/>
      <c r="AD49" s="176"/>
      <c r="AE49" s="176"/>
      <c r="AF49" s="176"/>
      <c r="AG49" s="176"/>
      <c r="AH49" s="176"/>
      <c r="AI49" s="176"/>
    </row>
    <row r="50" spans="1:35" x14ac:dyDescent="0.25">
      <c r="A50" s="174" t="s">
        <v>78</v>
      </c>
      <c r="B50" s="175">
        <v>12171477.650000002</v>
      </c>
      <c r="C50" s="175">
        <v>6326074</v>
      </c>
      <c r="D50" s="175">
        <v>5171008.03</v>
      </c>
      <c r="E50" s="175">
        <v>208644.96999999968</v>
      </c>
      <c r="F50" s="175">
        <v>206004004.21999997</v>
      </c>
      <c r="G50" s="175">
        <v>42874740</v>
      </c>
      <c r="H50" s="175">
        <v>126642545.94000003</v>
      </c>
      <c r="I50" s="175">
        <v>36439844.059999995</v>
      </c>
      <c r="J50" s="175">
        <v>0</v>
      </c>
      <c r="K50" s="175">
        <v>0</v>
      </c>
      <c r="L50" s="175">
        <v>0</v>
      </c>
      <c r="M50" s="175">
        <v>0</v>
      </c>
      <c r="O50" s="174" t="s">
        <v>78</v>
      </c>
      <c r="P50" s="175">
        <v>0</v>
      </c>
      <c r="Q50" s="175">
        <v>0</v>
      </c>
      <c r="R50" s="175">
        <v>0</v>
      </c>
      <c r="S50" s="175">
        <v>0</v>
      </c>
      <c r="T50" s="175">
        <v>0</v>
      </c>
      <c r="U50" s="175">
        <v>0</v>
      </c>
      <c r="V50" s="175">
        <v>0</v>
      </c>
      <c r="W50" s="175">
        <v>0</v>
      </c>
      <c r="X50" s="175">
        <v>0</v>
      </c>
      <c r="Y50" s="175">
        <v>0</v>
      </c>
      <c r="Z50" s="175">
        <v>0</v>
      </c>
      <c r="AA50" s="175">
        <v>0</v>
      </c>
      <c r="AB50" s="176"/>
      <c r="AC50" s="176"/>
      <c r="AD50" s="176"/>
      <c r="AE50" s="176"/>
      <c r="AF50" s="176"/>
      <c r="AG50" s="176"/>
      <c r="AH50" s="176"/>
      <c r="AI50" s="176"/>
    </row>
    <row r="51" spans="1:35" x14ac:dyDescent="0.25">
      <c r="A51" s="174" t="s">
        <v>79</v>
      </c>
      <c r="B51" s="175">
        <v>15610638.23</v>
      </c>
      <c r="C51" s="175">
        <v>10262101</v>
      </c>
      <c r="D51" s="175">
        <v>3723072.4499999997</v>
      </c>
      <c r="E51" s="175">
        <v>1453721.55</v>
      </c>
      <c r="F51" s="175">
        <v>215151086.43999973</v>
      </c>
      <c r="G51" s="175">
        <v>46977086</v>
      </c>
      <c r="H51" s="175">
        <v>138217689.06000012</v>
      </c>
      <c r="I51" s="175">
        <v>29942219.93999999</v>
      </c>
      <c r="J51" s="175">
        <v>0</v>
      </c>
      <c r="K51" s="175">
        <v>0</v>
      </c>
      <c r="L51" s="175">
        <v>0</v>
      </c>
      <c r="M51" s="175">
        <v>0</v>
      </c>
      <c r="O51" s="174" t="s">
        <v>79</v>
      </c>
      <c r="P51" s="175">
        <v>0</v>
      </c>
      <c r="Q51" s="175">
        <v>0</v>
      </c>
      <c r="R51" s="175">
        <v>0</v>
      </c>
      <c r="S51" s="175">
        <v>0</v>
      </c>
      <c r="T51" s="175">
        <v>0</v>
      </c>
      <c r="U51" s="175">
        <v>0</v>
      </c>
      <c r="V51" s="175">
        <v>0</v>
      </c>
      <c r="W51" s="175">
        <v>0</v>
      </c>
      <c r="X51" s="175">
        <v>0</v>
      </c>
      <c r="Y51" s="175">
        <v>0</v>
      </c>
      <c r="Z51" s="175">
        <v>0</v>
      </c>
      <c r="AA51" s="175">
        <v>0</v>
      </c>
      <c r="AB51" s="176"/>
      <c r="AC51" s="176"/>
      <c r="AD51" s="176"/>
      <c r="AE51" s="176"/>
      <c r="AF51" s="176"/>
      <c r="AG51" s="176"/>
      <c r="AH51" s="176"/>
      <c r="AI51" s="176"/>
    </row>
    <row r="52" spans="1:35" x14ac:dyDescent="0.25">
      <c r="A52" s="174" t="s">
        <v>80</v>
      </c>
      <c r="B52" s="175">
        <v>14839005.340000002</v>
      </c>
      <c r="C52" s="175">
        <v>6133687</v>
      </c>
      <c r="D52" s="175">
        <v>5429478.0600000005</v>
      </c>
      <c r="E52" s="175">
        <v>2887389.9399999995</v>
      </c>
      <c r="F52" s="175">
        <v>171655205.69000006</v>
      </c>
      <c r="G52" s="175">
        <v>37967346</v>
      </c>
      <c r="H52" s="175">
        <v>104481392.03000006</v>
      </c>
      <c r="I52" s="175">
        <v>29184746.970000006</v>
      </c>
      <c r="J52" s="175">
        <v>0</v>
      </c>
      <c r="K52" s="175">
        <v>0</v>
      </c>
      <c r="L52" s="175">
        <v>0</v>
      </c>
      <c r="M52" s="175">
        <v>0</v>
      </c>
      <c r="O52" s="174" t="s">
        <v>80</v>
      </c>
      <c r="P52" s="175">
        <v>0</v>
      </c>
      <c r="Q52" s="175">
        <v>0</v>
      </c>
      <c r="R52" s="175">
        <v>0</v>
      </c>
      <c r="S52" s="175">
        <v>0</v>
      </c>
      <c r="T52" s="175">
        <v>0</v>
      </c>
      <c r="U52" s="175">
        <v>0</v>
      </c>
      <c r="V52" s="175">
        <v>0</v>
      </c>
      <c r="W52" s="175">
        <v>0</v>
      </c>
      <c r="X52" s="175">
        <v>0</v>
      </c>
      <c r="Y52" s="175">
        <v>0</v>
      </c>
      <c r="Z52" s="175">
        <v>0</v>
      </c>
      <c r="AA52" s="175">
        <v>0</v>
      </c>
      <c r="AB52" s="176"/>
      <c r="AC52" s="176"/>
      <c r="AD52" s="176"/>
      <c r="AE52" s="176"/>
      <c r="AF52" s="176"/>
      <c r="AG52" s="176"/>
      <c r="AH52" s="176"/>
      <c r="AI52" s="176"/>
    </row>
    <row r="53" spans="1:35" x14ac:dyDescent="0.25">
      <c r="A53" s="174" t="s">
        <v>81</v>
      </c>
      <c r="B53" s="175">
        <v>13460556.249999998</v>
      </c>
      <c r="C53" s="175">
        <v>9212484</v>
      </c>
      <c r="D53" s="175">
        <v>3340327.2199999997</v>
      </c>
      <c r="E53" s="175">
        <v>709028.78</v>
      </c>
      <c r="F53" s="175">
        <v>179389161.10999995</v>
      </c>
      <c r="G53" s="175">
        <v>40441505</v>
      </c>
      <c r="H53" s="175">
        <v>101080171.92000008</v>
      </c>
      <c r="I53" s="175">
        <v>37844312.080000006</v>
      </c>
      <c r="J53" s="175">
        <v>0</v>
      </c>
      <c r="K53" s="175">
        <v>0</v>
      </c>
      <c r="L53" s="175">
        <v>0</v>
      </c>
      <c r="M53" s="175">
        <v>0</v>
      </c>
      <c r="O53" s="174" t="s">
        <v>81</v>
      </c>
      <c r="P53" s="175">
        <v>0</v>
      </c>
      <c r="Q53" s="175">
        <v>0</v>
      </c>
      <c r="R53" s="175">
        <v>0</v>
      </c>
      <c r="S53" s="175">
        <v>0</v>
      </c>
      <c r="T53" s="175">
        <v>0</v>
      </c>
      <c r="U53" s="175">
        <v>0</v>
      </c>
      <c r="V53" s="175">
        <v>0</v>
      </c>
      <c r="W53" s="175">
        <v>0</v>
      </c>
      <c r="X53" s="175">
        <v>0</v>
      </c>
      <c r="Y53" s="175">
        <v>0</v>
      </c>
      <c r="Z53" s="175">
        <v>0</v>
      </c>
      <c r="AA53" s="175">
        <v>0</v>
      </c>
      <c r="AB53" s="176"/>
      <c r="AC53" s="176"/>
      <c r="AD53" s="176"/>
      <c r="AE53" s="176"/>
      <c r="AF53" s="176"/>
      <c r="AG53" s="176"/>
      <c r="AH53" s="176"/>
      <c r="AI53" s="176"/>
    </row>
    <row r="54" spans="1:35" x14ac:dyDescent="0.25">
      <c r="A54" s="177" t="s">
        <v>59</v>
      </c>
      <c r="B54" s="178">
        <f t="shared" ref="B54:M54" ca="1" si="4">SUM(B42:B53)</f>
        <v>221391937.22999999</v>
      </c>
      <c r="C54" s="178">
        <f t="shared" ca="1" si="4"/>
        <v>176374015</v>
      </c>
      <c r="D54" s="178">
        <f t="shared" ca="1" si="4"/>
        <v>23401111.890000001</v>
      </c>
      <c r="E54" s="178">
        <f t="shared" ca="1" si="4"/>
        <v>18119500.109999999</v>
      </c>
      <c r="F54" s="178">
        <f t="shared" ca="1" si="4"/>
        <v>2281331371.8900008</v>
      </c>
      <c r="G54" s="178">
        <f t="shared" ca="1" si="4"/>
        <v>754009459</v>
      </c>
      <c r="H54" s="178">
        <f t="shared" ca="1" si="4"/>
        <v>1174120192.8699999</v>
      </c>
      <c r="I54" s="178">
        <f t="shared" ca="1" si="4"/>
        <v>352960586.12999994</v>
      </c>
      <c r="J54" s="178">
        <f t="shared" ca="1" si="4"/>
        <v>0</v>
      </c>
      <c r="K54" s="178">
        <f t="shared" ca="1" si="4"/>
        <v>0</v>
      </c>
      <c r="L54" s="178">
        <f t="shared" ca="1" si="4"/>
        <v>0</v>
      </c>
      <c r="M54" s="178">
        <f t="shared" ca="1" si="4"/>
        <v>0</v>
      </c>
      <c r="O54" s="177" t="s">
        <v>59</v>
      </c>
      <c r="P54" s="178">
        <f t="shared" ref="P54:AA54" ca="1" si="5">SUM(P42:P53)</f>
        <v>94565094.079999998</v>
      </c>
      <c r="Q54" s="178">
        <f t="shared" ca="1" si="5"/>
        <v>16228706</v>
      </c>
      <c r="R54" s="178">
        <f t="shared" ca="1" si="5"/>
        <v>51572308.109999992</v>
      </c>
      <c r="S54" s="178">
        <f t="shared" ca="1" si="5"/>
        <v>25852802.889999997</v>
      </c>
      <c r="T54" s="178">
        <f t="shared" ca="1" si="5"/>
        <v>594165293.10000002</v>
      </c>
      <c r="U54" s="178">
        <f t="shared" ca="1" si="5"/>
        <v>59923774</v>
      </c>
      <c r="V54" s="178">
        <f t="shared" ca="1" si="5"/>
        <v>435091592.7899999</v>
      </c>
      <c r="W54" s="178">
        <f t="shared" ca="1" si="5"/>
        <v>99037925.209999979</v>
      </c>
      <c r="X54" s="178">
        <f t="shared" ca="1" si="5"/>
        <v>0</v>
      </c>
      <c r="Y54" s="178">
        <f t="shared" ca="1" si="5"/>
        <v>0</v>
      </c>
      <c r="Z54" s="178">
        <f t="shared" ca="1" si="5"/>
        <v>0</v>
      </c>
      <c r="AA54" s="178">
        <f t="shared" ca="1" si="5"/>
        <v>0</v>
      </c>
      <c r="AB54" s="176"/>
      <c r="AC54" s="176"/>
      <c r="AD54" s="176"/>
      <c r="AE54" s="176"/>
      <c r="AF54" s="176"/>
      <c r="AG54" s="176"/>
      <c r="AH54" s="176"/>
      <c r="AI54" s="176"/>
    </row>
    <row r="55" spans="1:35" x14ac:dyDescent="0.25">
      <c r="B55" s="23">
        <f ca="1">Summary!E107</f>
        <v>2502723309.1200008</v>
      </c>
      <c r="P55" s="23">
        <f ca="1">Summary!E120</f>
        <v>688730387.17999995</v>
      </c>
      <c r="AB55" s="176"/>
      <c r="AC55" s="176"/>
      <c r="AD55" s="176"/>
      <c r="AE55" s="176"/>
      <c r="AF55" s="176"/>
      <c r="AG55" s="176"/>
      <c r="AH55" s="176"/>
      <c r="AI55" s="176"/>
    </row>
    <row r="56" spans="1:35" x14ac:dyDescent="0.25">
      <c r="AB56" s="176"/>
      <c r="AC56" s="176"/>
      <c r="AD56" s="176"/>
      <c r="AE56" s="176"/>
      <c r="AF56" s="176"/>
      <c r="AG56" s="176"/>
      <c r="AH56" s="176"/>
      <c r="AI56" s="176"/>
    </row>
    <row r="57" spans="1:35" x14ac:dyDescent="0.25">
      <c r="AB57" s="176"/>
      <c r="AC57" s="176"/>
      <c r="AD57" s="176"/>
      <c r="AE57" s="176"/>
      <c r="AF57" s="176"/>
      <c r="AG57" s="176"/>
      <c r="AH57" s="176"/>
      <c r="AI57" s="176"/>
    </row>
    <row r="58" spans="1:35" x14ac:dyDescent="0.25">
      <c r="B58" s="168" t="s">
        <v>495</v>
      </c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P58" s="168" t="s">
        <v>495</v>
      </c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76"/>
      <c r="AC58" s="176"/>
      <c r="AD58" s="176"/>
      <c r="AE58" s="176"/>
      <c r="AF58" s="176"/>
      <c r="AG58" s="176"/>
      <c r="AH58" s="176"/>
      <c r="AI58" s="176"/>
    </row>
    <row r="59" spans="1:35" x14ac:dyDescent="0.25">
      <c r="A59" s="170" t="s">
        <v>486</v>
      </c>
      <c r="B59" s="171" t="s">
        <v>487</v>
      </c>
      <c r="C59" s="172"/>
      <c r="D59" s="172"/>
      <c r="E59" s="173"/>
      <c r="F59" s="171" t="s">
        <v>488</v>
      </c>
      <c r="G59" s="172"/>
      <c r="H59" s="172"/>
      <c r="I59" s="173"/>
      <c r="J59" s="171" t="s">
        <v>489</v>
      </c>
      <c r="K59" s="172"/>
      <c r="L59" s="172"/>
      <c r="M59" s="173"/>
      <c r="O59" s="170">
        <v>2026</v>
      </c>
      <c r="P59" s="171" t="s">
        <v>487</v>
      </c>
      <c r="Q59" s="172"/>
      <c r="R59" s="172"/>
      <c r="S59" s="173"/>
      <c r="T59" s="171" t="s">
        <v>488</v>
      </c>
      <c r="U59" s="172"/>
      <c r="V59" s="172"/>
      <c r="W59" s="173"/>
      <c r="X59" s="171" t="s">
        <v>489</v>
      </c>
      <c r="Y59" s="172"/>
      <c r="Z59" s="172"/>
      <c r="AA59" s="173"/>
      <c r="AB59" s="176"/>
      <c r="AC59" s="176"/>
      <c r="AD59" s="176"/>
      <c r="AE59" s="176"/>
      <c r="AF59" s="176"/>
      <c r="AG59" s="176"/>
      <c r="AH59" s="176"/>
      <c r="AI59" s="176"/>
    </row>
    <row r="60" spans="1:35" x14ac:dyDescent="0.25">
      <c r="A60" s="170" t="s">
        <v>282</v>
      </c>
      <c r="B60" s="170" t="s">
        <v>490</v>
      </c>
      <c r="C60" s="170" t="s">
        <v>491</v>
      </c>
      <c r="D60" s="170" t="s">
        <v>492</v>
      </c>
      <c r="E60" s="170" t="s">
        <v>493</v>
      </c>
      <c r="F60" s="170" t="s">
        <v>490</v>
      </c>
      <c r="G60" s="170" t="s">
        <v>491</v>
      </c>
      <c r="H60" s="170" t="s">
        <v>492</v>
      </c>
      <c r="I60" s="170" t="s">
        <v>493</v>
      </c>
      <c r="J60" s="170" t="s">
        <v>490</v>
      </c>
      <c r="K60" s="170" t="s">
        <v>491</v>
      </c>
      <c r="L60" s="170" t="s">
        <v>492</v>
      </c>
      <c r="M60" s="170" t="s">
        <v>493</v>
      </c>
      <c r="O60" s="170" t="s">
        <v>282</v>
      </c>
      <c r="P60" s="170" t="s">
        <v>490</v>
      </c>
      <c r="Q60" s="170" t="s">
        <v>491</v>
      </c>
      <c r="R60" s="170" t="s">
        <v>492</v>
      </c>
      <c r="S60" s="170" t="s">
        <v>493</v>
      </c>
      <c r="T60" s="170" t="s">
        <v>490</v>
      </c>
      <c r="U60" s="170" t="s">
        <v>491</v>
      </c>
      <c r="V60" s="170" t="s">
        <v>492</v>
      </c>
      <c r="W60" s="170" t="s">
        <v>493</v>
      </c>
      <c r="X60" s="170" t="s">
        <v>490</v>
      </c>
      <c r="Y60" s="170" t="s">
        <v>491</v>
      </c>
      <c r="Z60" s="170" t="s">
        <v>492</v>
      </c>
      <c r="AA60" s="170" t="s">
        <v>493</v>
      </c>
      <c r="AB60" s="176"/>
      <c r="AC60" s="176"/>
      <c r="AD60" s="176"/>
      <c r="AE60" s="176"/>
      <c r="AF60" s="176"/>
      <c r="AG60" s="176"/>
      <c r="AH60" s="176"/>
      <c r="AI60" s="176"/>
    </row>
    <row r="61" spans="1:35" x14ac:dyDescent="0.25">
      <c r="A61" s="174" t="s">
        <v>70</v>
      </c>
      <c r="B61" s="175">
        <v>0</v>
      </c>
      <c r="C61" s="175">
        <v>0</v>
      </c>
      <c r="D61" s="175">
        <v>0</v>
      </c>
      <c r="E61" s="175">
        <v>0</v>
      </c>
      <c r="F61" s="175">
        <v>0</v>
      </c>
      <c r="G61" s="175">
        <v>0</v>
      </c>
      <c r="H61" s="175">
        <v>0</v>
      </c>
      <c r="I61" s="175">
        <v>0</v>
      </c>
      <c r="J61" s="175">
        <v>0</v>
      </c>
      <c r="K61" s="175">
        <v>0</v>
      </c>
      <c r="L61" s="175">
        <v>0</v>
      </c>
      <c r="M61" s="175">
        <v>0</v>
      </c>
      <c r="O61" s="174" t="s">
        <v>70</v>
      </c>
      <c r="P61" s="175">
        <v>10287426.139999999</v>
      </c>
      <c r="Q61" s="175">
        <v>3918279</v>
      </c>
      <c r="R61" s="175">
        <v>5463883.3700000001</v>
      </c>
      <c r="S61" s="175">
        <v>790438.63000000012</v>
      </c>
      <c r="T61" s="175">
        <v>12388258.210000001</v>
      </c>
      <c r="U61" s="175">
        <v>3272546</v>
      </c>
      <c r="V61" s="175">
        <v>7351630.7400000012</v>
      </c>
      <c r="W61" s="175">
        <v>1764090.26</v>
      </c>
      <c r="X61" s="175">
        <v>0</v>
      </c>
      <c r="Y61" s="175">
        <v>0</v>
      </c>
      <c r="Z61" s="175">
        <v>0</v>
      </c>
      <c r="AA61" s="175">
        <v>0</v>
      </c>
      <c r="AB61" s="176"/>
      <c r="AC61" s="176"/>
      <c r="AD61" s="176"/>
      <c r="AE61" s="176"/>
      <c r="AF61" s="176"/>
      <c r="AG61" s="176"/>
      <c r="AH61" s="176"/>
      <c r="AI61" s="176"/>
    </row>
    <row r="62" spans="1:35" x14ac:dyDescent="0.25">
      <c r="A62" s="174" t="s">
        <v>71</v>
      </c>
      <c r="B62" s="175">
        <v>0</v>
      </c>
      <c r="C62" s="175">
        <v>0</v>
      </c>
      <c r="D62" s="175">
        <v>0</v>
      </c>
      <c r="E62" s="175">
        <v>0</v>
      </c>
      <c r="F62" s="175">
        <v>0</v>
      </c>
      <c r="G62" s="175">
        <v>0</v>
      </c>
      <c r="H62" s="175">
        <v>0</v>
      </c>
      <c r="I62" s="175">
        <v>0</v>
      </c>
      <c r="J62" s="175">
        <v>0</v>
      </c>
      <c r="K62" s="175">
        <v>0</v>
      </c>
      <c r="L62" s="175">
        <v>0</v>
      </c>
      <c r="M62" s="175">
        <v>0</v>
      </c>
      <c r="O62" s="174" t="s">
        <v>71</v>
      </c>
      <c r="P62" s="175">
        <v>12382804.129999999</v>
      </c>
      <c r="Q62" s="175">
        <v>3710741</v>
      </c>
      <c r="R62" s="175">
        <v>3276449.55</v>
      </c>
      <c r="S62" s="175">
        <v>5274914.45</v>
      </c>
      <c r="T62" s="175">
        <v>12024793.880000001</v>
      </c>
      <c r="U62" s="175">
        <v>3656641</v>
      </c>
      <c r="V62" s="175">
        <v>6406197.4499999983</v>
      </c>
      <c r="W62" s="175">
        <v>1961960.55</v>
      </c>
      <c r="X62" s="175">
        <v>0</v>
      </c>
      <c r="Y62" s="175">
        <v>0</v>
      </c>
      <c r="Z62" s="175">
        <v>0</v>
      </c>
      <c r="AA62" s="175">
        <v>0</v>
      </c>
      <c r="AB62" s="176"/>
      <c r="AC62" s="176"/>
      <c r="AD62" s="176"/>
      <c r="AE62" s="176"/>
      <c r="AF62" s="176"/>
      <c r="AG62" s="176"/>
      <c r="AH62" s="176"/>
      <c r="AI62" s="176"/>
    </row>
    <row r="63" spans="1:35" x14ac:dyDescent="0.25">
      <c r="A63" s="174" t="s">
        <v>72</v>
      </c>
      <c r="B63" s="175">
        <v>0</v>
      </c>
      <c r="C63" s="175">
        <v>0</v>
      </c>
      <c r="D63" s="175">
        <v>0</v>
      </c>
      <c r="E63" s="175">
        <v>0</v>
      </c>
      <c r="F63" s="175">
        <v>0</v>
      </c>
      <c r="G63" s="175">
        <v>0</v>
      </c>
      <c r="H63" s="175">
        <v>0</v>
      </c>
      <c r="I63" s="175">
        <v>0</v>
      </c>
      <c r="J63" s="175">
        <v>0</v>
      </c>
      <c r="K63" s="175">
        <v>0</v>
      </c>
      <c r="L63" s="175">
        <v>0</v>
      </c>
      <c r="M63" s="175">
        <v>0</v>
      </c>
      <c r="O63" s="174" t="s">
        <v>72</v>
      </c>
      <c r="P63" s="175">
        <v>5499931.0899999999</v>
      </c>
      <c r="Q63" s="175">
        <v>1083555</v>
      </c>
      <c r="R63" s="175">
        <v>2746826.15</v>
      </c>
      <c r="S63" s="175">
        <v>1624703.85</v>
      </c>
      <c r="T63" s="175">
        <v>7840678.6700000009</v>
      </c>
      <c r="U63" s="175">
        <v>1262627</v>
      </c>
      <c r="V63" s="175">
        <v>4485019.1400000015</v>
      </c>
      <c r="W63" s="175">
        <v>2093040.8599999999</v>
      </c>
      <c r="X63" s="175">
        <v>0</v>
      </c>
      <c r="Y63" s="175">
        <v>0</v>
      </c>
      <c r="Z63" s="175">
        <v>0</v>
      </c>
      <c r="AA63" s="175">
        <v>0</v>
      </c>
      <c r="AB63" s="176"/>
      <c r="AC63" s="176"/>
      <c r="AD63" s="176"/>
      <c r="AE63" s="176"/>
      <c r="AF63" s="176"/>
      <c r="AG63" s="176"/>
      <c r="AH63" s="176"/>
      <c r="AI63" s="176"/>
    </row>
    <row r="64" spans="1:35" x14ac:dyDescent="0.25">
      <c r="A64" s="174" t="s">
        <v>73</v>
      </c>
      <c r="B64" s="175">
        <v>30000</v>
      </c>
      <c r="C64" s="175">
        <v>30000</v>
      </c>
      <c r="D64" s="175">
        <v>0</v>
      </c>
      <c r="E64" s="175">
        <v>0</v>
      </c>
      <c r="F64" s="175">
        <v>0</v>
      </c>
      <c r="G64" s="175">
        <v>0</v>
      </c>
      <c r="H64" s="175">
        <v>0</v>
      </c>
      <c r="I64" s="175">
        <v>0</v>
      </c>
      <c r="J64" s="175">
        <v>0</v>
      </c>
      <c r="K64" s="175">
        <v>0</v>
      </c>
      <c r="L64" s="175">
        <v>0</v>
      </c>
      <c r="M64" s="175">
        <v>0</v>
      </c>
      <c r="O64" s="174" t="s">
        <v>73</v>
      </c>
      <c r="P64" s="175">
        <v>8033173.0700000003</v>
      </c>
      <c r="Q64" s="175">
        <v>624698</v>
      </c>
      <c r="R64" s="175">
        <v>4937850.87</v>
      </c>
      <c r="S64" s="175">
        <v>2424749.13</v>
      </c>
      <c r="T64" s="175">
        <v>10823660.359999999</v>
      </c>
      <c r="U64" s="175">
        <v>145487</v>
      </c>
      <c r="V64" s="175">
        <v>8194163.9400000023</v>
      </c>
      <c r="W64" s="175">
        <v>2484014.0600000005</v>
      </c>
      <c r="X64" s="175">
        <v>36725</v>
      </c>
      <c r="Y64" s="175">
        <v>0</v>
      </c>
      <c r="Z64" s="175">
        <v>36725</v>
      </c>
      <c r="AA64" s="175">
        <v>0</v>
      </c>
      <c r="AB64" s="176"/>
      <c r="AC64" s="176"/>
      <c r="AD64" s="176"/>
      <c r="AE64" s="176"/>
      <c r="AF64" s="176"/>
      <c r="AG64" s="176"/>
      <c r="AH64" s="176"/>
      <c r="AI64" s="176"/>
    </row>
    <row r="65" spans="1:35" x14ac:dyDescent="0.25">
      <c r="A65" s="174" t="s">
        <v>74</v>
      </c>
      <c r="B65" s="175">
        <v>30222720.320000004</v>
      </c>
      <c r="C65" s="175">
        <v>29384784</v>
      </c>
      <c r="D65" s="175">
        <v>51656.159999999989</v>
      </c>
      <c r="E65" s="175">
        <v>781278.84000000008</v>
      </c>
      <c r="F65" s="175">
        <v>37307825.679999992</v>
      </c>
      <c r="G65" s="175">
        <v>35399828</v>
      </c>
      <c r="H65" s="175">
        <v>395426.63000000012</v>
      </c>
      <c r="I65" s="175">
        <v>1512553.37</v>
      </c>
      <c r="J65" s="175">
        <v>0</v>
      </c>
      <c r="K65" s="175">
        <v>0</v>
      </c>
      <c r="L65" s="175">
        <v>0</v>
      </c>
      <c r="M65" s="175">
        <v>0</v>
      </c>
      <c r="O65" s="174" t="s">
        <v>74</v>
      </c>
      <c r="P65" s="175">
        <v>2124163.41</v>
      </c>
      <c r="Q65" s="175">
        <v>0</v>
      </c>
      <c r="R65" s="175">
        <v>1926272.3699999999</v>
      </c>
      <c r="S65" s="175">
        <v>188923.63</v>
      </c>
      <c r="T65" s="175">
        <v>1852433.21</v>
      </c>
      <c r="U65" s="175">
        <v>1999</v>
      </c>
      <c r="V65" s="175">
        <v>1820846.2699999998</v>
      </c>
      <c r="W65" s="175">
        <v>29588.729999999952</v>
      </c>
      <c r="X65" s="175">
        <v>36725</v>
      </c>
      <c r="Y65" s="175">
        <v>0</v>
      </c>
      <c r="Z65" s="175">
        <v>36725</v>
      </c>
      <c r="AA65" s="175">
        <v>0</v>
      </c>
      <c r="AB65" s="176"/>
      <c r="AC65" s="176"/>
      <c r="AD65" s="176"/>
      <c r="AE65" s="176"/>
      <c r="AF65" s="176"/>
      <c r="AG65" s="176"/>
      <c r="AH65" s="176"/>
      <c r="AI65" s="176"/>
    </row>
    <row r="66" spans="1:35" x14ac:dyDescent="0.25">
      <c r="A66" s="174" t="s">
        <v>75</v>
      </c>
      <c r="B66" s="175">
        <v>9452534.2300000004</v>
      </c>
      <c r="C66" s="175">
        <v>7360444</v>
      </c>
      <c r="D66" s="175">
        <v>1716403.4</v>
      </c>
      <c r="E66" s="175">
        <v>374682.60000000009</v>
      </c>
      <c r="F66" s="175">
        <v>14565516.43</v>
      </c>
      <c r="G66" s="175">
        <v>9312932</v>
      </c>
      <c r="H66" s="175">
        <v>2940862.7800000003</v>
      </c>
      <c r="I66" s="175">
        <v>2311725.2199999997</v>
      </c>
      <c r="J66" s="175">
        <v>0</v>
      </c>
      <c r="K66" s="175">
        <v>0</v>
      </c>
      <c r="L66" s="175">
        <v>0</v>
      </c>
      <c r="M66" s="175">
        <v>0</v>
      </c>
      <c r="O66" s="174" t="s">
        <v>75</v>
      </c>
      <c r="P66" s="175">
        <v>0</v>
      </c>
      <c r="Q66" s="175">
        <v>0</v>
      </c>
      <c r="R66" s="175">
        <v>0</v>
      </c>
      <c r="S66" s="175">
        <v>0</v>
      </c>
      <c r="T66" s="175">
        <v>0</v>
      </c>
      <c r="U66" s="175">
        <v>0</v>
      </c>
      <c r="V66" s="175">
        <v>0</v>
      </c>
      <c r="W66" s="175">
        <v>0</v>
      </c>
      <c r="X66" s="175">
        <v>0</v>
      </c>
      <c r="Y66" s="175">
        <v>0</v>
      </c>
      <c r="Z66" s="175">
        <v>0</v>
      </c>
      <c r="AA66" s="175">
        <v>0</v>
      </c>
      <c r="AB66" s="176"/>
      <c r="AC66" s="176"/>
      <c r="AD66" s="176"/>
      <c r="AE66" s="176"/>
      <c r="AF66" s="176"/>
      <c r="AG66" s="176"/>
      <c r="AH66" s="176"/>
      <c r="AI66" s="176"/>
    </row>
    <row r="67" spans="1:35" x14ac:dyDescent="0.25">
      <c r="A67" s="174" t="s">
        <v>76</v>
      </c>
      <c r="B67" s="175">
        <v>9015087.5199999996</v>
      </c>
      <c r="C67" s="175">
        <v>4519986</v>
      </c>
      <c r="D67" s="175">
        <v>3971396.2000000007</v>
      </c>
      <c r="E67" s="175">
        <v>521702.80000000005</v>
      </c>
      <c r="F67" s="175">
        <v>15511860.100000003</v>
      </c>
      <c r="G67" s="175">
        <v>6790081</v>
      </c>
      <c r="H67" s="175">
        <v>6541648.7199999997</v>
      </c>
      <c r="I67" s="175">
        <v>2180129.2800000003</v>
      </c>
      <c r="J67" s="175">
        <v>0</v>
      </c>
      <c r="K67" s="175">
        <v>0</v>
      </c>
      <c r="L67" s="175">
        <v>0</v>
      </c>
      <c r="M67" s="175">
        <v>0</v>
      </c>
      <c r="O67" s="174" t="s">
        <v>76</v>
      </c>
      <c r="P67" s="175">
        <v>0</v>
      </c>
      <c r="Q67" s="175">
        <v>0</v>
      </c>
      <c r="R67" s="175">
        <v>0</v>
      </c>
      <c r="S67" s="175">
        <v>0</v>
      </c>
      <c r="T67" s="175">
        <v>0</v>
      </c>
      <c r="U67" s="175">
        <v>0</v>
      </c>
      <c r="V67" s="175">
        <v>0</v>
      </c>
      <c r="W67" s="175">
        <v>0</v>
      </c>
      <c r="X67" s="175">
        <v>0</v>
      </c>
      <c r="Y67" s="175">
        <v>0</v>
      </c>
      <c r="Z67" s="175">
        <v>0</v>
      </c>
      <c r="AA67" s="175">
        <v>0</v>
      </c>
      <c r="AB67" s="176"/>
      <c r="AC67" s="176"/>
      <c r="AD67" s="176"/>
      <c r="AE67" s="176"/>
      <c r="AF67" s="176"/>
      <c r="AG67" s="176"/>
      <c r="AH67" s="176"/>
      <c r="AI67" s="176"/>
    </row>
    <row r="68" spans="1:35" x14ac:dyDescent="0.25">
      <c r="A68" s="174" t="s">
        <v>77</v>
      </c>
      <c r="B68" s="175">
        <v>9891602.9400000013</v>
      </c>
      <c r="C68" s="175">
        <v>4171792</v>
      </c>
      <c r="D68" s="175">
        <v>5104202.58</v>
      </c>
      <c r="E68" s="175">
        <v>435206.4200000001</v>
      </c>
      <c r="F68" s="175">
        <v>15001473.630000001</v>
      </c>
      <c r="G68" s="175">
        <v>5776310</v>
      </c>
      <c r="H68" s="175">
        <v>6678676.4999999991</v>
      </c>
      <c r="I68" s="175">
        <v>2546495.5000000009</v>
      </c>
      <c r="J68" s="175">
        <v>0</v>
      </c>
      <c r="K68" s="175">
        <v>0</v>
      </c>
      <c r="L68" s="175">
        <v>0</v>
      </c>
      <c r="M68" s="175">
        <v>0</v>
      </c>
      <c r="O68" s="174" t="s">
        <v>77</v>
      </c>
      <c r="P68" s="175">
        <v>0</v>
      </c>
      <c r="Q68" s="175">
        <v>0</v>
      </c>
      <c r="R68" s="175">
        <v>0</v>
      </c>
      <c r="S68" s="175">
        <v>0</v>
      </c>
      <c r="T68" s="175">
        <v>0</v>
      </c>
      <c r="U68" s="175">
        <v>0</v>
      </c>
      <c r="V68" s="175">
        <v>0</v>
      </c>
      <c r="W68" s="175">
        <v>0</v>
      </c>
      <c r="X68" s="175">
        <v>0</v>
      </c>
      <c r="Y68" s="175">
        <v>0</v>
      </c>
      <c r="Z68" s="175">
        <v>0</v>
      </c>
      <c r="AA68" s="175">
        <v>0</v>
      </c>
      <c r="AB68" s="176"/>
      <c r="AC68" s="176"/>
      <c r="AD68" s="176"/>
      <c r="AE68" s="176"/>
      <c r="AF68" s="176"/>
      <c r="AG68" s="176"/>
      <c r="AH68" s="176"/>
      <c r="AI68" s="176"/>
    </row>
    <row r="69" spans="1:35" x14ac:dyDescent="0.25">
      <c r="A69" s="174" t="s">
        <v>78</v>
      </c>
      <c r="B69" s="175">
        <v>5781666.5600000005</v>
      </c>
      <c r="C69" s="175">
        <v>3384526</v>
      </c>
      <c r="D69" s="175">
        <v>1349988.05</v>
      </c>
      <c r="E69" s="175">
        <v>981563.95</v>
      </c>
      <c r="F69" s="175">
        <v>14220011.069999998</v>
      </c>
      <c r="G69" s="175">
        <v>6238579</v>
      </c>
      <c r="H69" s="175">
        <v>4908996.0799999991</v>
      </c>
      <c r="I69" s="175">
        <v>3072451.92</v>
      </c>
      <c r="J69" s="175">
        <v>0</v>
      </c>
      <c r="K69" s="175">
        <v>0</v>
      </c>
      <c r="L69" s="175">
        <v>0</v>
      </c>
      <c r="M69" s="175">
        <v>0</v>
      </c>
      <c r="O69" s="174" t="s">
        <v>78</v>
      </c>
      <c r="P69" s="175">
        <v>0</v>
      </c>
      <c r="Q69" s="175">
        <v>0</v>
      </c>
      <c r="R69" s="175">
        <v>0</v>
      </c>
      <c r="S69" s="175">
        <v>0</v>
      </c>
      <c r="T69" s="175">
        <v>0</v>
      </c>
      <c r="U69" s="175">
        <v>0</v>
      </c>
      <c r="V69" s="175">
        <v>0</v>
      </c>
      <c r="W69" s="175">
        <v>0</v>
      </c>
      <c r="X69" s="175">
        <v>0</v>
      </c>
      <c r="Y69" s="175">
        <v>0</v>
      </c>
      <c r="Z69" s="175">
        <v>0</v>
      </c>
      <c r="AA69" s="175">
        <v>0</v>
      </c>
      <c r="AB69" s="176"/>
      <c r="AC69" s="176"/>
      <c r="AD69" s="176"/>
      <c r="AE69" s="176"/>
      <c r="AF69" s="176"/>
      <c r="AG69" s="176"/>
      <c r="AH69" s="176"/>
      <c r="AI69" s="176"/>
    </row>
    <row r="70" spans="1:35" x14ac:dyDescent="0.25">
      <c r="A70" s="174" t="s">
        <v>79</v>
      </c>
      <c r="B70" s="175">
        <v>13316931.669999998</v>
      </c>
      <c r="C70" s="175">
        <v>8384163</v>
      </c>
      <c r="D70" s="175">
        <v>3167262.04</v>
      </c>
      <c r="E70" s="175">
        <v>1750568.96</v>
      </c>
      <c r="F70" s="175">
        <v>17580475.41</v>
      </c>
      <c r="G70" s="175">
        <v>3406889</v>
      </c>
      <c r="H70" s="175">
        <v>10975170.779999999</v>
      </c>
      <c r="I70" s="175">
        <v>3198422.2199999997</v>
      </c>
      <c r="J70" s="175">
        <v>0</v>
      </c>
      <c r="K70" s="175">
        <v>0</v>
      </c>
      <c r="L70" s="175">
        <v>0</v>
      </c>
      <c r="M70" s="175">
        <v>0</v>
      </c>
      <c r="O70" s="174" t="s">
        <v>79</v>
      </c>
      <c r="P70" s="175">
        <v>0</v>
      </c>
      <c r="Q70" s="175">
        <v>0</v>
      </c>
      <c r="R70" s="175">
        <v>0</v>
      </c>
      <c r="S70" s="175">
        <v>0</v>
      </c>
      <c r="T70" s="175">
        <v>0</v>
      </c>
      <c r="U70" s="175">
        <v>0</v>
      </c>
      <c r="V70" s="175">
        <v>0</v>
      </c>
      <c r="W70" s="175">
        <v>0</v>
      </c>
      <c r="X70" s="175">
        <v>0</v>
      </c>
      <c r="Y70" s="175">
        <v>0</v>
      </c>
      <c r="Z70" s="175">
        <v>0</v>
      </c>
      <c r="AA70" s="175">
        <v>0</v>
      </c>
      <c r="AB70" s="176"/>
      <c r="AC70" s="176"/>
      <c r="AD70" s="176"/>
      <c r="AE70" s="176"/>
      <c r="AF70" s="176"/>
      <c r="AG70" s="176"/>
      <c r="AH70" s="176"/>
      <c r="AI70" s="176"/>
    </row>
    <row r="71" spans="1:35" x14ac:dyDescent="0.25">
      <c r="A71" s="174" t="s">
        <v>80</v>
      </c>
      <c r="B71" s="175">
        <v>13777465.860000003</v>
      </c>
      <c r="C71" s="175">
        <v>7299126</v>
      </c>
      <c r="D71" s="175">
        <v>5576685.7000000002</v>
      </c>
      <c r="E71" s="175">
        <v>876572.29999999981</v>
      </c>
      <c r="F71" s="175">
        <v>15661614.159999995</v>
      </c>
      <c r="G71" s="175">
        <v>2392196</v>
      </c>
      <c r="H71" s="175">
        <v>11715412.090000004</v>
      </c>
      <c r="I71" s="175">
        <v>1554012.91</v>
      </c>
      <c r="J71" s="175">
        <v>0</v>
      </c>
      <c r="K71" s="175">
        <v>0</v>
      </c>
      <c r="L71" s="175">
        <v>0</v>
      </c>
      <c r="M71" s="175">
        <v>0</v>
      </c>
      <c r="O71" s="174" t="s">
        <v>80</v>
      </c>
      <c r="P71" s="175">
        <v>0</v>
      </c>
      <c r="Q71" s="175">
        <v>0</v>
      </c>
      <c r="R71" s="175">
        <v>0</v>
      </c>
      <c r="S71" s="175">
        <v>0</v>
      </c>
      <c r="T71" s="175">
        <v>0</v>
      </c>
      <c r="U71" s="175">
        <v>0</v>
      </c>
      <c r="V71" s="175">
        <v>0</v>
      </c>
      <c r="W71" s="175">
        <v>0</v>
      </c>
      <c r="X71" s="175">
        <v>0</v>
      </c>
      <c r="Y71" s="175">
        <v>0</v>
      </c>
      <c r="Z71" s="175">
        <v>0</v>
      </c>
      <c r="AA71" s="175">
        <v>0</v>
      </c>
      <c r="AB71" s="176"/>
      <c r="AC71" s="176"/>
      <c r="AD71" s="176"/>
      <c r="AE71" s="176"/>
      <c r="AF71" s="176"/>
      <c r="AG71" s="176"/>
      <c r="AH71" s="176"/>
      <c r="AI71" s="176"/>
    </row>
    <row r="72" spans="1:35" x14ac:dyDescent="0.25">
      <c r="A72" s="174" t="s">
        <v>81</v>
      </c>
      <c r="B72" s="175">
        <v>9968793.6099999994</v>
      </c>
      <c r="C72" s="175">
        <v>4225224</v>
      </c>
      <c r="D72" s="175">
        <v>3437263.1400000006</v>
      </c>
      <c r="E72" s="175">
        <v>2290865.8600000003</v>
      </c>
      <c r="F72" s="175">
        <v>19292424.789999999</v>
      </c>
      <c r="G72" s="175">
        <v>7966546</v>
      </c>
      <c r="H72" s="175">
        <v>9279081.6199999973</v>
      </c>
      <c r="I72" s="175">
        <v>2046802.38</v>
      </c>
      <c r="J72" s="175">
        <v>0</v>
      </c>
      <c r="K72" s="175">
        <v>0</v>
      </c>
      <c r="L72" s="175">
        <v>0</v>
      </c>
      <c r="M72" s="175">
        <v>0</v>
      </c>
      <c r="O72" s="174" t="s">
        <v>81</v>
      </c>
      <c r="P72" s="175">
        <v>0</v>
      </c>
      <c r="Q72" s="175">
        <v>0</v>
      </c>
      <c r="R72" s="175">
        <v>0</v>
      </c>
      <c r="S72" s="175">
        <v>0</v>
      </c>
      <c r="T72" s="175">
        <v>0</v>
      </c>
      <c r="U72" s="175">
        <v>0</v>
      </c>
      <c r="V72" s="175">
        <v>0</v>
      </c>
      <c r="W72" s="175">
        <v>0</v>
      </c>
      <c r="X72" s="175">
        <v>0</v>
      </c>
      <c r="Y72" s="175">
        <v>0</v>
      </c>
      <c r="Z72" s="175">
        <v>0</v>
      </c>
      <c r="AA72" s="175">
        <v>0</v>
      </c>
      <c r="AB72" s="176"/>
      <c r="AC72" s="176"/>
      <c r="AD72" s="176"/>
      <c r="AE72" s="176"/>
      <c r="AF72" s="176"/>
      <c r="AG72" s="176"/>
      <c r="AH72" s="176"/>
      <c r="AI72" s="176"/>
    </row>
    <row r="73" spans="1:35" x14ac:dyDescent="0.25">
      <c r="A73" s="177" t="s">
        <v>59</v>
      </c>
      <c r="B73" s="178">
        <f ca="1">SUM(B61:B72)</f>
        <v>101456802.71000001</v>
      </c>
      <c r="C73" s="178">
        <f t="shared" ref="C73:M73" ca="1" si="6">SUM(C61:C72)</f>
        <v>68760045</v>
      </c>
      <c r="D73" s="178">
        <f t="shared" ca="1" si="6"/>
        <v>24374857.27</v>
      </c>
      <c r="E73" s="178">
        <f t="shared" ca="1" si="6"/>
        <v>8012441.7300000004</v>
      </c>
      <c r="F73" s="178">
        <f t="shared" ca="1" si="6"/>
        <v>149141201.26999998</v>
      </c>
      <c r="G73" s="178">
        <f t="shared" ca="1" si="6"/>
        <v>77283361</v>
      </c>
      <c r="H73" s="178">
        <f t="shared" ca="1" si="6"/>
        <v>53435275.199999996</v>
      </c>
      <c r="I73" s="178">
        <f t="shared" ca="1" si="6"/>
        <v>18422592.800000001</v>
      </c>
      <c r="J73" s="178">
        <f t="shared" ca="1" si="6"/>
        <v>0</v>
      </c>
      <c r="K73" s="178">
        <f t="shared" ca="1" si="6"/>
        <v>0</v>
      </c>
      <c r="L73" s="178">
        <f t="shared" ca="1" si="6"/>
        <v>0</v>
      </c>
      <c r="M73" s="178">
        <f t="shared" ca="1" si="6"/>
        <v>0</v>
      </c>
      <c r="O73" s="177" t="s">
        <v>59</v>
      </c>
      <c r="P73" s="178">
        <f ca="1">SUM(P61:P72)</f>
        <v>38327497.839999989</v>
      </c>
      <c r="Q73" s="178">
        <f t="shared" ref="Q73:AA73" ca="1" si="7">SUM(Q61:Q72)</f>
        <v>9337273</v>
      </c>
      <c r="R73" s="178">
        <f t="shared" ca="1" si="7"/>
        <v>18351282.310000002</v>
      </c>
      <c r="S73" s="178">
        <f t="shared" ca="1" si="7"/>
        <v>10303729.689999999</v>
      </c>
      <c r="T73" s="178">
        <f t="shared" ca="1" si="7"/>
        <v>44929824.330000006</v>
      </c>
      <c r="U73" s="178">
        <f t="shared" ca="1" si="7"/>
        <v>8339300</v>
      </c>
      <c r="V73" s="178">
        <f t="shared" ca="1" si="7"/>
        <v>28257857.540000003</v>
      </c>
      <c r="W73" s="178">
        <f t="shared" ca="1" si="7"/>
        <v>8332694.46</v>
      </c>
      <c r="X73" s="178">
        <f t="shared" ca="1" si="7"/>
        <v>73450</v>
      </c>
      <c r="Y73" s="178">
        <f t="shared" ca="1" si="7"/>
        <v>0</v>
      </c>
      <c r="Z73" s="178">
        <f t="shared" ca="1" si="7"/>
        <v>73450</v>
      </c>
      <c r="AA73" s="178">
        <f t="shared" ca="1" si="7"/>
        <v>0</v>
      </c>
      <c r="AB73" s="176"/>
      <c r="AC73" s="176"/>
      <c r="AD73" s="176"/>
      <c r="AE73" s="176"/>
      <c r="AF73" s="176"/>
      <c r="AG73" s="176"/>
      <c r="AH73" s="176"/>
      <c r="AI73" s="176"/>
    </row>
    <row r="74" spans="1:35" x14ac:dyDescent="0.25">
      <c r="B74" s="23">
        <f ca="1">Summary!E148</f>
        <v>250598003.97999999</v>
      </c>
      <c r="P74" s="23">
        <f ca="1">Summary!E161</f>
        <v>83330772.170000002</v>
      </c>
    </row>
    <row r="77" spans="1:35" x14ac:dyDescent="0.25">
      <c r="P77" s="168" t="s">
        <v>25</v>
      </c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</row>
    <row r="78" spans="1:35" x14ac:dyDescent="0.25">
      <c r="O78" s="170">
        <v>2026</v>
      </c>
      <c r="P78" s="171" t="s">
        <v>487</v>
      </c>
      <c r="Q78" s="172"/>
      <c r="R78" s="172"/>
      <c r="S78" s="173"/>
      <c r="T78" s="171" t="s">
        <v>488</v>
      </c>
      <c r="U78" s="172"/>
      <c r="V78" s="172"/>
      <c r="W78" s="173"/>
      <c r="X78" s="171" t="s">
        <v>489</v>
      </c>
      <c r="Y78" s="172"/>
      <c r="Z78" s="172"/>
      <c r="AA78" s="173"/>
    </row>
    <row r="79" spans="1:35" x14ac:dyDescent="0.25">
      <c r="O79" s="170" t="s">
        <v>282</v>
      </c>
      <c r="P79" s="170" t="s">
        <v>490</v>
      </c>
      <c r="Q79" s="170" t="s">
        <v>491</v>
      </c>
      <c r="R79" s="170" t="s">
        <v>492</v>
      </c>
      <c r="S79" s="170" t="s">
        <v>493</v>
      </c>
      <c r="T79" s="170" t="s">
        <v>490</v>
      </c>
      <c r="U79" s="170" t="s">
        <v>491</v>
      </c>
      <c r="V79" s="170" t="s">
        <v>492</v>
      </c>
      <c r="W79" s="170" t="s">
        <v>493</v>
      </c>
      <c r="X79" s="170" t="s">
        <v>490</v>
      </c>
      <c r="Y79" s="170" t="s">
        <v>491</v>
      </c>
      <c r="Z79" s="170" t="s">
        <v>492</v>
      </c>
      <c r="AA79" s="170" t="s">
        <v>493</v>
      </c>
    </row>
    <row r="80" spans="1:35" x14ac:dyDescent="0.25">
      <c r="O80" s="174" t="s">
        <v>70</v>
      </c>
      <c r="P80" s="175">
        <v>834233.28</v>
      </c>
      <c r="Q80" s="175">
        <v>834234</v>
      </c>
      <c r="R80" s="175">
        <v>0</v>
      </c>
      <c r="S80" s="175">
        <v>-1</v>
      </c>
      <c r="T80" s="175">
        <v>0</v>
      </c>
      <c r="U80" s="175">
        <v>0</v>
      </c>
      <c r="V80" s="175">
        <v>0</v>
      </c>
      <c r="W80" s="175">
        <v>0</v>
      </c>
      <c r="X80" s="175">
        <v>0</v>
      </c>
      <c r="Y80" s="175">
        <v>0</v>
      </c>
      <c r="Z80" s="175">
        <v>0</v>
      </c>
      <c r="AA80" s="175">
        <v>0</v>
      </c>
    </row>
    <row r="81" spans="15:27" x14ac:dyDescent="0.25">
      <c r="O81" s="174" t="s">
        <v>71</v>
      </c>
      <c r="P81" s="175">
        <v>560260.48</v>
      </c>
      <c r="Q81" s="175">
        <v>560261</v>
      </c>
      <c r="R81" s="175">
        <v>0</v>
      </c>
      <c r="S81" s="175">
        <v>-1</v>
      </c>
      <c r="T81" s="175">
        <v>0</v>
      </c>
      <c r="U81" s="175">
        <v>0</v>
      </c>
      <c r="V81" s="175">
        <v>0</v>
      </c>
      <c r="W81" s="175">
        <v>0</v>
      </c>
      <c r="X81" s="175">
        <v>0</v>
      </c>
      <c r="Y81" s="175">
        <v>0</v>
      </c>
      <c r="Z81" s="175">
        <v>0</v>
      </c>
      <c r="AA81" s="175">
        <v>0</v>
      </c>
    </row>
    <row r="82" spans="15:27" x14ac:dyDescent="0.25">
      <c r="O82" s="174" t="s">
        <v>72</v>
      </c>
      <c r="P82" s="175">
        <v>51415</v>
      </c>
      <c r="Q82" s="175">
        <v>51415</v>
      </c>
      <c r="R82" s="175">
        <v>0</v>
      </c>
      <c r="S82" s="175">
        <v>0</v>
      </c>
      <c r="T82" s="175">
        <v>0</v>
      </c>
      <c r="U82" s="175">
        <v>0</v>
      </c>
      <c r="V82" s="175">
        <v>0</v>
      </c>
      <c r="W82" s="175">
        <v>0</v>
      </c>
      <c r="X82" s="175">
        <v>0</v>
      </c>
      <c r="Y82" s="175">
        <v>0</v>
      </c>
      <c r="Z82" s="175">
        <v>0</v>
      </c>
      <c r="AA82" s="175">
        <v>0</v>
      </c>
    </row>
    <row r="83" spans="15:27" x14ac:dyDescent="0.25">
      <c r="O83" s="174" t="s">
        <v>73</v>
      </c>
      <c r="P83" s="175">
        <v>35647994.039999999</v>
      </c>
      <c r="Q83" s="175">
        <v>35440778</v>
      </c>
      <c r="R83" s="175">
        <v>46891.479999999981</v>
      </c>
      <c r="S83" s="175">
        <v>157318.52000000002</v>
      </c>
      <c r="T83" s="175">
        <v>40897238.560000002</v>
      </c>
      <c r="U83" s="175">
        <v>37160861</v>
      </c>
      <c r="V83" s="175">
        <v>1492575.1</v>
      </c>
      <c r="W83" s="175">
        <v>2243793.9</v>
      </c>
      <c r="X83" s="175">
        <v>4000</v>
      </c>
      <c r="Y83" s="175">
        <v>4000</v>
      </c>
      <c r="Z83" s="175">
        <v>0</v>
      </c>
      <c r="AA83" s="175">
        <v>0</v>
      </c>
    </row>
    <row r="84" spans="15:27" x14ac:dyDescent="0.25">
      <c r="O84" s="174" t="s">
        <v>74</v>
      </c>
      <c r="P84" s="175">
        <v>5692972.9299999997</v>
      </c>
      <c r="Q84" s="175">
        <v>5551048</v>
      </c>
      <c r="R84" s="175">
        <v>0.3000000000174623</v>
      </c>
      <c r="S84" s="175">
        <v>139920.69999999998</v>
      </c>
      <c r="T84" s="175">
        <v>10300201.560000002</v>
      </c>
      <c r="U84" s="175">
        <v>10052322</v>
      </c>
      <c r="V84" s="175">
        <v>2.9103830456733704E-11</v>
      </c>
      <c r="W84" s="175">
        <v>247878.99999999997</v>
      </c>
      <c r="X84" s="175">
        <v>0</v>
      </c>
      <c r="Y84" s="175">
        <v>0</v>
      </c>
      <c r="Z84" s="175">
        <v>0</v>
      </c>
      <c r="AA84" s="175">
        <v>0</v>
      </c>
    </row>
    <row r="85" spans="15:27" x14ac:dyDescent="0.25">
      <c r="O85" s="174" t="s">
        <v>75</v>
      </c>
      <c r="P85" s="175">
        <v>0</v>
      </c>
      <c r="Q85" s="175">
        <v>0</v>
      </c>
      <c r="R85" s="175">
        <v>0</v>
      </c>
      <c r="S85" s="175">
        <v>0</v>
      </c>
      <c r="T85" s="175">
        <v>0</v>
      </c>
      <c r="U85" s="175">
        <v>0</v>
      </c>
      <c r="V85" s="175">
        <v>0</v>
      </c>
      <c r="W85" s="175">
        <v>0</v>
      </c>
      <c r="X85" s="175">
        <v>0</v>
      </c>
      <c r="Y85" s="175">
        <v>0</v>
      </c>
      <c r="Z85" s="175">
        <v>0</v>
      </c>
      <c r="AA85" s="175">
        <v>0</v>
      </c>
    </row>
    <row r="86" spans="15:27" x14ac:dyDescent="0.25">
      <c r="O86" s="174" t="s">
        <v>76</v>
      </c>
      <c r="P86" s="175">
        <v>0</v>
      </c>
      <c r="Q86" s="175">
        <v>0</v>
      </c>
      <c r="R86" s="175">
        <v>0</v>
      </c>
      <c r="S86" s="175">
        <v>0</v>
      </c>
      <c r="T86" s="175">
        <v>0</v>
      </c>
      <c r="U86" s="175">
        <v>0</v>
      </c>
      <c r="V86" s="175">
        <v>0</v>
      </c>
      <c r="W86" s="175">
        <v>0</v>
      </c>
      <c r="X86" s="175">
        <v>0</v>
      </c>
      <c r="Y86" s="175">
        <v>0</v>
      </c>
      <c r="Z86" s="175">
        <v>0</v>
      </c>
      <c r="AA86" s="175">
        <v>0</v>
      </c>
    </row>
    <row r="87" spans="15:27" x14ac:dyDescent="0.25">
      <c r="O87" s="174" t="s">
        <v>77</v>
      </c>
      <c r="P87" s="175">
        <v>0</v>
      </c>
      <c r="Q87" s="175">
        <v>0</v>
      </c>
      <c r="R87" s="175">
        <v>0</v>
      </c>
      <c r="S87" s="175">
        <v>0</v>
      </c>
      <c r="T87" s="175">
        <v>0</v>
      </c>
      <c r="U87" s="175">
        <v>0</v>
      </c>
      <c r="V87" s="175">
        <v>0</v>
      </c>
      <c r="W87" s="175">
        <v>0</v>
      </c>
      <c r="X87" s="175">
        <v>0</v>
      </c>
      <c r="Y87" s="175">
        <v>0</v>
      </c>
      <c r="Z87" s="175">
        <v>0</v>
      </c>
      <c r="AA87" s="175">
        <v>0</v>
      </c>
    </row>
    <row r="88" spans="15:27" x14ac:dyDescent="0.25">
      <c r="O88" s="174" t="s">
        <v>78</v>
      </c>
      <c r="P88" s="175">
        <v>0</v>
      </c>
      <c r="Q88" s="175">
        <v>0</v>
      </c>
      <c r="R88" s="175">
        <v>0</v>
      </c>
      <c r="S88" s="175">
        <v>0</v>
      </c>
      <c r="T88" s="175">
        <v>0</v>
      </c>
      <c r="U88" s="175">
        <v>0</v>
      </c>
      <c r="V88" s="175">
        <v>0</v>
      </c>
      <c r="W88" s="175">
        <v>0</v>
      </c>
      <c r="X88" s="175">
        <v>0</v>
      </c>
      <c r="Y88" s="175">
        <v>0</v>
      </c>
      <c r="Z88" s="175">
        <v>0</v>
      </c>
      <c r="AA88" s="175">
        <v>0</v>
      </c>
    </row>
    <row r="89" spans="15:27" x14ac:dyDescent="0.25">
      <c r="O89" s="174" t="s">
        <v>79</v>
      </c>
      <c r="P89" s="175">
        <v>0</v>
      </c>
      <c r="Q89" s="175">
        <v>0</v>
      </c>
      <c r="R89" s="175">
        <v>0</v>
      </c>
      <c r="S89" s="175">
        <v>0</v>
      </c>
      <c r="T89" s="175">
        <v>0</v>
      </c>
      <c r="U89" s="175">
        <v>0</v>
      </c>
      <c r="V89" s="175">
        <v>0</v>
      </c>
      <c r="W89" s="175">
        <v>0</v>
      </c>
      <c r="X89" s="175">
        <v>0</v>
      </c>
      <c r="Y89" s="175">
        <v>0</v>
      </c>
      <c r="Z89" s="175">
        <v>0</v>
      </c>
      <c r="AA89" s="175">
        <v>0</v>
      </c>
    </row>
    <row r="90" spans="15:27" x14ac:dyDescent="0.25">
      <c r="O90" s="174" t="s">
        <v>80</v>
      </c>
      <c r="P90" s="175">
        <v>0</v>
      </c>
      <c r="Q90" s="175">
        <v>0</v>
      </c>
      <c r="R90" s="175">
        <v>0</v>
      </c>
      <c r="S90" s="175">
        <v>0</v>
      </c>
      <c r="T90" s="175">
        <v>0</v>
      </c>
      <c r="U90" s="175">
        <v>0</v>
      </c>
      <c r="V90" s="175">
        <v>0</v>
      </c>
      <c r="W90" s="175">
        <v>0</v>
      </c>
      <c r="X90" s="175">
        <v>0</v>
      </c>
      <c r="Y90" s="175">
        <v>0</v>
      </c>
      <c r="Z90" s="175">
        <v>0</v>
      </c>
      <c r="AA90" s="175">
        <v>0</v>
      </c>
    </row>
    <row r="91" spans="15:27" x14ac:dyDescent="0.25">
      <c r="O91" s="174" t="s">
        <v>81</v>
      </c>
      <c r="P91" s="175">
        <v>0</v>
      </c>
      <c r="Q91" s="175">
        <v>0</v>
      </c>
      <c r="R91" s="175">
        <v>0</v>
      </c>
      <c r="S91" s="175">
        <v>0</v>
      </c>
      <c r="T91" s="175">
        <v>0</v>
      </c>
      <c r="U91" s="175">
        <v>0</v>
      </c>
      <c r="V91" s="175">
        <v>0</v>
      </c>
      <c r="W91" s="175">
        <v>0</v>
      </c>
      <c r="X91" s="175">
        <v>0</v>
      </c>
      <c r="Y91" s="175">
        <v>0</v>
      </c>
      <c r="Z91" s="175">
        <v>0</v>
      </c>
      <c r="AA91" s="175">
        <v>0</v>
      </c>
    </row>
    <row r="92" spans="15:27" x14ac:dyDescent="0.25">
      <c r="O92" s="177" t="s">
        <v>59</v>
      </c>
      <c r="P92" s="178">
        <f ca="1">SUM(P80:P91)</f>
        <v>42786875.729999997</v>
      </c>
      <c r="Q92" s="178">
        <f t="shared" ref="Q92:AA92" ca="1" si="8">SUM(Q80:Q91)</f>
        <v>42437736</v>
      </c>
      <c r="R92" s="178">
        <f t="shared" ca="1" si="8"/>
        <v>46891.78</v>
      </c>
      <c r="S92" s="178">
        <f t="shared" ca="1" si="8"/>
        <v>297237.21999999997</v>
      </c>
      <c r="T92" s="178">
        <f t="shared" ca="1" si="8"/>
        <v>51197440.120000005</v>
      </c>
      <c r="U92" s="178">
        <f t="shared" ca="1" si="8"/>
        <v>47213183</v>
      </c>
      <c r="V92" s="178">
        <f t="shared" ca="1" si="8"/>
        <v>1492575.1</v>
      </c>
      <c r="W92" s="178">
        <f t="shared" ca="1" si="8"/>
        <v>2491672.9</v>
      </c>
      <c r="X92" s="178">
        <f t="shared" ca="1" si="8"/>
        <v>4000</v>
      </c>
      <c r="Y92" s="178">
        <f t="shared" ca="1" si="8"/>
        <v>4000</v>
      </c>
      <c r="Z92" s="178">
        <f t="shared" ca="1" si="8"/>
        <v>0</v>
      </c>
      <c r="AA92" s="178">
        <f t="shared" ca="1" si="8"/>
        <v>0</v>
      </c>
    </row>
    <row r="93" spans="15:27" x14ac:dyDescent="0.25">
      <c r="P93" s="23">
        <f ca="1">Summary!E202</f>
        <v>93988315.850000024</v>
      </c>
    </row>
  </sheetData>
  <mergeCells count="36">
    <mergeCell ref="P77:AA77"/>
    <mergeCell ref="P78:S78"/>
    <mergeCell ref="T78:W78"/>
    <mergeCell ref="X78:AA78"/>
    <mergeCell ref="B58:M58"/>
    <mergeCell ref="P58:AA58"/>
    <mergeCell ref="B59:E59"/>
    <mergeCell ref="F59:I59"/>
    <mergeCell ref="J59:M59"/>
    <mergeCell ref="P59:S59"/>
    <mergeCell ref="T59:W59"/>
    <mergeCell ref="X59:AA59"/>
    <mergeCell ref="B39:M39"/>
    <mergeCell ref="P39:AA39"/>
    <mergeCell ref="B40:E40"/>
    <mergeCell ref="F40:I40"/>
    <mergeCell ref="J40:M40"/>
    <mergeCell ref="P40:S40"/>
    <mergeCell ref="T40:W40"/>
    <mergeCell ref="X40:AA40"/>
    <mergeCell ref="B20:M20"/>
    <mergeCell ref="P20:AA20"/>
    <mergeCell ref="B21:E21"/>
    <mergeCell ref="F21:I21"/>
    <mergeCell ref="J21:M21"/>
    <mergeCell ref="P21:S21"/>
    <mergeCell ref="T21:W21"/>
    <mergeCell ref="X21:AA21"/>
    <mergeCell ref="B1:M1"/>
    <mergeCell ref="P1:AA1"/>
    <mergeCell ref="B2:E2"/>
    <mergeCell ref="F2:I2"/>
    <mergeCell ref="J2:M2"/>
    <mergeCell ref="P2:S2"/>
    <mergeCell ref="T2:W2"/>
    <mergeCell ref="X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Dues Qrtwise</vt:lpstr>
      <vt:lpstr>Dues summary</vt:lpstr>
      <vt:lpstr>Dues summary SOBHA</vt:lpstr>
      <vt:lpstr>Dues summary Siniya-UAQ</vt:lpstr>
      <vt:lpstr>Nationality </vt:lpstr>
      <vt:lpstr>Corporate-Escrow</vt:lpstr>
      <vt:lpstr>'Dues Qrtwise'!Print_Area</vt:lpstr>
      <vt:lpstr>'Dues summary'!Print_Area</vt:lpstr>
      <vt:lpstr>'Dues summary Siniya-UAQ'!Print_Area</vt:lpstr>
      <vt:lpstr>'Dues summary SOBHA'!Print_Area</vt:lpstr>
      <vt:lpstr>'Nationality 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Panneer Selvam</dc:creator>
  <cp:lastModifiedBy>Prasad Panneer Selvam</cp:lastModifiedBy>
  <dcterms:created xsi:type="dcterms:W3CDTF">2026-05-08T07:37:32Z</dcterms:created>
  <dcterms:modified xsi:type="dcterms:W3CDTF">2026-05-08T07:38:44Z</dcterms:modified>
</cp:coreProperties>
</file>