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yanuj.deka\AppData\Local\Microsoft\Olk\Attachments\ooa-2de4070c-98f4-4dd8-bb34-62fff0b6a1a2\261c37d43ba3c54ceaaf60a6bd0641727d7bc8f15947cac225325b9280e4cfe2\"/>
    </mc:Choice>
  </mc:AlternateContent>
  <xr:revisionPtr revIDLastSave="0" documentId="8_{4808825E-9530-409E-84A3-E59303D3BB62}" xr6:coauthVersionLast="47" xr6:coauthVersionMax="47" xr10:uidLastSave="{00000000-0000-0000-0000-000000000000}"/>
  <bookViews>
    <workbookView xWindow="28680" yWindow="-120" windowWidth="29040" windowHeight="15720" xr2:uid="{2A1CDD3D-2232-4195-B7C2-EE0C000651D0}"/>
  </bookViews>
  <sheets>
    <sheet name="consolidated tracker" sheetId="1" r:id="rId1"/>
    <sheet name="consolidated - Offplan" sheetId="2" r:id="rId2"/>
    <sheet name="Sobha - consolidated tracker " sheetId="3" r:id="rId3"/>
    <sheet name="Sobha - consolidated - Offplan" sheetId="4" r:id="rId4"/>
    <sheet name="Siniya - consolidated tracker" sheetId="5" r:id="rId5"/>
    <sheet name="Down town UAQ" sheetId="6" r:id="rId6"/>
    <sheet name="Sobha AUH" sheetId="7" r:id="rId7"/>
    <sheet name="Overdue-1" sheetId="8" r:id="rId8"/>
    <sheet name="A1" sheetId="9" r:id="rId9"/>
    <sheet name="A2" sheetId="10" r:id="rId10"/>
    <sheet name="A3" sheetId="11" r:id="rId11"/>
    <sheet name="A4" sheetId="12" r:id="rId12"/>
    <sheet name="A5" sheetId="13" r:id="rId13"/>
    <sheet name="A6" sheetId="14" r:id="rId14"/>
    <sheet name="Overdue-2" sheetId="15" r:id="rId15"/>
    <sheet name="B1" sheetId="16" r:id="rId16"/>
    <sheet name="B2" sheetId="17" r:id="rId17"/>
    <sheet name="B3" sheetId="18" r:id="rId18"/>
    <sheet name="B4" sheetId="19" r:id="rId19"/>
    <sheet name="B5" sheetId="20" r:id="rId20"/>
    <sheet name="B6" sheetId="21" r:id="rId21"/>
    <sheet name="Overdue-Booking" sheetId="22" r:id="rId22"/>
    <sheet name="C1" sheetId="23" r:id="rId23"/>
    <sheet name="C2" sheetId="24" r:id="rId24"/>
    <sheet name="C3" sheetId="25" r:id="rId25"/>
    <sheet name="C4" sheetId="26" r:id="rId26"/>
    <sheet name="C5" sheetId="27" r:id="rId27"/>
    <sheet name="C6" sheetId="28" r:id="rId28"/>
  </sheets>
  <definedNames>
    <definedName name="_xlnm._FilterDatabase" localSheetId="15" hidden="1">'B1'!#REF!</definedName>
    <definedName name="_xlnm._FilterDatabase" localSheetId="22" hidden="1">'C1'!$B$7:$M$204</definedName>
    <definedName name="_xlnm._FilterDatabase" localSheetId="23" hidden="1">'C2'!$K$7:$N$7</definedName>
    <definedName name="_xlnm._FilterDatabase" localSheetId="24" hidden="1">'C3'!$L$7:$N$7</definedName>
    <definedName name="_xlnm._FilterDatabase" localSheetId="25" hidden="1">'C4'!$K$7:$O$204</definedName>
    <definedName name="_xlnm._FilterDatabase" localSheetId="26" hidden="1">'C5'!$B$6:$N$204</definedName>
    <definedName name="_xlnm._FilterDatabase" localSheetId="27" hidden="1">'C6'!$B$7:$N$7</definedName>
    <definedName name="_xlnm._FilterDatabase" localSheetId="1" hidden="1">'consolidated - Offplan'!$C$3:$Y$3</definedName>
    <definedName name="_xlnm._FilterDatabase" localSheetId="0" hidden="1">'consolidated tracker'!$A$3:$Y$233</definedName>
    <definedName name="_xlnm._FilterDatabase" localSheetId="5" hidden="1">'Down town UAQ'!$A$3:$AW$13</definedName>
    <definedName name="_xlnm._FilterDatabase" localSheetId="14" hidden="1">'Overdue-2'!$B$7:$T$204</definedName>
    <definedName name="_xlnm._FilterDatabase" localSheetId="21" hidden="1">'Overdue-Booking'!$B$5:$P$207</definedName>
    <definedName name="_xlnm._FilterDatabase" localSheetId="4" hidden="1">'Siniya - consolidated tracker'!$A$3:$AU$22</definedName>
    <definedName name="_xlnm._FilterDatabase" localSheetId="3" hidden="1">'Sobha - consolidated - Offplan'!$B$3:$N$30</definedName>
    <definedName name="_xlnm._FilterDatabase" localSheetId="2" hidden="1">'Sobha - consolidated tracker '!$A$3:$AU$42</definedName>
    <definedName name="_xlnm._FilterDatabase" localSheetId="6" hidden="1">'Sobha AUH'!$A$3:$AW$10</definedName>
    <definedName name="_xlcn.WorksheetConnection_Sheet19A1E16961" hidden="1">#REF!</definedName>
    <definedName name="Ak">#REF!</definedName>
    <definedName name="l" localSheetId="1">'consolidated - Offplan'!#REF!</definedName>
    <definedName name="l">'consolidated tracker'!#REF!</definedName>
    <definedName name="NOB">#REF!</definedName>
    <definedName name="_xlnm.Print_Area" localSheetId="8">'A1'!$B$4:$J$204</definedName>
    <definedName name="_xlnm.Print_Area" localSheetId="9">'A2'!$A$1:$J$204</definedName>
    <definedName name="_xlnm.Print_Area" localSheetId="10">'A3'!$B$4:$J$204</definedName>
    <definedName name="_xlnm.Print_Area" localSheetId="11">'A4'!$B$5:$J$204</definedName>
    <definedName name="_xlnm.Print_Area" localSheetId="12">'A5'!$B$4:$J$204</definedName>
    <definedName name="_xlnm.Print_Area" localSheetId="13">'A6'!$B$4:$J$204</definedName>
    <definedName name="_xlnm.Print_Area" localSheetId="15">'B1'!$B$4:$J$204</definedName>
    <definedName name="_xlnm.Print_Area" localSheetId="16">'B2'!$B$4:$J$204</definedName>
    <definedName name="_xlnm.Print_Area" localSheetId="17">'B3'!$B$4:$J$204</definedName>
    <definedName name="_xlnm.Print_Area" localSheetId="18">'B4'!$B$4:$J$204</definedName>
    <definedName name="_xlnm.Print_Area" localSheetId="19">'B5'!$B$4:$J$204</definedName>
    <definedName name="_xlnm.Print_Area" localSheetId="20">'B6'!$B$4:$J$204</definedName>
    <definedName name="_xlnm.Print_Area" localSheetId="22">'C1'!$B$4:$J$204</definedName>
    <definedName name="_xlnm.Print_Area" localSheetId="23">'C2'!$B$4:$J$204</definedName>
    <definedName name="_xlnm.Print_Area" localSheetId="24">'C3'!$B$4:$J$204</definedName>
    <definedName name="_xlnm.Print_Area" localSheetId="25">'C4'!$B$4:$J$204</definedName>
    <definedName name="_xlnm.Print_Area" localSheetId="26">'C5'!$B$4:$J$204</definedName>
    <definedName name="_xlnm.Print_Area" localSheetId="27">'C6'!$B$4:$J$204</definedName>
    <definedName name="_xlnm.Print_Area" localSheetId="1">'consolidated - Offplan'!$C$2:$X$169</definedName>
    <definedName name="_xlnm.Print_Area" localSheetId="0">'consolidated tracker'!$C$2:$W$239</definedName>
    <definedName name="_xlnm.Print_Area" localSheetId="5">'Down town UAQ'!$C$2:$X$14</definedName>
    <definedName name="_xlnm.Print_Area" localSheetId="7">'Overdue-1'!$B$4:$P$204</definedName>
    <definedName name="_xlnm.Print_Area" localSheetId="14">'Overdue-2'!$B$5:$P$204</definedName>
    <definedName name="_xlnm.Print_Area" localSheetId="21">'Overdue-Booking'!$B$5:$P$204</definedName>
    <definedName name="_xlnm.Print_Area" localSheetId="4">'Siniya - consolidated tracker'!$C$2:$W$23</definedName>
    <definedName name="_xlnm.Print_Area" localSheetId="3">'Sobha - consolidated - Offplan'!$A$1:$V$31</definedName>
    <definedName name="_xlnm.Print_Area" localSheetId="2">'Sobha - consolidated tracker '!$C$2:$W$66</definedName>
    <definedName name="_xlnm.Print_Area" localSheetId="6">'Sobha AUH'!$C$2:$X$11</definedName>
    <definedName name="Source">#REF!</definedName>
    <definedName name="SRCE">#REF!</definedName>
    <definedName name="Style">#REF!</definedName>
    <definedName name="TOS">#REF!</definedName>
    <definedName name="Type">#REF!</definedName>
    <definedName name="V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28" l="1"/>
  <c r="F8" i="28"/>
  <c r="G8" i="28"/>
  <c r="H8" i="28"/>
  <c r="I8" i="28"/>
  <c r="J8" i="28"/>
  <c r="E16" i="28"/>
  <c r="F16" i="28"/>
  <c r="G16" i="28"/>
  <c r="H16" i="28"/>
  <c r="I16" i="28"/>
  <c r="J16" i="28"/>
  <c r="E22" i="28"/>
  <c r="F22" i="28"/>
  <c r="G22" i="28"/>
  <c r="H22" i="28"/>
  <c r="I22" i="28"/>
  <c r="J22" i="28"/>
  <c r="E29" i="28"/>
  <c r="E41" i="28" s="1"/>
  <c r="F29" i="28"/>
  <c r="G29" i="28"/>
  <c r="H29" i="28"/>
  <c r="I29" i="28"/>
  <c r="I41" i="28" s="1"/>
  <c r="J29" i="28"/>
  <c r="J41" i="28" s="1"/>
  <c r="E34" i="28"/>
  <c r="F34" i="28"/>
  <c r="G34" i="28"/>
  <c r="H34" i="28"/>
  <c r="I34" i="28"/>
  <c r="J34" i="28"/>
  <c r="F41" i="28"/>
  <c r="G41" i="28"/>
  <c r="H41" i="28"/>
  <c r="E43" i="28"/>
  <c r="F43" i="28"/>
  <c r="F75" i="28" s="1"/>
  <c r="G43" i="28"/>
  <c r="H43" i="28"/>
  <c r="I43" i="28"/>
  <c r="J43" i="28"/>
  <c r="J75" i="28" s="1"/>
  <c r="E51" i="28"/>
  <c r="F51" i="28"/>
  <c r="G51" i="28"/>
  <c r="H51" i="28"/>
  <c r="I51" i="28"/>
  <c r="J51" i="28"/>
  <c r="E56" i="28"/>
  <c r="F56" i="28"/>
  <c r="G56" i="28"/>
  <c r="H56" i="28"/>
  <c r="I56" i="28"/>
  <c r="J56" i="28"/>
  <c r="E63" i="28"/>
  <c r="F63" i="28"/>
  <c r="G63" i="28"/>
  <c r="G75" i="28" s="1"/>
  <c r="H63" i="28"/>
  <c r="H75" i="28" s="1"/>
  <c r="I63" i="28"/>
  <c r="J63" i="28"/>
  <c r="E67" i="28"/>
  <c r="F67" i="28"/>
  <c r="G67" i="28"/>
  <c r="H67" i="28"/>
  <c r="I67" i="28"/>
  <c r="J67" i="28"/>
  <c r="E75" i="28"/>
  <c r="I75" i="28"/>
  <c r="E77" i="28"/>
  <c r="F77" i="28"/>
  <c r="G77" i="28"/>
  <c r="H77" i="28"/>
  <c r="I77" i="28"/>
  <c r="J77" i="28"/>
  <c r="E81" i="28"/>
  <c r="F81" i="28"/>
  <c r="G81" i="28"/>
  <c r="H81" i="28"/>
  <c r="I81" i="28"/>
  <c r="J81" i="28"/>
  <c r="E90" i="28"/>
  <c r="F90" i="28"/>
  <c r="G90" i="28"/>
  <c r="H90" i="28"/>
  <c r="I90" i="28"/>
  <c r="J90" i="28"/>
  <c r="E97" i="28"/>
  <c r="E108" i="28" s="1"/>
  <c r="F97" i="28"/>
  <c r="G97" i="28"/>
  <c r="H97" i="28"/>
  <c r="I97" i="28"/>
  <c r="I108" i="28" s="1"/>
  <c r="J97" i="28"/>
  <c r="J108" i="28" s="1"/>
  <c r="E102" i="28"/>
  <c r="F102" i="28"/>
  <c r="G102" i="28"/>
  <c r="H102" i="28"/>
  <c r="I102" i="28"/>
  <c r="J102" i="28"/>
  <c r="F108" i="28"/>
  <c r="G108" i="28"/>
  <c r="H108" i="28"/>
  <c r="E116" i="28"/>
  <c r="F116" i="28"/>
  <c r="G116" i="28"/>
  <c r="H116" i="28"/>
  <c r="I116" i="28"/>
  <c r="J116" i="28"/>
  <c r="E121" i="28"/>
  <c r="F121" i="28"/>
  <c r="G121" i="28"/>
  <c r="H121" i="28"/>
  <c r="I121" i="28"/>
  <c r="J121" i="28"/>
  <c r="E123" i="28"/>
  <c r="F123" i="28"/>
  <c r="G123" i="28"/>
  <c r="H123" i="28"/>
  <c r="I123" i="28"/>
  <c r="J123" i="28"/>
  <c r="E128" i="28"/>
  <c r="F128" i="28"/>
  <c r="G128" i="28"/>
  <c r="G186" i="28" s="1"/>
  <c r="H128" i="28"/>
  <c r="H186" i="28" s="1"/>
  <c r="I128" i="28"/>
  <c r="J128" i="28"/>
  <c r="E163" i="28"/>
  <c r="F163" i="28"/>
  <c r="F186" i="28" s="1"/>
  <c r="G163" i="28"/>
  <c r="H163" i="28"/>
  <c r="I163" i="28"/>
  <c r="J163" i="28"/>
  <c r="J186" i="28" s="1"/>
  <c r="E186" i="28"/>
  <c r="I186" i="28"/>
  <c r="E187" i="28"/>
  <c r="F187" i="28"/>
  <c r="G187" i="28"/>
  <c r="H187" i="28"/>
  <c r="I187" i="28"/>
  <c r="J187" i="28"/>
  <c r="E191" i="28"/>
  <c r="E196" i="28" s="1"/>
  <c r="F191" i="28"/>
  <c r="F196" i="28" s="1"/>
  <c r="G191" i="28"/>
  <c r="G196" i="28" s="1"/>
  <c r="H191" i="28"/>
  <c r="H196" i="28" s="1"/>
  <c r="I191" i="28"/>
  <c r="I196" i="28" s="1"/>
  <c r="J191" i="28"/>
  <c r="J196" i="28"/>
  <c r="E197" i="28"/>
  <c r="E203" i="28" s="1"/>
  <c r="E204" i="28" s="1"/>
  <c r="F197" i="28"/>
  <c r="F203" i="28" s="1"/>
  <c r="G197" i="28"/>
  <c r="G203" i="28" s="1"/>
  <c r="H197" i="28"/>
  <c r="H203" i="28" s="1"/>
  <c r="I197" i="28"/>
  <c r="I203" i="28" s="1"/>
  <c r="J197" i="28"/>
  <c r="J203" i="28" s="1"/>
  <c r="E8" i="27"/>
  <c r="E41" i="27" s="1"/>
  <c r="F8" i="27"/>
  <c r="G8" i="27"/>
  <c r="H8" i="27"/>
  <c r="I8" i="27"/>
  <c r="I41" i="27" s="1"/>
  <c r="J8" i="27"/>
  <c r="J41" i="27" s="1"/>
  <c r="E16" i="27"/>
  <c r="F16" i="27"/>
  <c r="G16" i="27"/>
  <c r="H16" i="27"/>
  <c r="I16" i="27"/>
  <c r="J16" i="27"/>
  <c r="E22" i="27"/>
  <c r="F22" i="27"/>
  <c r="G22" i="27"/>
  <c r="H22" i="27"/>
  <c r="I22" i="27"/>
  <c r="J22" i="27"/>
  <c r="E29" i="27"/>
  <c r="F29" i="27"/>
  <c r="F41" i="27" s="1"/>
  <c r="G29" i="27"/>
  <c r="G41" i="27" s="1"/>
  <c r="H29" i="27"/>
  <c r="I29" i="27"/>
  <c r="J29" i="27"/>
  <c r="E34" i="27"/>
  <c r="F34" i="27"/>
  <c r="G34" i="27"/>
  <c r="H34" i="27"/>
  <c r="I34" i="27"/>
  <c r="J34" i="27"/>
  <c r="H41" i="27"/>
  <c r="E43" i="27"/>
  <c r="F43" i="27"/>
  <c r="G43" i="27"/>
  <c r="H43" i="27"/>
  <c r="I43" i="27"/>
  <c r="J43" i="27"/>
  <c r="J75" i="27" s="1"/>
  <c r="E51" i="27"/>
  <c r="F51" i="27"/>
  <c r="G51" i="27"/>
  <c r="H51" i="27"/>
  <c r="I51" i="27"/>
  <c r="J51" i="27"/>
  <c r="E56" i="27"/>
  <c r="F56" i="27"/>
  <c r="G56" i="27"/>
  <c r="H56" i="27"/>
  <c r="I56" i="27"/>
  <c r="I75" i="27" s="1"/>
  <c r="J56" i="27"/>
  <c r="E63" i="27"/>
  <c r="F63" i="27"/>
  <c r="G63" i="27"/>
  <c r="H63" i="27"/>
  <c r="H75" i="27" s="1"/>
  <c r="I63" i="27"/>
  <c r="J63" i="27"/>
  <c r="E67" i="27"/>
  <c r="F67" i="27"/>
  <c r="G67" i="27"/>
  <c r="H67" i="27"/>
  <c r="I67" i="27"/>
  <c r="J67" i="27"/>
  <c r="E75" i="27"/>
  <c r="F75" i="27"/>
  <c r="G75" i="27"/>
  <c r="E77" i="27"/>
  <c r="F77" i="27"/>
  <c r="G77" i="27"/>
  <c r="H77" i="27"/>
  <c r="I77" i="27"/>
  <c r="J77" i="27"/>
  <c r="E81" i="27"/>
  <c r="F81" i="27"/>
  <c r="G81" i="27"/>
  <c r="H81" i="27"/>
  <c r="I81" i="27"/>
  <c r="J81" i="27"/>
  <c r="E90" i="27"/>
  <c r="F90" i="27"/>
  <c r="G90" i="27"/>
  <c r="H90" i="27"/>
  <c r="I90" i="27"/>
  <c r="J90" i="27"/>
  <c r="E97" i="27"/>
  <c r="F97" i="27"/>
  <c r="F108" i="27" s="1"/>
  <c r="G97" i="27"/>
  <c r="G108" i="27" s="1"/>
  <c r="H97" i="27"/>
  <c r="I97" i="27"/>
  <c r="J97" i="27"/>
  <c r="E102" i="27"/>
  <c r="E108" i="27" s="1"/>
  <c r="F102" i="27"/>
  <c r="G102" i="27"/>
  <c r="H102" i="27"/>
  <c r="I102" i="27"/>
  <c r="I108" i="27" s="1"/>
  <c r="J102" i="27"/>
  <c r="J108" i="27" s="1"/>
  <c r="H108" i="27"/>
  <c r="E116" i="27"/>
  <c r="F116" i="27"/>
  <c r="G116" i="27"/>
  <c r="H116" i="27"/>
  <c r="I116" i="27"/>
  <c r="J116" i="27"/>
  <c r="E121" i="27"/>
  <c r="F121" i="27"/>
  <c r="G121" i="27"/>
  <c r="H121" i="27"/>
  <c r="I121" i="27"/>
  <c r="J121" i="27"/>
  <c r="E123" i="27"/>
  <c r="F123" i="27"/>
  <c r="G123" i="27"/>
  <c r="H123" i="27"/>
  <c r="I123" i="27"/>
  <c r="J123" i="27"/>
  <c r="E128" i="27"/>
  <c r="F128" i="27"/>
  <c r="G128" i="27"/>
  <c r="H128" i="27"/>
  <c r="H186" i="27" s="1"/>
  <c r="I128" i="27"/>
  <c r="I186" i="27" s="1"/>
  <c r="J128" i="27"/>
  <c r="E163" i="27"/>
  <c r="F163" i="27"/>
  <c r="G163" i="27"/>
  <c r="H163" i="27"/>
  <c r="I163" i="27"/>
  <c r="J163" i="27"/>
  <c r="J186" i="27" s="1"/>
  <c r="E186" i="27"/>
  <c r="F186" i="27"/>
  <c r="G186" i="27"/>
  <c r="E187" i="27"/>
  <c r="F187" i="27"/>
  <c r="G187" i="27"/>
  <c r="H187" i="27"/>
  <c r="I187" i="27"/>
  <c r="J187" i="27"/>
  <c r="J196" i="27" s="1"/>
  <c r="E191" i="27"/>
  <c r="E196" i="27" s="1"/>
  <c r="F191" i="27"/>
  <c r="F196" i="27" s="1"/>
  <c r="G191" i="27"/>
  <c r="G196" i="27" s="1"/>
  <c r="H191" i="27"/>
  <c r="H196" i="27" s="1"/>
  <c r="I191" i="27"/>
  <c r="I196" i="27" s="1"/>
  <c r="J191" i="27"/>
  <c r="E197" i="27"/>
  <c r="E203" i="27" s="1"/>
  <c r="F197" i="27"/>
  <c r="F203" i="27" s="1"/>
  <c r="G197" i="27"/>
  <c r="G203" i="27" s="1"/>
  <c r="H197" i="27"/>
  <c r="H203" i="27" s="1"/>
  <c r="I197" i="27"/>
  <c r="J197" i="27"/>
  <c r="I203" i="27"/>
  <c r="J203" i="27"/>
  <c r="E8" i="26"/>
  <c r="F8" i="26"/>
  <c r="G8" i="26"/>
  <c r="H8" i="26"/>
  <c r="I8" i="26"/>
  <c r="I41" i="26" s="1"/>
  <c r="J8" i="26"/>
  <c r="J41" i="26" s="1"/>
  <c r="E16" i="26"/>
  <c r="F16" i="26"/>
  <c r="G16" i="26"/>
  <c r="H16" i="26"/>
  <c r="I16" i="26"/>
  <c r="J16" i="26"/>
  <c r="E22" i="26"/>
  <c r="F22" i="26"/>
  <c r="G22" i="26"/>
  <c r="H22" i="26"/>
  <c r="I22" i="26"/>
  <c r="J22" i="26"/>
  <c r="E29" i="26"/>
  <c r="F29" i="26"/>
  <c r="G29" i="26"/>
  <c r="G41" i="26" s="1"/>
  <c r="H29" i="26"/>
  <c r="H41" i="26" s="1"/>
  <c r="I29" i="26"/>
  <c r="J29" i="26"/>
  <c r="E34" i="26"/>
  <c r="F34" i="26"/>
  <c r="G34" i="26"/>
  <c r="H34" i="26"/>
  <c r="I34" i="26"/>
  <c r="J34" i="26"/>
  <c r="E41" i="26"/>
  <c r="F41" i="26"/>
  <c r="E43" i="26"/>
  <c r="F43" i="26"/>
  <c r="G43" i="26"/>
  <c r="H43" i="26"/>
  <c r="H75" i="26" s="1"/>
  <c r="I43" i="26"/>
  <c r="I75" i="26" s="1"/>
  <c r="J43" i="26"/>
  <c r="J75" i="26" s="1"/>
  <c r="E51" i="26"/>
  <c r="F51" i="26"/>
  <c r="G51" i="26"/>
  <c r="H51" i="26"/>
  <c r="I51" i="26"/>
  <c r="J51" i="26"/>
  <c r="E56" i="26"/>
  <c r="F56" i="26"/>
  <c r="G56" i="26"/>
  <c r="H56" i="26"/>
  <c r="I56" i="26"/>
  <c r="J56" i="26"/>
  <c r="E63" i="26"/>
  <c r="E75" i="26" s="1"/>
  <c r="F63" i="26"/>
  <c r="F75" i="26" s="1"/>
  <c r="G63" i="26"/>
  <c r="H63" i="26"/>
  <c r="I63" i="26"/>
  <c r="J63" i="26"/>
  <c r="E67" i="26"/>
  <c r="F67" i="26"/>
  <c r="G67" i="26"/>
  <c r="H67" i="26"/>
  <c r="I67" i="26"/>
  <c r="J67" i="26"/>
  <c r="G75" i="26"/>
  <c r="E77" i="26"/>
  <c r="F77" i="26"/>
  <c r="G77" i="26"/>
  <c r="H77" i="26"/>
  <c r="I77" i="26"/>
  <c r="J77" i="26"/>
  <c r="E81" i="26"/>
  <c r="F81" i="26"/>
  <c r="G81" i="26"/>
  <c r="H81" i="26"/>
  <c r="I81" i="26"/>
  <c r="J81" i="26"/>
  <c r="E90" i="26"/>
  <c r="F90" i="26"/>
  <c r="G90" i="26"/>
  <c r="H90" i="26"/>
  <c r="I90" i="26"/>
  <c r="J90" i="26"/>
  <c r="E97" i="26"/>
  <c r="F97" i="26"/>
  <c r="G97" i="26"/>
  <c r="G108" i="26" s="1"/>
  <c r="H97" i="26"/>
  <c r="H108" i="26" s="1"/>
  <c r="I97" i="26"/>
  <c r="J97" i="26"/>
  <c r="E102" i="26"/>
  <c r="F102" i="26"/>
  <c r="G102" i="26"/>
  <c r="H102" i="26"/>
  <c r="I102" i="26"/>
  <c r="I108" i="26" s="1"/>
  <c r="J102" i="26"/>
  <c r="J108" i="26" s="1"/>
  <c r="E108" i="26"/>
  <c r="F108" i="26"/>
  <c r="E116" i="26"/>
  <c r="F116" i="26"/>
  <c r="G116" i="26"/>
  <c r="H116" i="26"/>
  <c r="I116" i="26"/>
  <c r="J116" i="26"/>
  <c r="E121" i="26"/>
  <c r="F121" i="26"/>
  <c r="G121" i="26"/>
  <c r="H121" i="26"/>
  <c r="I121" i="26"/>
  <c r="J121" i="26"/>
  <c r="E123" i="26"/>
  <c r="F123" i="26"/>
  <c r="G123" i="26"/>
  <c r="H123" i="26"/>
  <c r="I123" i="26"/>
  <c r="J123" i="26"/>
  <c r="E128" i="26"/>
  <c r="E186" i="26" s="1"/>
  <c r="F128" i="26"/>
  <c r="F186" i="26" s="1"/>
  <c r="G128" i="26"/>
  <c r="H128" i="26"/>
  <c r="I128" i="26"/>
  <c r="J128" i="26"/>
  <c r="E163" i="26"/>
  <c r="F163" i="26"/>
  <c r="G163" i="26"/>
  <c r="H163" i="26"/>
  <c r="H186" i="26" s="1"/>
  <c r="I163" i="26"/>
  <c r="I186" i="26" s="1"/>
  <c r="J163" i="26"/>
  <c r="J186" i="26" s="1"/>
  <c r="G186" i="26"/>
  <c r="E187" i="26"/>
  <c r="F187" i="26"/>
  <c r="G187" i="26"/>
  <c r="H187" i="26"/>
  <c r="I187" i="26"/>
  <c r="J187" i="26"/>
  <c r="E191" i="26"/>
  <c r="E196" i="26" s="1"/>
  <c r="F191" i="26"/>
  <c r="F196" i="26" s="1"/>
  <c r="G191" i="26"/>
  <c r="G196" i="26" s="1"/>
  <c r="H191" i="26"/>
  <c r="I191" i="26"/>
  <c r="J191" i="26"/>
  <c r="J196" i="26" s="1"/>
  <c r="H196" i="26"/>
  <c r="I196" i="26"/>
  <c r="E197" i="26"/>
  <c r="E203" i="26" s="1"/>
  <c r="F197" i="26"/>
  <c r="F203" i="26" s="1"/>
  <c r="G197" i="26"/>
  <c r="G203" i="26" s="1"/>
  <c r="H197" i="26"/>
  <c r="H203" i="26" s="1"/>
  <c r="I197" i="26"/>
  <c r="I203" i="26" s="1"/>
  <c r="J197" i="26"/>
  <c r="J203" i="26"/>
  <c r="E8" i="25"/>
  <c r="E41" i="25" s="1"/>
  <c r="F8" i="25"/>
  <c r="G8" i="25"/>
  <c r="G41" i="25" s="1"/>
  <c r="H8" i="25"/>
  <c r="H41" i="25" s="1"/>
  <c r="I8" i="25"/>
  <c r="I41" i="25" s="1"/>
  <c r="J8" i="25"/>
  <c r="J41" i="25" s="1"/>
  <c r="E16" i="25"/>
  <c r="F16" i="25"/>
  <c r="G16" i="25"/>
  <c r="H16" i="25"/>
  <c r="I16" i="25"/>
  <c r="J16" i="25"/>
  <c r="E22" i="25"/>
  <c r="F22" i="25"/>
  <c r="G22" i="25"/>
  <c r="H22" i="25"/>
  <c r="I22" i="25"/>
  <c r="J22" i="25"/>
  <c r="E29" i="25"/>
  <c r="F29" i="25"/>
  <c r="G29" i="25"/>
  <c r="H29" i="25"/>
  <c r="I29" i="25"/>
  <c r="J29" i="25"/>
  <c r="E34" i="25"/>
  <c r="F34" i="25"/>
  <c r="G34" i="25"/>
  <c r="H34" i="25"/>
  <c r="I34" i="25"/>
  <c r="J34" i="25"/>
  <c r="F41" i="25"/>
  <c r="E43" i="25"/>
  <c r="F43" i="25"/>
  <c r="G43" i="25"/>
  <c r="H43" i="25"/>
  <c r="H75" i="25" s="1"/>
  <c r="I43" i="25"/>
  <c r="I75" i="25" s="1"/>
  <c r="J43" i="25"/>
  <c r="J75" i="25" s="1"/>
  <c r="E51" i="25"/>
  <c r="F51" i="25"/>
  <c r="G51" i="25"/>
  <c r="H51" i="25"/>
  <c r="I51" i="25"/>
  <c r="J51" i="25"/>
  <c r="E56" i="25"/>
  <c r="E75" i="25" s="1"/>
  <c r="F56" i="25"/>
  <c r="G56" i="25"/>
  <c r="G75" i="25" s="1"/>
  <c r="H56" i="25"/>
  <c r="I56" i="25"/>
  <c r="J56" i="25"/>
  <c r="E63" i="25"/>
  <c r="F63" i="25"/>
  <c r="F75" i="25" s="1"/>
  <c r="G63" i="25"/>
  <c r="H63" i="25"/>
  <c r="I63" i="25"/>
  <c r="J63" i="25"/>
  <c r="E67" i="25"/>
  <c r="F67" i="25"/>
  <c r="G67" i="25"/>
  <c r="H67" i="25"/>
  <c r="I67" i="25"/>
  <c r="J67" i="25"/>
  <c r="E77" i="25"/>
  <c r="F77" i="25"/>
  <c r="G77" i="25"/>
  <c r="H77" i="25"/>
  <c r="I77" i="25"/>
  <c r="J77" i="25"/>
  <c r="E81" i="25"/>
  <c r="F81" i="25"/>
  <c r="G81" i="25"/>
  <c r="H81" i="25"/>
  <c r="I81" i="25"/>
  <c r="J81" i="25"/>
  <c r="E90" i="25"/>
  <c r="F90" i="25"/>
  <c r="G90" i="25"/>
  <c r="H90" i="25"/>
  <c r="I90" i="25"/>
  <c r="J90" i="25"/>
  <c r="E97" i="25"/>
  <c r="F97" i="25"/>
  <c r="G97" i="25"/>
  <c r="H97" i="25"/>
  <c r="I97" i="25"/>
  <c r="J97" i="25"/>
  <c r="E102" i="25"/>
  <c r="E108" i="25" s="1"/>
  <c r="F102" i="25"/>
  <c r="G102" i="25"/>
  <c r="G108" i="25" s="1"/>
  <c r="H102" i="25"/>
  <c r="H108" i="25" s="1"/>
  <c r="I102" i="25"/>
  <c r="I108" i="25" s="1"/>
  <c r="J102" i="25"/>
  <c r="J108" i="25" s="1"/>
  <c r="F108" i="25"/>
  <c r="E116" i="25"/>
  <c r="F116" i="25"/>
  <c r="G116" i="25"/>
  <c r="H116" i="25"/>
  <c r="I116" i="25"/>
  <c r="J116" i="25"/>
  <c r="E121" i="25"/>
  <c r="F121" i="25"/>
  <c r="G121" i="25"/>
  <c r="H121" i="25"/>
  <c r="I121" i="25"/>
  <c r="J121" i="25"/>
  <c r="E123" i="25"/>
  <c r="E186" i="25" s="1"/>
  <c r="F123" i="25"/>
  <c r="G123" i="25"/>
  <c r="H123" i="25"/>
  <c r="I123" i="25"/>
  <c r="J123" i="25"/>
  <c r="E128" i="25"/>
  <c r="F128" i="25"/>
  <c r="F186" i="25" s="1"/>
  <c r="G128" i="25"/>
  <c r="H128" i="25"/>
  <c r="I128" i="25"/>
  <c r="J128" i="25"/>
  <c r="E163" i="25"/>
  <c r="F163" i="25"/>
  <c r="G163" i="25"/>
  <c r="G186" i="25" s="1"/>
  <c r="H163" i="25"/>
  <c r="H186" i="25" s="1"/>
  <c r="I163" i="25"/>
  <c r="I186" i="25" s="1"/>
  <c r="J163" i="25"/>
  <c r="J186" i="25" s="1"/>
  <c r="E187" i="25"/>
  <c r="F187" i="25"/>
  <c r="G187" i="25"/>
  <c r="H187" i="25"/>
  <c r="I187" i="25"/>
  <c r="J187" i="25"/>
  <c r="E191" i="25"/>
  <c r="E196" i="25" s="1"/>
  <c r="F191" i="25"/>
  <c r="F196" i="25" s="1"/>
  <c r="G191" i="25"/>
  <c r="G196" i="25" s="1"/>
  <c r="H191" i="25"/>
  <c r="H196" i="25" s="1"/>
  <c r="I191" i="25"/>
  <c r="J191" i="25"/>
  <c r="I196" i="25"/>
  <c r="J196" i="25"/>
  <c r="E197" i="25"/>
  <c r="F197" i="25"/>
  <c r="F203" i="25" s="1"/>
  <c r="G197" i="25"/>
  <c r="H197" i="25"/>
  <c r="I197" i="25"/>
  <c r="I203" i="25" s="1"/>
  <c r="J197" i="25"/>
  <c r="E203" i="25"/>
  <c r="E204" i="25" s="1"/>
  <c r="G203" i="25"/>
  <c r="H203" i="25"/>
  <c r="J203" i="25"/>
  <c r="E8" i="24"/>
  <c r="F8" i="24"/>
  <c r="G8" i="24"/>
  <c r="G41" i="24" s="1"/>
  <c r="H8" i="24"/>
  <c r="H41" i="24" s="1"/>
  <c r="I8" i="24"/>
  <c r="I41" i="24" s="1"/>
  <c r="J8" i="24"/>
  <c r="E16" i="24"/>
  <c r="F16" i="24"/>
  <c r="G16" i="24"/>
  <c r="H16" i="24"/>
  <c r="I16" i="24"/>
  <c r="J16" i="24"/>
  <c r="E22" i="24"/>
  <c r="F22" i="24"/>
  <c r="G22" i="24"/>
  <c r="H22" i="24"/>
  <c r="I22" i="24"/>
  <c r="J22" i="24"/>
  <c r="E29" i="24"/>
  <c r="E41" i="24" s="1"/>
  <c r="F29" i="24"/>
  <c r="F41" i="24" s="1"/>
  <c r="G29" i="24"/>
  <c r="H29" i="24"/>
  <c r="I29" i="24"/>
  <c r="J29" i="24"/>
  <c r="E34" i="24"/>
  <c r="F34" i="24"/>
  <c r="G34" i="24"/>
  <c r="H34" i="24"/>
  <c r="I34" i="24"/>
  <c r="J34" i="24"/>
  <c r="J41" i="24"/>
  <c r="E43" i="24"/>
  <c r="F43" i="24"/>
  <c r="F75" i="24" s="1"/>
  <c r="G43" i="24"/>
  <c r="G75" i="24" s="1"/>
  <c r="H43" i="24"/>
  <c r="H75" i="24" s="1"/>
  <c r="I43" i="24"/>
  <c r="I75" i="24" s="1"/>
  <c r="J43" i="24"/>
  <c r="J75" i="24" s="1"/>
  <c r="E51" i="24"/>
  <c r="F51" i="24"/>
  <c r="G51" i="24"/>
  <c r="H51" i="24"/>
  <c r="I51" i="24"/>
  <c r="J51" i="24"/>
  <c r="E56" i="24"/>
  <c r="F56" i="24"/>
  <c r="G56" i="24"/>
  <c r="H56" i="24"/>
  <c r="I56" i="24"/>
  <c r="J56" i="24"/>
  <c r="E63" i="24"/>
  <c r="F63" i="24"/>
  <c r="G63" i="24"/>
  <c r="H63" i="24"/>
  <c r="I63" i="24"/>
  <c r="J63" i="24"/>
  <c r="E67" i="24"/>
  <c r="F67" i="24"/>
  <c r="G67" i="24"/>
  <c r="H67" i="24"/>
  <c r="I67" i="24"/>
  <c r="J67" i="24"/>
  <c r="E75" i="24"/>
  <c r="E77" i="24"/>
  <c r="F77" i="24"/>
  <c r="G77" i="24"/>
  <c r="H77" i="24"/>
  <c r="I77" i="24"/>
  <c r="J77" i="24"/>
  <c r="E81" i="24"/>
  <c r="F81" i="24"/>
  <c r="G81" i="24"/>
  <c r="H81" i="24"/>
  <c r="I81" i="24"/>
  <c r="J81" i="24"/>
  <c r="E90" i="24"/>
  <c r="F90" i="24"/>
  <c r="G90" i="24"/>
  <c r="H90" i="24"/>
  <c r="I90" i="24"/>
  <c r="J90" i="24"/>
  <c r="E97" i="24"/>
  <c r="E108" i="24" s="1"/>
  <c r="F97" i="24"/>
  <c r="F108" i="24" s="1"/>
  <c r="G97" i="24"/>
  <c r="H97" i="24"/>
  <c r="I97" i="24"/>
  <c r="J97" i="24"/>
  <c r="E102" i="24"/>
  <c r="F102" i="24"/>
  <c r="G102" i="24"/>
  <c r="G108" i="24" s="1"/>
  <c r="H102" i="24"/>
  <c r="H108" i="24" s="1"/>
  <c r="I102" i="24"/>
  <c r="I108" i="24" s="1"/>
  <c r="J102" i="24"/>
  <c r="J108" i="24"/>
  <c r="E116" i="24"/>
  <c r="F116" i="24"/>
  <c r="G116" i="24"/>
  <c r="H116" i="24"/>
  <c r="I116" i="24"/>
  <c r="J116" i="24"/>
  <c r="E121" i="24"/>
  <c r="F121" i="24"/>
  <c r="G121" i="24"/>
  <c r="H121" i="24"/>
  <c r="I121" i="24"/>
  <c r="J121" i="24"/>
  <c r="E123" i="24"/>
  <c r="F123" i="24"/>
  <c r="G123" i="24"/>
  <c r="H123" i="24"/>
  <c r="I123" i="24"/>
  <c r="J123" i="24"/>
  <c r="E128" i="24"/>
  <c r="F128" i="24"/>
  <c r="G128" i="24"/>
  <c r="H128" i="24"/>
  <c r="I128" i="24"/>
  <c r="J128" i="24"/>
  <c r="E163" i="24"/>
  <c r="F163" i="24"/>
  <c r="F186" i="24" s="1"/>
  <c r="G163" i="24"/>
  <c r="G186" i="24" s="1"/>
  <c r="H163" i="24"/>
  <c r="H186" i="24" s="1"/>
  <c r="I163" i="24"/>
  <c r="I186" i="24" s="1"/>
  <c r="J163" i="24"/>
  <c r="J186" i="24" s="1"/>
  <c r="J204" i="24" s="1"/>
  <c r="E186" i="24"/>
  <c r="E187" i="24"/>
  <c r="F187" i="24"/>
  <c r="G187" i="24"/>
  <c r="H187" i="24"/>
  <c r="I187" i="24"/>
  <c r="I196" i="24" s="1"/>
  <c r="J187" i="24"/>
  <c r="E191" i="24"/>
  <c r="E196" i="24" s="1"/>
  <c r="F191" i="24"/>
  <c r="G191" i="24"/>
  <c r="H191" i="24"/>
  <c r="H196" i="24" s="1"/>
  <c r="I191" i="24"/>
  <c r="J191" i="24"/>
  <c r="J196" i="24" s="1"/>
  <c r="F196" i="24"/>
  <c r="G196" i="24"/>
  <c r="E197" i="24"/>
  <c r="E203" i="24" s="1"/>
  <c r="F197" i="24"/>
  <c r="F203" i="24" s="1"/>
  <c r="G197" i="24"/>
  <c r="G203" i="24" s="1"/>
  <c r="G204" i="24" s="1"/>
  <c r="H197" i="24"/>
  <c r="I197" i="24"/>
  <c r="J197" i="24"/>
  <c r="H203" i="24"/>
  <c r="I203" i="24"/>
  <c r="I204" i="24" s="1"/>
  <c r="J203" i="24"/>
  <c r="E8" i="23"/>
  <c r="E41" i="23" s="1"/>
  <c r="F8" i="23"/>
  <c r="F41" i="23" s="1"/>
  <c r="G8" i="23"/>
  <c r="G41" i="23" s="1"/>
  <c r="H8" i="23"/>
  <c r="H41" i="23" s="1"/>
  <c r="I8" i="23"/>
  <c r="I41" i="23" s="1"/>
  <c r="J8" i="23"/>
  <c r="J41" i="23" s="1"/>
  <c r="E16" i="23"/>
  <c r="F16" i="23"/>
  <c r="G16" i="23"/>
  <c r="H16" i="23"/>
  <c r="I16" i="23"/>
  <c r="J16" i="23"/>
  <c r="E22" i="23"/>
  <c r="F22" i="23"/>
  <c r="G22" i="23"/>
  <c r="H22" i="23"/>
  <c r="I22" i="23"/>
  <c r="J22" i="23"/>
  <c r="E29" i="23"/>
  <c r="F29" i="23"/>
  <c r="G29" i="23"/>
  <c r="H29" i="23"/>
  <c r="I29" i="23"/>
  <c r="J29" i="23"/>
  <c r="E34" i="23"/>
  <c r="F34" i="23"/>
  <c r="G34" i="23"/>
  <c r="H34" i="23"/>
  <c r="I34" i="23"/>
  <c r="J34" i="23"/>
  <c r="E43" i="23"/>
  <c r="E75" i="23" s="1"/>
  <c r="F43" i="23"/>
  <c r="G43" i="23"/>
  <c r="G75" i="23" s="1"/>
  <c r="H43" i="23"/>
  <c r="H75" i="23" s="1"/>
  <c r="I43" i="23"/>
  <c r="J43" i="23"/>
  <c r="J75" i="23" s="1"/>
  <c r="E51" i="23"/>
  <c r="F51" i="23"/>
  <c r="G51" i="23"/>
  <c r="H51" i="23"/>
  <c r="I51" i="23"/>
  <c r="J51" i="23"/>
  <c r="E56" i="23"/>
  <c r="F56" i="23"/>
  <c r="F75" i="23" s="1"/>
  <c r="G56" i="23"/>
  <c r="H56" i="23"/>
  <c r="I56" i="23"/>
  <c r="J56" i="23"/>
  <c r="E63" i="23"/>
  <c r="F63" i="23"/>
  <c r="G63" i="23"/>
  <c r="H63" i="23"/>
  <c r="I63" i="23"/>
  <c r="J63" i="23"/>
  <c r="E67" i="23"/>
  <c r="F67" i="23"/>
  <c r="G67" i="23"/>
  <c r="H67" i="23"/>
  <c r="I67" i="23"/>
  <c r="J67" i="23"/>
  <c r="I75" i="23"/>
  <c r="E77" i="23"/>
  <c r="F77" i="23"/>
  <c r="G77" i="23"/>
  <c r="H77" i="23"/>
  <c r="I77" i="23"/>
  <c r="J77" i="23"/>
  <c r="E81" i="23"/>
  <c r="F81" i="23"/>
  <c r="G81" i="23"/>
  <c r="H81" i="23"/>
  <c r="I81" i="23"/>
  <c r="J81" i="23"/>
  <c r="E90" i="23"/>
  <c r="F90" i="23"/>
  <c r="G90" i="23"/>
  <c r="H90" i="23"/>
  <c r="I90" i="23"/>
  <c r="J90" i="23"/>
  <c r="E97" i="23"/>
  <c r="F97" i="23"/>
  <c r="G97" i="23"/>
  <c r="H97" i="23"/>
  <c r="I97" i="23"/>
  <c r="J97" i="23"/>
  <c r="E102" i="23"/>
  <c r="E108" i="23" s="1"/>
  <c r="F102" i="23"/>
  <c r="F108" i="23" s="1"/>
  <c r="G102" i="23"/>
  <c r="G108" i="23" s="1"/>
  <c r="H102" i="23"/>
  <c r="H108" i="23" s="1"/>
  <c r="I102" i="23"/>
  <c r="I108" i="23" s="1"/>
  <c r="J102" i="23"/>
  <c r="J108" i="23" s="1"/>
  <c r="E116" i="23"/>
  <c r="F116" i="23"/>
  <c r="G116" i="23"/>
  <c r="H116" i="23"/>
  <c r="I116" i="23"/>
  <c r="J116" i="23"/>
  <c r="E121" i="23"/>
  <c r="F121" i="23"/>
  <c r="G121" i="23"/>
  <c r="H121" i="23"/>
  <c r="I121" i="23"/>
  <c r="J121" i="23"/>
  <c r="E123" i="23"/>
  <c r="F123" i="23"/>
  <c r="F186" i="23" s="1"/>
  <c r="G123" i="23"/>
  <c r="H123" i="23"/>
  <c r="I123" i="23"/>
  <c r="J123" i="23"/>
  <c r="E128" i="23"/>
  <c r="F128" i="23"/>
  <c r="G128" i="23"/>
  <c r="H128" i="23"/>
  <c r="I128" i="23"/>
  <c r="J128" i="23"/>
  <c r="E163" i="23"/>
  <c r="E186" i="23" s="1"/>
  <c r="F163" i="23"/>
  <c r="G163" i="23"/>
  <c r="G186" i="23" s="1"/>
  <c r="H163" i="23"/>
  <c r="H186" i="23" s="1"/>
  <c r="I163" i="23"/>
  <c r="J163" i="23"/>
  <c r="J186" i="23" s="1"/>
  <c r="I186" i="23"/>
  <c r="E187" i="23"/>
  <c r="F187" i="23"/>
  <c r="G187" i="23"/>
  <c r="H187" i="23"/>
  <c r="I187" i="23"/>
  <c r="J187" i="23"/>
  <c r="J196" i="23" s="1"/>
  <c r="E191" i="23"/>
  <c r="E196" i="23" s="1"/>
  <c r="F191" i="23"/>
  <c r="F196" i="23" s="1"/>
  <c r="G191" i="23"/>
  <c r="H191" i="23"/>
  <c r="I191" i="23"/>
  <c r="J191" i="23"/>
  <c r="G196" i="23"/>
  <c r="H196" i="23"/>
  <c r="I196" i="23"/>
  <c r="E197" i="23"/>
  <c r="F197" i="23"/>
  <c r="G197" i="23"/>
  <c r="G203" i="23" s="1"/>
  <c r="G204" i="23" s="1"/>
  <c r="H197" i="23"/>
  <c r="I197" i="23"/>
  <c r="I203" i="23" s="1"/>
  <c r="J197" i="23"/>
  <c r="E203" i="23"/>
  <c r="F203" i="23"/>
  <c r="F204" i="23" s="1"/>
  <c r="H203" i="23"/>
  <c r="J203" i="23"/>
  <c r="E8" i="22"/>
  <c r="F8" i="22"/>
  <c r="F41" i="22" s="1"/>
  <c r="G8" i="22"/>
  <c r="G41" i="22" s="1"/>
  <c r="H8" i="22"/>
  <c r="H41" i="22" s="1"/>
  <c r="I8" i="22"/>
  <c r="I41" i="22" s="1"/>
  <c r="J8" i="22"/>
  <c r="J41" i="22" s="1"/>
  <c r="K8" i="22"/>
  <c r="L8" i="22"/>
  <c r="L41" i="22" s="1"/>
  <c r="M8" i="22"/>
  <c r="N8" i="22"/>
  <c r="N41" i="22" s="1"/>
  <c r="P8" i="22"/>
  <c r="R8" i="22" s="1"/>
  <c r="O9" i="22"/>
  <c r="O8" i="22" s="1"/>
  <c r="O41" i="22" s="1"/>
  <c r="R9" i="22"/>
  <c r="O10" i="22"/>
  <c r="R10" i="22"/>
  <c r="O11" i="22"/>
  <c r="R11" i="22"/>
  <c r="O12" i="22"/>
  <c r="R12" i="22"/>
  <c r="O13" i="22"/>
  <c r="R13" i="22"/>
  <c r="O14" i="22"/>
  <c r="R14" i="22"/>
  <c r="O15" i="22"/>
  <c r="R15" i="22"/>
  <c r="E16" i="22"/>
  <c r="F16" i="22"/>
  <c r="G16" i="22"/>
  <c r="H16" i="22"/>
  <c r="I16" i="22"/>
  <c r="J16" i="22"/>
  <c r="K16" i="22"/>
  <c r="K41" i="22" s="1"/>
  <c r="L16" i="22"/>
  <c r="M16" i="22"/>
  <c r="M41" i="22" s="1"/>
  <c r="N16" i="22"/>
  <c r="P16" i="22"/>
  <c r="R16" i="22" s="1"/>
  <c r="O17" i="22"/>
  <c r="O16" i="22" s="1"/>
  <c r="R17" i="22"/>
  <c r="O18" i="22"/>
  <c r="R18" i="22"/>
  <c r="O19" i="22"/>
  <c r="R19" i="22"/>
  <c r="O20" i="22"/>
  <c r="R20" i="22"/>
  <c r="O21" i="22"/>
  <c r="R21" i="22"/>
  <c r="E22" i="22"/>
  <c r="F22" i="22"/>
  <c r="G22" i="22"/>
  <c r="H22" i="22"/>
  <c r="I22" i="22"/>
  <c r="J22" i="22"/>
  <c r="K22" i="22"/>
  <c r="L22" i="22"/>
  <c r="M22" i="22"/>
  <c r="N22" i="22"/>
  <c r="P22" i="22"/>
  <c r="R22" i="22"/>
  <c r="O23" i="22"/>
  <c r="R23" i="22"/>
  <c r="O24" i="22"/>
  <c r="O22" i="22" s="1"/>
  <c r="R24" i="22"/>
  <c r="O25" i="22"/>
  <c r="R25" i="22"/>
  <c r="O26" i="22"/>
  <c r="R26" i="22"/>
  <c r="O27" i="22"/>
  <c r="R27" i="22"/>
  <c r="O28" i="22"/>
  <c r="R28" i="22"/>
  <c r="E29" i="22"/>
  <c r="F29" i="22"/>
  <c r="G29" i="22"/>
  <c r="H29" i="22"/>
  <c r="I29" i="22"/>
  <c r="J29" i="22"/>
  <c r="K29" i="22"/>
  <c r="L29" i="22"/>
  <c r="M29" i="22"/>
  <c r="N29" i="22"/>
  <c r="P29" i="22"/>
  <c r="R29" i="22" s="1"/>
  <c r="O30" i="22"/>
  <c r="O29" i="22" s="1"/>
  <c r="R30" i="22"/>
  <c r="O31" i="22"/>
  <c r="R31" i="22"/>
  <c r="O32" i="22"/>
  <c r="R32" i="22"/>
  <c r="O33" i="22"/>
  <c r="R33" i="22"/>
  <c r="E34" i="22"/>
  <c r="F34" i="22"/>
  <c r="G34" i="22"/>
  <c r="H34" i="22"/>
  <c r="I34" i="22"/>
  <c r="J34" i="22"/>
  <c r="K34" i="22"/>
  <c r="L34" i="22"/>
  <c r="M34" i="22"/>
  <c r="N34" i="22"/>
  <c r="P34" i="22"/>
  <c r="R34" i="22" s="1"/>
  <c r="O35" i="22"/>
  <c r="O34" i="22" s="1"/>
  <c r="R35" i="22"/>
  <c r="O36" i="22"/>
  <c r="R36" i="22"/>
  <c r="O37" i="22"/>
  <c r="R37" i="22"/>
  <c r="O38" i="22"/>
  <c r="R38" i="22"/>
  <c r="O39" i="22"/>
  <c r="R39" i="22"/>
  <c r="O40" i="22"/>
  <c r="R40" i="22"/>
  <c r="E41" i="22"/>
  <c r="R42" i="22"/>
  <c r="E43" i="22"/>
  <c r="F43" i="22"/>
  <c r="F75" i="22" s="1"/>
  <c r="G43" i="22"/>
  <c r="H43" i="22"/>
  <c r="I43" i="22"/>
  <c r="I75" i="22" s="1"/>
  <c r="J43" i="22"/>
  <c r="K43" i="22"/>
  <c r="L43" i="22"/>
  <c r="M43" i="22"/>
  <c r="N43" i="22"/>
  <c r="N75" i="22" s="1"/>
  <c r="O43" i="22"/>
  <c r="P43" i="22"/>
  <c r="R43" i="22" s="1"/>
  <c r="O44" i="22"/>
  <c r="R44" i="22"/>
  <c r="O45" i="22"/>
  <c r="R45" i="22"/>
  <c r="O46" i="22"/>
  <c r="R46" i="22"/>
  <c r="O47" i="22"/>
  <c r="R47" i="22"/>
  <c r="O48" i="22"/>
  <c r="R48" i="22"/>
  <c r="O49" i="22"/>
  <c r="R49" i="22"/>
  <c r="O50" i="22"/>
  <c r="R50" i="22"/>
  <c r="E51" i="22"/>
  <c r="F51" i="22"/>
  <c r="G51" i="22"/>
  <c r="H51" i="22"/>
  <c r="I51" i="22"/>
  <c r="J51" i="22"/>
  <c r="K51" i="22"/>
  <c r="L51" i="22"/>
  <c r="L75" i="22" s="1"/>
  <c r="M51" i="22"/>
  <c r="M75" i="22" s="1"/>
  <c r="N51" i="22"/>
  <c r="P51" i="22"/>
  <c r="R51" i="22" s="1"/>
  <c r="O52" i="22"/>
  <c r="O51" i="22" s="1"/>
  <c r="R52" i="22"/>
  <c r="O53" i="22"/>
  <c r="R53" i="22"/>
  <c r="O54" i="22"/>
  <c r="R54" i="22"/>
  <c r="O55" i="22"/>
  <c r="R55" i="22"/>
  <c r="E56" i="22"/>
  <c r="F56" i="22"/>
  <c r="G56" i="22"/>
  <c r="H56" i="22"/>
  <c r="I56" i="22"/>
  <c r="J56" i="22"/>
  <c r="K56" i="22"/>
  <c r="L56" i="22"/>
  <c r="M56" i="22"/>
  <c r="N56" i="22"/>
  <c r="O56" i="22"/>
  <c r="P56" i="22"/>
  <c r="R56" i="22" s="1"/>
  <c r="O57" i="22"/>
  <c r="R57" i="22"/>
  <c r="O58" i="22"/>
  <c r="R58" i="22"/>
  <c r="O59" i="22"/>
  <c r="R59" i="22"/>
  <c r="O60" i="22"/>
  <c r="R60" i="22"/>
  <c r="O61" i="22"/>
  <c r="R61" i="22"/>
  <c r="O62" i="22"/>
  <c r="R62" i="22"/>
  <c r="E63" i="22"/>
  <c r="E75" i="22" s="1"/>
  <c r="F63" i="22"/>
  <c r="G63" i="22"/>
  <c r="H63" i="22"/>
  <c r="I63" i="22"/>
  <c r="J63" i="22"/>
  <c r="K63" i="22"/>
  <c r="L63" i="22"/>
  <c r="M63" i="22"/>
  <c r="N63" i="22"/>
  <c r="O63" i="22"/>
  <c r="P63" i="22"/>
  <c r="R63" i="22" s="1"/>
  <c r="O64" i="22"/>
  <c r="R64" i="22"/>
  <c r="O65" i="22"/>
  <c r="R65" i="22"/>
  <c r="O66" i="22"/>
  <c r="R66" i="22"/>
  <c r="E67" i="22"/>
  <c r="F67" i="22"/>
  <c r="G67" i="22"/>
  <c r="H67" i="22"/>
  <c r="H75" i="22" s="1"/>
  <c r="I67" i="22"/>
  <c r="J67" i="22"/>
  <c r="J75" i="22" s="1"/>
  <c r="K67" i="22"/>
  <c r="K75" i="22" s="1"/>
  <c r="L67" i="22"/>
  <c r="M67" i="22"/>
  <c r="N67" i="22"/>
  <c r="P67" i="22"/>
  <c r="R67" i="22" s="1"/>
  <c r="O68" i="22"/>
  <c r="O67" i="22" s="1"/>
  <c r="R68" i="22"/>
  <c r="O69" i="22"/>
  <c r="R69" i="22"/>
  <c r="O70" i="22"/>
  <c r="R70" i="22"/>
  <c r="O71" i="22"/>
  <c r="R71" i="22"/>
  <c r="O72" i="22"/>
  <c r="R72" i="22"/>
  <c r="O73" i="22"/>
  <c r="R73" i="22"/>
  <c r="O74" i="22"/>
  <c r="R74" i="22"/>
  <c r="G75" i="22"/>
  <c r="P75" i="22"/>
  <c r="R75" i="22" s="1"/>
  <c r="R76" i="22"/>
  <c r="E77" i="22"/>
  <c r="F77" i="22"/>
  <c r="G77" i="22"/>
  <c r="H77" i="22"/>
  <c r="I77" i="22"/>
  <c r="J77" i="22"/>
  <c r="K77" i="22"/>
  <c r="L77" i="22"/>
  <c r="M77" i="22"/>
  <c r="N77" i="22"/>
  <c r="O77" i="22"/>
  <c r="P77" i="22"/>
  <c r="R77" i="22"/>
  <c r="O78" i="22"/>
  <c r="R78" i="22"/>
  <c r="O79" i="22"/>
  <c r="R79" i="22"/>
  <c r="O80" i="22"/>
  <c r="R80" i="22"/>
  <c r="E81" i="22"/>
  <c r="F81" i="22"/>
  <c r="G81" i="22"/>
  <c r="G108" i="22" s="1"/>
  <c r="H81" i="22"/>
  <c r="I81" i="22"/>
  <c r="J81" i="22"/>
  <c r="K81" i="22"/>
  <c r="L81" i="22"/>
  <c r="M81" i="22"/>
  <c r="N81" i="22"/>
  <c r="P81" i="22"/>
  <c r="R81" i="22"/>
  <c r="O82" i="22"/>
  <c r="R82" i="22"/>
  <c r="O83" i="22"/>
  <c r="O81" i="22" s="1"/>
  <c r="R83" i="22"/>
  <c r="O84" i="22"/>
  <c r="R84" i="22"/>
  <c r="O85" i="22"/>
  <c r="R85" i="22"/>
  <c r="O86" i="22"/>
  <c r="R86" i="22"/>
  <c r="O87" i="22"/>
  <c r="R87" i="22"/>
  <c r="O88" i="22"/>
  <c r="R88" i="22"/>
  <c r="O89" i="22"/>
  <c r="R89" i="22"/>
  <c r="E90" i="22"/>
  <c r="F90" i="22"/>
  <c r="G90" i="22"/>
  <c r="H90" i="22"/>
  <c r="H108" i="22" s="1"/>
  <c r="H204" i="22" s="1"/>
  <c r="I90" i="22"/>
  <c r="J90" i="22"/>
  <c r="K90" i="22"/>
  <c r="L90" i="22"/>
  <c r="M90" i="22"/>
  <c r="N90" i="22"/>
  <c r="O90" i="22"/>
  <c r="P90" i="22"/>
  <c r="R90" i="22"/>
  <c r="O91" i="22"/>
  <c r="R91" i="22"/>
  <c r="O92" i="22"/>
  <c r="R92" i="22"/>
  <c r="O93" i="22"/>
  <c r="R93" i="22"/>
  <c r="O94" i="22"/>
  <c r="R94" i="22"/>
  <c r="O95" i="22"/>
  <c r="R95" i="22"/>
  <c r="O96" i="22"/>
  <c r="R96" i="22"/>
  <c r="E97" i="22"/>
  <c r="F97" i="22"/>
  <c r="G97" i="22"/>
  <c r="H97" i="22"/>
  <c r="I97" i="22"/>
  <c r="I108" i="22" s="1"/>
  <c r="J97" i="22"/>
  <c r="K97" i="22"/>
  <c r="K108" i="22" s="1"/>
  <c r="L97" i="22"/>
  <c r="M97" i="22"/>
  <c r="N97" i="22"/>
  <c r="O97" i="22"/>
  <c r="P97" i="22"/>
  <c r="P108" i="22" s="1"/>
  <c r="R108" i="22" s="1"/>
  <c r="O98" i="22"/>
  <c r="R98" i="22"/>
  <c r="O99" i="22"/>
  <c r="R99" i="22"/>
  <c r="O100" i="22"/>
  <c r="R100" i="22"/>
  <c r="O101" i="22"/>
  <c r="R101" i="22"/>
  <c r="E102" i="22"/>
  <c r="F102" i="22"/>
  <c r="G102" i="22"/>
  <c r="H102" i="22"/>
  <c r="I102" i="22"/>
  <c r="J102" i="22"/>
  <c r="J108" i="22" s="1"/>
  <c r="K102" i="22"/>
  <c r="L102" i="22"/>
  <c r="L108" i="22" s="1"/>
  <c r="M102" i="22"/>
  <c r="N102" i="22"/>
  <c r="N108" i="22" s="1"/>
  <c r="P102" i="22"/>
  <c r="R102" i="22"/>
  <c r="O103" i="22"/>
  <c r="R103" i="22"/>
  <c r="O104" i="22"/>
  <c r="O102" i="22" s="1"/>
  <c r="R104" i="22"/>
  <c r="O105" i="22"/>
  <c r="R105" i="22"/>
  <c r="O106" i="22"/>
  <c r="R106" i="22"/>
  <c r="O107" i="22"/>
  <c r="R107" i="22"/>
  <c r="E108" i="22"/>
  <c r="F108" i="22"/>
  <c r="M108" i="22"/>
  <c r="O109" i="22"/>
  <c r="R109" i="22"/>
  <c r="O110" i="22"/>
  <c r="O116" i="22" s="1"/>
  <c r="R110" i="22"/>
  <c r="O111" i="22"/>
  <c r="R111" i="22"/>
  <c r="O112" i="22"/>
  <c r="R112" i="22"/>
  <c r="O113" i="22"/>
  <c r="R113" i="22"/>
  <c r="O114" i="22"/>
  <c r="R114" i="22"/>
  <c r="O115" i="22"/>
  <c r="R115" i="22"/>
  <c r="E116" i="22"/>
  <c r="F116" i="22"/>
  <c r="G116" i="22"/>
  <c r="H116" i="22"/>
  <c r="I116" i="22"/>
  <c r="J116" i="22"/>
  <c r="K116" i="22"/>
  <c r="L116" i="22"/>
  <c r="M116" i="22"/>
  <c r="N116" i="22"/>
  <c r="P116" i="22"/>
  <c r="R116" i="22"/>
  <c r="O117" i="22"/>
  <c r="R117" i="22"/>
  <c r="O118" i="22"/>
  <c r="R118" i="22"/>
  <c r="O119" i="22"/>
  <c r="R119" i="22"/>
  <c r="O120" i="22"/>
  <c r="R120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R121" i="22"/>
  <c r="R122" i="22"/>
  <c r="E123" i="22"/>
  <c r="F123" i="22"/>
  <c r="F186" i="22" s="1"/>
  <c r="G123" i="22"/>
  <c r="H123" i="22"/>
  <c r="I123" i="22"/>
  <c r="J123" i="22"/>
  <c r="K123" i="22"/>
  <c r="L123" i="22"/>
  <c r="M123" i="22"/>
  <c r="N123" i="22"/>
  <c r="O123" i="22"/>
  <c r="P123" i="22"/>
  <c r="R123" i="22" s="1"/>
  <c r="O124" i="22"/>
  <c r="R124" i="22"/>
  <c r="O125" i="22"/>
  <c r="R125" i="22"/>
  <c r="O126" i="22"/>
  <c r="R126" i="22"/>
  <c r="O127" i="22"/>
  <c r="R127" i="22"/>
  <c r="E128" i="22"/>
  <c r="E186" i="22" s="1"/>
  <c r="F128" i="22"/>
  <c r="G128" i="22"/>
  <c r="G186" i="22" s="1"/>
  <c r="H128" i="22"/>
  <c r="I128" i="22"/>
  <c r="J128" i="22"/>
  <c r="K128" i="22"/>
  <c r="L128" i="22"/>
  <c r="M128" i="22"/>
  <c r="N128" i="22"/>
  <c r="P128" i="22"/>
  <c r="R128" i="22" s="1"/>
  <c r="O129" i="22"/>
  <c r="O128" i="22" s="1"/>
  <c r="R129" i="22"/>
  <c r="O130" i="22"/>
  <c r="R130" i="22"/>
  <c r="O131" i="22"/>
  <c r="R131" i="22"/>
  <c r="O132" i="22"/>
  <c r="R132" i="22"/>
  <c r="O133" i="22"/>
  <c r="R133" i="22"/>
  <c r="O134" i="22"/>
  <c r="R134" i="22"/>
  <c r="O135" i="22"/>
  <c r="R135" i="22"/>
  <c r="O136" i="22"/>
  <c r="R136" i="22"/>
  <c r="O137" i="22"/>
  <c r="R137" i="22"/>
  <c r="O138" i="22"/>
  <c r="R138" i="22"/>
  <c r="O139" i="22"/>
  <c r="R139" i="22"/>
  <c r="O140" i="22"/>
  <c r="R140" i="22"/>
  <c r="O141" i="22"/>
  <c r="R141" i="22"/>
  <c r="O142" i="22"/>
  <c r="R142" i="22"/>
  <c r="O143" i="22"/>
  <c r="R143" i="22"/>
  <c r="O144" i="22"/>
  <c r="R144" i="22"/>
  <c r="O145" i="22"/>
  <c r="R145" i="22"/>
  <c r="O146" i="22"/>
  <c r="R146" i="22"/>
  <c r="O147" i="22"/>
  <c r="R147" i="22"/>
  <c r="O148" i="22"/>
  <c r="R148" i="22"/>
  <c r="O149" i="22"/>
  <c r="R149" i="22"/>
  <c r="O150" i="22"/>
  <c r="R150" i="22"/>
  <c r="O151" i="22"/>
  <c r="R151" i="22"/>
  <c r="O152" i="22"/>
  <c r="R152" i="22"/>
  <c r="O153" i="22"/>
  <c r="R153" i="22"/>
  <c r="O154" i="22"/>
  <c r="R154" i="22"/>
  <c r="O155" i="22"/>
  <c r="R155" i="22"/>
  <c r="O156" i="22"/>
  <c r="R156" i="22"/>
  <c r="O157" i="22"/>
  <c r="R157" i="22"/>
  <c r="O158" i="22"/>
  <c r="R158" i="22"/>
  <c r="O159" i="22"/>
  <c r="R159" i="22"/>
  <c r="O160" i="22"/>
  <c r="R160" i="22"/>
  <c r="O161" i="22"/>
  <c r="R161" i="22"/>
  <c r="O162" i="22"/>
  <c r="R162" i="22"/>
  <c r="E163" i="22"/>
  <c r="F163" i="22"/>
  <c r="G163" i="22"/>
  <c r="H163" i="22"/>
  <c r="I163" i="22"/>
  <c r="I186" i="22" s="1"/>
  <c r="J163" i="22"/>
  <c r="J186" i="22" s="1"/>
  <c r="K163" i="22"/>
  <c r="K186" i="22" s="1"/>
  <c r="L163" i="22"/>
  <c r="M163" i="22"/>
  <c r="N163" i="22"/>
  <c r="P163" i="22"/>
  <c r="R163" i="22"/>
  <c r="O164" i="22"/>
  <c r="R164" i="22"/>
  <c r="O165" i="22"/>
  <c r="R165" i="22"/>
  <c r="O166" i="22"/>
  <c r="O163" i="22" s="1"/>
  <c r="R166" i="22"/>
  <c r="O167" i="22"/>
  <c r="R167" i="22"/>
  <c r="O168" i="22"/>
  <c r="R168" i="22"/>
  <c r="O169" i="22"/>
  <c r="R169" i="22"/>
  <c r="O170" i="22"/>
  <c r="R170" i="22"/>
  <c r="O171" i="22"/>
  <c r="R171" i="22"/>
  <c r="O172" i="22"/>
  <c r="R172" i="22"/>
  <c r="O173" i="22"/>
  <c r="R173" i="22"/>
  <c r="O174" i="22"/>
  <c r="R174" i="22"/>
  <c r="O175" i="22"/>
  <c r="R175" i="22"/>
  <c r="O176" i="22"/>
  <c r="R176" i="22"/>
  <c r="O177" i="22"/>
  <c r="R177" i="22"/>
  <c r="O178" i="22"/>
  <c r="R178" i="22"/>
  <c r="O179" i="22"/>
  <c r="R179" i="22"/>
  <c r="O180" i="22"/>
  <c r="R180" i="22"/>
  <c r="O181" i="22"/>
  <c r="R181" i="22"/>
  <c r="O182" i="22"/>
  <c r="R182" i="22"/>
  <c r="O183" i="22"/>
  <c r="R183" i="22"/>
  <c r="O184" i="22"/>
  <c r="R184" i="22"/>
  <c r="O185" i="22"/>
  <c r="R185" i="22"/>
  <c r="H186" i="22"/>
  <c r="L186" i="22"/>
  <c r="M186" i="22"/>
  <c r="N186" i="22"/>
  <c r="E187" i="22"/>
  <c r="F187" i="22"/>
  <c r="G187" i="22"/>
  <c r="H187" i="22"/>
  <c r="I187" i="22"/>
  <c r="J187" i="22"/>
  <c r="K187" i="22"/>
  <c r="K196" i="22" s="1"/>
  <c r="L187" i="22"/>
  <c r="L196" i="22" s="1"/>
  <c r="M187" i="22"/>
  <c r="M196" i="22" s="1"/>
  <c r="N187" i="22"/>
  <c r="N196" i="22" s="1"/>
  <c r="P187" i="22"/>
  <c r="R187" i="22"/>
  <c r="O188" i="22"/>
  <c r="R188" i="22"/>
  <c r="O189" i="22"/>
  <c r="R189" i="22"/>
  <c r="O190" i="22"/>
  <c r="O187" i="22" s="1"/>
  <c r="R190" i="22"/>
  <c r="E191" i="22"/>
  <c r="E196" i="22" s="1"/>
  <c r="F191" i="22"/>
  <c r="G191" i="22"/>
  <c r="G196" i="22" s="1"/>
  <c r="H191" i="22"/>
  <c r="I191" i="22"/>
  <c r="J191" i="22"/>
  <c r="K191" i="22"/>
  <c r="L191" i="22"/>
  <c r="M191" i="22"/>
  <c r="N191" i="22"/>
  <c r="P191" i="22"/>
  <c r="P196" i="22" s="1"/>
  <c r="R196" i="22" s="1"/>
  <c r="O192" i="22"/>
  <c r="O191" i="22" s="1"/>
  <c r="R192" i="22"/>
  <c r="O193" i="22"/>
  <c r="R193" i="22"/>
  <c r="O194" i="22"/>
  <c r="R194" i="22"/>
  <c r="O195" i="22"/>
  <c r="R195" i="22"/>
  <c r="F196" i="22"/>
  <c r="H196" i="22"/>
  <c r="I196" i="22"/>
  <c r="J196" i="22"/>
  <c r="E197" i="22"/>
  <c r="F197" i="22"/>
  <c r="F203" i="22" s="1"/>
  <c r="F204" i="22" s="1"/>
  <c r="G197" i="22"/>
  <c r="H197" i="22"/>
  <c r="I197" i="22"/>
  <c r="J197" i="22"/>
  <c r="K197" i="22"/>
  <c r="L197" i="22"/>
  <c r="L203" i="22" s="1"/>
  <c r="M197" i="22"/>
  <c r="N197" i="22"/>
  <c r="N203" i="22" s="1"/>
  <c r="P197" i="22"/>
  <c r="P203" i="22" s="1"/>
  <c r="O198" i="22"/>
  <c r="O197" i="22" s="1"/>
  <c r="O203" i="22" s="1"/>
  <c r="R198" i="22"/>
  <c r="O199" i="22"/>
  <c r="R199" i="22"/>
  <c r="O200" i="22"/>
  <c r="R200" i="22"/>
  <c r="O201" i="22"/>
  <c r="R201" i="22"/>
  <c r="O202" i="22"/>
  <c r="R202" i="22"/>
  <c r="E203" i="22"/>
  <c r="G203" i="22"/>
  <c r="H203" i="22"/>
  <c r="I203" i="22"/>
  <c r="J203" i="22"/>
  <c r="K203" i="22"/>
  <c r="M203" i="22"/>
  <c r="M204" i="22" s="1"/>
  <c r="J206" i="27" s="1"/>
  <c r="Q203" i="22"/>
  <c r="Q204" i="22"/>
  <c r="E8" i="21"/>
  <c r="E41" i="21" s="1"/>
  <c r="F8" i="21"/>
  <c r="G8" i="21"/>
  <c r="H8" i="21"/>
  <c r="H41" i="21" s="1"/>
  <c r="I8" i="21"/>
  <c r="J8" i="21"/>
  <c r="J41" i="21" s="1"/>
  <c r="E16" i="21"/>
  <c r="F16" i="21"/>
  <c r="G16" i="21"/>
  <c r="H16" i="21"/>
  <c r="I16" i="21"/>
  <c r="J16" i="21"/>
  <c r="E22" i="21"/>
  <c r="F22" i="21"/>
  <c r="G22" i="21"/>
  <c r="H22" i="21"/>
  <c r="I22" i="21"/>
  <c r="J22" i="21"/>
  <c r="E29" i="21"/>
  <c r="F29" i="21"/>
  <c r="G29" i="21"/>
  <c r="H29" i="21"/>
  <c r="I29" i="21"/>
  <c r="I41" i="21" s="1"/>
  <c r="J29" i="21"/>
  <c r="E34" i="21"/>
  <c r="F34" i="21"/>
  <c r="G34" i="21"/>
  <c r="H34" i="21"/>
  <c r="I34" i="21"/>
  <c r="J34" i="21"/>
  <c r="F41" i="21"/>
  <c r="G41" i="21"/>
  <c r="E43" i="21"/>
  <c r="E75" i="21" s="1"/>
  <c r="F43" i="21"/>
  <c r="F75" i="21" s="1"/>
  <c r="G43" i="21"/>
  <c r="H43" i="21"/>
  <c r="I43" i="21"/>
  <c r="J43" i="21"/>
  <c r="J75" i="21" s="1"/>
  <c r="E51" i="21"/>
  <c r="F51" i="21"/>
  <c r="G51" i="21"/>
  <c r="H51" i="21"/>
  <c r="I51" i="21"/>
  <c r="J51" i="21"/>
  <c r="E56" i="21"/>
  <c r="F56" i="21"/>
  <c r="G56" i="21"/>
  <c r="H56" i="21"/>
  <c r="I56" i="21"/>
  <c r="J56" i="21"/>
  <c r="E63" i="21"/>
  <c r="F63" i="21"/>
  <c r="G63" i="21"/>
  <c r="G75" i="21" s="1"/>
  <c r="H63" i="21"/>
  <c r="I63" i="21"/>
  <c r="J63" i="21"/>
  <c r="E67" i="21"/>
  <c r="F67" i="21"/>
  <c r="G67" i="21"/>
  <c r="H67" i="21"/>
  <c r="I67" i="21"/>
  <c r="J67" i="21"/>
  <c r="H75" i="21"/>
  <c r="I75" i="21"/>
  <c r="E77" i="21"/>
  <c r="F77" i="21"/>
  <c r="G77" i="21"/>
  <c r="H77" i="21"/>
  <c r="I77" i="21"/>
  <c r="J77" i="21"/>
  <c r="E81" i="21"/>
  <c r="F81" i="21"/>
  <c r="G81" i="21"/>
  <c r="H81" i="21"/>
  <c r="I81" i="21"/>
  <c r="J81" i="21"/>
  <c r="E90" i="21"/>
  <c r="F90" i="21"/>
  <c r="G90" i="21"/>
  <c r="H90" i="21"/>
  <c r="I90" i="21"/>
  <c r="J90" i="21"/>
  <c r="E97" i="21"/>
  <c r="F97" i="21"/>
  <c r="G97" i="21"/>
  <c r="H97" i="21"/>
  <c r="I97" i="21"/>
  <c r="I108" i="21" s="1"/>
  <c r="J97" i="21"/>
  <c r="E102" i="21"/>
  <c r="E108" i="21" s="1"/>
  <c r="F102" i="21"/>
  <c r="G102" i="21"/>
  <c r="H102" i="21"/>
  <c r="H108" i="21" s="1"/>
  <c r="I102" i="21"/>
  <c r="J102" i="21"/>
  <c r="J108" i="21" s="1"/>
  <c r="F108" i="21"/>
  <c r="G108" i="21"/>
  <c r="E116" i="21"/>
  <c r="F116" i="21"/>
  <c r="G116" i="21"/>
  <c r="H116" i="21"/>
  <c r="I116" i="21"/>
  <c r="J116" i="21"/>
  <c r="E121" i="21"/>
  <c r="F121" i="21"/>
  <c r="G121" i="21"/>
  <c r="H121" i="21"/>
  <c r="I121" i="21"/>
  <c r="J121" i="21"/>
  <c r="E123" i="21"/>
  <c r="F123" i="21"/>
  <c r="G123" i="21"/>
  <c r="H123" i="21"/>
  <c r="I123" i="21"/>
  <c r="J123" i="21"/>
  <c r="J186" i="21" s="1"/>
  <c r="F128" i="21"/>
  <c r="F186" i="21" s="1"/>
  <c r="G128" i="21"/>
  <c r="H128" i="21"/>
  <c r="I128" i="21"/>
  <c r="J128" i="21"/>
  <c r="E129" i="21"/>
  <c r="E128" i="21" s="1"/>
  <c r="E163" i="21"/>
  <c r="E186" i="21" s="1"/>
  <c r="F163" i="21"/>
  <c r="G163" i="21"/>
  <c r="H163" i="21"/>
  <c r="I163" i="21"/>
  <c r="I186" i="21" s="1"/>
  <c r="J163" i="21"/>
  <c r="G186" i="21"/>
  <c r="H186" i="21"/>
  <c r="E187" i="21"/>
  <c r="F187" i="21"/>
  <c r="G187" i="21"/>
  <c r="H187" i="21"/>
  <c r="I187" i="21"/>
  <c r="J187" i="21"/>
  <c r="E191" i="21"/>
  <c r="E196" i="21" s="1"/>
  <c r="F191" i="21"/>
  <c r="F196" i="21" s="1"/>
  <c r="G191" i="21"/>
  <c r="G196" i="21" s="1"/>
  <c r="H191" i="21"/>
  <c r="H196" i="21" s="1"/>
  <c r="I191" i="21"/>
  <c r="J191" i="21"/>
  <c r="J196" i="21" s="1"/>
  <c r="I196" i="21"/>
  <c r="E197" i="21"/>
  <c r="E203" i="21" s="1"/>
  <c r="E204" i="21" s="1"/>
  <c r="F197" i="21"/>
  <c r="G197" i="21"/>
  <c r="G203" i="21" s="1"/>
  <c r="H197" i="21"/>
  <c r="H203" i="21" s="1"/>
  <c r="I197" i="21"/>
  <c r="J197" i="21"/>
  <c r="J203" i="21" s="1"/>
  <c r="F203" i="21"/>
  <c r="I203" i="21"/>
  <c r="E8" i="20"/>
  <c r="F8" i="20"/>
  <c r="G8" i="20"/>
  <c r="G41" i="20" s="1"/>
  <c r="H8" i="20"/>
  <c r="I8" i="20"/>
  <c r="I41" i="20" s="1"/>
  <c r="J8" i="20"/>
  <c r="E16" i="20"/>
  <c r="F16" i="20"/>
  <c r="G16" i="20"/>
  <c r="H16" i="20"/>
  <c r="I16" i="20"/>
  <c r="J16" i="20"/>
  <c r="E22" i="20"/>
  <c r="F22" i="20"/>
  <c r="G22" i="20"/>
  <c r="H22" i="20"/>
  <c r="I22" i="20"/>
  <c r="J22" i="20"/>
  <c r="E29" i="20"/>
  <c r="F29" i="20"/>
  <c r="G29" i="20"/>
  <c r="H29" i="20"/>
  <c r="H41" i="20" s="1"/>
  <c r="I29" i="20"/>
  <c r="J29" i="20"/>
  <c r="J41" i="20" s="1"/>
  <c r="E34" i="20"/>
  <c r="F34" i="20"/>
  <c r="G34" i="20"/>
  <c r="H34" i="20"/>
  <c r="I34" i="20"/>
  <c r="J34" i="20"/>
  <c r="E41" i="20"/>
  <c r="F41" i="20"/>
  <c r="E43" i="20"/>
  <c r="E75" i="20" s="1"/>
  <c r="F43" i="20"/>
  <c r="G43" i="20"/>
  <c r="G75" i="20" s="1"/>
  <c r="H43" i="20"/>
  <c r="I43" i="20"/>
  <c r="I75" i="20" s="1"/>
  <c r="J43" i="20"/>
  <c r="J75" i="20" s="1"/>
  <c r="E51" i="20"/>
  <c r="F51" i="20"/>
  <c r="G51" i="20"/>
  <c r="H51" i="20"/>
  <c r="I51" i="20"/>
  <c r="J51" i="20"/>
  <c r="E56" i="20"/>
  <c r="F56" i="20"/>
  <c r="G56" i="20"/>
  <c r="H56" i="20"/>
  <c r="I56" i="20"/>
  <c r="J56" i="20"/>
  <c r="E63" i="20"/>
  <c r="F63" i="20"/>
  <c r="F75" i="20" s="1"/>
  <c r="G63" i="20"/>
  <c r="H63" i="20"/>
  <c r="I63" i="20"/>
  <c r="J63" i="20"/>
  <c r="E67" i="20"/>
  <c r="F67" i="20"/>
  <c r="G67" i="20"/>
  <c r="H67" i="20"/>
  <c r="I67" i="20"/>
  <c r="J67" i="20"/>
  <c r="H75" i="20"/>
  <c r="E77" i="20"/>
  <c r="F77" i="20"/>
  <c r="G77" i="20"/>
  <c r="H77" i="20"/>
  <c r="I77" i="20"/>
  <c r="J77" i="20"/>
  <c r="E81" i="20"/>
  <c r="F81" i="20"/>
  <c r="G81" i="20"/>
  <c r="H81" i="20"/>
  <c r="I81" i="20"/>
  <c r="J81" i="20"/>
  <c r="E90" i="20"/>
  <c r="F90" i="20"/>
  <c r="G90" i="20"/>
  <c r="H90" i="20"/>
  <c r="I90" i="20"/>
  <c r="J90" i="20"/>
  <c r="E97" i="20"/>
  <c r="F97" i="20"/>
  <c r="G97" i="20"/>
  <c r="H97" i="20"/>
  <c r="H108" i="20" s="1"/>
  <c r="I97" i="20"/>
  <c r="J97" i="20"/>
  <c r="J108" i="20" s="1"/>
  <c r="E102" i="20"/>
  <c r="F102" i="20"/>
  <c r="G102" i="20"/>
  <c r="G108" i="20" s="1"/>
  <c r="H102" i="20"/>
  <c r="I102" i="20"/>
  <c r="I108" i="20" s="1"/>
  <c r="J102" i="20"/>
  <c r="E108" i="20"/>
  <c r="F108" i="20"/>
  <c r="E116" i="20"/>
  <c r="F116" i="20"/>
  <c r="G116" i="20"/>
  <c r="H116" i="20"/>
  <c r="I116" i="20"/>
  <c r="J116" i="20"/>
  <c r="E121" i="20"/>
  <c r="F121" i="20"/>
  <c r="G121" i="20"/>
  <c r="H121" i="20"/>
  <c r="I121" i="20"/>
  <c r="J121" i="20"/>
  <c r="E123" i="20"/>
  <c r="F123" i="20"/>
  <c r="G123" i="20"/>
  <c r="H123" i="20"/>
  <c r="I123" i="20"/>
  <c r="J123" i="20"/>
  <c r="E128" i="20"/>
  <c r="E186" i="20" s="1"/>
  <c r="F128" i="20"/>
  <c r="G128" i="20"/>
  <c r="H128" i="20"/>
  <c r="I128" i="20"/>
  <c r="J128" i="20"/>
  <c r="E129" i="20"/>
  <c r="E163" i="20"/>
  <c r="F163" i="20"/>
  <c r="F186" i="20" s="1"/>
  <c r="G163" i="20"/>
  <c r="H163" i="20"/>
  <c r="H186" i="20" s="1"/>
  <c r="I163" i="20"/>
  <c r="I186" i="20" s="1"/>
  <c r="J163" i="20"/>
  <c r="J186" i="20" s="1"/>
  <c r="G186" i="20"/>
  <c r="E187" i="20"/>
  <c r="F187" i="20"/>
  <c r="F196" i="20" s="1"/>
  <c r="G187" i="20"/>
  <c r="H187" i="20"/>
  <c r="I187" i="20"/>
  <c r="J187" i="20"/>
  <c r="E191" i="20"/>
  <c r="E196" i="20" s="1"/>
  <c r="F191" i="20"/>
  <c r="G191" i="20"/>
  <c r="G196" i="20" s="1"/>
  <c r="H191" i="20"/>
  <c r="I191" i="20"/>
  <c r="J191" i="20"/>
  <c r="J196" i="20" s="1"/>
  <c r="H196" i="20"/>
  <c r="I196" i="20"/>
  <c r="E197" i="20"/>
  <c r="E203" i="20" s="1"/>
  <c r="F197" i="20"/>
  <c r="G197" i="20"/>
  <c r="G203" i="20" s="1"/>
  <c r="H197" i="20"/>
  <c r="H203" i="20" s="1"/>
  <c r="I197" i="20"/>
  <c r="J197" i="20"/>
  <c r="F203" i="20"/>
  <c r="I203" i="20"/>
  <c r="J203" i="20"/>
  <c r="E8" i="19"/>
  <c r="E41" i="19" s="1"/>
  <c r="F8" i="19"/>
  <c r="G8" i="19"/>
  <c r="G41" i="19" s="1"/>
  <c r="H8" i="19"/>
  <c r="H41" i="19" s="1"/>
  <c r="I8" i="19"/>
  <c r="I41" i="19" s="1"/>
  <c r="J8" i="19"/>
  <c r="J41" i="19" s="1"/>
  <c r="E16" i="19"/>
  <c r="F16" i="19"/>
  <c r="G16" i="19"/>
  <c r="H16" i="19"/>
  <c r="I16" i="19"/>
  <c r="J16" i="19"/>
  <c r="E22" i="19"/>
  <c r="F22" i="19"/>
  <c r="G22" i="19"/>
  <c r="H22" i="19"/>
  <c r="I22" i="19"/>
  <c r="J22" i="19"/>
  <c r="E29" i="19"/>
  <c r="F29" i="19"/>
  <c r="G29" i="19"/>
  <c r="H29" i="19"/>
  <c r="I29" i="19"/>
  <c r="J29" i="19"/>
  <c r="E34" i="19"/>
  <c r="F34" i="19"/>
  <c r="G34" i="19"/>
  <c r="H34" i="19"/>
  <c r="I34" i="19"/>
  <c r="J34" i="19"/>
  <c r="F41" i="19"/>
  <c r="E43" i="19"/>
  <c r="E75" i="19" s="1"/>
  <c r="F43" i="19"/>
  <c r="G43" i="19"/>
  <c r="G75" i="19" s="1"/>
  <c r="H43" i="19"/>
  <c r="I43" i="19"/>
  <c r="I75" i="19" s="1"/>
  <c r="J43" i="19"/>
  <c r="J75" i="19" s="1"/>
  <c r="E51" i="19"/>
  <c r="F51" i="19"/>
  <c r="G51" i="19"/>
  <c r="H51" i="19"/>
  <c r="I51" i="19"/>
  <c r="J51" i="19"/>
  <c r="E56" i="19"/>
  <c r="F56" i="19"/>
  <c r="G56" i="19"/>
  <c r="H56" i="19"/>
  <c r="H75" i="19" s="1"/>
  <c r="I56" i="19"/>
  <c r="J56" i="19"/>
  <c r="E63" i="19"/>
  <c r="F63" i="19"/>
  <c r="F75" i="19" s="1"/>
  <c r="G63" i="19"/>
  <c r="H63" i="19"/>
  <c r="I63" i="19"/>
  <c r="J63" i="19"/>
  <c r="E67" i="19"/>
  <c r="F67" i="19"/>
  <c r="G67" i="19"/>
  <c r="H67" i="19"/>
  <c r="I67" i="19"/>
  <c r="J67" i="19"/>
  <c r="E77" i="19"/>
  <c r="F77" i="19"/>
  <c r="G77" i="19"/>
  <c r="H77" i="19"/>
  <c r="I77" i="19"/>
  <c r="J77" i="19"/>
  <c r="E81" i="19"/>
  <c r="F81" i="19"/>
  <c r="G81" i="19"/>
  <c r="H81" i="19"/>
  <c r="I81" i="19"/>
  <c r="J81" i="19"/>
  <c r="E90" i="19"/>
  <c r="F90" i="19"/>
  <c r="G90" i="19"/>
  <c r="H90" i="19"/>
  <c r="I90" i="19"/>
  <c r="J90" i="19"/>
  <c r="E97" i="19"/>
  <c r="F97" i="19"/>
  <c r="G97" i="19"/>
  <c r="H97" i="19"/>
  <c r="I97" i="19"/>
  <c r="J97" i="19"/>
  <c r="E102" i="19"/>
  <c r="E108" i="19" s="1"/>
  <c r="F102" i="19"/>
  <c r="G102" i="19"/>
  <c r="G108" i="19" s="1"/>
  <c r="H102" i="19"/>
  <c r="H108" i="19" s="1"/>
  <c r="I102" i="19"/>
  <c r="I108" i="19" s="1"/>
  <c r="J102" i="19"/>
  <c r="J108" i="19" s="1"/>
  <c r="F108" i="19"/>
  <c r="E116" i="19"/>
  <c r="F116" i="19"/>
  <c r="G116" i="19"/>
  <c r="H116" i="19"/>
  <c r="I116" i="19"/>
  <c r="J116" i="19"/>
  <c r="E121" i="19"/>
  <c r="F121" i="19"/>
  <c r="G121" i="19"/>
  <c r="H121" i="19"/>
  <c r="I121" i="19"/>
  <c r="J121" i="19"/>
  <c r="E123" i="19"/>
  <c r="F123" i="19"/>
  <c r="G123" i="19"/>
  <c r="H123" i="19"/>
  <c r="I123" i="19"/>
  <c r="J123" i="19"/>
  <c r="J186" i="19" s="1"/>
  <c r="F128" i="19"/>
  <c r="G128" i="19"/>
  <c r="G186" i="19" s="1"/>
  <c r="H128" i="19"/>
  <c r="I128" i="19"/>
  <c r="J128" i="19"/>
  <c r="E129" i="19"/>
  <c r="E128" i="19" s="1"/>
  <c r="E186" i="19" s="1"/>
  <c r="E163" i="19"/>
  <c r="F163" i="19"/>
  <c r="F186" i="19" s="1"/>
  <c r="G163" i="19"/>
  <c r="H163" i="19"/>
  <c r="H186" i="19" s="1"/>
  <c r="I163" i="19"/>
  <c r="I186" i="19" s="1"/>
  <c r="J163" i="19"/>
  <c r="E187" i="19"/>
  <c r="F187" i="19"/>
  <c r="G187" i="19"/>
  <c r="G196" i="19" s="1"/>
  <c r="H187" i="19"/>
  <c r="I187" i="19"/>
  <c r="J187" i="19"/>
  <c r="E191" i="19"/>
  <c r="E196" i="19" s="1"/>
  <c r="F191" i="19"/>
  <c r="F196" i="19" s="1"/>
  <c r="G191" i="19"/>
  <c r="H191" i="19"/>
  <c r="I191" i="19"/>
  <c r="J191" i="19"/>
  <c r="J196" i="19" s="1"/>
  <c r="H196" i="19"/>
  <c r="I196" i="19"/>
  <c r="E197" i="19"/>
  <c r="E203" i="19" s="1"/>
  <c r="F197" i="19"/>
  <c r="G197" i="19"/>
  <c r="H197" i="19"/>
  <c r="H203" i="19" s="1"/>
  <c r="I197" i="19"/>
  <c r="J197" i="19"/>
  <c r="J203" i="19" s="1"/>
  <c r="F203" i="19"/>
  <c r="G203" i="19"/>
  <c r="I203" i="19"/>
  <c r="E8" i="18"/>
  <c r="E41" i="18" s="1"/>
  <c r="F8" i="18"/>
  <c r="G8" i="18"/>
  <c r="G41" i="18" s="1"/>
  <c r="H8" i="18"/>
  <c r="H41" i="18" s="1"/>
  <c r="I8" i="18"/>
  <c r="J8" i="18"/>
  <c r="J41" i="18" s="1"/>
  <c r="E16" i="18"/>
  <c r="F16" i="18"/>
  <c r="G16" i="18"/>
  <c r="H16" i="18"/>
  <c r="I16" i="18"/>
  <c r="J16" i="18"/>
  <c r="E22" i="18"/>
  <c r="F22" i="18"/>
  <c r="F41" i="18" s="1"/>
  <c r="G22" i="18"/>
  <c r="H22" i="18"/>
  <c r="I22" i="18"/>
  <c r="J22" i="18"/>
  <c r="E29" i="18"/>
  <c r="F29" i="18"/>
  <c r="G29" i="18"/>
  <c r="H29" i="18"/>
  <c r="I29" i="18"/>
  <c r="I41" i="18" s="1"/>
  <c r="J29" i="18"/>
  <c r="E34" i="18"/>
  <c r="F34" i="18"/>
  <c r="G34" i="18"/>
  <c r="H34" i="18"/>
  <c r="I34" i="18"/>
  <c r="J34" i="18"/>
  <c r="E43" i="18"/>
  <c r="E75" i="18" s="1"/>
  <c r="F43" i="18"/>
  <c r="F75" i="18" s="1"/>
  <c r="G43" i="18"/>
  <c r="G75" i="18" s="1"/>
  <c r="H43" i="18"/>
  <c r="I43" i="18"/>
  <c r="J43" i="18"/>
  <c r="J75" i="18" s="1"/>
  <c r="E51" i="18"/>
  <c r="F51" i="18"/>
  <c r="G51" i="18"/>
  <c r="H51" i="18"/>
  <c r="I51" i="18"/>
  <c r="J51" i="18"/>
  <c r="E56" i="18"/>
  <c r="F56" i="18"/>
  <c r="G56" i="18"/>
  <c r="H56" i="18"/>
  <c r="I56" i="18"/>
  <c r="J56" i="18"/>
  <c r="E63" i="18"/>
  <c r="F63" i="18"/>
  <c r="G63" i="18"/>
  <c r="H63" i="18"/>
  <c r="I63" i="18"/>
  <c r="J63" i="18"/>
  <c r="E67" i="18"/>
  <c r="F67" i="18"/>
  <c r="G67" i="18"/>
  <c r="H67" i="18"/>
  <c r="J67" i="18"/>
  <c r="E68" i="18"/>
  <c r="F68" i="18"/>
  <c r="G68" i="18"/>
  <c r="H68" i="18"/>
  <c r="I68" i="18"/>
  <c r="I67" i="18" s="1"/>
  <c r="I75" i="18" s="1"/>
  <c r="H75" i="18"/>
  <c r="E77" i="18"/>
  <c r="F77" i="18"/>
  <c r="G77" i="18"/>
  <c r="H77" i="18"/>
  <c r="I77" i="18"/>
  <c r="J77" i="18"/>
  <c r="E81" i="18"/>
  <c r="F81" i="18"/>
  <c r="G81" i="18"/>
  <c r="H81" i="18"/>
  <c r="I81" i="18"/>
  <c r="J81" i="18"/>
  <c r="E90" i="18"/>
  <c r="F90" i="18"/>
  <c r="G90" i="18"/>
  <c r="H90" i="18"/>
  <c r="I90" i="18"/>
  <c r="J90" i="18"/>
  <c r="E97" i="18"/>
  <c r="F97" i="18"/>
  <c r="G97" i="18"/>
  <c r="H97" i="18"/>
  <c r="I97" i="18"/>
  <c r="I108" i="18" s="1"/>
  <c r="J97" i="18"/>
  <c r="E102" i="18"/>
  <c r="E108" i="18" s="1"/>
  <c r="F102" i="18"/>
  <c r="G102" i="18"/>
  <c r="H102" i="18"/>
  <c r="H108" i="18" s="1"/>
  <c r="I102" i="18"/>
  <c r="J102" i="18"/>
  <c r="J108" i="18" s="1"/>
  <c r="F108" i="18"/>
  <c r="G108" i="18"/>
  <c r="E116" i="18"/>
  <c r="F116" i="18"/>
  <c r="G116" i="18"/>
  <c r="H116" i="18"/>
  <c r="I116" i="18"/>
  <c r="J116" i="18"/>
  <c r="E121" i="18"/>
  <c r="F121" i="18"/>
  <c r="G121" i="18"/>
  <c r="H121" i="18"/>
  <c r="I121" i="18"/>
  <c r="J121" i="18"/>
  <c r="E123" i="18"/>
  <c r="F123" i="18"/>
  <c r="G123" i="18"/>
  <c r="H123" i="18"/>
  <c r="I123" i="18"/>
  <c r="J123" i="18"/>
  <c r="F128" i="18"/>
  <c r="G128" i="18"/>
  <c r="H128" i="18"/>
  <c r="I128" i="18"/>
  <c r="J128" i="18"/>
  <c r="E129" i="18"/>
  <c r="E128" i="18" s="1"/>
  <c r="E163" i="18"/>
  <c r="E186" i="18" s="1"/>
  <c r="F163" i="18"/>
  <c r="F186" i="18" s="1"/>
  <c r="F204" i="18" s="1"/>
  <c r="G163" i="18"/>
  <c r="H163" i="18"/>
  <c r="I163" i="18"/>
  <c r="I186" i="18" s="1"/>
  <c r="J163" i="18"/>
  <c r="J186" i="18" s="1"/>
  <c r="G186" i="18"/>
  <c r="H186" i="18"/>
  <c r="E187" i="18"/>
  <c r="F187" i="18"/>
  <c r="G187" i="18"/>
  <c r="H187" i="18"/>
  <c r="I187" i="18"/>
  <c r="J187" i="18"/>
  <c r="E191" i="18"/>
  <c r="E196" i="18" s="1"/>
  <c r="F191" i="18"/>
  <c r="F196" i="18" s="1"/>
  <c r="G191" i="18"/>
  <c r="G196" i="18" s="1"/>
  <c r="H191" i="18"/>
  <c r="H196" i="18" s="1"/>
  <c r="I191" i="18"/>
  <c r="J191" i="18"/>
  <c r="J196" i="18" s="1"/>
  <c r="I196" i="18"/>
  <c r="E197" i="18"/>
  <c r="E203" i="18" s="1"/>
  <c r="E204" i="18" s="1"/>
  <c r="F197" i="18"/>
  <c r="G197" i="18"/>
  <c r="G203" i="18" s="1"/>
  <c r="H197" i="18"/>
  <c r="H203" i="18" s="1"/>
  <c r="I197" i="18"/>
  <c r="J197" i="18"/>
  <c r="J203" i="18" s="1"/>
  <c r="F203" i="18"/>
  <c r="I203" i="18"/>
  <c r="E8" i="17"/>
  <c r="F8" i="17"/>
  <c r="G8" i="17"/>
  <c r="H8" i="17"/>
  <c r="H41" i="17" s="1"/>
  <c r="I8" i="17"/>
  <c r="I41" i="17" s="1"/>
  <c r="J8" i="17"/>
  <c r="J41" i="17" s="1"/>
  <c r="E16" i="17"/>
  <c r="F16" i="17"/>
  <c r="G16" i="17"/>
  <c r="H16" i="17"/>
  <c r="I16" i="17"/>
  <c r="J16" i="17"/>
  <c r="E22" i="17"/>
  <c r="F22" i="17"/>
  <c r="G22" i="17"/>
  <c r="H22" i="17"/>
  <c r="I22" i="17"/>
  <c r="J22" i="17"/>
  <c r="E29" i="17"/>
  <c r="E41" i="17" s="1"/>
  <c r="F29" i="17"/>
  <c r="G29" i="17"/>
  <c r="H29" i="17"/>
  <c r="I29" i="17"/>
  <c r="J29" i="17"/>
  <c r="E34" i="17"/>
  <c r="F34" i="17"/>
  <c r="G34" i="17"/>
  <c r="H34" i="17"/>
  <c r="I34" i="17"/>
  <c r="J34" i="17"/>
  <c r="F41" i="17"/>
  <c r="G41" i="17"/>
  <c r="E43" i="17"/>
  <c r="F43" i="17"/>
  <c r="F75" i="17" s="1"/>
  <c r="G43" i="17"/>
  <c r="H43" i="17"/>
  <c r="H75" i="17" s="1"/>
  <c r="I43" i="17"/>
  <c r="J43" i="17"/>
  <c r="J75" i="17" s="1"/>
  <c r="E51" i="17"/>
  <c r="F51" i="17"/>
  <c r="G51" i="17"/>
  <c r="H51" i="17"/>
  <c r="I51" i="17"/>
  <c r="J51" i="17"/>
  <c r="E56" i="17"/>
  <c r="F56" i="17"/>
  <c r="G56" i="17"/>
  <c r="H56" i="17"/>
  <c r="I56" i="17"/>
  <c r="J56" i="17"/>
  <c r="E63" i="17"/>
  <c r="F63" i="17"/>
  <c r="G63" i="17"/>
  <c r="G75" i="17" s="1"/>
  <c r="H63" i="17"/>
  <c r="I63" i="17"/>
  <c r="J63" i="17"/>
  <c r="E67" i="17"/>
  <c r="F67" i="17"/>
  <c r="G67" i="17"/>
  <c r="H67" i="17"/>
  <c r="I67" i="17"/>
  <c r="J67" i="17"/>
  <c r="E75" i="17"/>
  <c r="I75" i="17"/>
  <c r="E77" i="17"/>
  <c r="F77" i="17"/>
  <c r="G77" i="17"/>
  <c r="H77" i="17"/>
  <c r="I77" i="17"/>
  <c r="J77" i="17"/>
  <c r="E81" i="17"/>
  <c r="F81" i="17"/>
  <c r="G81" i="17"/>
  <c r="H81" i="17"/>
  <c r="I81" i="17"/>
  <c r="J81" i="17"/>
  <c r="E90" i="17"/>
  <c r="F90" i="17"/>
  <c r="G90" i="17"/>
  <c r="H90" i="17"/>
  <c r="I90" i="17"/>
  <c r="J90" i="17"/>
  <c r="E97" i="17"/>
  <c r="E108" i="17" s="1"/>
  <c r="F97" i="17"/>
  <c r="G97" i="17"/>
  <c r="H97" i="17"/>
  <c r="I97" i="17"/>
  <c r="J97" i="17"/>
  <c r="E102" i="17"/>
  <c r="F102" i="17"/>
  <c r="G102" i="17"/>
  <c r="H102" i="17"/>
  <c r="H108" i="17" s="1"/>
  <c r="I102" i="17"/>
  <c r="I108" i="17" s="1"/>
  <c r="J102" i="17"/>
  <c r="J108" i="17" s="1"/>
  <c r="F108" i="17"/>
  <c r="G108" i="17"/>
  <c r="E116" i="17"/>
  <c r="F116" i="17"/>
  <c r="G116" i="17"/>
  <c r="H116" i="17"/>
  <c r="I116" i="17"/>
  <c r="J116" i="17"/>
  <c r="E121" i="17"/>
  <c r="F121" i="17"/>
  <c r="G121" i="17"/>
  <c r="H121" i="17"/>
  <c r="I121" i="17"/>
  <c r="J121" i="17"/>
  <c r="E123" i="17"/>
  <c r="F123" i="17"/>
  <c r="G123" i="17"/>
  <c r="H123" i="17"/>
  <c r="I123" i="17"/>
  <c r="J123" i="17"/>
  <c r="F128" i="17"/>
  <c r="F186" i="17" s="1"/>
  <c r="G128" i="17"/>
  <c r="H128" i="17"/>
  <c r="I128" i="17"/>
  <c r="J128" i="17"/>
  <c r="E163" i="17"/>
  <c r="E129" i="17" s="1"/>
  <c r="E128" i="17" s="1"/>
  <c r="F163" i="17"/>
  <c r="G163" i="17"/>
  <c r="G186" i="17" s="1"/>
  <c r="H163" i="17"/>
  <c r="I163" i="17"/>
  <c r="I186" i="17" s="1"/>
  <c r="J163" i="17"/>
  <c r="J186" i="17" s="1"/>
  <c r="H186" i="17"/>
  <c r="E187" i="17"/>
  <c r="F187" i="17"/>
  <c r="G187" i="17"/>
  <c r="G196" i="17" s="1"/>
  <c r="H187" i="17"/>
  <c r="I187" i="17"/>
  <c r="J187" i="17"/>
  <c r="E191" i="17"/>
  <c r="E196" i="17" s="1"/>
  <c r="F191" i="17"/>
  <c r="F196" i="17" s="1"/>
  <c r="G191" i="17"/>
  <c r="H191" i="17"/>
  <c r="H196" i="17" s="1"/>
  <c r="I191" i="17"/>
  <c r="J191" i="17"/>
  <c r="I196" i="17"/>
  <c r="J196" i="17"/>
  <c r="E197" i="17"/>
  <c r="E203" i="17" s="1"/>
  <c r="F197" i="17"/>
  <c r="F203" i="17" s="1"/>
  <c r="F204" i="17" s="1"/>
  <c r="G197" i="17"/>
  <c r="H197" i="17"/>
  <c r="H203" i="17" s="1"/>
  <c r="I197" i="17"/>
  <c r="I203" i="17" s="1"/>
  <c r="J197" i="17"/>
  <c r="G203" i="17"/>
  <c r="J203" i="17"/>
  <c r="E8" i="16"/>
  <c r="F8" i="16"/>
  <c r="F41" i="16" s="1"/>
  <c r="G8" i="16"/>
  <c r="H8" i="16"/>
  <c r="H41" i="16" s="1"/>
  <c r="I8" i="16"/>
  <c r="I41" i="16" s="1"/>
  <c r="J8" i="16"/>
  <c r="J41" i="16" s="1"/>
  <c r="E16" i="16"/>
  <c r="F16" i="16"/>
  <c r="G16" i="16"/>
  <c r="H16" i="16"/>
  <c r="I16" i="16"/>
  <c r="J16" i="16"/>
  <c r="E22" i="16"/>
  <c r="F22" i="16"/>
  <c r="G22" i="16"/>
  <c r="H22" i="16"/>
  <c r="I22" i="16"/>
  <c r="J22" i="16"/>
  <c r="E29" i="16"/>
  <c r="E41" i="16" s="1"/>
  <c r="F29" i="16"/>
  <c r="G29" i="16"/>
  <c r="H29" i="16"/>
  <c r="I29" i="16"/>
  <c r="J29" i="16"/>
  <c r="E34" i="16"/>
  <c r="F34" i="16"/>
  <c r="G34" i="16"/>
  <c r="H34" i="16"/>
  <c r="I34" i="16"/>
  <c r="J34" i="16"/>
  <c r="G41" i="16"/>
  <c r="E43" i="16"/>
  <c r="F43" i="16"/>
  <c r="F75" i="16" s="1"/>
  <c r="G43" i="16"/>
  <c r="G75" i="16" s="1"/>
  <c r="H43" i="16"/>
  <c r="H75" i="16" s="1"/>
  <c r="I43" i="16"/>
  <c r="J43" i="16"/>
  <c r="J75" i="16" s="1"/>
  <c r="E51" i="16"/>
  <c r="F51" i="16"/>
  <c r="G51" i="16"/>
  <c r="H51" i="16"/>
  <c r="I51" i="16"/>
  <c r="J51" i="16"/>
  <c r="E56" i="16"/>
  <c r="F56" i="16"/>
  <c r="G56" i="16"/>
  <c r="H56" i="16"/>
  <c r="I56" i="16"/>
  <c r="I75" i="16" s="1"/>
  <c r="J56" i="16"/>
  <c r="E63" i="16"/>
  <c r="F63" i="16"/>
  <c r="G63" i="16"/>
  <c r="H63" i="16"/>
  <c r="I63" i="16"/>
  <c r="J63" i="16"/>
  <c r="E67" i="16"/>
  <c r="F67" i="16"/>
  <c r="G67" i="16"/>
  <c r="H67" i="16"/>
  <c r="I67" i="16"/>
  <c r="J67" i="16"/>
  <c r="E75" i="16"/>
  <c r="E77" i="16"/>
  <c r="F77" i="16"/>
  <c r="G77" i="16"/>
  <c r="H77" i="16"/>
  <c r="I77" i="16"/>
  <c r="J77" i="16"/>
  <c r="E81" i="16"/>
  <c r="F81" i="16"/>
  <c r="G81" i="16"/>
  <c r="H81" i="16"/>
  <c r="I81" i="16"/>
  <c r="J81" i="16"/>
  <c r="E90" i="16"/>
  <c r="F90" i="16"/>
  <c r="G90" i="16"/>
  <c r="H90" i="16"/>
  <c r="I90" i="16"/>
  <c r="J90" i="16"/>
  <c r="E97" i="16"/>
  <c r="E108" i="16" s="1"/>
  <c r="F97" i="16"/>
  <c r="G97" i="16"/>
  <c r="H97" i="16"/>
  <c r="I97" i="16"/>
  <c r="J97" i="16"/>
  <c r="E102" i="16"/>
  <c r="F102" i="16"/>
  <c r="F108" i="16" s="1"/>
  <c r="G102" i="16"/>
  <c r="H102" i="16"/>
  <c r="H108" i="16" s="1"/>
  <c r="I102" i="16"/>
  <c r="I108" i="16" s="1"/>
  <c r="J102" i="16"/>
  <c r="J108" i="16" s="1"/>
  <c r="G108" i="16"/>
  <c r="E116" i="16"/>
  <c r="F116" i="16"/>
  <c r="G116" i="16"/>
  <c r="H116" i="16"/>
  <c r="I116" i="16"/>
  <c r="J116" i="16"/>
  <c r="E121" i="16"/>
  <c r="F121" i="16"/>
  <c r="G121" i="16"/>
  <c r="H121" i="16"/>
  <c r="I121" i="16"/>
  <c r="J121" i="16"/>
  <c r="E123" i="16"/>
  <c r="F123" i="16"/>
  <c r="G123" i="16"/>
  <c r="H123" i="16"/>
  <c r="I123" i="16"/>
  <c r="J123" i="16"/>
  <c r="F128" i="16"/>
  <c r="G128" i="16"/>
  <c r="H128" i="16"/>
  <c r="H186" i="16" s="1"/>
  <c r="I128" i="16"/>
  <c r="J128" i="16"/>
  <c r="E163" i="16"/>
  <c r="E129" i="16" s="1"/>
  <c r="E128" i="16" s="1"/>
  <c r="F163" i="16"/>
  <c r="F186" i="16" s="1"/>
  <c r="G163" i="16"/>
  <c r="G186" i="16" s="1"/>
  <c r="H163" i="16"/>
  <c r="I163" i="16"/>
  <c r="I186" i="16" s="1"/>
  <c r="J163" i="16"/>
  <c r="J186" i="16" s="1"/>
  <c r="E187" i="16"/>
  <c r="F187" i="16"/>
  <c r="G187" i="16"/>
  <c r="H187" i="16"/>
  <c r="I187" i="16"/>
  <c r="J187" i="16"/>
  <c r="E191" i="16"/>
  <c r="F191" i="16"/>
  <c r="F196" i="16" s="1"/>
  <c r="G191" i="16"/>
  <c r="G196" i="16" s="1"/>
  <c r="H191" i="16"/>
  <c r="H196" i="16" s="1"/>
  <c r="I191" i="16"/>
  <c r="J191" i="16"/>
  <c r="E196" i="16"/>
  <c r="I196" i="16"/>
  <c r="J196" i="16"/>
  <c r="E197" i="16"/>
  <c r="F197" i="16"/>
  <c r="F203" i="16" s="1"/>
  <c r="G197" i="16"/>
  <c r="H197" i="16"/>
  <c r="I197" i="16"/>
  <c r="I203" i="16" s="1"/>
  <c r="J197" i="16"/>
  <c r="E203" i="16"/>
  <c r="G203" i="16"/>
  <c r="G204" i="16" s="1"/>
  <c r="H203" i="16"/>
  <c r="J203" i="16"/>
  <c r="E8" i="15"/>
  <c r="E41" i="15" s="1"/>
  <c r="F8" i="15"/>
  <c r="G8" i="15"/>
  <c r="G41" i="15" s="1"/>
  <c r="H8" i="15"/>
  <c r="H41" i="15" s="1"/>
  <c r="I8" i="15"/>
  <c r="I41" i="15" s="1"/>
  <c r="J8" i="15"/>
  <c r="J41" i="15" s="1"/>
  <c r="K8" i="15"/>
  <c r="L8" i="15"/>
  <c r="M8" i="15"/>
  <c r="N8" i="15"/>
  <c r="N41" i="15" s="1"/>
  <c r="O9" i="15"/>
  <c r="P9" i="15"/>
  <c r="O10" i="15"/>
  <c r="P10" i="15"/>
  <c r="O11" i="15"/>
  <c r="P11" i="15"/>
  <c r="O12" i="15"/>
  <c r="P12" i="15"/>
  <c r="O13" i="15"/>
  <c r="P13" i="15"/>
  <c r="O14" i="15"/>
  <c r="O8" i="15" s="1"/>
  <c r="O41" i="15" s="1"/>
  <c r="P14" i="15"/>
  <c r="O15" i="15"/>
  <c r="P15" i="15"/>
  <c r="E16" i="15"/>
  <c r="F16" i="15"/>
  <c r="F41" i="15" s="1"/>
  <c r="G16" i="15"/>
  <c r="H16" i="15"/>
  <c r="I16" i="15"/>
  <c r="J16" i="15"/>
  <c r="K16" i="15"/>
  <c r="L16" i="15"/>
  <c r="M16" i="15"/>
  <c r="N16" i="15"/>
  <c r="O17" i="15"/>
  <c r="P17" i="15"/>
  <c r="P16" i="15" s="1"/>
  <c r="O18" i="15"/>
  <c r="P18" i="15"/>
  <c r="O19" i="15"/>
  <c r="O16" i="15" s="1"/>
  <c r="P19" i="15"/>
  <c r="O20" i="15"/>
  <c r="P20" i="15"/>
  <c r="O21" i="15"/>
  <c r="P21" i="15"/>
  <c r="E22" i="15"/>
  <c r="F22" i="15"/>
  <c r="G22" i="15"/>
  <c r="H22" i="15"/>
  <c r="I22" i="15"/>
  <c r="J22" i="15"/>
  <c r="K22" i="15"/>
  <c r="L22" i="15"/>
  <c r="M22" i="15"/>
  <c r="N22" i="15"/>
  <c r="O22" i="15"/>
  <c r="O23" i="15"/>
  <c r="P23" i="15"/>
  <c r="P22" i="15" s="1"/>
  <c r="O24" i="15"/>
  <c r="P24" i="15"/>
  <c r="O25" i="15"/>
  <c r="P25" i="15"/>
  <c r="O26" i="15"/>
  <c r="P26" i="15"/>
  <c r="O27" i="15"/>
  <c r="P27" i="15"/>
  <c r="O28" i="15"/>
  <c r="P28" i="15"/>
  <c r="E29" i="15"/>
  <c r="F29" i="15"/>
  <c r="G29" i="15"/>
  <c r="H29" i="15"/>
  <c r="I29" i="15"/>
  <c r="J29" i="15"/>
  <c r="K29" i="15"/>
  <c r="L29" i="15"/>
  <c r="M29" i="15"/>
  <c r="N29" i="15"/>
  <c r="O29" i="15"/>
  <c r="O30" i="15"/>
  <c r="P30" i="15"/>
  <c r="P29" i="15" s="1"/>
  <c r="O31" i="15"/>
  <c r="P31" i="15"/>
  <c r="O32" i="15"/>
  <c r="P32" i="15"/>
  <c r="O33" i="15"/>
  <c r="P33" i="15"/>
  <c r="E34" i="15"/>
  <c r="F34" i="15"/>
  <c r="G34" i="15"/>
  <c r="H34" i="15"/>
  <c r="I34" i="15"/>
  <c r="J34" i="15"/>
  <c r="K34" i="15"/>
  <c r="L34" i="15"/>
  <c r="M34" i="15"/>
  <c r="N34" i="15"/>
  <c r="O35" i="15"/>
  <c r="O34" i="15" s="1"/>
  <c r="P35" i="15"/>
  <c r="P34" i="15" s="1"/>
  <c r="O36" i="15"/>
  <c r="P36" i="15"/>
  <c r="O37" i="15"/>
  <c r="P37" i="15"/>
  <c r="O38" i="15"/>
  <c r="P38" i="15"/>
  <c r="O39" i="15"/>
  <c r="P39" i="15"/>
  <c r="O40" i="15"/>
  <c r="P40" i="15"/>
  <c r="K41" i="15"/>
  <c r="L41" i="15"/>
  <c r="M41" i="15"/>
  <c r="E43" i="15"/>
  <c r="F43" i="15"/>
  <c r="G43" i="15"/>
  <c r="H43" i="15"/>
  <c r="I43" i="15"/>
  <c r="I75" i="15" s="1"/>
  <c r="J43" i="15"/>
  <c r="J75" i="15" s="1"/>
  <c r="K43" i="15"/>
  <c r="L43" i="15"/>
  <c r="L75" i="15" s="1"/>
  <c r="M43" i="15"/>
  <c r="N43" i="15"/>
  <c r="N75" i="15" s="1"/>
  <c r="O44" i="15"/>
  <c r="P44" i="15"/>
  <c r="P43" i="15" s="1"/>
  <c r="O45" i="15"/>
  <c r="O43" i="15" s="1"/>
  <c r="P45" i="15"/>
  <c r="O46" i="15"/>
  <c r="P46" i="15"/>
  <c r="O47" i="15"/>
  <c r="P47" i="15"/>
  <c r="O48" i="15"/>
  <c r="P48" i="15"/>
  <c r="O49" i="15"/>
  <c r="P49" i="15"/>
  <c r="O50" i="15"/>
  <c r="P50" i="15"/>
  <c r="E51" i="15"/>
  <c r="F51" i="15"/>
  <c r="G51" i="15"/>
  <c r="H51" i="15"/>
  <c r="H75" i="15" s="1"/>
  <c r="I51" i="15"/>
  <c r="J51" i="15"/>
  <c r="K51" i="15"/>
  <c r="L51" i="15"/>
  <c r="M51" i="15"/>
  <c r="N51" i="15"/>
  <c r="O52" i="15"/>
  <c r="O51" i="15" s="1"/>
  <c r="P52" i="15"/>
  <c r="P51" i="15" s="1"/>
  <c r="O53" i="15"/>
  <c r="P53" i="15"/>
  <c r="O54" i="15"/>
  <c r="P54" i="15"/>
  <c r="O55" i="15"/>
  <c r="P55" i="15"/>
  <c r="E56" i="15"/>
  <c r="F56" i="15"/>
  <c r="G56" i="15"/>
  <c r="H56" i="15"/>
  <c r="I56" i="15"/>
  <c r="J56" i="15"/>
  <c r="K56" i="15"/>
  <c r="L56" i="15"/>
  <c r="M56" i="15"/>
  <c r="N56" i="15"/>
  <c r="O57" i="15"/>
  <c r="O56" i="15" s="1"/>
  <c r="P57" i="15"/>
  <c r="O58" i="15"/>
  <c r="P58" i="15"/>
  <c r="O59" i="15"/>
  <c r="P59" i="15"/>
  <c r="O60" i="15"/>
  <c r="P60" i="15"/>
  <c r="O61" i="15"/>
  <c r="P61" i="15"/>
  <c r="P56" i="15" s="1"/>
  <c r="O62" i="15"/>
  <c r="P62" i="15"/>
  <c r="E63" i="15"/>
  <c r="F63" i="15"/>
  <c r="G63" i="15"/>
  <c r="H63" i="15"/>
  <c r="I63" i="15"/>
  <c r="J63" i="15"/>
  <c r="K63" i="15"/>
  <c r="L63" i="15"/>
  <c r="M63" i="15"/>
  <c r="N63" i="15"/>
  <c r="P63" i="15"/>
  <c r="O64" i="15"/>
  <c r="O63" i="15" s="1"/>
  <c r="P64" i="15"/>
  <c r="O65" i="15"/>
  <c r="P65" i="15"/>
  <c r="O66" i="15"/>
  <c r="P66" i="15"/>
  <c r="E67" i="15"/>
  <c r="F67" i="15"/>
  <c r="G67" i="15"/>
  <c r="G75" i="15" s="1"/>
  <c r="H67" i="15"/>
  <c r="I67" i="15"/>
  <c r="J67" i="15"/>
  <c r="K67" i="15"/>
  <c r="L67" i="15"/>
  <c r="M67" i="15"/>
  <c r="N67" i="15"/>
  <c r="O68" i="15"/>
  <c r="P68" i="15"/>
  <c r="P67" i="15" s="1"/>
  <c r="O69" i="15"/>
  <c r="P69" i="15"/>
  <c r="O70" i="15"/>
  <c r="P70" i="15"/>
  <c r="O71" i="15"/>
  <c r="P71" i="15"/>
  <c r="O72" i="15"/>
  <c r="P72" i="15"/>
  <c r="O73" i="15"/>
  <c r="O67" i="15" s="1"/>
  <c r="P73" i="15"/>
  <c r="O74" i="15"/>
  <c r="P74" i="15"/>
  <c r="E75" i="15"/>
  <c r="F75" i="15"/>
  <c r="K75" i="15"/>
  <c r="M75" i="15"/>
  <c r="E77" i="15"/>
  <c r="F77" i="15"/>
  <c r="G77" i="15"/>
  <c r="H77" i="15"/>
  <c r="I77" i="15"/>
  <c r="J77" i="15"/>
  <c r="K77" i="15"/>
  <c r="L77" i="15"/>
  <c r="M77" i="15"/>
  <c r="M108" i="15" s="1"/>
  <c r="N77" i="15"/>
  <c r="O78" i="15"/>
  <c r="O77" i="15" s="1"/>
  <c r="P78" i="15"/>
  <c r="P77" i="15" s="1"/>
  <c r="O79" i="15"/>
  <c r="P79" i="15"/>
  <c r="O80" i="15"/>
  <c r="P80" i="15"/>
  <c r="E81" i="15"/>
  <c r="F81" i="15"/>
  <c r="G81" i="15"/>
  <c r="H81" i="15"/>
  <c r="I81" i="15"/>
  <c r="J81" i="15"/>
  <c r="K81" i="15"/>
  <c r="L81" i="15"/>
  <c r="M81" i="15"/>
  <c r="N81" i="15"/>
  <c r="O82" i="15"/>
  <c r="P82" i="15"/>
  <c r="O83" i="15"/>
  <c r="O81" i="15" s="1"/>
  <c r="P83" i="15"/>
  <c r="P81" i="15" s="1"/>
  <c r="O84" i="15"/>
  <c r="P84" i="15"/>
  <c r="O85" i="15"/>
  <c r="P85" i="15"/>
  <c r="O86" i="15"/>
  <c r="P86" i="15"/>
  <c r="O87" i="15"/>
  <c r="P87" i="15"/>
  <c r="O88" i="15"/>
  <c r="P88" i="15"/>
  <c r="O89" i="15"/>
  <c r="P89" i="15"/>
  <c r="E90" i="15"/>
  <c r="F90" i="15"/>
  <c r="G90" i="15"/>
  <c r="H90" i="15"/>
  <c r="I90" i="15"/>
  <c r="J90" i="15"/>
  <c r="K90" i="15"/>
  <c r="L90" i="15"/>
  <c r="M90" i="15"/>
  <c r="N90" i="15"/>
  <c r="O91" i="15"/>
  <c r="P91" i="15"/>
  <c r="O92" i="15"/>
  <c r="O90" i="15" s="1"/>
  <c r="P92" i="15"/>
  <c r="P90" i="15" s="1"/>
  <c r="O93" i="15"/>
  <c r="P93" i="15"/>
  <c r="O94" i="15"/>
  <c r="P94" i="15"/>
  <c r="O95" i="15"/>
  <c r="P95" i="15"/>
  <c r="O96" i="15"/>
  <c r="P96" i="15"/>
  <c r="E97" i="15"/>
  <c r="F97" i="15"/>
  <c r="G97" i="15"/>
  <c r="H97" i="15"/>
  <c r="H108" i="15" s="1"/>
  <c r="I97" i="15"/>
  <c r="J97" i="15"/>
  <c r="K97" i="15"/>
  <c r="K108" i="15" s="1"/>
  <c r="L97" i="15"/>
  <c r="M97" i="15"/>
  <c r="N97" i="15"/>
  <c r="O98" i="15"/>
  <c r="P98" i="15"/>
  <c r="O99" i="15"/>
  <c r="O97" i="15" s="1"/>
  <c r="P99" i="15"/>
  <c r="P97" i="15" s="1"/>
  <c r="O100" i="15"/>
  <c r="P100" i="15"/>
  <c r="O101" i="15"/>
  <c r="P101" i="15"/>
  <c r="E102" i="15"/>
  <c r="E108" i="15" s="1"/>
  <c r="F102" i="15"/>
  <c r="F108" i="15" s="1"/>
  <c r="G102" i="15"/>
  <c r="G108" i="15" s="1"/>
  <c r="H102" i="15"/>
  <c r="I102" i="15"/>
  <c r="J102" i="15"/>
  <c r="J108" i="15" s="1"/>
  <c r="K102" i="15"/>
  <c r="L102" i="15"/>
  <c r="L108" i="15" s="1"/>
  <c r="M102" i="15"/>
  <c r="N102" i="15"/>
  <c r="N108" i="15" s="1"/>
  <c r="O103" i="15"/>
  <c r="P103" i="15"/>
  <c r="P102" i="15" s="1"/>
  <c r="O104" i="15"/>
  <c r="O102" i="15" s="1"/>
  <c r="P104" i="15"/>
  <c r="O105" i="15"/>
  <c r="P105" i="15"/>
  <c r="O106" i="15"/>
  <c r="P106" i="15"/>
  <c r="O107" i="15"/>
  <c r="P107" i="15"/>
  <c r="I108" i="15"/>
  <c r="O109" i="15"/>
  <c r="P109" i="15"/>
  <c r="O110" i="15"/>
  <c r="P110" i="15"/>
  <c r="P116" i="15" s="1"/>
  <c r="O111" i="15"/>
  <c r="O116" i="15" s="1"/>
  <c r="P111" i="15"/>
  <c r="O112" i="15"/>
  <c r="P112" i="15"/>
  <c r="O113" i="15"/>
  <c r="P113" i="15"/>
  <c r="O114" i="15"/>
  <c r="P114" i="15"/>
  <c r="O115" i="15"/>
  <c r="P115" i="15"/>
  <c r="E116" i="15"/>
  <c r="F116" i="15"/>
  <c r="G116" i="15"/>
  <c r="H116" i="15"/>
  <c r="I116" i="15"/>
  <c r="J116" i="15"/>
  <c r="K116" i="15"/>
  <c r="L116" i="15"/>
  <c r="M116" i="15"/>
  <c r="N116" i="15"/>
  <c r="O117" i="15"/>
  <c r="P117" i="15"/>
  <c r="O118" i="15"/>
  <c r="O121" i="15" s="1"/>
  <c r="P118" i="15"/>
  <c r="O119" i="15"/>
  <c r="P119" i="15"/>
  <c r="O120" i="15"/>
  <c r="P120" i="15"/>
  <c r="P121" i="15" s="1"/>
  <c r="E121" i="15"/>
  <c r="F121" i="15"/>
  <c r="G121" i="15"/>
  <c r="H121" i="15"/>
  <c r="I121" i="15"/>
  <c r="J121" i="15"/>
  <c r="K121" i="15"/>
  <c r="L121" i="15"/>
  <c r="M121" i="15"/>
  <c r="N121" i="15"/>
  <c r="E123" i="15"/>
  <c r="F123" i="15"/>
  <c r="F186" i="15" s="1"/>
  <c r="G123" i="15"/>
  <c r="H123" i="15"/>
  <c r="I123" i="15"/>
  <c r="J123" i="15"/>
  <c r="K123" i="15"/>
  <c r="L123" i="15"/>
  <c r="M123" i="15"/>
  <c r="N123" i="15"/>
  <c r="O123" i="15"/>
  <c r="P123" i="15"/>
  <c r="O124" i="15"/>
  <c r="P124" i="15"/>
  <c r="O125" i="15"/>
  <c r="P125" i="15"/>
  <c r="O126" i="15"/>
  <c r="P126" i="15"/>
  <c r="O127" i="15"/>
  <c r="P127" i="15"/>
  <c r="E128" i="15"/>
  <c r="F128" i="15"/>
  <c r="G128" i="15"/>
  <c r="H128" i="15"/>
  <c r="I128" i="15"/>
  <c r="J128" i="15"/>
  <c r="J186" i="15" s="1"/>
  <c r="K128" i="15"/>
  <c r="L128" i="15"/>
  <c r="M128" i="15"/>
  <c r="N128" i="15"/>
  <c r="O129" i="15"/>
  <c r="P129" i="15"/>
  <c r="O130" i="15"/>
  <c r="O128" i="15" s="1"/>
  <c r="P130" i="15"/>
  <c r="P128" i="15" s="1"/>
  <c r="O131" i="15"/>
  <c r="P131" i="15"/>
  <c r="O132" i="15"/>
  <c r="P132" i="15"/>
  <c r="O133" i="15"/>
  <c r="P133" i="15"/>
  <c r="O134" i="15"/>
  <c r="P134" i="15"/>
  <c r="O135" i="15"/>
  <c r="P135" i="15"/>
  <c r="O136" i="15"/>
  <c r="P136" i="15"/>
  <c r="O137" i="15"/>
  <c r="P137" i="15"/>
  <c r="O138" i="15"/>
  <c r="P138" i="15"/>
  <c r="O139" i="15"/>
  <c r="P139" i="15"/>
  <c r="O140" i="15"/>
  <c r="P140" i="15"/>
  <c r="O141" i="15"/>
  <c r="P141" i="15"/>
  <c r="O142" i="15"/>
  <c r="P142" i="15"/>
  <c r="O143" i="15"/>
  <c r="P143" i="15"/>
  <c r="O144" i="15"/>
  <c r="P144" i="15"/>
  <c r="O145" i="15"/>
  <c r="P145" i="15"/>
  <c r="O146" i="15"/>
  <c r="P146" i="15"/>
  <c r="O147" i="15"/>
  <c r="P147" i="15"/>
  <c r="O148" i="15"/>
  <c r="P148" i="15"/>
  <c r="O149" i="15"/>
  <c r="P149" i="15"/>
  <c r="O150" i="15"/>
  <c r="P150" i="15"/>
  <c r="O151" i="15"/>
  <c r="P151" i="15"/>
  <c r="O152" i="15"/>
  <c r="P152" i="15"/>
  <c r="O153" i="15"/>
  <c r="P153" i="15"/>
  <c r="O154" i="15"/>
  <c r="P154" i="15"/>
  <c r="O155" i="15"/>
  <c r="P155" i="15"/>
  <c r="O156" i="15"/>
  <c r="P156" i="15"/>
  <c r="O157" i="15"/>
  <c r="P157" i="15"/>
  <c r="O158" i="15"/>
  <c r="P158" i="15"/>
  <c r="O159" i="15"/>
  <c r="P159" i="15"/>
  <c r="O160" i="15"/>
  <c r="P160" i="15"/>
  <c r="O161" i="15"/>
  <c r="P161" i="15"/>
  <c r="O162" i="15"/>
  <c r="P162" i="15"/>
  <c r="E163" i="15"/>
  <c r="F163" i="15"/>
  <c r="G163" i="15"/>
  <c r="G186" i="15" s="1"/>
  <c r="H163" i="15"/>
  <c r="H186" i="15" s="1"/>
  <c r="I163" i="15"/>
  <c r="J163" i="15"/>
  <c r="K163" i="15"/>
  <c r="K186" i="15" s="1"/>
  <c r="L163" i="15"/>
  <c r="L186" i="15" s="1"/>
  <c r="M163" i="15"/>
  <c r="M186" i="15" s="1"/>
  <c r="N163" i="15"/>
  <c r="O164" i="15"/>
  <c r="O163" i="15" s="1"/>
  <c r="P164" i="15"/>
  <c r="P163" i="15" s="1"/>
  <c r="O165" i="15"/>
  <c r="P165" i="15"/>
  <c r="O166" i="15"/>
  <c r="P166" i="15"/>
  <c r="O167" i="15"/>
  <c r="P167" i="15"/>
  <c r="O168" i="15"/>
  <c r="P168" i="15"/>
  <c r="O169" i="15"/>
  <c r="P169" i="15"/>
  <c r="O170" i="15"/>
  <c r="P170" i="15"/>
  <c r="O171" i="15"/>
  <c r="P171" i="15"/>
  <c r="O172" i="15"/>
  <c r="P172" i="15"/>
  <c r="O173" i="15"/>
  <c r="P173" i="15"/>
  <c r="O174" i="15"/>
  <c r="P174" i="15"/>
  <c r="O175" i="15"/>
  <c r="P175" i="15"/>
  <c r="O176" i="15"/>
  <c r="P176" i="15"/>
  <c r="O177" i="15"/>
  <c r="P177" i="15"/>
  <c r="O178" i="15"/>
  <c r="P178" i="15"/>
  <c r="O179" i="15"/>
  <c r="P179" i="15"/>
  <c r="O180" i="15"/>
  <c r="P180" i="15"/>
  <c r="O181" i="15"/>
  <c r="P181" i="15"/>
  <c r="O182" i="15"/>
  <c r="P182" i="15"/>
  <c r="O183" i="15"/>
  <c r="P183" i="15"/>
  <c r="O184" i="15"/>
  <c r="P184" i="15"/>
  <c r="O185" i="15"/>
  <c r="P185" i="15"/>
  <c r="E186" i="15"/>
  <c r="I186" i="15"/>
  <c r="N186" i="15"/>
  <c r="E187" i="15"/>
  <c r="F187" i="15"/>
  <c r="F196" i="15" s="1"/>
  <c r="G187" i="15"/>
  <c r="H187" i="15"/>
  <c r="I187" i="15"/>
  <c r="J187" i="15"/>
  <c r="K187" i="15"/>
  <c r="K196" i="15" s="1"/>
  <c r="L187" i="15"/>
  <c r="M187" i="15"/>
  <c r="N187" i="15"/>
  <c r="N196" i="15" s="1"/>
  <c r="O187" i="15"/>
  <c r="P187" i="15"/>
  <c r="O188" i="15"/>
  <c r="P188" i="15"/>
  <c r="O189" i="15"/>
  <c r="P189" i="15"/>
  <c r="O190" i="15"/>
  <c r="P190" i="15"/>
  <c r="E191" i="15"/>
  <c r="E196" i="15" s="1"/>
  <c r="F191" i="15"/>
  <c r="G191" i="15"/>
  <c r="H191" i="15"/>
  <c r="H196" i="15" s="1"/>
  <c r="I191" i="15"/>
  <c r="J191" i="15"/>
  <c r="J196" i="15" s="1"/>
  <c r="K191" i="15"/>
  <c r="L191" i="15"/>
  <c r="M191" i="15"/>
  <c r="M196" i="15" s="1"/>
  <c r="N191" i="15"/>
  <c r="O192" i="15"/>
  <c r="O191" i="15" s="1"/>
  <c r="O196" i="15" s="1"/>
  <c r="P192" i="15"/>
  <c r="P191" i="15" s="1"/>
  <c r="P196" i="15" s="1"/>
  <c r="O193" i="15"/>
  <c r="P193" i="15"/>
  <c r="O194" i="15"/>
  <c r="P194" i="15"/>
  <c r="O195" i="15"/>
  <c r="P195" i="15"/>
  <c r="G196" i="15"/>
  <c r="I196" i="15"/>
  <c r="E197" i="15"/>
  <c r="E203" i="15" s="1"/>
  <c r="F197" i="15"/>
  <c r="G197" i="15"/>
  <c r="H197" i="15"/>
  <c r="H203" i="15" s="1"/>
  <c r="I197" i="15"/>
  <c r="I203" i="15" s="1"/>
  <c r="J197" i="15"/>
  <c r="J203" i="15" s="1"/>
  <c r="K197" i="15"/>
  <c r="L197" i="15"/>
  <c r="M197" i="15"/>
  <c r="M203" i="15" s="1"/>
  <c r="M204" i="15" s="1"/>
  <c r="J205" i="20" s="1"/>
  <c r="N197" i="15"/>
  <c r="N203" i="15" s="1"/>
  <c r="O197" i="15"/>
  <c r="P197" i="15"/>
  <c r="O198" i="15"/>
  <c r="P198" i="15"/>
  <c r="O199" i="15"/>
  <c r="P199" i="15"/>
  <c r="O200" i="15"/>
  <c r="P200" i="15"/>
  <c r="O201" i="15"/>
  <c r="P201" i="15"/>
  <c r="O202" i="15"/>
  <c r="P202" i="15"/>
  <c r="F203" i="15"/>
  <c r="G203" i="15"/>
  <c r="K203" i="15"/>
  <c r="L203" i="15"/>
  <c r="O203" i="15"/>
  <c r="P203" i="15"/>
  <c r="E8" i="14"/>
  <c r="E41" i="14" s="1"/>
  <c r="F8" i="14"/>
  <c r="F41" i="14" s="1"/>
  <c r="G8" i="14"/>
  <c r="G41" i="14" s="1"/>
  <c r="H8" i="14"/>
  <c r="H41" i="14" s="1"/>
  <c r="I8" i="14"/>
  <c r="J8" i="14"/>
  <c r="E16" i="14"/>
  <c r="F16" i="14"/>
  <c r="G16" i="14"/>
  <c r="H16" i="14"/>
  <c r="I16" i="14"/>
  <c r="J16" i="14"/>
  <c r="E22" i="14"/>
  <c r="F22" i="14"/>
  <c r="G22" i="14"/>
  <c r="H22" i="14"/>
  <c r="I22" i="14"/>
  <c r="I41" i="14" s="1"/>
  <c r="J22" i="14"/>
  <c r="E29" i="14"/>
  <c r="F29" i="14"/>
  <c r="G29" i="14"/>
  <c r="H29" i="14"/>
  <c r="I29" i="14"/>
  <c r="J29" i="14"/>
  <c r="E34" i="14"/>
  <c r="F34" i="14"/>
  <c r="G34" i="14"/>
  <c r="H34" i="14"/>
  <c r="I34" i="14"/>
  <c r="J34" i="14"/>
  <c r="J41" i="14"/>
  <c r="E43" i="14"/>
  <c r="E75" i="14" s="1"/>
  <c r="F43" i="14"/>
  <c r="F75" i="14" s="1"/>
  <c r="G43" i="14"/>
  <c r="H43" i="14"/>
  <c r="I43" i="14"/>
  <c r="I75" i="14" s="1"/>
  <c r="J43" i="14"/>
  <c r="E51" i="14"/>
  <c r="F51" i="14"/>
  <c r="G51" i="14"/>
  <c r="H51" i="14"/>
  <c r="H75" i="14" s="1"/>
  <c r="I51" i="14"/>
  <c r="J51" i="14"/>
  <c r="E56" i="14"/>
  <c r="F56" i="14"/>
  <c r="G56" i="14"/>
  <c r="H56" i="14"/>
  <c r="I56" i="14"/>
  <c r="J56" i="14"/>
  <c r="E63" i="14"/>
  <c r="F63" i="14"/>
  <c r="G63" i="14"/>
  <c r="H63" i="14"/>
  <c r="I63" i="14"/>
  <c r="J63" i="14"/>
  <c r="J75" i="14" s="1"/>
  <c r="E67" i="14"/>
  <c r="F67" i="14"/>
  <c r="G67" i="14"/>
  <c r="H67" i="14"/>
  <c r="I67" i="14"/>
  <c r="J67" i="14"/>
  <c r="G75" i="14"/>
  <c r="E77" i="14"/>
  <c r="F77" i="14"/>
  <c r="G77" i="14"/>
  <c r="H77" i="14"/>
  <c r="I77" i="14"/>
  <c r="J77" i="14"/>
  <c r="E81" i="14"/>
  <c r="F81" i="14"/>
  <c r="G81" i="14"/>
  <c r="H81" i="14"/>
  <c r="I81" i="14"/>
  <c r="J81" i="14"/>
  <c r="E90" i="14"/>
  <c r="F90" i="14"/>
  <c r="G90" i="14"/>
  <c r="H90" i="14"/>
  <c r="I90" i="14"/>
  <c r="I108" i="14" s="1"/>
  <c r="J90" i="14"/>
  <c r="E97" i="14"/>
  <c r="F97" i="14"/>
  <c r="G97" i="14"/>
  <c r="H97" i="14"/>
  <c r="I97" i="14"/>
  <c r="J97" i="14"/>
  <c r="E102" i="14"/>
  <c r="E108" i="14" s="1"/>
  <c r="F102" i="14"/>
  <c r="F108" i="14" s="1"/>
  <c r="G102" i="14"/>
  <c r="G108" i="14" s="1"/>
  <c r="H102" i="14"/>
  <c r="I102" i="14"/>
  <c r="J102" i="14"/>
  <c r="J108" i="14"/>
  <c r="E116" i="14"/>
  <c r="F116" i="14"/>
  <c r="G116" i="14"/>
  <c r="H116" i="14"/>
  <c r="I116" i="14"/>
  <c r="J116" i="14"/>
  <c r="E121" i="14"/>
  <c r="F121" i="14"/>
  <c r="G121" i="14"/>
  <c r="H121" i="14"/>
  <c r="I121" i="14"/>
  <c r="J121" i="14"/>
  <c r="E123" i="14"/>
  <c r="F123" i="14"/>
  <c r="G123" i="14"/>
  <c r="H123" i="14"/>
  <c r="I123" i="14"/>
  <c r="J123" i="14"/>
  <c r="E128" i="14"/>
  <c r="F128" i="14"/>
  <c r="G128" i="14"/>
  <c r="H128" i="14"/>
  <c r="I128" i="14"/>
  <c r="J128" i="14"/>
  <c r="J186" i="14" s="1"/>
  <c r="E163" i="14"/>
  <c r="E186" i="14" s="1"/>
  <c r="F163" i="14"/>
  <c r="F186" i="14" s="1"/>
  <c r="G163" i="14"/>
  <c r="H163" i="14"/>
  <c r="I163" i="14"/>
  <c r="I186" i="14" s="1"/>
  <c r="J163" i="14"/>
  <c r="G186" i="14"/>
  <c r="H186" i="14"/>
  <c r="E187" i="14"/>
  <c r="F187" i="14"/>
  <c r="F196" i="14" s="1"/>
  <c r="G187" i="14"/>
  <c r="H187" i="14"/>
  <c r="I187" i="14"/>
  <c r="J187" i="14"/>
  <c r="E191" i="14"/>
  <c r="E196" i="14" s="1"/>
  <c r="F191" i="14"/>
  <c r="G191" i="14"/>
  <c r="G196" i="14" s="1"/>
  <c r="H191" i="14"/>
  <c r="I191" i="14"/>
  <c r="J191" i="14"/>
  <c r="J196" i="14" s="1"/>
  <c r="H196" i="14"/>
  <c r="I196" i="14"/>
  <c r="E197" i="14"/>
  <c r="F197" i="14"/>
  <c r="G197" i="14"/>
  <c r="G203" i="14" s="1"/>
  <c r="H197" i="14"/>
  <c r="H203" i="14" s="1"/>
  <c r="I197" i="14"/>
  <c r="I203" i="14" s="1"/>
  <c r="J197" i="14"/>
  <c r="J203" i="14" s="1"/>
  <c r="E203" i="14"/>
  <c r="E204" i="14" s="1"/>
  <c r="F203" i="14"/>
  <c r="F204" i="14" s="1"/>
  <c r="E8" i="13"/>
  <c r="E41" i="13" s="1"/>
  <c r="F8" i="13"/>
  <c r="F41" i="13" s="1"/>
  <c r="G8" i="13"/>
  <c r="H8" i="13"/>
  <c r="I8" i="13"/>
  <c r="I41" i="13" s="1"/>
  <c r="J8" i="13"/>
  <c r="E16" i="13"/>
  <c r="F16" i="13"/>
  <c r="G16" i="13"/>
  <c r="H16" i="13"/>
  <c r="I16" i="13"/>
  <c r="J16" i="13"/>
  <c r="E22" i="13"/>
  <c r="F22" i="13"/>
  <c r="G22" i="13"/>
  <c r="H22" i="13"/>
  <c r="I22" i="13"/>
  <c r="J22" i="13"/>
  <c r="E29" i="13"/>
  <c r="F29" i="13"/>
  <c r="G29" i="13"/>
  <c r="H29" i="13"/>
  <c r="I29" i="13"/>
  <c r="J29" i="13"/>
  <c r="J41" i="13" s="1"/>
  <c r="E34" i="13"/>
  <c r="F34" i="13"/>
  <c r="G34" i="13"/>
  <c r="H34" i="13"/>
  <c r="I34" i="13"/>
  <c r="J34" i="13"/>
  <c r="G41" i="13"/>
  <c r="H41" i="13"/>
  <c r="E43" i="13"/>
  <c r="E75" i="13" s="1"/>
  <c r="F43" i="13"/>
  <c r="G43" i="13"/>
  <c r="G75" i="13" s="1"/>
  <c r="H43" i="13"/>
  <c r="I43" i="13"/>
  <c r="J43" i="13"/>
  <c r="E51" i="13"/>
  <c r="F51" i="13"/>
  <c r="G51" i="13"/>
  <c r="H51" i="13"/>
  <c r="I51" i="13"/>
  <c r="J51" i="13"/>
  <c r="E56" i="13"/>
  <c r="F56" i="13"/>
  <c r="G56" i="13"/>
  <c r="H56" i="13"/>
  <c r="I56" i="13"/>
  <c r="I75" i="13" s="1"/>
  <c r="J56" i="13"/>
  <c r="E63" i="13"/>
  <c r="F63" i="13"/>
  <c r="G63" i="13"/>
  <c r="H63" i="13"/>
  <c r="I63" i="13"/>
  <c r="J63" i="13"/>
  <c r="E67" i="13"/>
  <c r="F67" i="13"/>
  <c r="G67" i="13"/>
  <c r="H67" i="13"/>
  <c r="I67" i="13"/>
  <c r="J67" i="13"/>
  <c r="J75" i="13"/>
  <c r="E77" i="13"/>
  <c r="F77" i="13"/>
  <c r="G77" i="13"/>
  <c r="H77" i="13"/>
  <c r="I77" i="13"/>
  <c r="J77" i="13"/>
  <c r="E81" i="13"/>
  <c r="F81" i="13"/>
  <c r="G81" i="13"/>
  <c r="H81" i="13"/>
  <c r="I81" i="13"/>
  <c r="J81" i="13"/>
  <c r="E90" i="13"/>
  <c r="F90" i="13"/>
  <c r="G90" i="13"/>
  <c r="H90" i="13"/>
  <c r="I90" i="13"/>
  <c r="J90" i="13"/>
  <c r="E97" i="13"/>
  <c r="F97" i="13"/>
  <c r="G97" i="13"/>
  <c r="H97" i="13"/>
  <c r="I97" i="13"/>
  <c r="J97" i="13"/>
  <c r="J108" i="13" s="1"/>
  <c r="E102" i="13"/>
  <c r="E108" i="13" s="1"/>
  <c r="F102" i="13"/>
  <c r="G102" i="13"/>
  <c r="H102" i="13"/>
  <c r="I102" i="13"/>
  <c r="I108" i="13" s="1"/>
  <c r="J102" i="13"/>
  <c r="G108" i="13"/>
  <c r="H108" i="13"/>
  <c r="E116" i="13"/>
  <c r="F116" i="13"/>
  <c r="G116" i="13"/>
  <c r="H116" i="13"/>
  <c r="I116" i="13"/>
  <c r="J116" i="13"/>
  <c r="E121" i="13"/>
  <c r="F121" i="13"/>
  <c r="G121" i="13"/>
  <c r="H121" i="13"/>
  <c r="I121" i="13"/>
  <c r="J121" i="13"/>
  <c r="E123" i="13"/>
  <c r="F123" i="13"/>
  <c r="G123" i="13"/>
  <c r="H123" i="13"/>
  <c r="I123" i="13"/>
  <c r="I186" i="13" s="1"/>
  <c r="J123" i="13"/>
  <c r="E128" i="13"/>
  <c r="F128" i="13"/>
  <c r="G128" i="13"/>
  <c r="H128" i="13"/>
  <c r="I128" i="13"/>
  <c r="J128" i="13"/>
  <c r="E163" i="13"/>
  <c r="E186" i="13" s="1"/>
  <c r="F163" i="13"/>
  <c r="F186" i="13" s="1"/>
  <c r="G163" i="13"/>
  <c r="G186" i="13" s="1"/>
  <c r="H163" i="13"/>
  <c r="I163" i="13"/>
  <c r="J163" i="13"/>
  <c r="J186" i="13"/>
  <c r="E187" i="13"/>
  <c r="F187" i="13"/>
  <c r="G187" i="13"/>
  <c r="H187" i="13"/>
  <c r="I187" i="13"/>
  <c r="J187" i="13"/>
  <c r="E191" i="13"/>
  <c r="F191" i="13"/>
  <c r="G191" i="13"/>
  <c r="G196" i="13" s="1"/>
  <c r="H191" i="13"/>
  <c r="H196" i="13" s="1"/>
  <c r="I191" i="13"/>
  <c r="I196" i="13" s="1"/>
  <c r="J191" i="13"/>
  <c r="J196" i="13" s="1"/>
  <c r="E196" i="13"/>
  <c r="F196" i="13"/>
  <c r="E197" i="13"/>
  <c r="E203" i="13" s="1"/>
  <c r="F197" i="13"/>
  <c r="G197" i="13"/>
  <c r="G203" i="13" s="1"/>
  <c r="G204" i="13" s="1"/>
  <c r="H197" i="13"/>
  <c r="I197" i="13"/>
  <c r="J197" i="13"/>
  <c r="J203" i="13" s="1"/>
  <c r="F203" i="13"/>
  <c r="H203" i="13"/>
  <c r="I203" i="13"/>
  <c r="E8" i="12"/>
  <c r="E41" i="12" s="1"/>
  <c r="F8" i="12"/>
  <c r="G8" i="12"/>
  <c r="G41" i="12" s="1"/>
  <c r="H8" i="12"/>
  <c r="I8" i="12"/>
  <c r="J8" i="12"/>
  <c r="E16" i="12"/>
  <c r="F16" i="12"/>
  <c r="G16" i="12"/>
  <c r="H16" i="12"/>
  <c r="I16" i="12"/>
  <c r="J16" i="12"/>
  <c r="E22" i="12"/>
  <c r="F22" i="12"/>
  <c r="G22" i="12"/>
  <c r="H22" i="12"/>
  <c r="I22" i="12"/>
  <c r="I41" i="12" s="1"/>
  <c r="J22" i="12"/>
  <c r="E29" i="12"/>
  <c r="F29" i="12"/>
  <c r="G29" i="12"/>
  <c r="H29" i="12"/>
  <c r="I29" i="12"/>
  <c r="J29" i="12"/>
  <c r="E34" i="12"/>
  <c r="F34" i="12"/>
  <c r="G34" i="12"/>
  <c r="H34" i="12"/>
  <c r="I34" i="12"/>
  <c r="J34" i="12"/>
  <c r="J41" i="12"/>
  <c r="E43" i="12"/>
  <c r="E75" i="12" s="1"/>
  <c r="F43" i="12"/>
  <c r="G43" i="12"/>
  <c r="H43" i="12"/>
  <c r="I43" i="12"/>
  <c r="I75" i="12" s="1"/>
  <c r="J43" i="12"/>
  <c r="E51" i="12"/>
  <c r="F51" i="12"/>
  <c r="G51" i="12"/>
  <c r="H51" i="12"/>
  <c r="H75" i="12" s="1"/>
  <c r="I51" i="12"/>
  <c r="J51" i="12"/>
  <c r="E56" i="12"/>
  <c r="F56" i="12"/>
  <c r="G56" i="12"/>
  <c r="H56" i="12"/>
  <c r="I56" i="12"/>
  <c r="J56" i="12"/>
  <c r="E63" i="12"/>
  <c r="F63" i="12"/>
  <c r="G63" i="12"/>
  <c r="H63" i="12"/>
  <c r="I63" i="12"/>
  <c r="J63" i="12"/>
  <c r="J75" i="12" s="1"/>
  <c r="E67" i="12"/>
  <c r="F67" i="12"/>
  <c r="G67" i="12"/>
  <c r="H67" i="12"/>
  <c r="I67" i="12"/>
  <c r="J67" i="12"/>
  <c r="G75" i="12"/>
  <c r="E77" i="12"/>
  <c r="F77" i="12"/>
  <c r="G77" i="12"/>
  <c r="H77" i="12"/>
  <c r="I77" i="12"/>
  <c r="J77" i="12"/>
  <c r="E81" i="12"/>
  <c r="F81" i="12"/>
  <c r="G81" i="12"/>
  <c r="H81" i="12"/>
  <c r="I81" i="12"/>
  <c r="J81" i="12"/>
  <c r="E90" i="12"/>
  <c r="F90" i="12"/>
  <c r="G90" i="12"/>
  <c r="H90" i="12"/>
  <c r="I90" i="12"/>
  <c r="I108" i="12" s="1"/>
  <c r="J90" i="12"/>
  <c r="E97" i="12"/>
  <c r="F97" i="12"/>
  <c r="G97" i="12"/>
  <c r="H97" i="12"/>
  <c r="I97" i="12"/>
  <c r="J97" i="12"/>
  <c r="E102" i="12"/>
  <c r="E108" i="12" s="1"/>
  <c r="F102" i="12"/>
  <c r="F108" i="12" s="1"/>
  <c r="G102" i="12"/>
  <c r="G108" i="12" s="1"/>
  <c r="H102" i="12"/>
  <c r="I102" i="12"/>
  <c r="J102" i="12"/>
  <c r="J108" i="12"/>
  <c r="E116" i="12"/>
  <c r="F116" i="12"/>
  <c r="G116" i="12"/>
  <c r="H116" i="12"/>
  <c r="I116" i="12"/>
  <c r="J116" i="12"/>
  <c r="E121" i="12"/>
  <c r="F121" i="12"/>
  <c r="G121" i="12"/>
  <c r="H121" i="12"/>
  <c r="I121" i="12"/>
  <c r="J121" i="12"/>
  <c r="E123" i="12"/>
  <c r="F123" i="12"/>
  <c r="G123" i="12"/>
  <c r="H123" i="12"/>
  <c r="I123" i="12"/>
  <c r="J123" i="12"/>
  <c r="E128" i="12"/>
  <c r="F128" i="12"/>
  <c r="G128" i="12"/>
  <c r="H128" i="12"/>
  <c r="I128" i="12"/>
  <c r="J128" i="12"/>
  <c r="J186" i="12" s="1"/>
  <c r="E163" i="12"/>
  <c r="E186" i="12" s="1"/>
  <c r="F163" i="12"/>
  <c r="F186" i="12" s="1"/>
  <c r="G163" i="12"/>
  <c r="H163" i="12"/>
  <c r="I163" i="12"/>
  <c r="I186" i="12" s="1"/>
  <c r="J163" i="12"/>
  <c r="G186" i="12"/>
  <c r="H186" i="12"/>
  <c r="E187" i="12"/>
  <c r="F187" i="12"/>
  <c r="F196" i="12" s="1"/>
  <c r="G187" i="12"/>
  <c r="H187" i="12"/>
  <c r="I187" i="12"/>
  <c r="J187" i="12"/>
  <c r="E191" i="12"/>
  <c r="E196" i="12" s="1"/>
  <c r="F191" i="12"/>
  <c r="G191" i="12"/>
  <c r="G196" i="12" s="1"/>
  <c r="H191" i="12"/>
  <c r="I191" i="12"/>
  <c r="J191" i="12"/>
  <c r="J196" i="12" s="1"/>
  <c r="H196" i="12"/>
  <c r="I196" i="12"/>
  <c r="E197" i="12"/>
  <c r="F197" i="12"/>
  <c r="G197" i="12"/>
  <c r="G203" i="12" s="1"/>
  <c r="H197" i="12"/>
  <c r="H203" i="12" s="1"/>
  <c r="I197" i="12"/>
  <c r="I203" i="12" s="1"/>
  <c r="J197" i="12"/>
  <c r="J203" i="12" s="1"/>
  <c r="E203" i="12"/>
  <c r="E204" i="12" s="1"/>
  <c r="F203" i="12"/>
  <c r="E8" i="11"/>
  <c r="E41" i="11" s="1"/>
  <c r="F8" i="11"/>
  <c r="G8" i="11"/>
  <c r="H8" i="11"/>
  <c r="I8" i="11"/>
  <c r="I41" i="11" s="1"/>
  <c r="J8" i="11"/>
  <c r="E16" i="11"/>
  <c r="F16" i="11"/>
  <c r="G16" i="11"/>
  <c r="H16" i="11"/>
  <c r="I16" i="11"/>
  <c r="J16" i="11"/>
  <c r="E22" i="11"/>
  <c r="F22" i="11"/>
  <c r="G22" i="11"/>
  <c r="H22" i="11"/>
  <c r="I22" i="11"/>
  <c r="J22" i="11"/>
  <c r="E29" i="11"/>
  <c r="F29" i="11"/>
  <c r="G29" i="11"/>
  <c r="H29" i="11"/>
  <c r="I29" i="11"/>
  <c r="J29" i="11"/>
  <c r="J41" i="11" s="1"/>
  <c r="E34" i="11"/>
  <c r="F34" i="11"/>
  <c r="G34" i="11"/>
  <c r="H34" i="11"/>
  <c r="I34" i="11"/>
  <c r="J34" i="11"/>
  <c r="G41" i="11"/>
  <c r="H41" i="11"/>
  <c r="E43" i="11"/>
  <c r="E75" i="11" s="1"/>
  <c r="F43" i="11"/>
  <c r="G43" i="11"/>
  <c r="G75" i="11" s="1"/>
  <c r="H43" i="11"/>
  <c r="H75" i="11" s="1"/>
  <c r="I43" i="11"/>
  <c r="J43" i="11"/>
  <c r="E51" i="11"/>
  <c r="F51" i="11"/>
  <c r="G51" i="11"/>
  <c r="H51" i="11"/>
  <c r="I51" i="11"/>
  <c r="J51" i="11"/>
  <c r="E56" i="11"/>
  <c r="F56" i="11"/>
  <c r="G56" i="11"/>
  <c r="H56" i="11"/>
  <c r="I56" i="11"/>
  <c r="I75" i="11" s="1"/>
  <c r="J56" i="11"/>
  <c r="E63" i="11"/>
  <c r="F63" i="11"/>
  <c r="G63" i="11"/>
  <c r="H63" i="11"/>
  <c r="I63" i="11"/>
  <c r="J63" i="11"/>
  <c r="E67" i="11"/>
  <c r="F67" i="11"/>
  <c r="G67" i="11"/>
  <c r="H67" i="11"/>
  <c r="I67" i="11"/>
  <c r="J67" i="11"/>
  <c r="J75" i="11"/>
  <c r="E77" i="11"/>
  <c r="F77" i="11"/>
  <c r="G77" i="11"/>
  <c r="H77" i="11"/>
  <c r="I77" i="11"/>
  <c r="J77" i="11"/>
  <c r="E81" i="11"/>
  <c r="F81" i="11"/>
  <c r="G81" i="11"/>
  <c r="H81" i="11"/>
  <c r="I81" i="11"/>
  <c r="J81" i="11"/>
  <c r="E90" i="11"/>
  <c r="F90" i="11"/>
  <c r="G90" i="11"/>
  <c r="H90" i="11"/>
  <c r="I90" i="11"/>
  <c r="J90" i="11"/>
  <c r="E97" i="11"/>
  <c r="F97" i="11"/>
  <c r="G97" i="11"/>
  <c r="H97" i="11"/>
  <c r="I97" i="11"/>
  <c r="J97" i="11"/>
  <c r="J108" i="11" s="1"/>
  <c r="E102" i="11"/>
  <c r="E108" i="11" s="1"/>
  <c r="F102" i="11"/>
  <c r="F108" i="11" s="1"/>
  <c r="G102" i="11"/>
  <c r="H102" i="11"/>
  <c r="I102" i="11"/>
  <c r="I108" i="11" s="1"/>
  <c r="J102" i="11"/>
  <c r="G108" i="11"/>
  <c r="H108" i="11"/>
  <c r="E116" i="11"/>
  <c r="F116" i="11"/>
  <c r="G116" i="11"/>
  <c r="H116" i="11"/>
  <c r="I116" i="11"/>
  <c r="J116" i="11"/>
  <c r="E121" i="11"/>
  <c r="F121" i="11"/>
  <c r="G121" i="11"/>
  <c r="H121" i="11"/>
  <c r="I121" i="11"/>
  <c r="J121" i="11"/>
  <c r="E123" i="11"/>
  <c r="F123" i="11"/>
  <c r="G123" i="11"/>
  <c r="H123" i="11"/>
  <c r="I123" i="11"/>
  <c r="I186" i="11" s="1"/>
  <c r="J123" i="11"/>
  <c r="E128" i="11"/>
  <c r="F128" i="11"/>
  <c r="G128" i="11"/>
  <c r="H128" i="11"/>
  <c r="I128" i="11"/>
  <c r="J128" i="11"/>
  <c r="E163" i="11"/>
  <c r="E186" i="11" s="1"/>
  <c r="F163" i="11"/>
  <c r="F186" i="11" s="1"/>
  <c r="G163" i="11"/>
  <c r="G186" i="11" s="1"/>
  <c r="H163" i="11"/>
  <c r="I163" i="11"/>
  <c r="J163" i="11"/>
  <c r="J186" i="11"/>
  <c r="E187" i="11"/>
  <c r="F187" i="11"/>
  <c r="G187" i="11"/>
  <c r="H187" i="11"/>
  <c r="I187" i="11"/>
  <c r="J187" i="11"/>
  <c r="E191" i="11"/>
  <c r="F191" i="11"/>
  <c r="G191" i="11"/>
  <c r="G196" i="11" s="1"/>
  <c r="H191" i="11"/>
  <c r="H196" i="11" s="1"/>
  <c r="I191" i="11"/>
  <c r="I196" i="11" s="1"/>
  <c r="J191" i="11"/>
  <c r="J196" i="11" s="1"/>
  <c r="E196" i="11"/>
  <c r="F196" i="11"/>
  <c r="E197" i="11"/>
  <c r="E203" i="11" s="1"/>
  <c r="F197" i="11"/>
  <c r="G197" i="11"/>
  <c r="G203" i="11" s="1"/>
  <c r="G204" i="11" s="1"/>
  <c r="H197" i="11"/>
  <c r="I197" i="11"/>
  <c r="J197" i="11"/>
  <c r="J203" i="11" s="1"/>
  <c r="F203" i="11"/>
  <c r="H203" i="11"/>
  <c r="I203" i="11"/>
  <c r="E8" i="10"/>
  <c r="E41" i="10" s="1"/>
  <c r="F8" i="10"/>
  <c r="G8" i="10"/>
  <c r="G41" i="10" s="1"/>
  <c r="H8" i="10"/>
  <c r="I8" i="10"/>
  <c r="J8" i="10"/>
  <c r="E16" i="10"/>
  <c r="F16" i="10"/>
  <c r="G16" i="10"/>
  <c r="H16" i="10"/>
  <c r="I16" i="10"/>
  <c r="J16" i="10"/>
  <c r="E22" i="10"/>
  <c r="F22" i="10"/>
  <c r="G22" i="10"/>
  <c r="H22" i="10"/>
  <c r="I22" i="10"/>
  <c r="I41" i="10" s="1"/>
  <c r="J22" i="10"/>
  <c r="E29" i="10"/>
  <c r="F29" i="10"/>
  <c r="G29" i="10"/>
  <c r="H29" i="10"/>
  <c r="I29" i="10"/>
  <c r="J29" i="10"/>
  <c r="E34" i="10"/>
  <c r="F34" i="10"/>
  <c r="G34" i="10"/>
  <c r="H34" i="10"/>
  <c r="I34" i="10"/>
  <c r="J34" i="10"/>
  <c r="J41" i="10"/>
  <c r="E43" i="10"/>
  <c r="E75" i="10" s="1"/>
  <c r="F43" i="10"/>
  <c r="F75" i="10" s="1"/>
  <c r="G43" i="10"/>
  <c r="H43" i="10"/>
  <c r="H75" i="10" s="1"/>
  <c r="I43" i="10"/>
  <c r="I75" i="10" s="1"/>
  <c r="J43" i="10"/>
  <c r="E51" i="10"/>
  <c r="F51" i="10"/>
  <c r="G51" i="10"/>
  <c r="H51" i="10"/>
  <c r="I51" i="10"/>
  <c r="J51" i="10"/>
  <c r="E56" i="10"/>
  <c r="F56" i="10"/>
  <c r="G56" i="10"/>
  <c r="H56" i="10"/>
  <c r="I56" i="10"/>
  <c r="J56" i="10"/>
  <c r="E63" i="10"/>
  <c r="F63" i="10"/>
  <c r="G63" i="10"/>
  <c r="H63" i="10"/>
  <c r="I63" i="10"/>
  <c r="J63" i="10"/>
  <c r="J75" i="10" s="1"/>
  <c r="E67" i="10"/>
  <c r="F67" i="10"/>
  <c r="G67" i="10"/>
  <c r="H67" i="10"/>
  <c r="I67" i="10"/>
  <c r="J67" i="10"/>
  <c r="AZ67" i="10"/>
  <c r="BA67" i="10"/>
  <c r="BB67" i="10"/>
  <c r="BC67" i="10"/>
  <c r="G75" i="10"/>
  <c r="AZ75" i="10"/>
  <c r="BA75" i="10"/>
  <c r="BB75" i="10"/>
  <c r="BC75" i="10"/>
  <c r="E77" i="10"/>
  <c r="F77" i="10"/>
  <c r="G77" i="10"/>
  <c r="H77" i="10"/>
  <c r="I77" i="10"/>
  <c r="J77" i="10"/>
  <c r="E81" i="10"/>
  <c r="F81" i="10"/>
  <c r="F108" i="10" s="1"/>
  <c r="G81" i="10"/>
  <c r="H81" i="10"/>
  <c r="I81" i="10"/>
  <c r="J81" i="10"/>
  <c r="E90" i="10"/>
  <c r="F90" i="10"/>
  <c r="G90" i="10"/>
  <c r="H90" i="10"/>
  <c r="I90" i="10"/>
  <c r="J90" i="10"/>
  <c r="E97" i="10"/>
  <c r="F97" i="10"/>
  <c r="G97" i="10"/>
  <c r="H97" i="10"/>
  <c r="I97" i="10"/>
  <c r="J97" i="10"/>
  <c r="E102" i="10"/>
  <c r="E108" i="10" s="1"/>
  <c r="F102" i="10"/>
  <c r="G102" i="10"/>
  <c r="H102" i="10"/>
  <c r="H108" i="10" s="1"/>
  <c r="I102" i="10"/>
  <c r="I108" i="10" s="1"/>
  <c r="J102" i="10"/>
  <c r="G108" i="10"/>
  <c r="E116" i="10"/>
  <c r="F116" i="10"/>
  <c r="G116" i="10"/>
  <c r="H116" i="10"/>
  <c r="I116" i="10"/>
  <c r="J116" i="10"/>
  <c r="E121" i="10"/>
  <c r="F121" i="10"/>
  <c r="G121" i="10"/>
  <c r="H121" i="10"/>
  <c r="I121" i="10"/>
  <c r="J121" i="10"/>
  <c r="E123" i="10"/>
  <c r="F123" i="10"/>
  <c r="G123" i="10"/>
  <c r="H123" i="10"/>
  <c r="I123" i="10"/>
  <c r="J123" i="10"/>
  <c r="E128" i="10"/>
  <c r="F128" i="10"/>
  <c r="G128" i="10"/>
  <c r="H128" i="10"/>
  <c r="I128" i="10"/>
  <c r="J128" i="10"/>
  <c r="E163" i="10"/>
  <c r="E186" i="10" s="1"/>
  <c r="F163" i="10"/>
  <c r="G163" i="10"/>
  <c r="G186" i="10" s="1"/>
  <c r="H163" i="10"/>
  <c r="H186" i="10" s="1"/>
  <c r="I163" i="10"/>
  <c r="I186" i="10" s="1"/>
  <c r="J163" i="10"/>
  <c r="J186" i="10" s="1"/>
  <c r="E187" i="10"/>
  <c r="F187" i="10"/>
  <c r="G187" i="10"/>
  <c r="H187" i="10"/>
  <c r="H196" i="10" s="1"/>
  <c r="I187" i="10"/>
  <c r="J187" i="10"/>
  <c r="E191" i="10"/>
  <c r="F191" i="10"/>
  <c r="G191" i="10"/>
  <c r="G196" i="10" s="1"/>
  <c r="H191" i="10"/>
  <c r="I191" i="10"/>
  <c r="J191" i="10"/>
  <c r="E196" i="10"/>
  <c r="F196" i="10"/>
  <c r="I196" i="10"/>
  <c r="J196" i="10"/>
  <c r="E197" i="10"/>
  <c r="E203" i="10" s="1"/>
  <c r="F197" i="10"/>
  <c r="F203" i="10" s="1"/>
  <c r="G197" i="10"/>
  <c r="H197" i="10"/>
  <c r="I197" i="10"/>
  <c r="I203" i="10" s="1"/>
  <c r="J197" i="10"/>
  <c r="G203" i="10"/>
  <c r="H203" i="10"/>
  <c r="J203" i="10"/>
  <c r="E8" i="9"/>
  <c r="E41" i="9" s="1"/>
  <c r="F8" i="9"/>
  <c r="G8" i="9"/>
  <c r="G41" i="9" s="1"/>
  <c r="H8" i="9"/>
  <c r="H41" i="9" s="1"/>
  <c r="I8" i="9"/>
  <c r="I41" i="9" s="1"/>
  <c r="J8" i="9"/>
  <c r="E16" i="9"/>
  <c r="F16" i="9"/>
  <c r="G16" i="9"/>
  <c r="H16" i="9"/>
  <c r="I16" i="9"/>
  <c r="J16" i="9"/>
  <c r="E22" i="9"/>
  <c r="F22" i="9"/>
  <c r="G22" i="9"/>
  <c r="H22" i="9"/>
  <c r="I22" i="9"/>
  <c r="J22" i="9"/>
  <c r="E29" i="9"/>
  <c r="F29" i="9"/>
  <c r="G29" i="9"/>
  <c r="H29" i="9"/>
  <c r="I29" i="9"/>
  <c r="J29" i="9"/>
  <c r="E34" i="9"/>
  <c r="F34" i="9"/>
  <c r="G34" i="9"/>
  <c r="H34" i="9"/>
  <c r="I34" i="9"/>
  <c r="J34" i="9"/>
  <c r="E43" i="9"/>
  <c r="E75" i="9" s="1"/>
  <c r="F43" i="9"/>
  <c r="G43" i="9"/>
  <c r="H43" i="9"/>
  <c r="H75" i="9" s="1"/>
  <c r="I43" i="9"/>
  <c r="I75" i="9" s="1"/>
  <c r="J43" i="9"/>
  <c r="J75" i="9" s="1"/>
  <c r="E51" i="9"/>
  <c r="F51" i="9"/>
  <c r="F75" i="9" s="1"/>
  <c r="G51" i="9"/>
  <c r="H51" i="9"/>
  <c r="I51" i="9"/>
  <c r="J51" i="9"/>
  <c r="E56" i="9"/>
  <c r="F56" i="9"/>
  <c r="G56" i="9"/>
  <c r="H56" i="9"/>
  <c r="I56" i="9"/>
  <c r="J56" i="9"/>
  <c r="E63" i="9"/>
  <c r="F63" i="9"/>
  <c r="G63" i="9"/>
  <c r="H63" i="9"/>
  <c r="I63" i="9"/>
  <c r="J63" i="9"/>
  <c r="E67" i="9"/>
  <c r="F67" i="9"/>
  <c r="G67" i="9"/>
  <c r="H67" i="9"/>
  <c r="I67" i="9"/>
  <c r="J67" i="9"/>
  <c r="G75" i="9"/>
  <c r="E77" i="9"/>
  <c r="F77" i="9"/>
  <c r="G77" i="9"/>
  <c r="H77" i="9"/>
  <c r="I77" i="9"/>
  <c r="J77" i="9"/>
  <c r="E81" i="9"/>
  <c r="F81" i="9"/>
  <c r="G81" i="9"/>
  <c r="H81" i="9"/>
  <c r="I81" i="9"/>
  <c r="J81" i="9"/>
  <c r="E90" i="9"/>
  <c r="F90" i="9"/>
  <c r="G90" i="9"/>
  <c r="H90" i="9"/>
  <c r="I90" i="9"/>
  <c r="J90" i="9"/>
  <c r="E97" i="9"/>
  <c r="F97" i="9"/>
  <c r="G97" i="9"/>
  <c r="H97" i="9"/>
  <c r="I97" i="9"/>
  <c r="J97" i="9"/>
  <c r="E102" i="9"/>
  <c r="E108" i="9" s="1"/>
  <c r="F102" i="9"/>
  <c r="F108" i="9" s="1"/>
  <c r="G102" i="9"/>
  <c r="G108" i="9" s="1"/>
  <c r="H102" i="9"/>
  <c r="H108" i="9" s="1"/>
  <c r="I102" i="9"/>
  <c r="I108" i="9" s="1"/>
  <c r="J102" i="9"/>
  <c r="J108" i="9" s="1"/>
  <c r="E116" i="9"/>
  <c r="F116" i="9"/>
  <c r="G116" i="9"/>
  <c r="H116" i="9"/>
  <c r="I116" i="9"/>
  <c r="J116" i="9"/>
  <c r="E121" i="9"/>
  <c r="F121" i="9"/>
  <c r="G121" i="9"/>
  <c r="H121" i="9"/>
  <c r="I121" i="9"/>
  <c r="J121" i="9"/>
  <c r="E123" i="9"/>
  <c r="F123" i="9"/>
  <c r="G123" i="9"/>
  <c r="H123" i="9"/>
  <c r="I123" i="9"/>
  <c r="J123" i="9"/>
  <c r="E128" i="9"/>
  <c r="F128" i="9"/>
  <c r="G128" i="9"/>
  <c r="H128" i="9"/>
  <c r="I128" i="9"/>
  <c r="J128" i="9"/>
  <c r="E163" i="9"/>
  <c r="E186" i="9" s="1"/>
  <c r="F163" i="9"/>
  <c r="G163" i="9"/>
  <c r="H163" i="9"/>
  <c r="H186" i="9" s="1"/>
  <c r="I163" i="9"/>
  <c r="I186" i="9" s="1"/>
  <c r="J163" i="9"/>
  <c r="J186" i="9" s="1"/>
  <c r="F186" i="9"/>
  <c r="G186" i="9"/>
  <c r="E187" i="9"/>
  <c r="F187" i="9"/>
  <c r="G187" i="9"/>
  <c r="H187" i="9"/>
  <c r="I187" i="9"/>
  <c r="J187" i="9"/>
  <c r="J196" i="9" s="1"/>
  <c r="E191" i="9"/>
  <c r="E196" i="9" s="1"/>
  <c r="F191" i="9"/>
  <c r="F196" i="9" s="1"/>
  <c r="G191" i="9"/>
  <c r="H191" i="9"/>
  <c r="I191" i="9"/>
  <c r="I196" i="9" s="1"/>
  <c r="J191" i="9"/>
  <c r="G196" i="9"/>
  <c r="H196" i="9"/>
  <c r="E197" i="9"/>
  <c r="F197" i="9"/>
  <c r="G197" i="9"/>
  <c r="G203" i="9" s="1"/>
  <c r="H197" i="9"/>
  <c r="I197" i="9"/>
  <c r="J197" i="9"/>
  <c r="E203" i="9"/>
  <c r="F203" i="9"/>
  <c r="H203" i="9"/>
  <c r="I203" i="9"/>
  <c r="J203" i="9"/>
  <c r="E8" i="8"/>
  <c r="E41" i="8" s="1"/>
  <c r="F8" i="8"/>
  <c r="F41" i="8" s="1"/>
  <c r="G8" i="8"/>
  <c r="H8" i="8"/>
  <c r="I8" i="8"/>
  <c r="J8" i="8"/>
  <c r="K8" i="8"/>
  <c r="K41" i="8" s="1"/>
  <c r="L8" i="8"/>
  <c r="M8" i="8"/>
  <c r="N8" i="8"/>
  <c r="O8" i="8"/>
  <c r="O41" i="8" s="1"/>
  <c r="P8" i="8"/>
  <c r="E16" i="8"/>
  <c r="F16" i="8"/>
  <c r="G16" i="8"/>
  <c r="H16" i="8"/>
  <c r="H41" i="8" s="1"/>
  <c r="I16" i="8"/>
  <c r="J16" i="8"/>
  <c r="K16" i="8"/>
  <c r="L16" i="8"/>
  <c r="M16" i="8"/>
  <c r="N16" i="8"/>
  <c r="O16" i="8"/>
  <c r="P16" i="8"/>
  <c r="E22" i="8"/>
  <c r="F22" i="8"/>
  <c r="G22" i="8"/>
  <c r="H22" i="8"/>
  <c r="I22" i="8"/>
  <c r="J22" i="8"/>
  <c r="K22" i="8"/>
  <c r="L22" i="8"/>
  <c r="M22" i="8"/>
  <c r="N22" i="8"/>
  <c r="O22" i="8"/>
  <c r="P22" i="8"/>
  <c r="E29" i="8"/>
  <c r="F29" i="8"/>
  <c r="G29" i="8"/>
  <c r="H29" i="8"/>
  <c r="I29" i="8"/>
  <c r="J29" i="8"/>
  <c r="K29" i="8"/>
  <c r="L29" i="8"/>
  <c r="M29" i="8"/>
  <c r="N29" i="8"/>
  <c r="O29" i="8"/>
  <c r="P29" i="8"/>
  <c r="E34" i="8"/>
  <c r="F34" i="8"/>
  <c r="G34" i="8"/>
  <c r="H34" i="8"/>
  <c r="I34" i="8"/>
  <c r="J34" i="8"/>
  <c r="K34" i="8"/>
  <c r="L34" i="8"/>
  <c r="M34" i="8"/>
  <c r="N34" i="8"/>
  <c r="O34" i="8"/>
  <c r="P34" i="8"/>
  <c r="G41" i="8"/>
  <c r="I41" i="8"/>
  <c r="L41" i="8"/>
  <c r="M41" i="8"/>
  <c r="N41" i="8"/>
  <c r="E43" i="8"/>
  <c r="E75" i="8" s="1"/>
  <c r="F43" i="8"/>
  <c r="F75" i="8" s="1"/>
  <c r="G43" i="8"/>
  <c r="H43" i="8"/>
  <c r="I43" i="8"/>
  <c r="J43" i="8"/>
  <c r="K43" i="8"/>
  <c r="K75" i="8" s="1"/>
  <c r="L43" i="8"/>
  <c r="M43" i="8"/>
  <c r="N43" i="8"/>
  <c r="O43" i="8"/>
  <c r="O75" i="8" s="1"/>
  <c r="P43" i="8"/>
  <c r="E51" i="8"/>
  <c r="F51" i="8"/>
  <c r="G51" i="8"/>
  <c r="H51" i="8"/>
  <c r="H75" i="8" s="1"/>
  <c r="I51" i="8"/>
  <c r="J51" i="8"/>
  <c r="K51" i="8"/>
  <c r="L51" i="8"/>
  <c r="M51" i="8"/>
  <c r="N51" i="8"/>
  <c r="O51" i="8"/>
  <c r="P51" i="8"/>
  <c r="E56" i="8"/>
  <c r="F56" i="8"/>
  <c r="G56" i="8"/>
  <c r="H56" i="8"/>
  <c r="I56" i="8"/>
  <c r="J56" i="8"/>
  <c r="K56" i="8"/>
  <c r="L56" i="8"/>
  <c r="M56" i="8"/>
  <c r="N56" i="8"/>
  <c r="O56" i="8"/>
  <c r="P56" i="8"/>
  <c r="E63" i="8"/>
  <c r="F63" i="8"/>
  <c r="G63" i="8"/>
  <c r="H63" i="8"/>
  <c r="I63" i="8"/>
  <c r="J63" i="8"/>
  <c r="K63" i="8"/>
  <c r="L63" i="8"/>
  <c r="M63" i="8"/>
  <c r="N63" i="8"/>
  <c r="O63" i="8"/>
  <c r="P63" i="8"/>
  <c r="E67" i="8"/>
  <c r="F67" i="8"/>
  <c r="G67" i="8"/>
  <c r="H67" i="8"/>
  <c r="I67" i="8"/>
  <c r="J67" i="8"/>
  <c r="K67" i="8"/>
  <c r="L67" i="8"/>
  <c r="M67" i="8"/>
  <c r="N67" i="8"/>
  <c r="O67" i="8"/>
  <c r="P67" i="8"/>
  <c r="G75" i="8"/>
  <c r="I75" i="8"/>
  <c r="L75" i="8"/>
  <c r="M75" i="8"/>
  <c r="N75" i="8"/>
  <c r="E77" i="8"/>
  <c r="F77" i="8"/>
  <c r="G77" i="8"/>
  <c r="H77" i="8"/>
  <c r="I77" i="8"/>
  <c r="J77" i="8"/>
  <c r="K77" i="8"/>
  <c r="L77" i="8"/>
  <c r="M77" i="8"/>
  <c r="N77" i="8"/>
  <c r="O77" i="8"/>
  <c r="P77" i="8"/>
  <c r="E81" i="8"/>
  <c r="F81" i="8"/>
  <c r="G81" i="8"/>
  <c r="H81" i="8"/>
  <c r="I81" i="8"/>
  <c r="J81" i="8"/>
  <c r="K81" i="8"/>
  <c r="L81" i="8"/>
  <c r="M81" i="8"/>
  <c r="N81" i="8"/>
  <c r="O81" i="8"/>
  <c r="P81" i="8"/>
  <c r="E90" i="8"/>
  <c r="F90" i="8"/>
  <c r="G90" i="8"/>
  <c r="H90" i="8"/>
  <c r="I90" i="8"/>
  <c r="J90" i="8"/>
  <c r="K90" i="8"/>
  <c r="L90" i="8"/>
  <c r="M90" i="8"/>
  <c r="N90" i="8"/>
  <c r="O90" i="8"/>
  <c r="P90" i="8"/>
  <c r="E97" i="8"/>
  <c r="F97" i="8"/>
  <c r="G97" i="8"/>
  <c r="H97" i="8"/>
  <c r="I97" i="8"/>
  <c r="J97" i="8"/>
  <c r="K97" i="8"/>
  <c r="L97" i="8"/>
  <c r="M97" i="8"/>
  <c r="N97" i="8"/>
  <c r="O97" i="8"/>
  <c r="P97" i="8"/>
  <c r="E102" i="8"/>
  <c r="E108" i="8" s="1"/>
  <c r="F102" i="8"/>
  <c r="F108" i="8" s="1"/>
  <c r="G102" i="8"/>
  <c r="H102" i="8"/>
  <c r="I102" i="8"/>
  <c r="J102" i="8"/>
  <c r="J108" i="8" s="1"/>
  <c r="K102" i="8"/>
  <c r="K108" i="8" s="1"/>
  <c r="L102" i="8"/>
  <c r="M102" i="8"/>
  <c r="N102" i="8"/>
  <c r="O102" i="8"/>
  <c r="O108" i="8" s="1"/>
  <c r="P102" i="8"/>
  <c r="P108" i="8" s="1"/>
  <c r="G108" i="8"/>
  <c r="H108" i="8"/>
  <c r="I108" i="8"/>
  <c r="L108" i="8"/>
  <c r="M108" i="8"/>
  <c r="N108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E163" i="8"/>
  <c r="E186" i="8" s="1"/>
  <c r="F163" i="8"/>
  <c r="F186" i="8" s="1"/>
  <c r="G163" i="8"/>
  <c r="H163" i="8"/>
  <c r="I163" i="8"/>
  <c r="J163" i="8"/>
  <c r="J186" i="8" s="1"/>
  <c r="K163" i="8"/>
  <c r="K186" i="8" s="1"/>
  <c r="L163" i="8"/>
  <c r="M163" i="8"/>
  <c r="N163" i="8"/>
  <c r="O163" i="8"/>
  <c r="O186" i="8" s="1"/>
  <c r="P163" i="8"/>
  <c r="P186" i="8" s="1"/>
  <c r="G186" i="8"/>
  <c r="H186" i="8"/>
  <c r="I186" i="8"/>
  <c r="L186" i="8"/>
  <c r="M186" i="8"/>
  <c r="N186" i="8"/>
  <c r="E187" i="8"/>
  <c r="F187" i="8"/>
  <c r="G187" i="8"/>
  <c r="H187" i="8"/>
  <c r="I187" i="8"/>
  <c r="J187" i="8"/>
  <c r="J196" i="8" s="1"/>
  <c r="K187" i="8"/>
  <c r="L187" i="8"/>
  <c r="M187" i="8"/>
  <c r="N187" i="8"/>
  <c r="O187" i="8"/>
  <c r="P187" i="8"/>
  <c r="P196" i="8" s="1"/>
  <c r="E191" i="8"/>
  <c r="F191" i="8"/>
  <c r="G191" i="8"/>
  <c r="G196" i="8" s="1"/>
  <c r="H191" i="8"/>
  <c r="H196" i="8" s="1"/>
  <c r="I191" i="8"/>
  <c r="I196" i="8" s="1"/>
  <c r="J191" i="8"/>
  <c r="K191" i="8"/>
  <c r="L191" i="8"/>
  <c r="L196" i="8" s="1"/>
  <c r="M191" i="8"/>
  <c r="M196" i="8" s="1"/>
  <c r="N191" i="8"/>
  <c r="N196" i="8" s="1"/>
  <c r="O191" i="8"/>
  <c r="P191" i="8"/>
  <c r="E196" i="8"/>
  <c r="F196" i="8"/>
  <c r="K196" i="8"/>
  <c r="O196" i="8"/>
  <c r="E197" i="8"/>
  <c r="F197" i="8"/>
  <c r="G197" i="8"/>
  <c r="G203" i="8" s="1"/>
  <c r="G204" i="8" s="1"/>
  <c r="H197" i="8"/>
  <c r="H203" i="8" s="1"/>
  <c r="H204" i="8" s="1"/>
  <c r="I197" i="8"/>
  <c r="I203" i="8" s="1"/>
  <c r="I204" i="8" s="1"/>
  <c r="J197" i="8"/>
  <c r="K197" i="8"/>
  <c r="L197" i="8"/>
  <c r="L203" i="8" s="1"/>
  <c r="L204" i="8" s="1"/>
  <c r="M197" i="8"/>
  <c r="M203" i="8" s="1"/>
  <c r="N197" i="8"/>
  <c r="N203" i="8" s="1"/>
  <c r="N204" i="8" s="1"/>
  <c r="O197" i="8"/>
  <c r="P197" i="8"/>
  <c r="E203" i="8"/>
  <c r="F203" i="8"/>
  <c r="J203" i="8"/>
  <c r="K203" i="8"/>
  <c r="O203" i="8"/>
  <c r="P203" i="8"/>
  <c r="S3" i="7"/>
  <c r="T3" i="7"/>
  <c r="U3" i="7"/>
  <c r="V3" i="7"/>
  <c r="W3" i="7" s="1"/>
  <c r="X3" i="7" s="1"/>
  <c r="E4" i="7"/>
  <c r="N4" i="7"/>
  <c r="E5" i="7"/>
  <c r="F5" i="7"/>
  <c r="G5" i="7"/>
  <c r="H5" i="7"/>
  <c r="I5" i="7"/>
  <c r="J5" i="7"/>
  <c r="L5" i="7"/>
  <c r="N5" i="7"/>
  <c r="P5" i="7"/>
  <c r="Q5" i="7"/>
  <c r="R5" i="7"/>
  <c r="S5" i="7"/>
  <c r="T5" i="7"/>
  <c r="U5" i="7"/>
  <c r="V5" i="7"/>
  <c r="W5" i="7"/>
  <c r="X5" i="7"/>
  <c r="E6" i="7"/>
  <c r="F6" i="7"/>
  <c r="G6" i="7"/>
  <c r="H6" i="7"/>
  <c r="I6" i="7"/>
  <c r="J6" i="7"/>
  <c r="L6" i="7"/>
  <c r="N6" i="7"/>
  <c r="O6" i="7"/>
  <c r="P6" i="7"/>
  <c r="Q6" i="7"/>
  <c r="R6" i="7"/>
  <c r="S6" i="7"/>
  <c r="T6" i="7"/>
  <c r="U6" i="7"/>
  <c r="V6" i="7"/>
  <c r="W6" i="7"/>
  <c r="X6" i="7"/>
  <c r="E7" i="7"/>
  <c r="F7" i="7"/>
  <c r="G7" i="7"/>
  <c r="H7" i="7"/>
  <c r="I7" i="7"/>
  <c r="J7" i="7"/>
  <c r="L7" i="7"/>
  <c r="N7" i="7"/>
  <c r="P7" i="7"/>
  <c r="Q7" i="7"/>
  <c r="R7" i="7"/>
  <c r="S7" i="7"/>
  <c r="T7" i="7"/>
  <c r="U7" i="7"/>
  <c r="V7" i="7"/>
  <c r="W7" i="7"/>
  <c r="X7" i="7"/>
  <c r="C8" i="7"/>
  <c r="E8" i="7"/>
  <c r="F8" i="7"/>
  <c r="G8" i="7"/>
  <c r="H8" i="7"/>
  <c r="I8" i="7"/>
  <c r="J8" i="7"/>
  <c r="L8" i="7"/>
  <c r="N8" i="7"/>
  <c r="N10" i="7" s="1"/>
  <c r="P8" i="7"/>
  <c r="Q8" i="7"/>
  <c r="R8" i="7"/>
  <c r="S8" i="7"/>
  <c r="T8" i="7"/>
  <c r="U8" i="7"/>
  <c r="V8" i="7"/>
  <c r="W8" i="7"/>
  <c r="X8" i="7"/>
  <c r="E9" i="7"/>
  <c r="F9" i="7"/>
  <c r="G9" i="7"/>
  <c r="H9" i="7"/>
  <c r="I9" i="7"/>
  <c r="J9" i="7"/>
  <c r="L9" i="7"/>
  <c r="N9" i="7"/>
  <c r="P9" i="7"/>
  <c r="Q9" i="7"/>
  <c r="R9" i="7"/>
  <c r="S9" i="7"/>
  <c r="T9" i="7"/>
  <c r="U9" i="7"/>
  <c r="V9" i="7"/>
  <c r="W9" i="7"/>
  <c r="X9" i="7"/>
  <c r="G156" i="7"/>
  <c r="S3" i="6"/>
  <c r="T3" i="6"/>
  <c r="U3" i="6"/>
  <c r="V3" i="6"/>
  <c r="W3" i="6" s="1"/>
  <c r="X3" i="6" s="1"/>
  <c r="E4" i="6"/>
  <c r="N4" i="6"/>
  <c r="E5" i="6"/>
  <c r="F5" i="6"/>
  <c r="G5" i="6"/>
  <c r="H5" i="6"/>
  <c r="I5" i="6"/>
  <c r="J5" i="6"/>
  <c r="L5" i="6"/>
  <c r="N5" i="6"/>
  <c r="P5" i="6"/>
  <c r="Q5" i="6"/>
  <c r="R5" i="6"/>
  <c r="S5" i="6"/>
  <c r="T5" i="6"/>
  <c r="U5" i="6"/>
  <c r="V5" i="6"/>
  <c r="W5" i="6"/>
  <c r="X5" i="6"/>
  <c r="E6" i="6"/>
  <c r="F6" i="6"/>
  <c r="G6" i="6"/>
  <c r="H6" i="6"/>
  <c r="I6" i="6"/>
  <c r="J6" i="6"/>
  <c r="L6" i="6"/>
  <c r="N6" i="6"/>
  <c r="P6" i="6"/>
  <c r="Q6" i="6"/>
  <c r="R6" i="6"/>
  <c r="S6" i="6"/>
  <c r="T6" i="6"/>
  <c r="U6" i="6"/>
  <c r="V6" i="6"/>
  <c r="W6" i="6"/>
  <c r="X6" i="6"/>
  <c r="E7" i="6"/>
  <c r="F7" i="6"/>
  <c r="G7" i="6"/>
  <c r="H7" i="6"/>
  <c r="I7" i="6"/>
  <c r="J7" i="6"/>
  <c r="L7" i="6"/>
  <c r="N7" i="6"/>
  <c r="P7" i="6"/>
  <c r="Q7" i="6"/>
  <c r="R7" i="6"/>
  <c r="S7" i="6"/>
  <c r="T7" i="6"/>
  <c r="U7" i="6"/>
  <c r="V7" i="6"/>
  <c r="W7" i="6"/>
  <c r="X7" i="6"/>
  <c r="C8" i="6"/>
  <c r="E8" i="6"/>
  <c r="N8" i="6"/>
  <c r="E9" i="6"/>
  <c r="F9" i="6"/>
  <c r="G9" i="6"/>
  <c r="H9" i="6"/>
  <c r="I9" i="6"/>
  <c r="J9" i="6"/>
  <c r="L9" i="6"/>
  <c r="N9" i="6"/>
  <c r="P9" i="6"/>
  <c r="Q9" i="6"/>
  <c r="R9" i="6"/>
  <c r="S9" i="6"/>
  <c r="T9" i="6"/>
  <c r="U9" i="6"/>
  <c r="V9" i="6"/>
  <c r="W9" i="6"/>
  <c r="X9" i="6"/>
  <c r="E10" i="6"/>
  <c r="F10" i="6"/>
  <c r="G10" i="6"/>
  <c r="H10" i="6"/>
  <c r="I10" i="6"/>
  <c r="J10" i="6"/>
  <c r="L10" i="6"/>
  <c r="N10" i="6"/>
  <c r="O10" i="6"/>
  <c r="P10" i="6"/>
  <c r="Q10" i="6"/>
  <c r="R10" i="6"/>
  <c r="S10" i="6"/>
  <c r="T10" i="6"/>
  <c r="U10" i="6"/>
  <c r="V10" i="6"/>
  <c r="W10" i="6"/>
  <c r="X10" i="6"/>
  <c r="E11" i="6"/>
  <c r="F11" i="6"/>
  <c r="G11" i="6"/>
  <c r="H11" i="6"/>
  <c r="I11" i="6"/>
  <c r="J11" i="6"/>
  <c r="L11" i="6"/>
  <c r="N11" i="6"/>
  <c r="P11" i="6"/>
  <c r="Q11" i="6"/>
  <c r="R11" i="6"/>
  <c r="S11" i="6"/>
  <c r="T11" i="6"/>
  <c r="U11" i="6"/>
  <c r="V11" i="6"/>
  <c r="W11" i="6"/>
  <c r="X11" i="6"/>
  <c r="E12" i="6"/>
  <c r="F12" i="6"/>
  <c r="G12" i="6"/>
  <c r="H12" i="6"/>
  <c r="I12" i="6"/>
  <c r="J12" i="6"/>
  <c r="L12" i="6"/>
  <c r="N12" i="6"/>
  <c r="P12" i="6"/>
  <c r="Q12" i="6"/>
  <c r="R12" i="6"/>
  <c r="S12" i="6"/>
  <c r="T12" i="6"/>
  <c r="U12" i="6"/>
  <c r="V12" i="6"/>
  <c r="W12" i="6"/>
  <c r="X12" i="6"/>
  <c r="N13" i="6"/>
  <c r="N20" i="6"/>
  <c r="N23" i="6"/>
  <c r="G159" i="6"/>
  <c r="R3" i="5"/>
  <c r="S3" i="5"/>
  <c r="T3" i="5" s="1"/>
  <c r="U3" i="5" s="1"/>
  <c r="V3" i="5" s="1"/>
  <c r="W3" i="5" s="1"/>
  <c r="E4" i="5"/>
  <c r="E5" i="5"/>
  <c r="E6" i="5"/>
  <c r="E7" i="5"/>
  <c r="E8" i="5"/>
  <c r="E9" i="5"/>
  <c r="E10" i="5"/>
  <c r="E11" i="5"/>
  <c r="E12" i="5"/>
  <c r="E13" i="5"/>
  <c r="E14" i="5"/>
  <c r="C15" i="5"/>
  <c r="E15" i="5"/>
  <c r="E16" i="5"/>
  <c r="O16" i="5"/>
  <c r="P16" i="5"/>
  <c r="Q16" i="5"/>
  <c r="R16" i="5"/>
  <c r="S16" i="5"/>
  <c r="T16" i="5"/>
  <c r="U16" i="5"/>
  <c r="V16" i="5"/>
  <c r="W16" i="5"/>
  <c r="E17" i="5"/>
  <c r="E18" i="5"/>
  <c r="E19" i="5"/>
  <c r="E20" i="5"/>
  <c r="E21" i="5"/>
  <c r="G160" i="5"/>
  <c r="A1" i="4"/>
  <c r="R3" i="4"/>
  <c r="S3" i="4" s="1"/>
  <c r="T3" i="4" s="1"/>
  <c r="U3" i="4"/>
  <c r="V3" i="4" s="1"/>
  <c r="V4" i="4"/>
  <c r="R5" i="4"/>
  <c r="P10" i="4"/>
  <c r="R10" i="4"/>
  <c r="S10" i="4"/>
  <c r="P14" i="4"/>
  <c r="R14" i="4"/>
  <c r="S14" i="4"/>
  <c r="T15" i="4"/>
  <c r="V15" i="4"/>
  <c r="P16" i="4"/>
  <c r="V17" i="4"/>
  <c r="N19" i="4"/>
  <c r="S19" i="4"/>
  <c r="P20" i="4"/>
  <c r="S20" i="4"/>
  <c r="T23" i="4"/>
  <c r="V23" i="4"/>
  <c r="U24" i="4"/>
  <c r="N27" i="4"/>
  <c r="O27" i="4"/>
  <c r="S3" i="3"/>
  <c r="T3" i="3"/>
  <c r="U3" i="3" s="1"/>
  <c r="V3" i="3" s="1"/>
  <c r="W3" i="3" s="1"/>
  <c r="N7" i="3"/>
  <c r="O7" i="3"/>
  <c r="P7" i="3"/>
  <c r="Q7" i="3"/>
  <c r="R7" i="3"/>
  <c r="S7" i="3"/>
  <c r="T7" i="3"/>
  <c r="U7" i="3"/>
  <c r="V7" i="3"/>
  <c r="W7" i="3"/>
  <c r="N8" i="3"/>
  <c r="O8" i="3"/>
  <c r="P8" i="3"/>
  <c r="Q8" i="3"/>
  <c r="R8" i="3"/>
  <c r="S8" i="3"/>
  <c r="T8" i="3"/>
  <c r="U8" i="3"/>
  <c r="V8" i="3"/>
  <c r="W8" i="3"/>
  <c r="N9" i="3"/>
  <c r="O9" i="3"/>
  <c r="P9" i="3"/>
  <c r="Q9" i="3"/>
  <c r="R9" i="3"/>
  <c r="S9" i="3"/>
  <c r="T9" i="3"/>
  <c r="U9" i="3"/>
  <c r="V9" i="3"/>
  <c r="W9" i="3"/>
  <c r="O10" i="3"/>
  <c r="P10" i="3"/>
  <c r="Q10" i="3"/>
  <c r="R10" i="3"/>
  <c r="S10" i="3"/>
  <c r="T10" i="3"/>
  <c r="U10" i="3"/>
  <c r="V10" i="3"/>
  <c r="W10" i="3"/>
  <c r="O12" i="3"/>
  <c r="N4" i="4" s="1"/>
  <c r="P12" i="3"/>
  <c r="O4" i="4" s="1"/>
  <c r="Q12" i="3"/>
  <c r="P4" i="4" s="1"/>
  <c r="R12" i="3"/>
  <c r="Q4" i="4" s="1"/>
  <c r="S12" i="3"/>
  <c r="R4" i="4" s="1"/>
  <c r="T12" i="3"/>
  <c r="S4" i="4" s="1"/>
  <c r="U12" i="3"/>
  <c r="T4" i="4" s="1"/>
  <c r="V12" i="3"/>
  <c r="U4" i="4" s="1"/>
  <c r="W12" i="3"/>
  <c r="O13" i="3"/>
  <c r="N5" i="4" s="1"/>
  <c r="P13" i="3"/>
  <c r="O5" i="4" s="1"/>
  <c r="Q13" i="3"/>
  <c r="P5" i="4" s="1"/>
  <c r="R13" i="3"/>
  <c r="Q5" i="4" s="1"/>
  <c r="S13" i="3"/>
  <c r="T13" i="3"/>
  <c r="S5" i="4" s="1"/>
  <c r="U13" i="3"/>
  <c r="T5" i="4" s="1"/>
  <c r="V13" i="3"/>
  <c r="U5" i="4" s="1"/>
  <c r="W13" i="3"/>
  <c r="V5" i="4" s="1"/>
  <c r="O15" i="3"/>
  <c r="N7" i="4" s="1"/>
  <c r="P15" i="3"/>
  <c r="O7" i="4" s="1"/>
  <c r="Q15" i="3"/>
  <c r="P7" i="4" s="1"/>
  <c r="R15" i="3"/>
  <c r="Q7" i="4" s="1"/>
  <c r="S15" i="3"/>
  <c r="R7" i="4" s="1"/>
  <c r="T15" i="3"/>
  <c r="S7" i="4" s="1"/>
  <c r="U15" i="3"/>
  <c r="T7" i="4" s="1"/>
  <c r="V15" i="3"/>
  <c r="U7" i="4" s="1"/>
  <c r="W15" i="3"/>
  <c r="V7" i="4" s="1"/>
  <c r="O17" i="3"/>
  <c r="N10" i="4" s="1"/>
  <c r="P17" i="3"/>
  <c r="O10" i="4" s="1"/>
  <c r="Q17" i="3"/>
  <c r="R17" i="3"/>
  <c r="Q10" i="4" s="1"/>
  <c r="S17" i="3"/>
  <c r="T17" i="3"/>
  <c r="U17" i="3"/>
  <c r="T10" i="4" s="1"/>
  <c r="V17" i="3"/>
  <c r="U10" i="4" s="1"/>
  <c r="W17" i="3"/>
  <c r="V10" i="4" s="1"/>
  <c r="O23" i="3"/>
  <c r="N14" i="4" s="1"/>
  <c r="P23" i="3"/>
  <c r="O14" i="4" s="1"/>
  <c r="Q23" i="3"/>
  <c r="R23" i="3"/>
  <c r="Q14" i="4" s="1"/>
  <c r="S23" i="3"/>
  <c r="T23" i="3"/>
  <c r="U23" i="3"/>
  <c r="T14" i="4" s="1"/>
  <c r="V23" i="3"/>
  <c r="U14" i="4" s="1"/>
  <c r="W23" i="3"/>
  <c r="V14" i="4" s="1"/>
  <c r="O24" i="3"/>
  <c r="N15" i="4" s="1"/>
  <c r="P24" i="3"/>
  <c r="O15" i="4" s="1"/>
  <c r="Q24" i="3"/>
  <c r="P15" i="4" s="1"/>
  <c r="R24" i="3"/>
  <c r="Q15" i="4" s="1"/>
  <c r="S24" i="3"/>
  <c r="R15" i="4" s="1"/>
  <c r="T24" i="3"/>
  <c r="S15" i="4" s="1"/>
  <c r="U24" i="3"/>
  <c r="V24" i="3"/>
  <c r="U15" i="4" s="1"/>
  <c r="W24" i="3"/>
  <c r="O25" i="3"/>
  <c r="N16" i="4" s="1"/>
  <c r="P25" i="3"/>
  <c r="O16" i="4" s="1"/>
  <c r="Q25" i="3"/>
  <c r="R25" i="3"/>
  <c r="Q16" i="4" s="1"/>
  <c r="S25" i="3"/>
  <c r="R16" i="4" s="1"/>
  <c r="T25" i="3"/>
  <c r="S16" i="4" s="1"/>
  <c r="U25" i="3"/>
  <c r="T16" i="4" s="1"/>
  <c r="V25" i="3"/>
  <c r="U16" i="4" s="1"/>
  <c r="W25" i="3"/>
  <c r="V16" i="4" s="1"/>
  <c r="O26" i="3"/>
  <c r="N17" i="4" s="1"/>
  <c r="P26" i="3"/>
  <c r="O17" i="4" s="1"/>
  <c r="Q26" i="3"/>
  <c r="P17" i="4" s="1"/>
  <c r="R26" i="3"/>
  <c r="Q17" i="4" s="1"/>
  <c r="S26" i="3"/>
  <c r="R17" i="4" s="1"/>
  <c r="T26" i="3"/>
  <c r="S17" i="4" s="1"/>
  <c r="U26" i="3"/>
  <c r="T17" i="4" s="1"/>
  <c r="V26" i="3"/>
  <c r="U17" i="4" s="1"/>
  <c r="W26" i="3"/>
  <c r="O28" i="3"/>
  <c r="P28" i="3"/>
  <c r="O19" i="4" s="1"/>
  <c r="Q28" i="3"/>
  <c r="P19" i="4" s="1"/>
  <c r="R28" i="3"/>
  <c r="Q19" i="4" s="1"/>
  <c r="S28" i="3"/>
  <c r="R19" i="4" s="1"/>
  <c r="T28" i="3"/>
  <c r="U28" i="3"/>
  <c r="T19" i="4" s="1"/>
  <c r="V28" i="3"/>
  <c r="U19" i="4" s="1"/>
  <c r="W28" i="3"/>
  <c r="V19" i="4" s="1"/>
  <c r="O29" i="3"/>
  <c r="N20" i="4" s="1"/>
  <c r="P29" i="3"/>
  <c r="O20" i="4" s="1"/>
  <c r="Q29" i="3"/>
  <c r="R29" i="3"/>
  <c r="Q20" i="4" s="1"/>
  <c r="S29" i="3"/>
  <c r="R20" i="4" s="1"/>
  <c r="T29" i="3"/>
  <c r="U29" i="3"/>
  <c r="T20" i="4" s="1"/>
  <c r="V29" i="3"/>
  <c r="U20" i="4" s="1"/>
  <c r="W29" i="3"/>
  <c r="V20" i="4" s="1"/>
  <c r="O31" i="3"/>
  <c r="N22" i="4" s="1"/>
  <c r="P31" i="3"/>
  <c r="Q31" i="3"/>
  <c r="Q32" i="3" s="1"/>
  <c r="R31" i="3"/>
  <c r="Q22" i="4" s="1"/>
  <c r="S31" i="3"/>
  <c r="R22" i="4" s="1"/>
  <c r="T31" i="3"/>
  <c r="S22" i="4" s="1"/>
  <c r="U31" i="3"/>
  <c r="T22" i="4" s="1"/>
  <c r="V31" i="3"/>
  <c r="U22" i="4" s="1"/>
  <c r="W31" i="3"/>
  <c r="W32" i="3" s="1"/>
  <c r="S32" i="3"/>
  <c r="T32" i="3"/>
  <c r="U32" i="3"/>
  <c r="V32" i="3"/>
  <c r="O35" i="3"/>
  <c r="P35" i="3"/>
  <c r="Q35" i="3"/>
  <c r="R35" i="3"/>
  <c r="S35" i="3"/>
  <c r="T35" i="3"/>
  <c r="U35" i="3"/>
  <c r="V35" i="3"/>
  <c r="W35" i="3"/>
  <c r="O36" i="3"/>
  <c r="N23" i="4" s="1"/>
  <c r="P36" i="3"/>
  <c r="O23" i="4" s="1"/>
  <c r="Q36" i="3"/>
  <c r="P23" i="4" s="1"/>
  <c r="R36" i="3"/>
  <c r="Q23" i="4" s="1"/>
  <c r="S36" i="3"/>
  <c r="R23" i="4" s="1"/>
  <c r="T36" i="3"/>
  <c r="S23" i="4" s="1"/>
  <c r="U36" i="3"/>
  <c r="V36" i="3"/>
  <c r="U23" i="4" s="1"/>
  <c r="W36" i="3"/>
  <c r="O37" i="3"/>
  <c r="N24" i="4" s="1"/>
  <c r="P37" i="3"/>
  <c r="O24" i="4" s="1"/>
  <c r="Q37" i="3"/>
  <c r="P24" i="4" s="1"/>
  <c r="R37" i="3"/>
  <c r="Q24" i="4" s="1"/>
  <c r="S37" i="3"/>
  <c r="R24" i="4" s="1"/>
  <c r="T37" i="3"/>
  <c r="S24" i="4" s="1"/>
  <c r="U37" i="3"/>
  <c r="T24" i="4" s="1"/>
  <c r="V37" i="3"/>
  <c r="W37" i="3"/>
  <c r="V24" i="4" s="1"/>
  <c r="O38" i="3"/>
  <c r="N25" i="4" s="1"/>
  <c r="P38" i="3"/>
  <c r="O25" i="4" s="1"/>
  <c r="Q38" i="3"/>
  <c r="P25" i="4" s="1"/>
  <c r="R38" i="3"/>
  <c r="Q25" i="4" s="1"/>
  <c r="S38" i="3"/>
  <c r="R25" i="4" s="1"/>
  <c r="T38" i="3"/>
  <c r="S25" i="4" s="1"/>
  <c r="U38" i="3"/>
  <c r="T25" i="4" s="1"/>
  <c r="V38" i="3"/>
  <c r="U25" i="4" s="1"/>
  <c r="W38" i="3"/>
  <c r="V25" i="4" s="1"/>
  <c r="O39" i="3"/>
  <c r="N26" i="4" s="1"/>
  <c r="P39" i="3"/>
  <c r="O26" i="4" s="1"/>
  <c r="Q39" i="3"/>
  <c r="P26" i="4" s="1"/>
  <c r="R39" i="3"/>
  <c r="Q26" i="4" s="1"/>
  <c r="S39" i="3"/>
  <c r="R26" i="4" s="1"/>
  <c r="T39" i="3"/>
  <c r="S26" i="4" s="1"/>
  <c r="U39" i="3"/>
  <c r="T26" i="4" s="1"/>
  <c r="V39" i="3"/>
  <c r="U26" i="4" s="1"/>
  <c r="W39" i="3"/>
  <c r="V26" i="4" s="1"/>
  <c r="O40" i="3"/>
  <c r="P40" i="3"/>
  <c r="Q40" i="3"/>
  <c r="P27" i="4" s="1"/>
  <c r="R40" i="3"/>
  <c r="Q27" i="4" s="1"/>
  <c r="S40" i="3"/>
  <c r="R27" i="4" s="1"/>
  <c r="T40" i="3"/>
  <c r="S27" i="4" s="1"/>
  <c r="U40" i="3"/>
  <c r="T27" i="4" s="1"/>
  <c r="V40" i="3"/>
  <c r="U27" i="4" s="1"/>
  <c r="W40" i="3"/>
  <c r="V27" i="4" s="1"/>
  <c r="F45" i="3"/>
  <c r="F65" i="3" s="1"/>
  <c r="G45" i="3"/>
  <c r="H45" i="3"/>
  <c r="I45" i="3"/>
  <c r="I65" i="3" s="1"/>
  <c r="K65" i="3" s="1"/>
  <c r="J45" i="3"/>
  <c r="L45" i="3"/>
  <c r="F46" i="3"/>
  <c r="G46" i="3"/>
  <c r="H46" i="3"/>
  <c r="I46" i="3"/>
  <c r="J46" i="3"/>
  <c r="N46" i="3"/>
  <c r="O46" i="3"/>
  <c r="P46" i="3"/>
  <c r="Q46" i="3"/>
  <c r="R46" i="3"/>
  <c r="S46" i="3"/>
  <c r="T46" i="3"/>
  <c r="U46" i="3"/>
  <c r="V46" i="3"/>
  <c r="W46" i="3"/>
  <c r="F47" i="3"/>
  <c r="G47" i="3"/>
  <c r="H47" i="3"/>
  <c r="I47" i="3"/>
  <c r="J47" i="3"/>
  <c r="N47" i="3"/>
  <c r="O47" i="3"/>
  <c r="P47" i="3"/>
  <c r="Q47" i="3"/>
  <c r="R47" i="3"/>
  <c r="S47" i="3"/>
  <c r="T47" i="3"/>
  <c r="U47" i="3"/>
  <c r="V47" i="3"/>
  <c r="W47" i="3"/>
  <c r="F49" i="3"/>
  <c r="G49" i="3"/>
  <c r="H49" i="3"/>
  <c r="I49" i="3"/>
  <c r="J49" i="3"/>
  <c r="L49" i="3"/>
  <c r="F50" i="3"/>
  <c r="G50" i="3"/>
  <c r="H50" i="3"/>
  <c r="I50" i="3"/>
  <c r="J50" i="3"/>
  <c r="N50" i="3"/>
  <c r="O50" i="3"/>
  <c r="P50" i="3"/>
  <c r="Q50" i="3"/>
  <c r="R50" i="3"/>
  <c r="S50" i="3"/>
  <c r="T50" i="3"/>
  <c r="U50" i="3"/>
  <c r="V50" i="3"/>
  <c r="W50" i="3"/>
  <c r="F51" i="3"/>
  <c r="G51" i="3"/>
  <c r="H51" i="3"/>
  <c r="I51" i="3"/>
  <c r="J51" i="3"/>
  <c r="N51" i="3"/>
  <c r="O51" i="3"/>
  <c r="P51" i="3"/>
  <c r="Q51" i="3"/>
  <c r="R51" i="3"/>
  <c r="S51" i="3"/>
  <c r="T51" i="3"/>
  <c r="U51" i="3"/>
  <c r="V51" i="3"/>
  <c r="W51" i="3"/>
  <c r="F53" i="3"/>
  <c r="G53" i="3"/>
  <c r="H53" i="3"/>
  <c r="I53" i="3"/>
  <c r="J53" i="3"/>
  <c r="L53" i="3"/>
  <c r="F54" i="3"/>
  <c r="G54" i="3"/>
  <c r="H54" i="3"/>
  <c r="I54" i="3"/>
  <c r="J54" i="3"/>
  <c r="N54" i="3"/>
  <c r="O54" i="3"/>
  <c r="P54" i="3"/>
  <c r="Q54" i="3"/>
  <c r="R54" i="3"/>
  <c r="S54" i="3"/>
  <c r="T54" i="3"/>
  <c r="U54" i="3"/>
  <c r="V54" i="3"/>
  <c r="W54" i="3"/>
  <c r="F55" i="3"/>
  <c r="G55" i="3"/>
  <c r="H55" i="3"/>
  <c r="I55" i="3"/>
  <c r="J55" i="3"/>
  <c r="N55" i="3"/>
  <c r="O55" i="3"/>
  <c r="P55" i="3"/>
  <c r="Q55" i="3"/>
  <c r="R55" i="3"/>
  <c r="S55" i="3"/>
  <c r="T55" i="3"/>
  <c r="U55" i="3"/>
  <c r="V55" i="3"/>
  <c r="W55" i="3"/>
  <c r="F57" i="3"/>
  <c r="G57" i="3"/>
  <c r="H57" i="3"/>
  <c r="I57" i="3"/>
  <c r="J57" i="3"/>
  <c r="J65" i="3" s="1"/>
  <c r="L57" i="3"/>
  <c r="L65" i="3" s="1"/>
  <c r="F58" i="3"/>
  <c r="G58" i="3"/>
  <c r="H58" i="3"/>
  <c r="I58" i="3"/>
  <c r="J58" i="3"/>
  <c r="N58" i="3"/>
  <c r="O58" i="3"/>
  <c r="P58" i="3"/>
  <c r="Q58" i="3"/>
  <c r="R58" i="3"/>
  <c r="S58" i="3"/>
  <c r="T58" i="3"/>
  <c r="U58" i="3"/>
  <c r="V58" i="3"/>
  <c r="W58" i="3"/>
  <c r="F59" i="3"/>
  <c r="G59" i="3"/>
  <c r="H59" i="3"/>
  <c r="I59" i="3"/>
  <c r="J59" i="3"/>
  <c r="N59" i="3"/>
  <c r="O59" i="3"/>
  <c r="P59" i="3"/>
  <c r="Q59" i="3"/>
  <c r="R59" i="3"/>
  <c r="S59" i="3"/>
  <c r="T59" i="3"/>
  <c r="U59" i="3"/>
  <c r="V59" i="3"/>
  <c r="W59" i="3"/>
  <c r="F61" i="3"/>
  <c r="G61" i="3"/>
  <c r="H61" i="3"/>
  <c r="I61" i="3"/>
  <c r="J61" i="3"/>
  <c r="L61" i="3"/>
  <c r="F62" i="3"/>
  <c r="G62" i="3"/>
  <c r="H62" i="3"/>
  <c r="I62" i="3"/>
  <c r="J62" i="3"/>
  <c r="N62" i="3"/>
  <c r="O62" i="3"/>
  <c r="P62" i="3"/>
  <c r="Q62" i="3"/>
  <c r="R62" i="3"/>
  <c r="S62" i="3"/>
  <c r="T62" i="3"/>
  <c r="U62" i="3"/>
  <c r="V62" i="3"/>
  <c r="W62" i="3"/>
  <c r="F63" i="3"/>
  <c r="G63" i="3"/>
  <c r="H63" i="3"/>
  <c r="I63" i="3"/>
  <c r="J63" i="3"/>
  <c r="N63" i="3"/>
  <c r="O63" i="3"/>
  <c r="P63" i="3"/>
  <c r="Q63" i="3"/>
  <c r="R63" i="3"/>
  <c r="S63" i="3"/>
  <c r="T63" i="3"/>
  <c r="U63" i="3"/>
  <c r="V63" i="3"/>
  <c r="W63" i="3"/>
  <c r="G65" i="3"/>
  <c r="H65" i="3"/>
  <c r="T3" i="2"/>
  <c r="U3" i="2" s="1"/>
  <c r="V3" i="2" s="1"/>
  <c r="W3" i="2" s="1"/>
  <c r="X3" i="2" s="1"/>
  <c r="E4" i="2"/>
  <c r="G4" i="2"/>
  <c r="H4" i="2"/>
  <c r="I4" i="2"/>
  <c r="J4" i="2"/>
  <c r="K4" i="2"/>
  <c r="M4" i="2"/>
  <c r="P4" i="2"/>
  <c r="Q4" i="2"/>
  <c r="R4" i="2"/>
  <c r="S4" i="2"/>
  <c r="T4" i="2"/>
  <c r="U4" i="2"/>
  <c r="V4" i="2"/>
  <c r="W4" i="2"/>
  <c r="X4" i="2"/>
  <c r="C5" i="2"/>
  <c r="C9" i="2" s="1"/>
  <c r="E5" i="2"/>
  <c r="P5" i="2"/>
  <c r="Q5" i="2"/>
  <c r="R5" i="2"/>
  <c r="S5" i="2"/>
  <c r="T5" i="2"/>
  <c r="U5" i="2"/>
  <c r="V5" i="2"/>
  <c r="W5" i="2"/>
  <c r="X5" i="2"/>
  <c r="E6" i="2"/>
  <c r="G6" i="2"/>
  <c r="H6" i="2"/>
  <c r="I6" i="2"/>
  <c r="J6" i="2"/>
  <c r="K6" i="2"/>
  <c r="M6" i="2"/>
  <c r="P6" i="2"/>
  <c r="Q6" i="2"/>
  <c r="R6" i="2"/>
  <c r="S6" i="2"/>
  <c r="T6" i="2"/>
  <c r="U6" i="2"/>
  <c r="V6" i="2"/>
  <c r="W6" i="2"/>
  <c r="X6" i="2"/>
  <c r="E7" i="2"/>
  <c r="G7" i="2"/>
  <c r="H7" i="2"/>
  <c r="I7" i="2"/>
  <c r="J7" i="2"/>
  <c r="K7" i="2"/>
  <c r="M7" i="2"/>
  <c r="P7" i="2"/>
  <c r="Q7" i="2"/>
  <c r="R7" i="2"/>
  <c r="S7" i="2"/>
  <c r="T7" i="2"/>
  <c r="U7" i="2"/>
  <c r="V7" i="2"/>
  <c r="W7" i="2"/>
  <c r="X7" i="2"/>
  <c r="E8" i="2"/>
  <c r="G8" i="2"/>
  <c r="H8" i="2"/>
  <c r="I8" i="2"/>
  <c r="J8" i="2"/>
  <c r="K8" i="2"/>
  <c r="M8" i="2"/>
  <c r="P8" i="2"/>
  <c r="Q8" i="2"/>
  <c r="R8" i="2"/>
  <c r="S8" i="2"/>
  <c r="T8" i="2"/>
  <c r="U8" i="2"/>
  <c r="V8" i="2"/>
  <c r="W8" i="2"/>
  <c r="X8" i="2"/>
  <c r="E9" i="2"/>
  <c r="E10" i="2"/>
  <c r="G10" i="2"/>
  <c r="H10" i="2"/>
  <c r="I10" i="2"/>
  <c r="J10" i="2"/>
  <c r="K10" i="2"/>
  <c r="M10" i="2"/>
  <c r="P10" i="2"/>
  <c r="Q10" i="2"/>
  <c r="R10" i="2"/>
  <c r="S10" i="2"/>
  <c r="T10" i="2"/>
  <c r="U10" i="2"/>
  <c r="V10" i="2"/>
  <c r="W10" i="2"/>
  <c r="X10" i="2"/>
  <c r="E11" i="2"/>
  <c r="G11" i="2"/>
  <c r="H11" i="2"/>
  <c r="I11" i="2"/>
  <c r="J11" i="2"/>
  <c r="K11" i="2"/>
  <c r="M11" i="2"/>
  <c r="P11" i="2"/>
  <c r="Q11" i="2"/>
  <c r="R11" i="2"/>
  <c r="S11" i="2"/>
  <c r="T11" i="2"/>
  <c r="U11" i="2"/>
  <c r="V11" i="2"/>
  <c r="W11" i="2"/>
  <c r="X11" i="2"/>
  <c r="E12" i="2"/>
  <c r="G12" i="2"/>
  <c r="H12" i="2"/>
  <c r="I12" i="2"/>
  <c r="J12" i="2"/>
  <c r="K12" i="2"/>
  <c r="M12" i="2"/>
  <c r="P12" i="2"/>
  <c r="Q12" i="2"/>
  <c r="R12" i="2"/>
  <c r="S12" i="2"/>
  <c r="T12" i="2"/>
  <c r="U12" i="2"/>
  <c r="V12" i="2"/>
  <c r="W12" i="2"/>
  <c r="X12" i="2"/>
  <c r="E13" i="2"/>
  <c r="G13" i="2"/>
  <c r="H13" i="2"/>
  <c r="I13" i="2"/>
  <c r="J13" i="2"/>
  <c r="K13" i="2"/>
  <c r="M13" i="2"/>
  <c r="P13" i="2"/>
  <c r="Q13" i="2"/>
  <c r="R13" i="2"/>
  <c r="S13" i="2"/>
  <c r="T13" i="2"/>
  <c r="U13" i="2"/>
  <c r="V13" i="2"/>
  <c r="W13" i="2"/>
  <c r="X13" i="2"/>
  <c r="E14" i="2"/>
  <c r="E15" i="2"/>
  <c r="G15" i="2"/>
  <c r="H15" i="2"/>
  <c r="I15" i="2"/>
  <c r="J15" i="2"/>
  <c r="K15" i="2"/>
  <c r="M15" i="2"/>
  <c r="P15" i="2"/>
  <c r="Q15" i="2"/>
  <c r="R15" i="2"/>
  <c r="S15" i="2"/>
  <c r="T15" i="2"/>
  <c r="U15" i="2"/>
  <c r="V15" i="2"/>
  <c r="W15" i="2"/>
  <c r="X15" i="2"/>
  <c r="E16" i="2"/>
  <c r="G16" i="2"/>
  <c r="H16" i="2"/>
  <c r="I16" i="2"/>
  <c r="J16" i="2"/>
  <c r="K16" i="2"/>
  <c r="M16" i="2"/>
  <c r="O16" i="2"/>
  <c r="P16" i="2"/>
  <c r="Q16" i="2"/>
  <c r="R16" i="2"/>
  <c r="S16" i="2"/>
  <c r="T16" i="2"/>
  <c r="U16" i="2"/>
  <c r="V16" i="2"/>
  <c r="W16" i="2"/>
  <c r="X16" i="2"/>
  <c r="E17" i="2"/>
  <c r="G17" i="2"/>
  <c r="H17" i="2"/>
  <c r="I17" i="2"/>
  <c r="J17" i="2"/>
  <c r="K17" i="2"/>
  <c r="M17" i="2"/>
  <c r="P17" i="2"/>
  <c r="Q17" i="2"/>
  <c r="R17" i="2"/>
  <c r="S17" i="2"/>
  <c r="T17" i="2"/>
  <c r="U17" i="2"/>
  <c r="V17" i="2"/>
  <c r="W17" i="2"/>
  <c r="X17" i="2"/>
  <c r="E18" i="2"/>
  <c r="G18" i="2"/>
  <c r="H18" i="2"/>
  <c r="I18" i="2"/>
  <c r="J18" i="2"/>
  <c r="K18" i="2"/>
  <c r="M18" i="2"/>
  <c r="P18" i="2"/>
  <c r="Q18" i="2"/>
  <c r="R18" i="2"/>
  <c r="S18" i="2"/>
  <c r="T18" i="2"/>
  <c r="U18" i="2"/>
  <c r="V18" i="2"/>
  <c r="W18" i="2"/>
  <c r="X18" i="2"/>
  <c r="E19" i="2"/>
  <c r="G19" i="2"/>
  <c r="H19" i="2"/>
  <c r="I19" i="2"/>
  <c r="J19" i="2"/>
  <c r="K19" i="2"/>
  <c r="M19" i="2"/>
  <c r="P19" i="2"/>
  <c r="Q19" i="2"/>
  <c r="R19" i="2"/>
  <c r="S19" i="2"/>
  <c r="T19" i="2"/>
  <c r="U19" i="2"/>
  <c r="V19" i="2"/>
  <c r="W19" i="2"/>
  <c r="X19" i="2"/>
  <c r="E20" i="2"/>
  <c r="E21" i="2"/>
  <c r="G21" i="2"/>
  <c r="H21" i="2"/>
  <c r="I21" i="2"/>
  <c r="J21" i="2"/>
  <c r="K21" i="2"/>
  <c r="M21" i="2"/>
  <c r="P21" i="2"/>
  <c r="Q21" i="2"/>
  <c r="R21" i="2"/>
  <c r="S21" i="2"/>
  <c r="T21" i="2"/>
  <c r="U21" i="2"/>
  <c r="V21" i="2"/>
  <c r="W21" i="2"/>
  <c r="X21" i="2"/>
  <c r="E22" i="2"/>
  <c r="G22" i="2"/>
  <c r="H22" i="2"/>
  <c r="I22" i="2"/>
  <c r="J22" i="2"/>
  <c r="K22" i="2"/>
  <c r="M22" i="2"/>
  <c r="P22" i="2"/>
  <c r="Q22" i="2"/>
  <c r="R22" i="2"/>
  <c r="S22" i="2"/>
  <c r="T22" i="2"/>
  <c r="U22" i="2"/>
  <c r="V22" i="2"/>
  <c r="W22" i="2"/>
  <c r="X22" i="2"/>
  <c r="E23" i="2"/>
  <c r="G23" i="2"/>
  <c r="H23" i="2"/>
  <c r="I23" i="2"/>
  <c r="J23" i="2"/>
  <c r="K23" i="2"/>
  <c r="M23" i="2"/>
  <c r="P23" i="2"/>
  <c r="Q23" i="2"/>
  <c r="R23" i="2"/>
  <c r="S23" i="2"/>
  <c r="T23" i="2"/>
  <c r="U23" i="2"/>
  <c r="V23" i="2"/>
  <c r="W23" i="2"/>
  <c r="X23" i="2"/>
  <c r="E24" i="2"/>
  <c r="G24" i="2"/>
  <c r="H24" i="2"/>
  <c r="I24" i="2"/>
  <c r="J24" i="2"/>
  <c r="K24" i="2"/>
  <c r="M24" i="2"/>
  <c r="P24" i="2"/>
  <c r="Q24" i="2"/>
  <c r="R24" i="2"/>
  <c r="S24" i="2"/>
  <c r="T24" i="2"/>
  <c r="U24" i="2"/>
  <c r="V24" i="2"/>
  <c r="W24" i="2"/>
  <c r="X24" i="2"/>
  <c r="E25" i="2"/>
  <c r="G25" i="2"/>
  <c r="H25" i="2"/>
  <c r="I25" i="2"/>
  <c r="J25" i="2"/>
  <c r="K25" i="2"/>
  <c r="M25" i="2"/>
  <c r="P25" i="2"/>
  <c r="Q25" i="2"/>
  <c r="R25" i="2"/>
  <c r="S25" i="2"/>
  <c r="T25" i="2"/>
  <c r="U25" i="2"/>
  <c r="V25" i="2"/>
  <c r="W25" i="2"/>
  <c r="X25" i="2"/>
  <c r="E26" i="2"/>
  <c r="G26" i="2"/>
  <c r="H26" i="2"/>
  <c r="I26" i="2"/>
  <c r="J26" i="2"/>
  <c r="K26" i="2"/>
  <c r="M26" i="2"/>
  <c r="P26" i="2"/>
  <c r="Q26" i="2"/>
  <c r="R26" i="2"/>
  <c r="S26" i="2"/>
  <c r="T26" i="2"/>
  <c r="U26" i="2"/>
  <c r="V26" i="2"/>
  <c r="W26" i="2"/>
  <c r="X26" i="2"/>
  <c r="E27" i="2"/>
  <c r="G27" i="2"/>
  <c r="H27" i="2"/>
  <c r="I27" i="2"/>
  <c r="J27" i="2"/>
  <c r="K27" i="2"/>
  <c r="M27" i="2"/>
  <c r="P27" i="2"/>
  <c r="Q27" i="2"/>
  <c r="R27" i="2"/>
  <c r="S27" i="2"/>
  <c r="T27" i="2"/>
  <c r="U27" i="2"/>
  <c r="V27" i="2"/>
  <c r="W27" i="2"/>
  <c r="X27" i="2"/>
  <c r="E28" i="2"/>
  <c r="E29" i="2"/>
  <c r="P29" i="2"/>
  <c r="Q29" i="2"/>
  <c r="R29" i="2"/>
  <c r="S29" i="2"/>
  <c r="T29" i="2"/>
  <c r="U29" i="2"/>
  <c r="V29" i="2"/>
  <c r="W29" i="2"/>
  <c r="X29" i="2"/>
  <c r="E30" i="2"/>
  <c r="P30" i="2"/>
  <c r="Q30" i="2"/>
  <c r="R30" i="2"/>
  <c r="S30" i="2"/>
  <c r="T30" i="2"/>
  <c r="U30" i="2"/>
  <c r="V30" i="2"/>
  <c r="W30" i="2"/>
  <c r="X30" i="2"/>
  <c r="E31" i="2"/>
  <c r="P31" i="2"/>
  <c r="Q31" i="2"/>
  <c r="R31" i="2"/>
  <c r="S31" i="2"/>
  <c r="T31" i="2"/>
  <c r="U31" i="2"/>
  <c r="V31" i="2"/>
  <c r="W31" i="2"/>
  <c r="X31" i="2"/>
  <c r="E32" i="2"/>
  <c r="P32" i="2"/>
  <c r="Q32" i="2"/>
  <c r="R32" i="2"/>
  <c r="S32" i="2"/>
  <c r="T32" i="2"/>
  <c r="U32" i="2"/>
  <c r="V32" i="2"/>
  <c r="W32" i="2"/>
  <c r="X32" i="2"/>
  <c r="E33" i="2"/>
  <c r="P33" i="2"/>
  <c r="Q33" i="2"/>
  <c r="R33" i="2"/>
  <c r="S33" i="2"/>
  <c r="T33" i="2"/>
  <c r="U33" i="2"/>
  <c r="V33" i="2"/>
  <c r="W33" i="2"/>
  <c r="X33" i="2"/>
  <c r="E34" i="2"/>
  <c r="P34" i="2"/>
  <c r="Q34" i="2"/>
  <c r="R34" i="2"/>
  <c r="S34" i="2"/>
  <c r="T34" i="2"/>
  <c r="U34" i="2"/>
  <c r="V34" i="2"/>
  <c r="W34" i="2"/>
  <c r="X34" i="2"/>
  <c r="E35" i="2"/>
  <c r="E36" i="2"/>
  <c r="G36" i="2"/>
  <c r="H36" i="2"/>
  <c r="I36" i="2"/>
  <c r="J36" i="2"/>
  <c r="K36" i="2"/>
  <c r="M36" i="2"/>
  <c r="P36" i="2"/>
  <c r="Q36" i="2"/>
  <c r="R36" i="2"/>
  <c r="S36" i="2"/>
  <c r="T36" i="2"/>
  <c r="U36" i="2"/>
  <c r="V36" i="2"/>
  <c r="W36" i="2"/>
  <c r="X36" i="2"/>
  <c r="E37" i="2"/>
  <c r="G37" i="2"/>
  <c r="H37" i="2"/>
  <c r="I37" i="2"/>
  <c r="J37" i="2"/>
  <c r="K37" i="2"/>
  <c r="M37" i="2"/>
  <c r="P37" i="2"/>
  <c r="Q37" i="2"/>
  <c r="R37" i="2"/>
  <c r="S37" i="2"/>
  <c r="T37" i="2"/>
  <c r="U37" i="2"/>
  <c r="V37" i="2"/>
  <c r="W37" i="2"/>
  <c r="X37" i="2"/>
  <c r="E38" i="2"/>
  <c r="G38" i="2"/>
  <c r="H38" i="2"/>
  <c r="I38" i="2"/>
  <c r="J38" i="2"/>
  <c r="K38" i="2"/>
  <c r="M38" i="2"/>
  <c r="P38" i="2"/>
  <c r="Q38" i="2"/>
  <c r="R38" i="2"/>
  <c r="S38" i="2"/>
  <c r="T38" i="2"/>
  <c r="U38" i="2"/>
  <c r="V38" i="2"/>
  <c r="W38" i="2"/>
  <c r="X38" i="2"/>
  <c r="E39" i="2"/>
  <c r="G39" i="2"/>
  <c r="H39" i="2"/>
  <c r="I39" i="2"/>
  <c r="J39" i="2"/>
  <c r="K39" i="2"/>
  <c r="M39" i="2"/>
  <c r="P39" i="2"/>
  <c r="Q39" i="2"/>
  <c r="R39" i="2"/>
  <c r="S39" i="2"/>
  <c r="T39" i="2"/>
  <c r="U39" i="2"/>
  <c r="V39" i="2"/>
  <c r="W39" i="2"/>
  <c r="X39" i="2"/>
  <c r="E40" i="2"/>
  <c r="G40" i="2"/>
  <c r="H40" i="2"/>
  <c r="I40" i="2"/>
  <c r="J40" i="2"/>
  <c r="K40" i="2"/>
  <c r="M40" i="2"/>
  <c r="P40" i="2"/>
  <c r="Q40" i="2"/>
  <c r="R40" i="2"/>
  <c r="S40" i="2"/>
  <c r="T40" i="2"/>
  <c r="U40" i="2"/>
  <c r="V40" i="2"/>
  <c r="W40" i="2"/>
  <c r="X40" i="2"/>
  <c r="E41" i="2"/>
  <c r="G41" i="2"/>
  <c r="H41" i="2"/>
  <c r="I41" i="2"/>
  <c r="J41" i="2"/>
  <c r="K41" i="2"/>
  <c r="M41" i="2"/>
  <c r="P41" i="2"/>
  <c r="Q41" i="2"/>
  <c r="R41" i="2"/>
  <c r="S41" i="2"/>
  <c r="T41" i="2"/>
  <c r="U41" i="2"/>
  <c r="V41" i="2"/>
  <c r="W41" i="2"/>
  <c r="X41" i="2"/>
  <c r="E42" i="2"/>
  <c r="G42" i="2"/>
  <c r="H42" i="2"/>
  <c r="I42" i="2"/>
  <c r="J42" i="2"/>
  <c r="K42" i="2"/>
  <c r="M42" i="2"/>
  <c r="P42" i="2"/>
  <c r="Q42" i="2"/>
  <c r="R42" i="2"/>
  <c r="S42" i="2"/>
  <c r="T42" i="2"/>
  <c r="U42" i="2"/>
  <c r="V42" i="2"/>
  <c r="W42" i="2"/>
  <c r="X42" i="2"/>
  <c r="E43" i="2"/>
  <c r="G43" i="2"/>
  <c r="H43" i="2"/>
  <c r="I43" i="2"/>
  <c r="J43" i="2"/>
  <c r="K43" i="2"/>
  <c r="M43" i="2"/>
  <c r="P43" i="2"/>
  <c r="Q43" i="2"/>
  <c r="R43" i="2"/>
  <c r="S43" i="2"/>
  <c r="T43" i="2"/>
  <c r="U43" i="2"/>
  <c r="V43" i="2"/>
  <c r="W43" i="2"/>
  <c r="X43" i="2"/>
  <c r="E44" i="2"/>
  <c r="E45" i="2"/>
  <c r="G45" i="2"/>
  <c r="H45" i="2"/>
  <c r="I45" i="2"/>
  <c r="J45" i="2"/>
  <c r="K45" i="2"/>
  <c r="M45" i="2"/>
  <c r="P45" i="2"/>
  <c r="Q45" i="2"/>
  <c r="R45" i="2"/>
  <c r="S45" i="2"/>
  <c r="T45" i="2"/>
  <c r="U45" i="2"/>
  <c r="V45" i="2"/>
  <c r="W45" i="2"/>
  <c r="X45" i="2"/>
  <c r="E46" i="2"/>
  <c r="G46" i="2"/>
  <c r="H46" i="2"/>
  <c r="I46" i="2"/>
  <c r="J46" i="2"/>
  <c r="K46" i="2"/>
  <c r="M46" i="2"/>
  <c r="P46" i="2"/>
  <c r="Q46" i="2"/>
  <c r="R46" i="2"/>
  <c r="S46" i="2"/>
  <c r="T46" i="2"/>
  <c r="U46" i="2"/>
  <c r="V46" i="2"/>
  <c r="W46" i="2"/>
  <c r="X46" i="2"/>
  <c r="E47" i="2"/>
  <c r="G47" i="2"/>
  <c r="H47" i="2"/>
  <c r="I47" i="2"/>
  <c r="J47" i="2"/>
  <c r="K47" i="2"/>
  <c r="M47" i="2"/>
  <c r="P47" i="2"/>
  <c r="Q47" i="2"/>
  <c r="R47" i="2"/>
  <c r="S47" i="2"/>
  <c r="T47" i="2"/>
  <c r="U47" i="2"/>
  <c r="V47" i="2"/>
  <c r="W47" i="2"/>
  <c r="X47" i="2"/>
  <c r="E48" i="2"/>
  <c r="E49" i="2"/>
  <c r="G49" i="2"/>
  <c r="H49" i="2"/>
  <c r="I49" i="2"/>
  <c r="J49" i="2"/>
  <c r="K49" i="2"/>
  <c r="M49" i="2"/>
  <c r="P49" i="2"/>
  <c r="Q49" i="2"/>
  <c r="R49" i="2"/>
  <c r="S49" i="2"/>
  <c r="T49" i="2"/>
  <c r="U49" i="2"/>
  <c r="V49" i="2"/>
  <c r="W49" i="2"/>
  <c r="X49" i="2"/>
  <c r="E50" i="2"/>
  <c r="G50" i="2"/>
  <c r="H50" i="2"/>
  <c r="I50" i="2"/>
  <c r="J50" i="2"/>
  <c r="K50" i="2"/>
  <c r="M50" i="2"/>
  <c r="P50" i="2"/>
  <c r="Q50" i="2"/>
  <c r="R50" i="2"/>
  <c r="S50" i="2"/>
  <c r="T50" i="2"/>
  <c r="U50" i="2"/>
  <c r="V50" i="2"/>
  <c r="W50" i="2"/>
  <c r="X50" i="2"/>
  <c r="E51" i="2"/>
  <c r="G51" i="2"/>
  <c r="H51" i="2"/>
  <c r="I51" i="2"/>
  <c r="J51" i="2"/>
  <c r="K51" i="2"/>
  <c r="M51" i="2"/>
  <c r="O51" i="2"/>
  <c r="P51" i="2"/>
  <c r="Q51" i="2"/>
  <c r="R51" i="2"/>
  <c r="S51" i="2"/>
  <c r="T51" i="2"/>
  <c r="U51" i="2"/>
  <c r="V51" i="2"/>
  <c r="W51" i="2"/>
  <c r="X51" i="2"/>
  <c r="E52" i="2"/>
  <c r="G52" i="2"/>
  <c r="H52" i="2"/>
  <c r="I52" i="2"/>
  <c r="J52" i="2"/>
  <c r="K52" i="2"/>
  <c r="M52" i="2"/>
  <c r="P52" i="2"/>
  <c r="Q52" i="2"/>
  <c r="R52" i="2"/>
  <c r="S52" i="2"/>
  <c r="T52" i="2"/>
  <c r="U52" i="2"/>
  <c r="V52" i="2"/>
  <c r="W52" i="2"/>
  <c r="X52" i="2"/>
  <c r="E53" i="2"/>
  <c r="G53" i="2"/>
  <c r="H53" i="2"/>
  <c r="I53" i="2"/>
  <c r="J53" i="2"/>
  <c r="K53" i="2"/>
  <c r="M53" i="2"/>
  <c r="P53" i="2"/>
  <c r="Q53" i="2"/>
  <c r="R53" i="2"/>
  <c r="S53" i="2"/>
  <c r="T53" i="2"/>
  <c r="U53" i="2"/>
  <c r="V53" i="2"/>
  <c r="W53" i="2"/>
  <c r="X53" i="2"/>
  <c r="E54" i="2"/>
  <c r="P54" i="2"/>
  <c r="Q54" i="2"/>
  <c r="R54" i="2"/>
  <c r="S54" i="2"/>
  <c r="T54" i="2"/>
  <c r="U54" i="2"/>
  <c r="V54" i="2"/>
  <c r="W54" i="2"/>
  <c r="X54" i="2"/>
  <c r="E55" i="2"/>
  <c r="G55" i="2"/>
  <c r="H55" i="2"/>
  <c r="I55" i="2"/>
  <c r="J55" i="2"/>
  <c r="K55" i="2"/>
  <c r="M55" i="2"/>
  <c r="P55" i="2"/>
  <c r="Q55" i="2"/>
  <c r="R55" i="2"/>
  <c r="S55" i="2"/>
  <c r="T55" i="2"/>
  <c r="U55" i="2"/>
  <c r="V55" i="2"/>
  <c r="W55" i="2"/>
  <c r="X55" i="2"/>
  <c r="E56" i="2"/>
  <c r="G56" i="2"/>
  <c r="H56" i="2"/>
  <c r="I56" i="2"/>
  <c r="J56" i="2"/>
  <c r="K56" i="2"/>
  <c r="M56" i="2"/>
  <c r="P56" i="2"/>
  <c r="Q56" i="2"/>
  <c r="R56" i="2"/>
  <c r="S56" i="2"/>
  <c r="T56" i="2"/>
  <c r="U56" i="2"/>
  <c r="V56" i="2"/>
  <c r="W56" i="2"/>
  <c r="X56" i="2"/>
  <c r="E57" i="2"/>
  <c r="G57" i="2"/>
  <c r="H57" i="2"/>
  <c r="I57" i="2"/>
  <c r="J57" i="2"/>
  <c r="K57" i="2"/>
  <c r="M57" i="2"/>
  <c r="P57" i="2"/>
  <c r="Q57" i="2"/>
  <c r="R57" i="2"/>
  <c r="S57" i="2"/>
  <c r="T57" i="2"/>
  <c r="U57" i="2"/>
  <c r="V57" i="2"/>
  <c r="W57" i="2"/>
  <c r="X57" i="2"/>
  <c r="E58" i="2"/>
  <c r="G58" i="2"/>
  <c r="H58" i="2"/>
  <c r="I58" i="2"/>
  <c r="J58" i="2"/>
  <c r="K58" i="2"/>
  <c r="M58" i="2"/>
  <c r="P58" i="2"/>
  <c r="Q58" i="2"/>
  <c r="R58" i="2"/>
  <c r="S58" i="2"/>
  <c r="T58" i="2"/>
  <c r="U58" i="2"/>
  <c r="V58" i="2"/>
  <c r="W58" i="2"/>
  <c r="X58" i="2"/>
  <c r="E59" i="2"/>
  <c r="G59" i="2"/>
  <c r="H59" i="2"/>
  <c r="I59" i="2"/>
  <c r="J59" i="2"/>
  <c r="K59" i="2"/>
  <c r="M59" i="2"/>
  <c r="P59" i="2"/>
  <c r="Q59" i="2"/>
  <c r="R59" i="2"/>
  <c r="S59" i="2"/>
  <c r="T59" i="2"/>
  <c r="U59" i="2"/>
  <c r="V59" i="2"/>
  <c r="W59" i="2"/>
  <c r="X59" i="2"/>
  <c r="E60" i="2"/>
  <c r="E61" i="2"/>
  <c r="G61" i="2"/>
  <c r="H61" i="2"/>
  <c r="I61" i="2"/>
  <c r="J61" i="2"/>
  <c r="K61" i="2"/>
  <c r="M61" i="2"/>
  <c r="P61" i="2"/>
  <c r="Q61" i="2"/>
  <c r="R61" i="2"/>
  <c r="S61" i="2"/>
  <c r="T61" i="2"/>
  <c r="U61" i="2"/>
  <c r="V61" i="2"/>
  <c r="W61" i="2"/>
  <c r="X61" i="2"/>
  <c r="E62" i="2"/>
  <c r="G62" i="2"/>
  <c r="H62" i="2"/>
  <c r="I62" i="2"/>
  <c r="J62" i="2"/>
  <c r="K62" i="2"/>
  <c r="M62" i="2"/>
  <c r="P62" i="2"/>
  <c r="Q62" i="2"/>
  <c r="R62" i="2"/>
  <c r="S62" i="2"/>
  <c r="T62" i="2"/>
  <c r="U62" i="2"/>
  <c r="V62" i="2"/>
  <c r="W62" i="2"/>
  <c r="X62" i="2"/>
  <c r="E63" i="2"/>
  <c r="G63" i="2"/>
  <c r="H63" i="2"/>
  <c r="I63" i="2"/>
  <c r="J63" i="2"/>
  <c r="K63" i="2"/>
  <c r="M63" i="2"/>
  <c r="P63" i="2"/>
  <c r="Q63" i="2"/>
  <c r="R63" i="2"/>
  <c r="S63" i="2"/>
  <c r="T63" i="2"/>
  <c r="U63" i="2"/>
  <c r="V63" i="2"/>
  <c r="W63" i="2"/>
  <c r="X63" i="2"/>
  <c r="E64" i="2"/>
  <c r="G64" i="2"/>
  <c r="H64" i="2"/>
  <c r="I64" i="2"/>
  <c r="J64" i="2"/>
  <c r="K64" i="2"/>
  <c r="M64" i="2"/>
  <c r="P64" i="2"/>
  <c r="Q64" i="2"/>
  <c r="R64" i="2"/>
  <c r="S64" i="2"/>
  <c r="T64" i="2"/>
  <c r="U64" i="2"/>
  <c r="V64" i="2"/>
  <c r="W64" i="2"/>
  <c r="X64" i="2"/>
  <c r="E65" i="2"/>
  <c r="E66" i="2"/>
  <c r="G66" i="2"/>
  <c r="H66" i="2"/>
  <c r="I66" i="2"/>
  <c r="J66" i="2"/>
  <c r="K66" i="2"/>
  <c r="M66" i="2"/>
  <c r="P66" i="2"/>
  <c r="Q66" i="2"/>
  <c r="R66" i="2"/>
  <c r="S66" i="2"/>
  <c r="T66" i="2"/>
  <c r="U66" i="2"/>
  <c r="V66" i="2"/>
  <c r="W66" i="2"/>
  <c r="X66" i="2"/>
  <c r="E67" i="2"/>
  <c r="G67" i="2"/>
  <c r="H67" i="2"/>
  <c r="I67" i="2"/>
  <c r="J67" i="2"/>
  <c r="K67" i="2"/>
  <c r="M67" i="2"/>
  <c r="P67" i="2"/>
  <c r="Q67" i="2"/>
  <c r="R67" i="2"/>
  <c r="S67" i="2"/>
  <c r="T67" i="2"/>
  <c r="U67" i="2"/>
  <c r="V67" i="2"/>
  <c r="W67" i="2"/>
  <c r="X67" i="2"/>
  <c r="E68" i="2"/>
  <c r="G68" i="2"/>
  <c r="H68" i="2"/>
  <c r="I68" i="2"/>
  <c r="J68" i="2"/>
  <c r="K68" i="2"/>
  <c r="M68" i="2"/>
  <c r="P68" i="2"/>
  <c r="Q68" i="2"/>
  <c r="R68" i="2"/>
  <c r="S68" i="2"/>
  <c r="T68" i="2"/>
  <c r="U68" i="2"/>
  <c r="V68" i="2"/>
  <c r="W68" i="2"/>
  <c r="X68" i="2"/>
  <c r="E69" i="2"/>
  <c r="G69" i="2"/>
  <c r="H69" i="2"/>
  <c r="I69" i="2"/>
  <c r="J69" i="2"/>
  <c r="K69" i="2"/>
  <c r="M69" i="2"/>
  <c r="P69" i="2"/>
  <c r="Q69" i="2"/>
  <c r="R69" i="2"/>
  <c r="S69" i="2"/>
  <c r="T69" i="2"/>
  <c r="U69" i="2"/>
  <c r="V69" i="2"/>
  <c r="W69" i="2"/>
  <c r="X69" i="2"/>
  <c r="E70" i="2"/>
  <c r="G70" i="2"/>
  <c r="H70" i="2"/>
  <c r="I70" i="2"/>
  <c r="J70" i="2"/>
  <c r="K70" i="2"/>
  <c r="M70" i="2"/>
  <c r="P70" i="2"/>
  <c r="Q70" i="2"/>
  <c r="R70" i="2"/>
  <c r="S70" i="2"/>
  <c r="T70" i="2"/>
  <c r="U70" i="2"/>
  <c r="V70" i="2"/>
  <c r="W70" i="2"/>
  <c r="X70" i="2"/>
  <c r="E71" i="2"/>
  <c r="E72" i="2"/>
  <c r="E73" i="2"/>
  <c r="G73" i="2"/>
  <c r="H73" i="2"/>
  <c r="I73" i="2"/>
  <c r="J73" i="2"/>
  <c r="K73" i="2"/>
  <c r="M73" i="2"/>
  <c r="P73" i="2"/>
  <c r="Q73" i="2"/>
  <c r="R73" i="2"/>
  <c r="S73" i="2"/>
  <c r="T73" i="2"/>
  <c r="U73" i="2"/>
  <c r="V73" i="2"/>
  <c r="W73" i="2"/>
  <c r="X73" i="2"/>
  <c r="E74" i="2"/>
  <c r="G74" i="2"/>
  <c r="H74" i="2"/>
  <c r="I74" i="2"/>
  <c r="J74" i="2"/>
  <c r="K74" i="2"/>
  <c r="M74" i="2"/>
  <c r="P74" i="2"/>
  <c r="Q74" i="2"/>
  <c r="R74" i="2"/>
  <c r="S74" i="2"/>
  <c r="T74" i="2"/>
  <c r="U74" i="2"/>
  <c r="V74" i="2"/>
  <c r="W74" i="2"/>
  <c r="X74" i="2"/>
  <c r="E75" i="2"/>
  <c r="G75" i="2"/>
  <c r="H75" i="2"/>
  <c r="I75" i="2"/>
  <c r="J75" i="2"/>
  <c r="K75" i="2"/>
  <c r="M75" i="2"/>
  <c r="P75" i="2"/>
  <c r="Q75" i="2"/>
  <c r="R75" i="2"/>
  <c r="S75" i="2"/>
  <c r="T75" i="2"/>
  <c r="U75" i="2"/>
  <c r="V75" i="2"/>
  <c r="W75" i="2"/>
  <c r="X75" i="2"/>
  <c r="E76" i="2"/>
  <c r="G76" i="2"/>
  <c r="H76" i="2"/>
  <c r="I76" i="2"/>
  <c r="J76" i="2"/>
  <c r="K76" i="2"/>
  <c r="M76" i="2"/>
  <c r="P76" i="2"/>
  <c r="Q76" i="2"/>
  <c r="R76" i="2"/>
  <c r="S76" i="2"/>
  <c r="T76" i="2"/>
  <c r="U76" i="2"/>
  <c r="V76" i="2"/>
  <c r="W76" i="2"/>
  <c r="X76" i="2"/>
  <c r="E77" i="2"/>
  <c r="E78" i="2"/>
  <c r="G78" i="2"/>
  <c r="H78" i="2"/>
  <c r="I78" i="2"/>
  <c r="J78" i="2"/>
  <c r="K78" i="2"/>
  <c r="M78" i="2"/>
  <c r="P78" i="2"/>
  <c r="Q78" i="2"/>
  <c r="R78" i="2"/>
  <c r="S78" i="2"/>
  <c r="T78" i="2"/>
  <c r="U78" i="2"/>
  <c r="V78" i="2"/>
  <c r="W78" i="2"/>
  <c r="X78" i="2"/>
  <c r="E79" i="2"/>
  <c r="G79" i="2"/>
  <c r="H79" i="2"/>
  <c r="I79" i="2"/>
  <c r="J79" i="2"/>
  <c r="K79" i="2"/>
  <c r="M79" i="2"/>
  <c r="P79" i="2"/>
  <c r="Q79" i="2"/>
  <c r="R79" i="2"/>
  <c r="S79" i="2"/>
  <c r="T79" i="2"/>
  <c r="U79" i="2"/>
  <c r="V79" i="2"/>
  <c r="W79" i="2"/>
  <c r="X79" i="2"/>
  <c r="E80" i="2"/>
  <c r="G80" i="2"/>
  <c r="H80" i="2"/>
  <c r="I80" i="2"/>
  <c r="J80" i="2"/>
  <c r="K80" i="2"/>
  <c r="M80" i="2"/>
  <c r="P80" i="2"/>
  <c r="Q80" i="2"/>
  <c r="R80" i="2"/>
  <c r="S80" i="2"/>
  <c r="T80" i="2"/>
  <c r="U80" i="2"/>
  <c r="V80" i="2"/>
  <c r="W80" i="2"/>
  <c r="X80" i="2"/>
  <c r="E81" i="2"/>
  <c r="G81" i="2"/>
  <c r="H81" i="2"/>
  <c r="I81" i="2"/>
  <c r="J81" i="2"/>
  <c r="K81" i="2"/>
  <c r="M81" i="2"/>
  <c r="P81" i="2"/>
  <c r="Q81" i="2"/>
  <c r="R81" i="2"/>
  <c r="S81" i="2"/>
  <c r="T81" i="2"/>
  <c r="U81" i="2"/>
  <c r="V81" i="2"/>
  <c r="W81" i="2"/>
  <c r="X81" i="2"/>
  <c r="E82" i="2"/>
  <c r="E83" i="2"/>
  <c r="G83" i="2"/>
  <c r="H83" i="2"/>
  <c r="I83" i="2"/>
  <c r="J83" i="2"/>
  <c r="K83" i="2"/>
  <c r="M83" i="2"/>
  <c r="P83" i="2"/>
  <c r="Q83" i="2"/>
  <c r="R83" i="2"/>
  <c r="S83" i="2"/>
  <c r="T83" i="2"/>
  <c r="U83" i="2"/>
  <c r="V83" i="2"/>
  <c r="W83" i="2"/>
  <c r="X83" i="2"/>
  <c r="E84" i="2"/>
  <c r="G84" i="2"/>
  <c r="H84" i="2"/>
  <c r="I84" i="2"/>
  <c r="J84" i="2"/>
  <c r="K84" i="2"/>
  <c r="M84" i="2"/>
  <c r="P84" i="2"/>
  <c r="Q84" i="2"/>
  <c r="R84" i="2"/>
  <c r="S84" i="2"/>
  <c r="T84" i="2"/>
  <c r="U84" i="2"/>
  <c r="V84" i="2"/>
  <c r="W84" i="2"/>
  <c r="X84" i="2"/>
  <c r="E85" i="2"/>
  <c r="G85" i="2"/>
  <c r="H85" i="2"/>
  <c r="I85" i="2"/>
  <c r="J85" i="2"/>
  <c r="K85" i="2"/>
  <c r="M85" i="2"/>
  <c r="P85" i="2"/>
  <c r="Q85" i="2"/>
  <c r="R85" i="2"/>
  <c r="S85" i="2"/>
  <c r="T85" i="2"/>
  <c r="U85" i="2"/>
  <c r="V85" i="2"/>
  <c r="W85" i="2"/>
  <c r="X85" i="2"/>
  <c r="E86" i="2"/>
  <c r="G86" i="2"/>
  <c r="H86" i="2"/>
  <c r="I86" i="2"/>
  <c r="J86" i="2"/>
  <c r="K86" i="2"/>
  <c r="M86" i="2"/>
  <c r="P86" i="2"/>
  <c r="Q86" i="2"/>
  <c r="R86" i="2"/>
  <c r="S86" i="2"/>
  <c r="T86" i="2"/>
  <c r="U86" i="2"/>
  <c r="V86" i="2"/>
  <c r="W86" i="2"/>
  <c r="X86" i="2"/>
  <c r="E87" i="2"/>
  <c r="E88" i="2"/>
  <c r="G88" i="2"/>
  <c r="H88" i="2"/>
  <c r="I88" i="2"/>
  <c r="J88" i="2"/>
  <c r="K88" i="2"/>
  <c r="M88" i="2"/>
  <c r="P88" i="2"/>
  <c r="Q88" i="2"/>
  <c r="R88" i="2"/>
  <c r="S88" i="2"/>
  <c r="T88" i="2"/>
  <c r="U88" i="2"/>
  <c r="V88" i="2"/>
  <c r="W88" i="2"/>
  <c r="X88" i="2"/>
  <c r="E89" i="2"/>
  <c r="G89" i="2"/>
  <c r="H89" i="2"/>
  <c r="I89" i="2"/>
  <c r="J89" i="2"/>
  <c r="K89" i="2"/>
  <c r="M89" i="2"/>
  <c r="P89" i="2"/>
  <c r="Q89" i="2"/>
  <c r="R89" i="2"/>
  <c r="S89" i="2"/>
  <c r="T89" i="2"/>
  <c r="U89" i="2"/>
  <c r="V89" i="2"/>
  <c r="W89" i="2"/>
  <c r="X89" i="2"/>
  <c r="E90" i="2"/>
  <c r="G90" i="2"/>
  <c r="H90" i="2"/>
  <c r="I90" i="2"/>
  <c r="J90" i="2"/>
  <c r="K90" i="2"/>
  <c r="M90" i="2"/>
  <c r="P90" i="2"/>
  <c r="Q90" i="2"/>
  <c r="R90" i="2"/>
  <c r="S90" i="2"/>
  <c r="T90" i="2"/>
  <c r="U90" i="2"/>
  <c r="V90" i="2"/>
  <c r="W90" i="2"/>
  <c r="X90" i="2"/>
  <c r="E91" i="2"/>
  <c r="G91" i="2"/>
  <c r="H91" i="2"/>
  <c r="I91" i="2"/>
  <c r="J91" i="2"/>
  <c r="K91" i="2"/>
  <c r="M91" i="2"/>
  <c r="P91" i="2"/>
  <c r="Q91" i="2"/>
  <c r="R91" i="2"/>
  <c r="S91" i="2"/>
  <c r="T91" i="2"/>
  <c r="U91" i="2"/>
  <c r="V91" i="2"/>
  <c r="W91" i="2"/>
  <c r="X91" i="2"/>
  <c r="E92" i="2"/>
  <c r="E93" i="2"/>
  <c r="G93" i="2"/>
  <c r="H93" i="2"/>
  <c r="I93" i="2"/>
  <c r="J93" i="2"/>
  <c r="K93" i="2"/>
  <c r="M93" i="2"/>
  <c r="P93" i="2"/>
  <c r="Q93" i="2"/>
  <c r="R93" i="2"/>
  <c r="S93" i="2"/>
  <c r="T93" i="2"/>
  <c r="U93" i="2"/>
  <c r="V93" i="2"/>
  <c r="W93" i="2"/>
  <c r="X93" i="2"/>
  <c r="E94" i="2"/>
  <c r="G94" i="2"/>
  <c r="H94" i="2"/>
  <c r="I94" i="2"/>
  <c r="J94" i="2"/>
  <c r="K94" i="2"/>
  <c r="M94" i="2"/>
  <c r="P94" i="2"/>
  <c r="Q94" i="2"/>
  <c r="R94" i="2"/>
  <c r="S94" i="2"/>
  <c r="T94" i="2"/>
  <c r="U94" i="2"/>
  <c r="V94" i="2"/>
  <c r="W94" i="2"/>
  <c r="X94" i="2"/>
  <c r="E95" i="2"/>
  <c r="G95" i="2"/>
  <c r="H95" i="2"/>
  <c r="I95" i="2"/>
  <c r="J95" i="2"/>
  <c r="K95" i="2"/>
  <c r="M95" i="2"/>
  <c r="P95" i="2"/>
  <c r="Q95" i="2"/>
  <c r="R95" i="2"/>
  <c r="S95" i="2"/>
  <c r="T95" i="2"/>
  <c r="U95" i="2"/>
  <c r="V95" i="2"/>
  <c r="W95" i="2"/>
  <c r="X95" i="2"/>
  <c r="E96" i="2"/>
  <c r="G96" i="2"/>
  <c r="H96" i="2"/>
  <c r="I96" i="2"/>
  <c r="J96" i="2"/>
  <c r="K96" i="2"/>
  <c r="M96" i="2"/>
  <c r="P96" i="2"/>
  <c r="Q96" i="2"/>
  <c r="R96" i="2"/>
  <c r="S96" i="2"/>
  <c r="T96" i="2"/>
  <c r="U96" i="2"/>
  <c r="V96" i="2"/>
  <c r="W96" i="2"/>
  <c r="X96" i="2"/>
  <c r="E97" i="2"/>
  <c r="E98" i="2"/>
  <c r="G98" i="2"/>
  <c r="H98" i="2"/>
  <c r="I98" i="2"/>
  <c r="J98" i="2"/>
  <c r="K98" i="2"/>
  <c r="M98" i="2"/>
  <c r="P98" i="2"/>
  <c r="Q98" i="2"/>
  <c r="R98" i="2"/>
  <c r="S98" i="2"/>
  <c r="T98" i="2"/>
  <c r="U98" i="2"/>
  <c r="V98" i="2"/>
  <c r="W98" i="2"/>
  <c r="X98" i="2"/>
  <c r="E99" i="2"/>
  <c r="G99" i="2"/>
  <c r="H99" i="2"/>
  <c r="I99" i="2"/>
  <c r="J99" i="2"/>
  <c r="K99" i="2"/>
  <c r="M99" i="2"/>
  <c r="P99" i="2"/>
  <c r="Q99" i="2"/>
  <c r="R99" i="2"/>
  <c r="S99" i="2"/>
  <c r="T99" i="2"/>
  <c r="U99" i="2"/>
  <c r="V99" i="2"/>
  <c r="W99" i="2"/>
  <c r="X99" i="2"/>
  <c r="E100" i="2"/>
  <c r="G100" i="2"/>
  <c r="H100" i="2"/>
  <c r="I100" i="2"/>
  <c r="J100" i="2"/>
  <c r="K100" i="2"/>
  <c r="M100" i="2"/>
  <c r="P100" i="2"/>
  <c r="Q100" i="2"/>
  <c r="R100" i="2"/>
  <c r="S100" i="2"/>
  <c r="T100" i="2"/>
  <c r="U100" i="2"/>
  <c r="V100" i="2"/>
  <c r="W100" i="2"/>
  <c r="X100" i="2"/>
  <c r="E101" i="2"/>
  <c r="G101" i="2"/>
  <c r="H101" i="2"/>
  <c r="I101" i="2"/>
  <c r="J101" i="2"/>
  <c r="K101" i="2"/>
  <c r="M101" i="2"/>
  <c r="P101" i="2"/>
  <c r="Q101" i="2"/>
  <c r="R101" i="2"/>
  <c r="S101" i="2"/>
  <c r="T101" i="2"/>
  <c r="U101" i="2"/>
  <c r="V101" i="2"/>
  <c r="W101" i="2"/>
  <c r="X101" i="2"/>
  <c r="E102" i="2"/>
  <c r="E103" i="2"/>
  <c r="G103" i="2"/>
  <c r="H103" i="2"/>
  <c r="I103" i="2"/>
  <c r="J103" i="2"/>
  <c r="K103" i="2"/>
  <c r="M103" i="2"/>
  <c r="P103" i="2"/>
  <c r="Q103" i="2"/>
  <c r="R103" i="2"/>
  <c r="S103" i="2"/>
  <c r="T103" i="2"/>
  <c r="U103" i="2"/>
  <c r="V103" i="2"/>
  <c r="W103" i="2"/>
  <c r="X103" i="2"/>
  <c r="E104" i="2"/>
  <c r="G104" i="2"/>
  <c r="H104" i="2"/>
  <c r="I104" i="2"/>
  <c r="J104" i="2"/>
  <c r="K104" i="2"/>
  <c r="M104" i="2"/>
  <c r="P104" i="2"/>
  <c r="Q104" i="2"/>
  <c r="R104" i="2"/>
  <c r="S104" i="2"/>
  <c r="T104" i="2"/>
  <c r="U104" i="2"/>
  <c r="V104" i="2"/>
  <c r="W104" i="2"/>
  <c r="X104" i="2"/>
  <c r="E105" i="2"/>
  <c r="G105" i="2"/>
  <c r="H105" i="2"/>
  <c r="I105" i="2"/>
  <c r="J105" i="2"/>
  <c r="K105" i="2"/>
  <c r="M105" i="2"/>
  <c r="P105" i="2"/>
  <c r="Q105" i="2"/>
  <c r="R105" i="2"/>
  <c r="S105" i="2"/>
  <c r="T105" i="2"/>
  <c r="U105" i="2"/>
  <c r="V105" i="2"/>
  <c r="W105" i="2"/>
  <c r="X105" i="2"/>
  <c r="E106" i="2"/>
  <c r="G106" i="2"/>
  <c r="H106" i="2"/>
  <c r="I106" i="2"/>
  <c r="J106" i="2"/>
  <c r="K106" i="2"/>
  <c r="M106" i="2"/>
  <c r="P106" i="2"/>
  <c r="Q106" i="2"/>
  <c r="R106" i="2"/>
  <c r="S106" i="2"/>
  <c r="T106" i="2"/>
  <c r="U106" i="2"/>
  <c r="V106" i="2"/>
  <c r="W106" i="2"/>
  <c r="X106" i="2"/>
  <c r="E107" i="2"/>
  <c r="E108" i="2"/>
  <c r="G108" i="2"/>
  <c r="H108" i="2"/>
  <c r="I108" i="2"/>
  <c r="J108" i="2"/>
  <c r="K108" i="2"/>
  <c r="M108" i="2"/>
  <c r="P108" i="2"/>
  <c r="Q108" i="2"/>
  <c r="R108" i="2"/>
  <c r="S108" i="2"/>
  <c r="T108" i="2"/>
  <c r="U108" i="2"/>
  <c r="V108" i="2"/>
  <c r="W108" i="2"/>
  <c r="X108" i="2"/>
  <c r="E109" i="2"/>
  <c r="G109" i="2"/>
  <c r="H109" i="2"/>
  <c r="I109" i="2"/>
  <c r="J109" i="2"/>
  <c r="K109" i="2"/>
  <c r="M109" i="2"/>
  <c r="P109" i="2"/>
  <c r="Q109" i="2"/>
  <c r="R109" i="2"/>
  <c r="S109" i="2"/>
  <c r="T109" i="2"/>
  <c r="U109" i="2"/>
  <c r="V109" i="2"/>
  <c r="W109" i="2"/>
  <c r="X109" i="2"/>
  <c r="E110" i="2"/>
  <c r="G110" i="2"/>
  <c r="H110" i="2"/>
  <c r="I110" i="2"/>
  <c r="J110" i="2"/>
  <c r="K110" i="2"/>
  <c r="M110" i="2"/>
  <c r="P110" i="2"/>
  <c r="Q110" i="2"/>
  <c r="R110" i="2"/>
  <c r="S110" i="2"/>
  <c r="T110" i="2"/>
  <c r="U110" i="2"/>
  <c r="V110" i="2"/>
  <c r="W110" i="2"/>
  <c r="X110" i="2"/>
  <c r="E111" i="2"/>
  <c r="G111" i="2"/>
  <c r="H111" i="2"/>
  <c r="I111" i="2"/>
  <c r="J111" i="2"/>
  <c r="K111" i="2"/>
  <c r="M111" i="2"/>
  <c r="P111" i="2"/>
  <c r="Q111" i="2"/>
  <c r="R111" i="2"/>
  <c r="S111" i="2"/>
  <c r="T111" i="2"/>
  <c r="U111" i="2"/>
  <c r="V111" i="2"/>
  <c r="W111" i="2"/>
  <c r="X111" i="2"/>
  <c r="E112" i="2"/>
  <c r="J112" i="2"/>
  <c r="K112" i="2"/>
  <c r="E113" i="2"/>
  <c r="G113" i="2"/>
  <c r="G112" i="2" s="1"/>
  <c r="H113" i="2"/>
  <c r="I113" i="2"/>
  <c r="I112" i="2" s="1"/>
  <c r="J113" i="2"/>
  <c r="K113" i="2"/>
  <c r="M113" i="2"/>
  <c r="M112" i="2" s="1"/>
  <c r="P113" i="2"/>
  <c r="P112" i="2" s="1"/>
  <c r="Q113" i="2"/>
  <c r="Q112" i="2" s="1"/>
  <c r="R113" i="2"/>
  <c r="R112" i="2" s="1"/>
  <c r="S113" i="2"/>
  <c r="S112" i="2" s="1"/>
  <c r="T113" i="2"/>
  <c r="U113" i="2"/>
  <c r="U112" i="2" s="1"/>
  <c r="V113" i="2"/>
  <c r="W113" i="2"/>
  <c r="X113" i="2"/>
  <c r="X112" i="2" s="1"/>
  <c r="E114" i="2"/>
  <c r="G114" i="2"/>
  <c r="H114" i="2"/>
  <c r="H112" i="2" s="1"/>
  <c r="I114" i="2"/>
  <c r="J114" i="2"/>
  <c r="K114" i="2"/>
  <c r="M114" i="2"/>
  <c r="P114" i="2"/>
  <c r="Q114" i="2"/>
  <c r="R114" i="2"/>
  <c r="S114" i="2"/>
  <c r="T114" i="2"/>
  <c r="T112" i="2" s="1"/>
  <c r="U114" i="2"/>
  <c r="V114" i="2"/>
  <c r="V112" i="2" s="1"/>
  <c r="W114" i="2"/>
  <c r="W112" i="2" s="1"/>
  <c r="X114" i="2"/>
  <c r="E115" i="2"/>
  <c r="E116" i="2"/>
  <c r="E117" i="2"/>
  <c r="P117" i="2"/>
  <c r="Q117" i="2"/>
  <c r="R117" i="2"/>
  <c r="S117" i="2"/>
  <c r="T117" i="2"/>
  <c r="U117" i="2"/>
  <c r="V117" i="2"/>
  <c r="W117" i="2"/>
  <c r="X117" i="2"/>
  <c r="E118" i="2"/>
  <c r="G118" i="2"/>
  <c r="H118" i="2"/>
  <c r="I118" i="2"/>
  <c r="J118" i="2"/>
  <c r="K118" i="2"/>
  <c r="M118" i="2"/>
  <c r="P118" i="2"/>
  <c r="Q118" i="2"/>
  <c r="R118" i="2"/>
  <c r="S118" i="2"/>
  <c r="T118" i="2"/>
  <c r="U118" i="2"/>
  <c r="V118" i="2"/>
  <c r="W118" i="2"/>
  <c r="X118" i="2"/>
  <c r="E119" i="2"/>
  <c r="G119" i="2"/>
  <c r="H119" i="2"/>
  <c r="I119" i="2"/>
  <c r="J119" i="2"/>
  <c r="K119" i="2"/>
  <c r="M119" i="2"/>
  <c r="P119" i="2"/>
  <c r="Q119" i="2"/>
  <c r="R119" i="2"/>
  <c r="S119" i="2"/>
  <c r="T119" i="2"/>
  <c r="U119" i="2"/>
  <c r="V119" i="2"/>
  <c r="W119" i="2"/>
  <c r="X119" i="2"/>
  <c r="E120" i="2"/>
  <c r="G120" i="2"/>
  <c r="H120" i="2"/>
  <c r="I120" i="2"/>
  <c r="J120" i="2"/>
  <c r="K120" i="2"/>
  <c r="M120" i="2"/>
  <c r="P120" i="2"/>
  <c r="Q120" i="2"/>
  <c r="R120" i="2"/>
  <c r="S120" i="2"/>
  <c r="T120" i="2"/>
  <c r="U120" i="2"/>
  <c r="V120" i="2"/>
  <c r="W120" i="2"/>
  <c r="X120" i="2"/>
  <c r="E121" i="2"/>
  <c r="G121" i="2"/>
  <c r="H121" i="2"/>
  <c r="I121" i="2"/>
  <c r="J121" i="2"/>
  <c r="K121" i="2"/>
  <c r="M121" i="2"/>
  <c r="O121" i="2"/>
  <c r="P121" i="2"/>
  <c r="Q121" i="2"/>
  <c r="R121" i="2"/>
  <c r="S121" i="2"/>
  <c r="T121" i="2"/>
  <c r="U121" i="2"/>
  <c r="V121" i="2"/>
  <c r="W121" i="2"/>
  <c r="X121" i="2"/>
  <c r="E122" i="2"/>
  <c r="E123" i="2"/>
  <c r="G123" i="2"/>
  <c r="H123" i="2"/>
  <c r="I123" i="2"/>
  <c r="J123" i="2"/>
  <c r="K123" i="2"/>
  <c r="M123" i="2"/>
  <c r="P123" i="2"/>
  <c r="Q123" i="2"/>
  <c r="R123" i="2"/>
  <c r="S123" i="2"/>
  <c r="T123" i="2"/>
  <c r="U123" i="2"/>
  <c r="V123" i="2"/>
  <c r="W123" i="2"/>
  <c r="X123" i="2"/>
  <c r="E124" i="2"/>
  <c r="G124" i="2"/>
  <c r="H124" i="2"/>
  <c r="I124" i="2"/>
  <c r="J124" i="2"/>
  <c r="K124" i="2"/>
  <c r="M124" i="2"/>
  <c r="P124" i="2"/>
  <c r="Q124" i="2"/>
  <c r="R124" i="2"/>
  <c r="S124" i="2"/>
  <c r="T124" i="2"/>
  <c r="U124" i="2"/>
  <c r="V124" i="2"/>
  <c r="W124" i="2"/>
  <c r="X124" i="2"/>
  <c r="E125" i="2"/>
  <c r="G125" i="2"/>
  <c r="H125" i="2"/>
  <c r="I125" i="2"/>
  <c r="J125" i="2"/>
  <c r="K125" i="2"/>
  <c r="M125" i="2"/>
  <c r="P125" i="2"/>
  <c r="Q125" i="2"/>
  <c r="R125" i="2"/>
  <c r="S125" i="2"/>
  <c r="T125" i="2"/>
  <c r="U125" i="2"/>
  <c r="V125" i="2"/>
  <c r="W125" i="2"/>
  <c r="X125" i="2"/>
  <c r="E126" i="2"/>
  <c r="G126" i="2"/>
  <c r="H126" i="2"/>
  <c r="I126" i="2"/>
  <c r="J126" i="2"/>
  <c r="K126" i="2"/>
  <c r="M126" i="2"/>
  <c r="O126" i="2"/>
  <c r="P126" i="2"/>
  <c r="Q126" i="2"/>
  <c r="R126" i="2"/>
  <c r="S126" i="2"/>
  <c r="T126" i="2"/>
  <c r="U126" i="2"/>
  <c r="V126" i="2"/>
  <c r="W126" i="2"/>
  <c r="X126" i="2"/>
  <c r="E127" i="2"/>
  <c r="E128" i="2"/>
  <c r="G128" i="2"/>
  <c r="H128" i="2"/>
  <c r="I128" i="2"/>
  <c r="J128" i="2"/>
  <c r="K128" i="2"/>
  <c r="M128" i="2"/>
  <c r="P128" i="2"/>
  <c r="Q128" i="2"/>
  <c r="R128" i="2"/>
  <c r="S128" i="2"/>
  <c r="T128" i="2"/>
  <c r="U128" i="2"/>
  <c r="V128" i="2"/>
  <c r="W128" i="2"/>
  <c r="X128" i="2"/>
  <c r="E129" i="2"/>
  <c r="G129" i="2"/>
  <c r="H129" i="2"/>
  <c r="I129" i="2"/>
  <c r="J129" i="2"/>
  <c r="K129" i="2"/>
  <c r="M129" i="2"/>
  <c r="P129" i="2"/>
  <c r="Q129" i="2"/>
  <c r="R129" i="2"/>
  <c r="S129" i="2"/>
  <c r="T129" i="2"/>
  <c r="U129" i="2"/>
  <c r="V129" i="2"/>
  <c r="W129" i="2"/>
  <c r="X129" i="2"/>
  <c r="E130" i="2"/>
  <c r="G130" i="2"/>
  <c r="H130" i="2"/>
  <c r="I130" i="2"/>
  <c r="J130" i="2"/>
  <c r="K130" i="2"/>
  <c r="M130" i="2"/>
  <c r="P130" i="2"/>
  <c r="Q130" i="2"/>
  <c r="R130" i="2"/>
  <c r="S130" i="2"/>
  <c r="T130" i="2"/>
  <c r="U130" i="2"/>
  <c r="V130" i="2"/>
  <c r="W130" i="2"/>
  <c r="X130" i="2"/>
  <c r="E131" i="2"/>
  <c r="G131" i="2"/>
  <c r="H131" i="2"/>
  <c r="I131" i="2"/>
  <c r="J131" i="2"/>
  <c r="K131" i="2"/>
  <c r="M131" i="2"/>
  <c r="O131" i="2"/>
  <c r="P131" i="2"/>
  <c r="Q131" i="2"/>
  <c r="R131" i="2"/>
  <c r="S131" i="2"/>
  <c r="T131" i="2"/>
  <c r="U131" i="2"/>
  <c r="V131" i="2"/>
  <c r="W131" i="2"/>
  <c r="X131" i="2"/>
  <c r="E132" i="2"/>
  <c r="E133" i="2"/>
  <c r="G133" i="2"/>
  <c r="H133" i="2"/>
  <c r="I133" i="2"/>
  <c r="J133" i="2"/>
  <c r="K133" i="2"/>
  <c r="M133" i="2"/>
  <c r="P133" i="2"/>
  <c r="Q133" i="2"/>
  <c r="R133" i="2"/>
  <c r="S133" i="2"/>
  <c r="T133" i="2"/>
  <c r="U133" i="2"/>
  <c r="V133" i="2"/>
  <c r="W133" i="2"/>
  <c r="X133" i="2"/>
  <c r="E134" i="2"/>
  <c r="G134" i="2"/>
  <c r="H134" i="2"/>
  <c r="I134" i="2"/>
  <c r="J134" i="2"/>
  <c r="K134" i="2"/>
  <c r="M134" i="2"/>
  <c r="P134" i="2"/>
  <c r="Q134" i="2"/>
  <c r="R134" i="2"/>
  <c r="S134" i="2"/>
  <c r="T134" i="2"/>
  <c r="U134" i="2"/>
  <c r="V134" i="2"/>
  <c r="W134" i="2"/>
  <c r="X134" i="2"/>
  <c r="E135" i="2"/>
  <c r="G135" i="2"/>
  <c r="H135" i="2"/>
  <c r="I135" i="2"/>
  <c r="J135" i="2"/>
  <c r="K135" i="2"/>
  <c r="M135" i="2"/>
  <c r="P135" i="2"/>
  <c r="Q135" i="2"/>
  <c r="R135" i="2"/>
  <c r="S135" i="2"/>
  <c r="T135" i="2"/>
  <c r="U135" i="2"/>
  <c r="V135" i="2"/>
  <c r="W135" i="2"/>
  <c r="X135" i="2"/>
  <c r="E136" i="2"/>
  <c r="G136" i="2"/>
  <c r="H136" i="2"/>
  <c r="I136" i="2"/>
  <c r="J136" i="2"/>
  <c r="K136" i="2"/>
  <c r="M136" i="2"/>
  <c r="O136" i="2"/>
  <c r="P136" i="2"/>
  <c r="Q136" i="2"/>
  <c r="R136" i="2"/>
  <c r="S136" i="2"/>
  <c r="T136" i="2"/>
  <c r="U136" i="2"/>
  <c r="V136" i="2"/>
  <c r="W136" i="2"/>
  <c r="X136" i="2"/>
  <c r="E137" i="2"/>
  <c r="E138" i="2"/>
  <c r="G138" i="2"/>
  <c r="H138" i="2"/>
  <c r="I138" i="2"/>
  <c r="J138" i="2"/>
  <c r="K138" i="2"/>
  <c r="M138" i="2"/>
  <c r="P138" i="2"/>
  <c r="Q138" i="2"/>
  <c r="R138" i="2"/>
  <c r="S138" i="2"/>
  <c r="T138" i="2"/>
  <c r="U138" i="2"/>
  <c r="V138" i="2"/>
  <c r="W138" i="2"/>
  <c r="X138" i="2"/>
  <c r="E139" i="2"/>
  <c r="G139" i="2"/>
  <c r="H139" i="2"/>
  <c r="I139" i="2"/>
  <c r="J139" i="2"/>
  <c r="K139" i="2"/>
  <c r="M139" i="2"/>
  <c r="O139" i="2"/>
  <c r="P139" i="2"/>
  <c r="Q139" i="2"/>
  <c r="R139" i="2"/>
  <c r="S139" i="2"/>
  <c r="T139" i="2"/>
  <c r="U139" i="2"/>
  <c r="V139" i="2"/>
  <c r="W139" i="2"/>
  <c r="X139" i="2"/>
  <c r="E140" i="2"/>
  <c r="G140" i="2"/>
  <c r="H140" i="2"/>
  <c r="I140" i="2"/>
  <c r="J140" i="2"/>
  <c r="K140" i="2"/>
  <c r="M140" i="2"/>
  <c r="O140" i="2"/>
  <c r="P140" i="2"/>
  <c r="Q140" i="2"/>
  <c r="R140" i="2"/>
  <c r="S140" i="2"/>
  <c r="T140" i="2"/>
  <c r="U140" i="2"/>
  <c r="V140" i="2"/>
  <c r="W140" i="2"/>
  <c r="X140" i="2"/>
  <c r="E141" i="2"/>
  <c r="G141" i="2"/>
  <c r="H141" i="2"/>
  <c r="I141" i="2"/>
  <c r="J141" i="2"/>
  <c r="K141" i="2"/>
  <c r="M141" i="2"/>
  <c r="O141" i="2"/>
  <c r="P141" i="2"/>
  <c r="Q141" i="2"/>
  <c r="R141" i="2"/>
  <c r="S141" i="2"/>
  <c r="T141" i="2"/>
  <c r="U141" i="2"/>
  <c r="V141" i="2"/>
  <c r="W141" i="2"/>
  <c r="X141" i="2"/>
  <c r="E142" i="2"/>
  <c r="E143" i="2"/>
  <c r="G143" i="2"/>
  <c r="H143" i="2"/>
  <c r="I143" i="2"/>
  <c r="J143" i="2"/>
  <c r="K143" i="2"/>
  <c r="M143" i="2"/>
  <c r="P143" i="2"/>
  <c r="Q143" i="2"/>
  <c r="R143" i="2"/>
  <c r="S143" i="2"/>
  <c r="T143" i="2"/>
  <c r="U143" i="2"/>
  <c r="V143" i="2"/>
  <c r="W143" i="2"/>
  <c r="X143" i="2"/>
  <c r="E144" i="2"/>
  <c r="G144" i="2"/>
  <c r="H144" i="2"/>
  <c r="I144" i="2"/>
  <c r="J144" i="2"/>
  <c r="K144" i="2"/>
  <c r="M144" i="2"/>
  <c r="P144" i="2"/>
  <c r="Q144" i="2"/>
  <c r="R144" i="2"/>
  <c r="S144" i="2"/>
  <c r="T144" i="2"/>
  <c r="U144" i="2"/>
  <c r="V144" i="2"/>
  <c r="W144" i="2"/>
  <c r="X144" i="2"/>
  <c r="E145" i="2"/>
  <c r="G145" i="2"/>
  <c r="H145" i="2"/>
  <c r="I145" i="2"/>
  <c r="J145" i="2"/>
  <c r="K145" i="2"/>
  <c r="M145" i="2"/>
  <c r="P145" i="2"/>
  <c r="Q145" i="2"/>
  <c r="R145" i="2"/>
  <c r="S145" i="2"/>
  <c r="T145" i="2"/>
  <c r="U145" i="2"/>
  <c r="V145" i="2"/>
  <c r="W145" i="2"/>
  <c r="X145" i="2"/>
  <c r="E146" i="2"/>
  <c r="G146" i="2"/>
  <c r="H146" i="2"/>
  <c r="I146" i="2"/>
  <c r="J146" i="2"/>
  <c r="K146" i="2"/>
  <c r="M146" i="2"/>
  <c r="P146" i="2"/>
  <c r="Q146" i="2"/>
  <c r="R146" i="2"/>
  <c r="S146" i="2"/>
  <c r="T146" i="2"/>
  <c r="U146" i="2"/>
  <c r="V146" i="2"/>
  <c r="W146" i="2"/>
  <c r="X146" i="2"/>
  <c r="E147" i="2"/>
  <c r="E148" i="2"/>
  <c r="G148" i="2"/>
  <c r="H148" i="2"/>
  <c r="I148" i="2"/>
  <c r="J148" i="2"/>
  <c r="K148" i="2"/>
  <c r="M148" i="2"/>
  <c r="P148" i="2"/>
  <c r="Q148" i="2"/>
  <c r="R148" i="2"/>
  <c r="S148" i="2"/>
  <c r="T148" i="2"/>
  <c r="U148" i="2"/>
  <c r="V148" i="2"/>
  <c r="W148" i="2"/>
  <c r="X148" i="2"/>
  <c r="E149" i="2"/>
  <c r="G149" i="2"/>
  <c r="H149" i="2"/>
  <c r="I149" i="2"/>
  <c r="J149" i="2"/>
  <c r="K149" i="2"/>
  <c r="M149" i="2"/>
  <c r="O149" i="2"/>
  <c r="P149" i="2"/>
  <c r="Q149" i="2"/>
  <c r="R149" i="2"/>
  <c r="S149" i="2"/>
  <c r="T149" i="2"/>
  <c r="U149" i="2"/>
  <c r="V149" i="2"/>
  <c r="W149" i="2"/>
  <c r="X149" i="2"/>
  <c r="E150" i="2"/>
  <c r="G150" i="2"/>
  <c r="H150" i="2"/>
  <c r="I150" i="2"/>
  <c r="J150" i="2"/>
  <c r="K150" i="2"/>
  <c r="M150" i="2"/>
  <c r="P150" i="2"/>
  <c r="Q150" i="2"/>
  <c r="R150" i="2"/>
  <c r="S150" i="2"/>
  <c r="T150" i="2"/>
  <c r="U150" i="2"/>
  <c r="V150" i="2"/>
  <c r="W150" i="2"/>
  <c r="X150" i="2"/>
  <c r="E151" i="2"/>
  <c r="G151" i="2"/>
  <c r="H151" i="2"/>
  <c r="I151" i="2"/>
  <c r="J151" i="2"/>
  <c r="K151" i="2"/>
  <c r="M151" i="2"/>
  <c r="P151" i="2"/>
  <c r="Q151" i="2"/>
  <c r="R151" i="2"/>
  <c r="S151" i="2"/>
  <c r="T151" i="2"/>
  <c r="U151" i="2"/>
  <c r="V151" i="2"/>
  <c r="W151" i="2"/>
  <c r="X151" i="2"/>
  <c r="E152" i="2"/>
  <c r="G152" i="2"/>
  <c r="H152" i="2"/>
  <c r="I152" i="2"/>
  <c r="J152" i="2"/>
  <c r="K152" i="2"/>
  <c r="M152" i="2"/>
  <c r="P152" i="2"/>
  <c r="Q152" i="2"/>
  <c r="R152" i="2"/>
  <c r="S152" i="2"/>
  <c r="T152" i="2"/>
  <c r="U152" i="2"/>
  <c r="V152" i="2"/>
  <c r="W152" i="2"/>
  <c r="X152" i="2"/>
  <c r="E153" i="2"/>
  <c r="G153" i="2"/>
  <c r="H153" i="2"/>
  <c r="I153" i="2"/>
  <c r="J153" i="2"/>
  <c r="K153" i="2"/>
  <c r="M153" i="2"/>
  <c r="P153" i="2"/>
  <c r="Q153" i="2"/>
  <c r="R153" i="2"/>
  <c r="S153" i="2"/>
  <c r="T153" i="2"/>
  <c r="U153" i="2"/>
  <c r="V153" i="2"/>
  <c r="W153" i="2"/>
  <c r="X153" i="2"/>
  <c r="E154" i="2"/>
  <c r="G154" i="2"/>
  <c r="H154" i="2"/>
  <c r="I154" i="2"/>
  <c r="J154" i="2"/>
  <c r="K154" i="2"/>
  <c r="M154" i="2"/>
  <c r="P154" i="2"/>
  <c r="Q154" i="2"/>
  <c r="R154" i="2"/>
  <c r="S154" i="2"/>
  <c r="T154" i="2"/>
  <c r="U154" i="2"/>
  <c r="V154" i="2"/>
  <c r="W154" i="2"/>
  <c r="X154" i="2"/>
  <c r="E155" i="2"/>
  <c r="G155" i="2"/>
  <c r="H155" i="2"/>
  <c r="I155" i="2"/>
  <c r="J155" i="2"/>
  <c r="K155" i="2"/>
  <c r="M155" i="2"/>
  <c r="P155" i="2"/>
  <c r="Q155" i="2"/>
  <c r="R155" i="2"/>
  <c r="S155" i="2"/>
  <c r="T155" i="2"/>
  <c r="U155" i="2"/>
  <c r="V155" i="2"/>
  <c r="W155" i="2"/>
  <c r="X155" i="2"/>
  <c r="E156" i="2"/>
  <c r="A157" i="2"/>
  <c r="E157" i="2"/>
  <c r="G157" i="2"/>
  <c r="H157" i="2"/>
  <c r="I157" i="2"/>
  <c r="J157" i="2"/>
  <c r="K157" i="2"/>
  <c r="M157" i="2"/>
  <c r="P157" i="2"/>
  <c r="Q157" i="2"/>
  <c r="R157" i="2"/>
  <c r="S157" i="2"/>
  <c r="T157" i="2"/>
  <c r="U157" i="2"/>
  <c r="V157" i="2"/>
  <c r="W157" i="2"/>
  <c r="X157" i="2"/>
  <c r="A158" i="2"/>
  <c r="E158" i="2"/>
  <c r="G158" i="2"/>
  <c r="H158" i="2"/>
  <c r="I158" i="2"/>
  <c r="J158" i="2"/>
  <c r="K158" i="2"/>
  <c r="M158" i="2"/>
  <c r="P158" i="2"/>
  <c r="Q158" i="2"/>
  <c r="R158" i="2"/>
  <c r="S158" i="2"/>
  <c r="T158" i="2"/>
  <c r="U158" i="2"/>
  <c r="V158" i="2"/>
  <c r="W158" i="2"/>
  <c r="X158" i="2"/>
  <c r="A159" i="2"/>
  <c r="E159" i="2"/>
  <c r="G159" i="2"/>
  <c r="H159" i="2"/>
  <c r="I159" i="2"/>
  <c r="J159" i="2"/>
  <c r="K159" i="2"/>
  <c r="M159" i="2"/>
  <c r="P159" i="2"/>
  <c r="Q159" i="2"/>
  <c r="R159" i="2"/>
  <c r="S159" i="2"/>
  <c r="T159" i="2"/>
  <c r="U159" i="2"/>
  <c r="V159" i="2"/>
  <c r="W159" i="2"/>
  <c r="X159" i="2"/>
  <c r="A160" i="2"/>
  <c r="E160" i="2"/>
  <c r="G160" i="2"/>
  <c r="H160" i="2"/>
  <c r="I160" i="2"/>
  <c r="J160" i="2"/>
  <c r="K160" i="2"/>
  <c r="M160" i="2"/>
  <c r="P160" i="2"/>
  <c r="Q160" i="2"/>
  <c r="R160" i="2"/>
  <c r="S160" i="2"/>
  <c r="T160" i="2"/>
  <c r="U160" i="2"/>
  <c r="V160" i="2"/>
  <c r="W160" i="2"/>
  <c r="X160" i="2"/>
  <c r="E161" i="2"/>
  <c r="H161" i="2"/>
  <c r="E162" i="2"/>
  <c r="G162" i="2"/>
  <c r="G161" i="2" s="1"/>
  <c r="H162" i="2"/>
  <c r="I162" i="2"/>
  <c r="J162" i="2"/>
  <c r="J161" i="2" s="1"/>
  <c r="L161" i="2" s="1"/>
  <c r="K162" i="2"/>
  <c r="M162" i="2"/>
  <c r="M161" i="2" s="1"/>
  <c r="P162" i="2"/>
  <c r="P161" i="2" s="1"/>
  <c r="Q162" i="2"/>
  <c r="Q161" i="2" s="1"/>
  <c r="R162" i="2"/>
  <c r="S162" i="2"/>
  <c r="S161" i="2" s="1"/>
  <c r="T162" i="2"/>
  <c r="U162" i="2"/>
  <c r="V162" i="2"/>
  <c r="V161" i="2" s="1"/>
  <c r="W162" i="2"/>
  <c r="X162" i="2"/>
  <c r="E163" i="2"/>
  <c r="G163" i="2"/>
  <c r="H163" i="2"/>
  <c r="I163" i="2"/>
  <c r="I161" i="2" s="1"/>
  <c r="J163" i="2"/>
  <c r="K163" i="2"/>
  <c r="M163" i="2"/>
  <c r="O163" i="2"/>
  <c r="P163" i="2"/>
  <c r="Q163" i="2"/>
  <c r="R163" i="2"/>
  <c r="S163" i="2"/>
  <c r="T163" i="2"/>
  <c r="U163" i="2"/>
  <c r="U161" i="2" s="1"/>
  <c r="V163" i="2"/>
  <c r="W163" i="2"/>
  <c r="W161" i="2" s="1"/>
  <c r="X163" i="2"/>
  <c r="X161" i="2" s="1"/>
  <c r="E164" i="2"/>
  <c r="G164" i="2"/>
  <c r="H164" i="2"/>
  <c r="I164" i="2"/>
  <c r="J164" i="2"/>
  <c r="K164" i="2"/>
  <c r="K161" i="2" s="1"/>
  <c r="M164" i="2"/>
  <c r="P164" i="2"/>
  <c r="Q164" i="2"/>
  <c r="R164" i="2"/>
  <c r="S164" i="2"/>
  <c r="T164" i="2"/>
  <c r="T161" i="2" s="1"/>
  <c r="U164" i="2"/>
  <c r="V164" i="2"/>
  <c r="W164" i="2"/>
  <c r="X164" i="2"/>
  <c r="E165" i="2"/>
  <c r="G165" i="2"/>
  <c r="H165" i="2"/>
  <c r="I165" i="2"/>
  <c r="J165" i="2"/>
  <c r="K165" i="2"/>
  <c r="M165" i="2"/>
  <c r="P165" i="2"/>
  <c r="Q165" i="2"/>
  <c r="R165" i="2"/>
  <c r="S165" i="2"/>
  <c r="T165" i="2"/>
  <c r="U165" i="2"/>
  <c r="V165" i="2"/>
  <c r="W165" i="2"/>
  <c r="X165" i="2"/>
  <c r="E166" i="2"/>
  <c r="G166" i="2"/>
  <c r="H166" i="2"/>
  <c r="I166" i="2"/>
  <c r="J166" i="2"/>
  <c r="K166" i="2"/>
  <c r="M166" i="2"/>
  <c r="P166" i="2"/>
  <c r="Q166" i="2"/>
  <c r="R166" i="2"/>
  <c r="S166" i="2"/>
  <c r="T166" i="2"/>
  <c r="U166" i="2"/>
  <c r="V166" i="2"/>
  <c r="W166" i="2"/>
  <c r="X166" i="2"/>
  <c r="T3" i="1"/>
  <c r="U3" i="1"/>
  <c r="V3" i="1" s="1"/>
  <c r="W3" i="1" s="1"/>
  <c r="F4" i="1"/>
  <c r="G4" i="1"/>
  <c r="H4" i="1"/>
  <c r="I4" i="1"/>
  <c r="K4" i="1" s="1"/>
  <c r="J4" i="1"/>
  <c r="L4" i="1"/>
  <c r="O4" i="1"/>
  <c r="O4" i="3" s="1"/>
  <c r="P4" i="1"/>
  <c r="P4" i="3" s="1"/>
  <c r="Q4" i="1"/>
  <c r="Q4" i="3" s="1"/>
  <c r="R4" i="1"/>
  <c r="S4" i="1"/>
  <c r="S4" i="3" s="1"/>
  <c r="T4" i="1"/>
  <c r="T4" i="3" s="1"/>
  <c r="U4" i="1"/>
  <c r="U4" i="3" s="1"/>
  <c r="V4" i="1"/>
  <c r="V4" i="3" s="1"/>
  <c r="W4" i="1"/>
  <c r="W4" i="3" s="1"/>
  <c r="X4" i="1"/>
  <c r="M5" i="1"/>
  <c r="X5" i="1"/>
  <c r="K6" i="1"/>
  <c r="M6" i="1"/>
  <c r="X6" i="1"/>
  <c r="K7" i="1"/>
  <c r="M7" i="1"/>
  <c r="X7" i="1"/>
  <c r="K8" i="1"/>
  <c r="M8" i="1"/>
  <c r="N8" i="1"/>
  <c r="X8" i="1"/>
  <c r="K9" i="1"/>
  <c r="M9" i="1"/>
  <c r="M4" i="1" s="1"/>
  <c r="X9" i="1"/>
  <c r="K10" i="1"/>
  <c r="M10" i="1"/>
  <c r="X10" i="1"/>
  <c r="F11" i="1"/>
  <c r="G11" i="1"/>
  <c r="X11" i="1" s="1"/>
  <c r="H11" i="1"/>
  <c r="I11" i="1"/>
  <c r="J11" i="1"/>
  <c r="K11" i="1"/>
  <c r="L11" i="1"/>
  <c r="O11" i="1"/>
  <c r="O5" i="3" s="1"/>
  <c r="P11" i="1"/>
  <c r="P5" i="3" s="1"/>
  <c r="Q11" i="1"/>
  <c r="Q5" i="3" s="1"/>
  <c r="R11" i="1"/>
  <c r="R5" i="3" s="1"/>
  <c r="S11" i="1"/>
  <c r="S5" i="3" s="1"/>
  <c r="T11" i="1"/>
  <c r="T5" i="3" s="1"/>
  <c r="U11" i="1"/>
  <c r="U5" i="3" s="1"/>
  <c r="V11" i="1"/>
  <c r="V5" i="3" s="1"/>
  <c r="W11" i="1"/>
  <c r="W5" i="3" s="1"/>
  <c r="K12" i="1"/>
  <c r="M12" i="1"/>
  <c r="N12" i="1"/>
  <c r="X12" i="1"/>
  <c r="K13" i="1"/>
  <c r="M13" i="1"/>
  <c r="X13" i="1"/>
  <c r="K14" i="1"/>
  <c r="M14" i="1"/>
  <c r="N14" i="1" s="1"/>
  <c r="X14" i="1"/>
  <c r="K15" i="1"/>
  <c r="M15" i="1"/>
  <c r="M11" i="1" s="1"/>
  <c r="M5" i="3" s="1"/>
  <c r="X15" i="1"/>
  <c r="K16" i="1"/>
  <c r="M16" i="1"/>
  <c r="X16" i="1"/>
  <c r="F17" i="1"/>
  <c r="E6" i="3" s="1" a="1"/>
  <c r="G17" i="1"/>
  <c r="X17" i="1" s="1"/>
  <c r="H17" i="1"/>
  <c r="I17" i="1"/>
  <c r="J17" i="1"/>
  <c r="K17" i="1"/>
  <c r="L17" i="1"/>
  <c r="O17" i="1"/>
  <c r="O6" i="3" s="1"/>
  <c r="P17" i="1"/>
  <c r="P6" i="3" s="1"/>
  <c r="Q17" i="1"/>
  <c r="Q6" i="3" s="1"/>
  <c r="R17" i="1"/>
  <c r="R6" i="3" s="1"/>
  <c r="S17" i="1"/>
  <c r="S6" i="3" s="1"/>
  <c r="T17" i="1"/>
  <c r="T6" i="3" s="1"/>
  <c r="U17" i="1"/>
  <c r="U6" i="3" s="1"/>
  <c r="V17" i="1"/>
  <c r="V6" i="3" s="1"/>
  <c r="W17" i="1"/>
  <c r="W6" i="3" s="1"/>
  <c r="K18" i="1"/>
  <c r="M18" i="1"/>
  <c r="N18" i="1"/>
  <c r="X18" i="1"/>
  <c r="K19" i="1"/>
  <c r="M19" i="1"/>
  <c r="N19" i="1" s="1"/>
  <c r="X19" i="1"/>
  <c r="K20" i="1"/>
  <c r="M20" i="1"/>
  <c r="N20" i="1" s="1"/>
  <c r="X20" i="1"/>
  <c r="K21" i="1"/>
  <c r="M21" i="1"/>
  <c r="N21" i="1" s="1"/>
  <c r="X21" i="1"/>
  <c r="K22" i="1"/>
  <c r="E7" i="3" s="1" a="1"/>
  <c r="M22" i="1"/>
  <c r="M7" i="3" s="1"/>
  <c r="X22" i="1"/>
  <c r="F23" i="1"/>
  <c r="G23" i="1"/>
  <c r="H23" i="1"/>
  <c r="K23" i="1" s="1"/>
  <c r="I23" i="1"/>
  <c r="J23" i="1"/>
  <c r="M23" i="1"/>
  <c r="M8" i="3" s="1"/>
  <c r="X23" i="1"/>
  <c r="K24" i="1"/>
  <c r="E9" i="3" s="1" a="1"/>
  <c r="M24" i="1"/>
  <c r="M9" i="3" s="1"/>
  <c r="X24" i="1"/>
  <c r="K25" i="1"/>
  <c r="E10" i="3" s="1" a="1"/>
  <c r="M25" i="1"/>
  <c r="M10" i="3" s="1"/>
  <c r="X25" i="1"/>
  <c r="F26" i="1"/>
  <c r="G26" i="1"/>
  <c r="X26" i="1" s="1"/>
  <c r="H26" i="1"/>
  <c r="I26" i="1"/>
  <c r="K26" i="1" s="1"/>
  <c r="J26" i="1"/>
  <c r="L26" i="1"/>
  <c r="O26" i="1"/>
  <c r="O11" i="3" s="1"/>
  <c r="P26" i="1"/>
  <c r="P11" i="3" s="1"/>
  <c r="Q26" i="1"/>
  <c r="Q11" i="3" s="1"/>
  <c r="R26" i="1"/>
  <c r="R11" i="3" s="1"/>
  <c r="S26" i="1"/>
  <c r="S11" i="3" s="1"/>
  <c r="T26" i="1"/>
  <c r="T11" i="3" s="1"/>
  <c r="U26" i="1"/>
  <c r="U11" i="3" s="1"/>
  <c r="V26" i="1"/>
  <c r="V11" i="3" s="1"/>
  <c r="W26" i="1"/>
  <c r="W11" i="3" s="1"/>
  <c r="K27" i="1"/>
  <c r="M27" i="1"/>
  <c r="N27" i="1" s="1"/>
  <c r="X27" i="1"/>
  <c r="K28" i="1"/>
  <c r="M28" i="1"/>
  <c r="N28" i="1" s="1"/>
  <c r="X28" i="1"/>
  <c r="K29" i="1"/>
  <c r="M29" i="1"/>
  <c r="N29" i="1"/>
  <c r="X29" i="1"/>
  <c r="K30" i="1"/>
  <c r="M30" i="1"/>
  <c r="N30" i="1" s="1"/>
  <c r="X30" i="1"/>
  <c r="K31" i="1"/>
  <c r="M31" i="1"/>
  <c r="X31" i="1"/>
  <c r="F32" i="1"/>
  <c r="G32" i="1"/>
  <c r="H32" i="1"/>
  <c r="I5" i="2" s="1"/>
  <c r="I32" i="1"/>
  <c r="J5" i="2" s="1"/>
  <c r="J32" i="1"/>
  <c r="K5" i="2" s="1"/>
  <c r="L32" i="1"/>
  <c r="M5" i="2" s="1"/>
  <c r="X32" i="1"/>
  <c r="K33" i="1"/>
  <c r="L6" i="2" s="1"/>
  <c r="M33" i="1"/>
  <c r="N6" i="2" s="1"/>
  <c r="N33" i="1"/>
  <c r="O6" i="2" s="1"/>
  <c r="X33" i="1"/>
  <c r="K34" i="1"/>
  <c r="L7" i="2" s="1"/>
  <c r="M34" i="1"/>
  <c r="N7" i="2" s="1"/>
  <c r="N34" i="1"/>
  <c r="O7" i="2" s="1"/>
  <c r="X34" i="1"/>
  <c r="K35" i="1"/>
  <c r="L8" i="2" s="1"/>
  <c r="M35" i="1"/>
  <c r="N8" i="2" s="1"/>
  <c r="N35" i="1"/>
  <c r="O8" i="2" s="1"/>
  <c r="X35" i="1"/>
  <c r="F36" i="1"/>
  <c r="G36" i="1"/>
  <c r="H9" i="2" s="1"/>
  <c r="H36" i="1"/>
  <c r="I9" i="2" s="1"/>
  <c r="I36" i="1"/>
  <c r="J36" i="1"/>
  <c r="K9" i="2" s="1"/>
  <c r="L36" i="1"/>
  <c r="M9" i="2" s="1"/>
  <c r="O36" i="1"/>
  <c r="P36" i="1"/>
  <c r="Q36" i="1"/>
  <c r="R36" i="1"/>
  <c r="S36" i="1"/>
  <c r="T36" i="1"/>
  <c r="U9" i="2" s="1"/>
  <c r="U36" i="1"/>
  <c r="V36" i="1"/>
  <c r="W36" i="1"/>
  <c r="W14" i="3" s="1"/>
  <c r="V6" i="4" s="1"/>
  <c r="X36" i="1"/>
  <c r="K37" i="1"/>
  <c r="L10" i="2" s="1"/>
  <c r="M37" i="1"/>
  <c r="N10" i="2" s="1"/>
  <c r="N37" i="1"/>
  <c r="O10" i="2" s="1"/>
  <c r="X37" i="1"/>
  <c r="K38" i="1"/>
  <c r="L11" i="2" s="1"/>
  <c r="M38" i="1"/>
  <c r="N11" i="2" s="1"/>
  <c r="X38" i="1"/>
  <c r="K39" i="1"/>
  <c r="L12" i="2" s="1"/>
  <c r="M39" i="1"/>
  <c r="X39" i="1"/>
  <c r="K40" i="1"/>
  <c r="M40" i="1"/>
  <c r="N40" i="1"/>
  <c r="X40" i="1"/>
  <c r="F41" i="1"/>
  <c r="G41" i="1"/>
  <c r="H14" i="2" s="1"/>
  <c r="H41" i="1"/>
  <c r="I14" i="2" s="1"/>
  <c r="I41" i="1"/>
  <c r="J14" i="2" s="1"/>
  <c r="J41" i="1"/>
  <c r="K14" i="2" s="1"/>
  <c r="K41" i="1"/>
  <c r="L14" i="2" s="1"/>
  <c r="L41" i="1"/>
  <c r="M14" i="2" s="1"/>
  <c r="O41" i="1"/>
  <c r="P41" i="1"/>
  <c r="Q41" i="1"/>
  <c r="R41" i="1"/>
  <c r="S41" i="1"/>
  <c r="T14" i="2" s="1"/>
  <c r="T41" i="1"/>
  <c r="U41" i="1"/>
  <c r="V41" i="1"/>
  <c r="W41" i="1"/>
  <c r="X41" i="1"/>
  <c r="K42" i="1"/>
  <c r="L15" i="2" s="1"/>
  <c r="M42" i="1"/>
  <c r="N15" i="2" s="1"/>
  <c r="X42" i="1"/>
  <c r="K43" i="1"/>
  <c r="L16" i="2" s="1"/>
  <c r="M43" i="1"/>
  <c r="N16" i="2" s="1"/>
  <c r="X43" i="1"/>
  <c r="K44" i="1"/>
  <c r="L17" i="2" s="1"/>
  <c r="M44" i="1"/>
  <c r="X44" i="1"/>
  <c r="K45" i="1"/>
  <c r="L18" i="2" s="1"/>
  <c r="M45" i="1"/>
  <c r="N18" i="2" s="1"/>
  <c r="X45" i="1"/>
  <c r="K46" i="1"/>
  <c r="M46" i="1"/>
  <c r="M17" i="3" s="1"/>
  <c r="L10" i="4" s="1"/>
  <c r="N46" i="1"/>
  <c r="X46" i="1"/>
  <c r="F47" i="1"/>
  <c r="G47" i="1"/>
  <c r="H47" i="1"/>
  <c r="I20" i="2" s="1"/>
  <c r="I47" i="1"/>
  <c r="J47" i="1"/>
  <c r="K20" i="2" s="1"/>
  <c r="L47" i="1"/>
  <c r="M20" i="2" s="1"/>
  <c r="O47" i="1"/>
  <c r="P47" i="1"/>
  <c r="Q47" i="1"/>
  <c r="R47" i="1"/>
  <c r="S47" i="1"/>
  <c r="T47" i="1"/>
  <c r="U47" i="1"/>
  <c r="V47" i="1"/>
  <c r="W47" i="1"/>
  <c r="W18" i="3" s="1"/>
  <c r="V8" i="4" s="1"/>
  <c r="X47" i="1"/>
  <c r="K48" i="1"/>
  <c r="L21" i="2" s="1"/>
  <c r="M48" i="1"/>
  <c r="N21" i="2" s="1"/>
  <c r="N48" i="1"/>
  <c r="O21" i="2" s="1"/>
  <c r="X48" i="1"/>
  <c r="K49" i="1"/>
  <c r="L22" i="2" s="1"/>
  <c r="M49" i="1"/>
  <c r="N22" i="2" s="1"/>
  <c r="X49" i="1"/>
  <c r="K50" i="1"/>
  <c r="L23" i="2" s="1"/>
  <c r="M50" i="1"/>
  <c r="N23" i="2" s="1"/>
  <c r="N50" i="1"/>
  <c r="O23" i="2" s="1"/>
  <c r="X50" i="1"/>
  <c r="K51" i="1"/>
  <c r="L24" i="2" s="1"/>
  <c r="M51" i="1"/>
  <c r="N24" i="2" s="1"/>
  <c r="X51" i="1"/>
  <c r="K52" i="1"/>
  <c r="L25" i="2" s="1"/>
  <c r="M52" i="1"/>
  <c r="N25" i="2" s="1"/>
  <c r="N52" i="1"/>
  <c r="O25" i="2" s="1"/>
  <c r="X52" i="1"/>
  <c r="K53" i="1"/>
  <c r="L26" i="2" s="1"/>
  <c r="M53" i="1"/>
  <c r="N26" i="2" s="1"/>
  <c r="X53" i="1"/>
  <c r="K54" i="1"/>
  <c r="L27" i="2" s="1"/>
  <c r="M54" i="1"/>
  <c r="N27" i="2" s="1"/>
  <c r="X54" i="1"/>
  <c r="F55" i="1"/>
  <c r="G28" i="2" s="1"/>
  <c r="G55" i="1"/>
  <c r="H28" i="2" s="1"/>
  <c r="H55" i="1"/>
  <c r="I28" i="2" s="1"/>
  <c r="I55" i="1"/>
  <c r="J28" i="2" s="1"/>
  <c r="J55" i="1"/>
  <c r="K28" i="2" s="1"/>
  <c r="L55" i="1"/>
  <c r="M28" i="2" s="1"/>
  <c r="O55" i="1"/>
  <c r="P55" i="1"/>
  <c r="Q28" i="2" s="1"/>
  <c r="Q55" i="1"/>
  <c r="R55" i="1"/>
  <c r="S55" i="1"/>
  <c r="S19" i="3" s="1"/>
  <c r="R11" i="4" s="1"/>
  <c r="T55" i="1"/>
  <c r="U55" i="1"/>
  <c r="V55" i="1"/>
  <c r="W55" i="1"/>
  <c r="X55" i="1"/>
  <c r="K56" i="1"/>
  <c r="L29" i="2" s="1"/>
  <c r="M56" i="1"/>
  <c r="X56" i="1"/>
  <c r="K57" i="1"/>
  <c r="L30" i="2" s="1"/>
  <c r="M57" i="1"/>
  <c r="N30" i="2" s="1"/>
  <c r="X57" i="1"/>
  <c r="K58" i="1"/>
  <c r="L31" i="2" s="1"/>
  <c r="M58" i="1"/>
  <c r="N31" i="2" s="1"/>
  <c r="N58" i="1"/>
  <c r="O31" i="2" s="1"/>
  <c r="X58" i="1"/>
  <c r="K59" i="1"/>
  <c r="L32" i="2" s="1"/>
  <c r="M59" i="1"/>
  <c r="X59" i="1"/>
  <c r="K60" i="1"/>
  <c r="L33" i="2" s="1"/>
  <c r="M60" i="1"/>
  <c r="N33" i="2" s="1"/>
  <c r="X60" i="1"/>
  <c r="K61" i="1"/>
  <c r="L34" i="2" s="1"/>
  <c r="M61" i="1"/>
  <c r="N34" i="2" s="1"/>
  <c r="N61" i="1"/>
  <c r="O34" i="2" s="1"/>
  <c r="X61" i="1"/>
  <c r="F62" i="1"/>
  <c r="G62" i="1"/>
  <c r="H62" i="1"/>
  <c r="M62" i="1" s="1"/>
  <c r="M20" i="3" s="1"/>
  <c r="I62" i="1"/>
  <c r="K62" i="1" s="1"/>
  <c r="J62" i="1"/>
  <c r="L62" i="1"/>
  <c r="N62" i="1"/>
  <c r="N20" i="3" s="1"/>
  <c r="O62" i="1"/>
  <c r="O20" i="3" s="1"/>
  <c r="P62" i="1"/>
  <c r="P20" i="3" s="1"/>
  <c r="Q62" i="1"/>
  <c r="Q20" i="3" s="1"/>
  <c r="R62" i="1"/>
  <c r="R20" i="3" s="1"/>
  <c r="S62" i="1"/>
  <c r="S20" i="3" s="1"/>
  <c r="T62" i="1"/>
  <c r="T20" i="3" s="1"/>
  <c r="U62" i="1"/>
  <c r="U20" i="3" s="1"/>
  <c r="V62" i="1"/>
  <c r="V20" i="3" s="1"/>
  <c r="W62" i="1"/>
  <c r="W20" i="3" s="1"/>
  <c r="X62" i="1"/>
  <c r="K63" i="1"/>
  <c r="M63" i="1"/>
  <c r="X63" i="1"/>
  <c r="K64" i="1"/>
  <c r="M64" i="1"/>
  <c r="X64" i="1"/>
  <c r="K65" i="1"/>
  <c r="M65" i="1"/>
  <c r="X65" i="1"/>
  <c r="F66" i="1"/>
  <c r="G66" i="1"/>
  <c r="H35" i="2" s="1"/>
  <c r="H66" i="1"/>
  <c r="I35" i="2" s="1"/>
  <c r="I66" i="1"/>
  <c r="J35" i="2" s="1"/>
  <c r="J66" i="1"/>
  <c r="K35" i="2" s="1"/>
  <c r="L66" i="1"/>
  <c r="M35" i="2" s="1"/>
  <c r="O66" i="1"/>
  <c r="P66" i="1"/>
  <c r="Q66" i="1"/>
  <c r="R66" i="1"/>
  <c r="S35" i="2" s="1"/>
  <c r="S66" i="1"/>
  <c r="T66" i="1"/>
  <c r="U35" i="2" s="1"/>
  <c r="U66" i="1"/>
  <c r="V35" i="2" s="1"/>
  <c r="V66" i="1"/>
  <c r="W66" i="1"/>
  <c r="K67" i="1"/>
  <c r="L36" i="2" s="1"/>
  <c r="M67" i="1"/>
  <c r="N36" i="2" s="1"/>
  <c r="N67" i="1"/>
  <c r="O36" i="2" s="1"/>
  <c r="X67" i="1"/>
  <c r="K68" i="1"/>
  <c r="L37" i="2" s="1"/>
  <c r="M68" i="1"/>
  <c r="N37" i="2" s="1"/>
  <c r="N68" i="1"/>
  <c r="O37" i="2" s="1"/>
  <c r="X68" i="1"/>
  <c r="K69" i="1"/>
  <c r="L38" i="2" s="1"/>
  <c r="M69" i="1"/>
  <c r="N38" i="2" s="1"/>
  <c r="N69" i="1"/>
  <c r="O38" i="2" s="1"/>
  <c r="X69" i="1"/>
  <c r="K70" i="1"/>
  <c r="L39" i="2" s="1"/>
  <c r="M70" i="1"/>
  <c r="N39" i="2" s="1"/>
  <c r="N70" i="1"/>
  <c r="O39" i="2" s="1"/>
  <c r="X70" i="1"/>
  <c r="K71" i="1"/>
  <c r="L40" i="2" s="1"/>
  <c r="M71" i="1"/>
  <c r="N40" i="2" s="1"/>
  <c r="N71" i="1"/>
  <c r="O40" i="2" s="1"/>
  <c r="X71" i="1"/>
  <c r="K72" i="1"/>
  <c r="L41" i="2" s="1"/>
  <c r="M72" i="1"/>
  <c r="N41" i="2" s="1"/>
  <c r="X72" i="1"/>
  <c r="K73" i="1"/>
  <c r="L42" i="2" s="1"/>
  <c r="M73" i="1"/>
  <c r="N42" i="2" s="1"/>
  <c r="N73" i="1"/>
  <c r="O42" i="2" s="1"/>
  <c r="X73" i="1"/>
  <c r="K74" i="1"/>
  <c r="L43" i="2" s="1"/>
  <c r="M74" i="1"/>
  <c r="N43" i="2" s="1"/>
  <c r="N74" i="1"/>
  <c r="O43" i="2" s="1"/>
  <c r="X74" i="1"/>
  <c r="F75" i="1"/>
  <c r="G75" i="1"/>
  <c r="H44" i="2" s="1"/>
  <c r="H75" i="1"/>
  <c r="I44" i="2" s="1"/>
  <c r="I75" i="1"/>
  <c r="J44" i="2" s="1"/>
  <c r="J75" i="1"/>
  <c r="K44" i="2" s="1"/>
  <c r="K75" i="1"/>
  <c r="L44" i="2" s="1"/>
  <c r="L75" i="1"/>
  <c r="M44" i="2" s="1"/>
  <c r="O75" i="1"/>
  <c r="P75" i="1"/>
  <c r="Q75" i="1"/>
  <c r="R75" i="1"/>
  <c r="R22" i="3" s="1"/>
  <c r="Q13" i="4" s="1"/>
  <c r="S75" i="1"/>
  <c r="T75" i="1"/>
  <c r="U75" i="1"/>
  <c r="V75" i="1"/>
  <c r="W75" i="1"/>
  <c r="X75" i="1"/>
  <c r="K76" i="1"/>
  <c r="L45" i="2" s="1"/>
  <c r="M76" i="1"/>
  <c r="N45" i="2" s="1"/>
  <c r="X76" i="1"/>
  <c r="K77" i="1"/>
  <c r="L46" i="2" s="1"/>
  <c r="M77" i="1"/>
  <c r="N46" i="2" s="1"/>
  <c r="N77" i="1"/>
  <c r="O46" i="2" s="1"/>
  <c r="X77" i="1"/>
  <c r="K78" i="1"/>
  <c r="L47" i="2" s="1"/>
  <c r="M78" i="1"/>
  <c r="N47" i="2" s="1"/>
  <c r="X78" i="1"/>
  <c r="F79" i="1"/>
  <c r="G79" i="1"/>
  <c r="H48" i="2" s="1"/>
  <c r="H79" i="1"/>
  <c r="M79" i="1" s="1"/>
  <c r="N79" i="1" s="1"/>
  <c r="I79" i="1"/>
  <c r="J79" i="1"/>
  <c r="K79" i="1"/>
  <c r="L48" i="2" s="1"/>
  <c r="L79" i="1"/>
  <c r="O79" i="1"/>
  <c r="P79" i="1"/>
  <c r="Q79" i="1"/>
  <c r="R79" i="1"/>
  <c r="S79" i="1"/>
  <c r="T48" i="2" s="1"/>
  <c r="T79" i="1"/>
  <c r="U79" i="1"/>
  <c r="U4" i="5" s="1"/>
  <c r="V79" i="1"/>
  <c r="W48" i="2" s="1"/>
  <c r="W79" i="1"/>
  <c r="X79" i="1"/>
  <c r="K80" i="1"/>
  <c r="L49" i="2" s="1"/>
  <c r="M80" i="1"/>
  <c r="N49" i="2" s="1"/>
  <c r="X80" i="1"/>
  <c r="K81" i="1"/>
  <c r="L50" i="2" s="1"/>
  <c r="M81" i="1"/>
  <c r="N50" i="2" s="1"/>
  <c r="N81" i="1"/>
  <c r="O50" i="2" s="1"/>
  <c r="X81" i="1"/>
  <c r="K82" i="1"/>
  <c r="M82" i="1"/>
  <c r="N82" i="1"/>
  <c r="X82" i="1"/>
  <c r="K83" i="1"/>
  <c r="L51" i="2" s="1"/>
  <c r="M83" i="1"/>
  <c r="N51" i="2" s="1"/>
  <c r="X83" i="1"/>
  <c r="K84" i="1"/>
  <c r="E23" i="3" s="1" a="1"/>
  <c r="M84" i="1"/>
  <c r="M23" i="3" s="1"/>
  <c r="L14" i="4" s="1"/>
  <c r="N84" i="1"/>
  <c r="X84" i="1"/>
  <c r="K85" i="1"/>
  <c r="M85" i="1"/>
  <c r="N85" i="1" s="1"/>
  <c r="X85" i="1"/>
  <c r="F86" i="1"/>
  <c r="G86" i="1"/>
  <c r="H54" i="2" s="1"/>
  <c r="H86" i="1"/>
  <c r="I54" i="2" s="1"/>
  <c r="I86" i="1"/>
  <c r="J54" i="2" s="1"/>
  <c r="J86" i="1"/>
  <c r="K54" i="2" s="1"/>
  <c r="K86" i="1"/>
  <c r="L54" i="2" s="1"/>
  <c r="L86" i="1"/>
  <c r="M54" i="2" s="1"/>
  <c r="M86" i="1"/>
  <c r="X86" i="1"/>
  <c r="K87" i="1"/>
  <c r="L55" i="2" s="1"/>
  <c r="M87" i="1"/>
  <c r="N55" i="2" s="1"/>
  <c r="N87" i="1"/>
  <c r="O55" i="2" s="1"/>
  <c r="X87" i="1"/>
  <c r="K88" i="1"/>
  <c r="L56" i="2" s="1"/>
  <c r="M88" i="1"/>
  <c r="N56" i="2" s="1"/>
  <c r="N88" i="1"/>
  <c r="O56" i="2" s="1"/>
  <c r="X88" i="1"/>
  <c r="K89" i="1"/>
  <c r="L57" i="2" s="1"/>
  <c r="M89" i="1"/>
  <c r="N57" i="2" s="1"/>
  <c r="N89" i="1"/>
  <c r="O57" i="2" s="1"/>
  <c r="X89" i="1"/>
  <c r="K90" i="1"/>
  <c r="L58" i="2" s="1"/>
  <c r="M90" i="1"/>
  <c r="N58" i="2" s="1"/>
  <c r="X90" i="1"/>
  <c r="K91" i="1"/>
  <c r="M91" i="1"/>
  <c r="X91" i="1"/>
  <c r="F92" i="1"/>
  <c r="G92" i="1"/>
  <c r="H60" i="2" s="1"/>
  <c r="H92" i="1"/>
  <c r="I60" i="2" s="1"/>
  <c r="I92" i="1"/>
  <c r="J60" i="2" s="1"/>
  <c r="J92" i="1"/>
  <c r="K60" i="2" s="1"/>
  <c r="K92" i="1"/>
  <c r="L60" i="2" s="1"/>
  <c r="L92" i="1"/>
  <c r="M60" i="2" s="1"/>
  <c r="O92" i="1"/>
  <c r="P92" i="1"/>
  <c r="Q92" i="1"/>
  <c r="R92" i="1"/>
  <c r="S92" i="1"/>
  <c r="T92" i="1"/>
  <c r="U92" i="1"/>
  <c r="V92" i="1"/>
  <c r="W92" i="1"/>
  <c r="K93" i="1"/>
  <c r="L61" i="2" s="1"/>
  <c r="M93" i="1"/>
  <c r="N61" i="2" s="1"/>
  <c r="X93" i="1"/>
  <c r="K94" i="1"/>
  <c r="L62" i="2" s="1"/>
  <c r="M94" i="1"/>
  <c r="N62" i="2" s="1"/>
  <c r="X94" i="1"/>
  <c r="K95" i="1"/>
  <c r="L63" i="2" s="1"/>
  <c r="M95" i="1"/>
  <c r="N63" i="2" s="1"/>
  <c r="N95" i="1"/>
  <c r="O63" i="2" s="1"/>
  <c r="X95" i="1"/>
  <c r="K96" i="1"/>
  <c r="L64" i="2" s="1"/>
  <c r="M96" i="1"/>
  <c r="N64" i="2" s="1"/>
  <c r="N96" i="1"/>
  <c r="O64" i="2" s="1"/>
  <c r="X96" i="1"/>
  <c r="F97" i="1"/>
  <c r="G97" i="1"/>
  <c r="M97" i="1" s="1"/>
  <c r="H97" i="1"/>
  <c r="I97" i="1"/>
  <c r="K97" i="1" s="1"/>
  <c r="J97" i="1"/>
  <c r="L97" i="1"/>
  <c r="O97" i="1"/>
  <c r="P97" i="1"/>
  <c r="Q4" i="6" s="1"/>
  <c r="Q97" i="1"/>
  <c r="R4" i="6" s="1"/>
  <c r="R97" i="1"/>
  <c r="S97" i="1"/>
  <c r="T97" i="1"/>
  <c r="U97" i="1"/>
  <c r="V97" i="1"/>
  <c r="W97" i="1"/>
  <c r="K98" i="1"/>
  <c r="M98" i="1"/>
  <c r="N98" i="1"/>
  <c r="X98" i="1"/>
  <c r="K99" i="1"/>
  <c r="M99" i="1"/>
  <c r="N99" i="1" s="1"/>
  <c r="X99" i="1"/>
  <c r="K100" i="1"/>
  <c r="M100" i="1"/>
  <c r="X100" i="1"/>
  <c r="K101" i="1"/>
  <c r="M101" i="1"/>
  <c r="N101" i="1" s="1"/>
  <c r="X101" i="1"/>
  <c r="K102" i="1"/>
  <c r="M102" i="1"/>
  <c r="N102" i="1" s="1"/>
  <c r="X102" i="1"/>
  <c r="F104" i="1"/>
  <c r="G104" i="1"/>
  <c r="G103" i="1" s="1"/>
  <c r="H104" i="1"/>
  <c r="I104" i="1"/>
  <c r="I103" i="1" s="1"/>
  <c r="J104" i="1"/>
  <c r="K104" i="1"/>
  <c r="L72" i="2" s="1"/>
  <c r="L104" i="1"/>
  <c r="O104" i="1"/>
  <c r="P104" i="1"/>
  <c r="Q104" i="1"/>
  <c r="R104" i="1"/>
  <c r="R103" i="1" s="1"/>
  <c r="S104" i="1"/>
  <c r="T104" i="1"/>
  <c r="U104" i="1"/>
  <c r="U6" i="5" s="1"/>
  <c r="V104" i="1"/>
  <c r="W104" i="1"/>
  <c r="K105" i="1"/>
  <c r="L73" i="2" s="1"/>
  <c r="M105" i="1"/>
  <c r="N73" i="2" s="1"/>
  <c r="N105" i="1"/>
  <c r="O73" i="2" s="1"/>
  <c r="X105" i="1"/>
  <c r="K106" i="1"/>
  <c r="L74" i="2" s="1"/>
  <c r="M106" i="1"/>
  <c r="N74" i="2" s="1"/>
  <c r="N106" i="1"/>
  <c r="O74" i="2" s="1"/>
  <c r="X106" i="1"/>
  <c r="K107" i="1"/>
  <c r="L75" i="2" s="1"/>
  <c r="M107" i="1"/>
  <c r="N75" i="2" s="1"/>
  <c r="N107" i="1"/>
  <c r="O75" i="2" s="1"/>
  <c r="X107" i="1"/>
  <c r="K108" i="1"/>
  <c r="L76" i="2" s="1"/>
  <c r="M108" i="1"/>
  <c r="N76" i="2" s="1"/>
  <c r="X108" i="1"/>
  <c r="F109" i="1"/>
  <c r="G109" i="1"/>
  <c r="H109" i="1"/>
  <c r="I109" i="1"/>
  <c r="J109" i="1"/>
  <c r="L109" i="1"/>
  <c r="O109" i="1"/>
  <c r="P109" i="1"/>
  <c r="Q109" i="1"/>
  <c r="R109" i="1"/>
  <c r="S109" i="1"/>
  <c r="T109" i="1"/>
  <c r="U109" i="1"/>
  <c r="V109" i="1"/>
  <c r="W109" i="1"/>
  <c r="X109" i="1"/>
  <c r="K110" i="1"/>
  <c r="L78" i="2" s="1"/>
  <c r="M110" i="1"/>
  <c r="N78" i="2" s="1"/>
  <c r="X110" i="1"/>
  <c r="K111" i="1"/>
  <c r="L79" i="2" s="1"/>
  <c r="M111" i="1"/>
  <c r="X111" i="1"/>
  <c r="K112" i="1"/>
  <c r="L80" i="2" s="1"/>
  <c r="M112" i="1"/>
  <c r="N80" i="2" s="1"/>
  <c r="X112" i="1"/>
  <c r="K113" i="1"/>
  <c r="L81" i="2" s="1"/>
  <c r="M113" i="1"/>
  <c r="N81" i="2" s="1"/>
  <c r="X113" i="1"/>
  <c r="F114" i="1"/>
  <c r="G114" i="1"/>
  <c r="H114" i="1"/>
  <c r="I114" i="1"/>
  <c r="J114" i="1"/>
  <c r="L114" i="1"/>
  <c r="O114" i="1"/>
  <c r="P114" i="1"/>
  <c r="Q114" i="1"/>
  <c r="R114" i="1"/>
  <c r="S114" i="1"/>
  <c r="T114" i="1"/>
  <c r="U114" i="1"/>
  <c r="V114" i="1"/>
  <c r="W114" i="1"/>
  <c r="X114" i="1"/>
  <c r="K115" i="1"/>
  <c r="L83" i="2" s="1"/>
  <c r="M115" i="1"/>
  <c r="N83" i="2" s="1"/>
  <c r="X115" i="1"/>
  <c r="K116" i="1"/>
  <c r="L84" i="2" s="1"/>
  <c r="M116" i="1"/>
  <c r="N84" i="2" s="1"/>
  <c r="N116" i="1"/>
  <c r="O84" i="2" s="1"/>
  <c r="X116" i="1"/>
  <c r="K117" i="1"/>
  <c r="L85" i="2" s="1"/>
  <c r="M117" i="1"/>
  <c r="N85" i="2" s="1"/>
  <c r="N117" i="1"/>
  <c r="O85" i="2" s="1"/>
  <c r="X117" i="1"/>
  <c r="K118" i="1"/>
  <c r="L86" i="2" s="1"/>
  <c r="M118" i="1"/>
  <c r="N86" i="2" s="1"/>
  <c r="X118" i="1"/>
  <c r="F119" i="1"/>
  <c r="F103" i="1" s="1"/>
  <c r="G119" i="1"/>
  <c r="H119" i="1"/>
  <c r="I119" i="1"/>
  <c r="K119" i="1" s="1"/>
  <c r="L87" i="2" s="1"/>
  <c r="J119" i="1"/>
  <c r="L119" i="1"/>
  <c r="O119" i="1"/>
  <c r="P119" i="1"/>
  <c r="Q119" i="1"/>
  <c r="R119" i="1"/>
  <c r="S119" i="1"/>
  <c r="T119" i="1"/>
  <c r="U119" i="1"/>
  <c r="U9" i="5" s="1"/>
  <c r="V119" i="1"/>
  <c r="W119" i="1"/>
  <c r="K120" i="1"/>
  <c r="L88" i="2" s="1"/>
  <c r="M120" i="1"/>
  <c r="N88" i="2" s="1"/>
  <c r="N120" i="1"/>
  <c r="O88" i="2" s="1"/>
  <c r="X120" i="1"/>
  <c r="K121" i="1"/>
  <c r="L89" i="2" s="1"/>
  <c r="M121" i="1"/>
  <c r="X121" i="1"/>
  <c r="K122" i="1"/>
  <c r="L90" i="2" s="1"/>
  <c r="M122" i="1"/>
  <c r="N90" i="2" s="1"/>
  <c r="X122" i="1"/>
  <c r="K123" i="1"/>
  <c r="L91" i="2" s="1"/>
  <c r="M123" i="1"/>
  <c r="N91" i="2" s="1"/>
  <c r="N123" i="1"/>
  <c r="O91" i="2" s="1"/>
  <c r="X123" i="1"/>
  <c r="F124" i="1"/>
  <c r="G124" i="1"/>
  <c r="X124" i="1" s="1"/>
  <c r="H124" i="1"/>
  <c r="K124" i="1" s="1"/>
  <c r="L92" i="2" s="1"/>
  <c r="I124" i="1"/>
  <c r="J124" i="1"/>
  <c r="L124" i="1"/>
  <c r="O124" i="1"/>
  <c r="P124" i="1"/>
  <c r="Q124" i="1"/>
  <c r="R124" i="1"/>
  <c r="S124" i="1"/>
  <c r="T124" i="1"/>
  <c r="U124" i="1"/>
  <c r="V124" i="1"/>
  <c r="W124" i="1"/>
  <c r="K125" i="1"/>
  <c r="L93" i="2" s="1"/>
  <c r="M125" i="1"/>
  <c r="N93" i="2" s="1"/>
  <c r="N125" i="1"/>
  <c r="O93" i="2" s="1"/>
  <c r="X125" i="1"/>
  <c r="K126" i="1"/>
  <c r="L94" i="2" s="1"/>
  <c r="M126" i="1"/>
  <c r="N94" i="2" s="1"/>
  <c r="X126" i="1"/>
  <c r="K127" i="1"/>
  <c r="L95" i="2" s="1"/>
  <c r="M127" i="1"/>
  <c r="N95" i="2" s="1"/>
  <c r="X127" i="1"/>
  <c r="K128" i="1"/>
  <c r="L96" i="2" s="1"/>
  <c r="M128" i="1"/>
  <c r="N96" i="2" s="1"/>
  <c r="X128" i="1"/>
  <c r="F129" i="1"/>
  <c r="G129" i="1"/>
  <c r="H129" i="1"/>
  <c r="I129" i="1"/>
  <c r="J129" i="1"/>
  <c r="K129" i="1"/>
  <c r="L97" i="2" s="1"/>
  <c r="L129" i="1"/>
  <c r="O129" i="1"/>
  <c r="P129" i="1"/>
  <c r="Q129" i="1"/>
  <c r="R129" i="1"/>
  <c r="S129" i="1"/>
  <c r="T129" i="1"/>
  <c r="U129" i="1"/>
  <c r="V129" i="1"/>
  <c r="W129" i="1"/>
  <c r="X129" i="1"/>
  <c r="K130" i="1"/>
  <c r="L98" i="2" s="1"/>
  <c r="M130" i="1"/>
  <c r="N98" i="2" s="1"/>
  <c r="X130" i="1"/>
  <c r="K131" i="1"/>
  <c r="L99" i="2" s="1"/>
  <c r="M131" i="1"/>
  <c r="N99" i="2" s="1"/>
  <c r="X131" i="1"/>
  <c r="K132" i="1"/>
  <c r="L100" i="2" s="1"/>
  <c r="M132" i="1"/>
  <c r="N100" i="2" s="1"/>
  <c r="N132" i="1"/>
  <c r="O100" i="2" s="1"/>
  <c r="X132" i="1"/>
  <c r="K133" i="1"/>
  <c r="L101" i="2" s="1"/>
  <c r="M133" i="1"/>
  <c r="N101" i="2" s="1"/>
  <c r="N133" i="1"/>
  <c r="O101" i="2" s="1"/>
  <c r="X133" i="1"/>
  <c r="F134" i="1"/>
  <c r="G134" i="1"/>
  <c r="H134" i="1"/>
  <c r="I134" i="1"/>
  <c r="J134" i="1"/>
  <c r="L134" i="1"/>
  <c r="O134" i="1"/>
  <c r="P134" i="1"/>
  <c r="Q134" i="1"/>
  <c r="R134" i="1"/>
  <c r="S134" i="1"/>
  <c r="T134" i="1"/>
  <c r="U134" i="1"/>
  <c r="U12" i="5" s="1"/>
  <c r="V134" i="1"/>
  <c r="W134" i="1"/>
  <c r="K135" i="1"/>
  <c r="L103" i="2" s="1"/>
  <c r="M135" i="1"/>
  <c r="X135" i="1"/>
  <c r="K136" i="1"/>
  <c r="L104" i="2" s="1"/>
  <c r="M136" i="1"/>
  <c r="X136" i="1"/>
  <c r="K137" i="1"/>
  <c r="L105" i="2" s="1"/>
  <c r="M137" i="1"/>
  <c r="N105" i="2" s="1"/>
  <c r="X137" i="1"/>
  <c r="K138" i="1"/>
  <c r="L106" i="2" s="1"/>
  <c r="M138" i="1"/>
  <c r="N106" i="2" s="1"/>
  <c r="N138" i="1"/>
  <c r="O106" i="2" s="1"/>
  <c r="X138" i="1"/>
  <c r="F139" i="1"/>
  <c r="G139" i="1"/>
  <c r="H139" i="1"/>
  <c r="I139" i="1"/>
  <c r="K139" i="1" s="1"/>
  <c r="L107" i="2" s="1"/>
  <c r="J139" i="1"/>
  <c r="L139" i="1"/>
  <c r="O139" i="1"/>
  <c r="P139" i="1"/>
  <c r="Q139" i="1"/>
  <c r="R139" i="1"/>
  <c r="S139" i="1"/>
  <c r="T139" i="1"/>
  <c r="U139" i="1"/>
  <c r="V139" i="1"/>
  <c r="W139" i="1"/>
  <c r="X139" i="1"/>
  <c r="K140" i="1"/>
  <c r="L108" i="2" s="1"/>
  <c r="M140" i="1"/>
  <c r="N108" i="2" s="1"/>
  <c r="N140" i="1"/>
  <c r="X140" i="1"/>
  <c r="K141" i="1"/>
  <c r="L109" i="2" s="1"/>
  <c r="M141" i="1"/>
  <c r="N109" i="2" s="1"/>
  <c r="N141" i="1"/>
  <c r="O109" i="2" s="1"/>
  <c r="X141" i="1"/>
  <c r="K142" i="1"/>
  <c r="L110" i="2" s="1"/>
  <c r="M142" i="1"/>
  <c r="N110" i="2" s="1"/>
  <c r="X142" i="1"/>
  <c r="K143" i="1"/>
  <c r="L111" i="2" s="1"/>
  <c r="M143" i="1"/>
  <c r="N111" i="2" s="1"/>
  <c r="N143" i="1"/>
  <c r="O111" i="2" s="1"/>
  <c r="X143" i="1"/>
  <c r="F144" i="1"/>
  <c r="F14" i="5" s="1"/>
  <c r="G144" i="1"/>
  <c r="G14" i="5" s="1"/>
  <c r="H144" i="1"/>
  <c r="H14" i="5" s="1"/>
  <c r="I144" i="1"/>
  <c r="I14" i="5" s="1"/>
  <c r="J144" i="1"/>
  <c r="J14" i="5" s="1"/>
  <c r="L144" i="1"/>
  <c r="L14" i="5" s="1"/>
  <c r="O144" i="1"/>
  <c r="O14" i="5" s="1"/>
  <c r="P144" i="1"/>
  <c r="P14" i="5" s="1"/>
  <c r="Q144" i="1"/>
  <c r="Q14" i="5" s="1"/>
  <c r="R144" i="1"/>
  <c r="R14" i="5" s="1"/>
  <c r="S144" i="1"/>
  <c r="S14" i="5" s="1"/>
  <c r="T144" i="1"/>
  <c r="T14" i="5" s="1"/>
  <c r="U144" i="1"/>
  <c r="U14" i="5" s="1"/>
  <c r="V144" i="1"/>
  <c r="V14" i="5" s="1"/>
  <c r="W144" i="1"/>
  <c r="W14" i="5" s="1"/>
  <c r="X144" i="1"/>
  <c r="K145" i="1"/>
  <c r="L113" i="2" s="1"/>
  <c r="M145" i="1"/>
  <c r="N113" i="2" s="1"/>
  <c r="N145" i="1"/>
  <c r="O113" i="2" s="1"/>
  <c r="X145" i="1"/>
  <c r="K146" i="1"/>
  <c r="L114" i="2" s="1"/>
  <c r="M146" i="1"/>
  <c r="N146" i="1"/>
  <c r="X146" i="1"/>
  <c r="W148" i="1"/>
  <c r="F149" i="1"/>
  <c r="G149" i="1"/>
  <c r="H149" i="1"/>
  <c r="I149" i="1"/>
  <c r="K149" i="1" s="1"/>
  <c r="L117" i="2" s="1"/>
  <c r="J149" i="1"/>
  <c r="L149" i="1"/>
  <c r="K150" i="1"/>
  <c r="L118" i="2" s="1"/>
  <c r="M150" i="1"/>
  <c r="N118" i="2" s="1"/>
  <c r="N150" i="1"/>
  <c r="O118" i="2" s="1"/>
  <c r="X150" i="1"/>
  <c r="K151" i="1"/>
  <c r="L119" i="2" s="1"/>
  <c r="M151" i="1"/>
  <c r="N119" i="2" s="1"/>
  <c r="N151" i="1"/>
  <c r="O119" i="2" s="1"/>
  <c r="X151" i="1"/>
  <c r="K152" i="1"/>
  <c r="L120" i="2" s="1"/>
  <c r="M152" i="1"/>
  <c r="N120" i="2" s="1"/>
  <c r="N152" i="1"/>
  <c r="O120" i="2" s="1"/>
  <c r="X152" i="1"/>
  <c r="K153" i="1"/>
  <c r="L121" i="2" s="1"/>
  <c r="M153" i="1"/>
  <c r="N121" i="2" s="1"/>
  <c r="X153" i="1"/>
  <c r="F154" i="1"/>
  <c r="G154" i="1"/>
  <c r="H154" i="1"/>
  <c r="I154" i="1"/>
  <c r="J154" i="1"/>
  <c r="K154" i="1"/>
  <c r="L122" i="2" s="1"/>
  <c r="L154" i="1"/>
  <c r="O154" i="1"/>
  <c r="P154" i="1"/>
  <c r="Q154" i="1"/>
  <c r="R154" i="1"/>
  <c r="S154" i="1"/>
  <c r="T154" i="1"/>
  <c r="U154" i="1"/>
  <c r="V154" i="1"/>
  <c r="W154" i="1"/>
  <c r="K155" i="1"/>
  <c r="L123" i="2" s="1"/>
  <c r="M155" i="1"/>
  <c r="N123" i="2" s="1"/>
  <c r="N155" i="1"/>
  <c r="O123" i="2" s="1"/>
  <c r="X155" i="1"/>
  <c r="K156" i="1"/>
  <c r="L124" i="2" s="1"/>
  <c r="M156" i="1"/>
  <c r="N124" i="2" s="1"/>
  <c r="X156" i="1"/>
  <c r="K157" i="1"/>
  <c r="L125" i="2" s="1"/>
  <c r="M157" i="1"/>
  <c r="N125" i="2" s="1"/>
  <c r="X157" i="1"/>
  <c r="K158" i="1"/>
  <c r="L126" i="2" s="1"/>
  <c r="M158" i="1"/>
  <c r="N126" i="2" s="1"/>
  <c r="X158" i="1"/>
  <c r="F159" i="1"/>
  <c r="G159" i="1"/>
  <c r="H159" i="1"/>
  <c r="I159" i="1"/>
  <c r="J159" i="1"/>
  <c r="L159" i="1"/>
  <c r="O159" i="1"/>
  <c r="P159" i="1"/>
  <c r="Q159" i="1"/>
  <c r="R159" i="1"/>
  <c r="S159" i="1"/>
  <c r="T159" i="1"/>
  <c r="U159" i="1"/>
  <c r="V159" i="1"/>
  <c r="W159" i="1"/>
  <c r="K160" i="1"/>
  <c r="L128" i="2" s="1"/>
  <c r="M160" i="1"/>
  <c r="X160" i="1"/>
  <c r="K161" i="1"/>
  <c r="L129" i="2" s="1"/>
  <c r="M161" i="1"/>
  <c r="X161" i="1"/>
  <c r="K162" i="1"/>
  <c r="L130" i="2" s="1"/>
  <c r="M162" i="1"/>
  <c r="N130" i="2" s="1"/>
  <c r="X162" i="1"/>
  <c r="K163" i="1"/>
  <c r="L131" i="2" s="1"/>
  <c r="M163" i="1"/>
  <c r="N131" i="2" s="1"/>
  <c r="X163" i="1"/>
  <c r="F164" i="1"/>
  <c r="G164" i="1"/>
  <c r="M164" i="1" s="1"/>
  <c r="H164" i="1"/>
  <c r="I164" i="1"/>
  <c r="J164" i="1"/>
  <c r="K164" i="1"/>
  <c r="L132" i="2" s="1"/>
  <c r="L164" i="1"/>
  <c r="O164" i="1"/>
  <c r="P164" i="1"/>
  <c r="Q164" i="1"/>
  <c r="R164" i="1"/>
  <c r="S164" i="1"/>
  <c r="T164" i="1"/>
  <c r="U164" i="1"/>
  <c r="V164" i="1"/>
  <c r="W164" i="1"/>
  <c r="X164" i="1"/>
  <c r="K165" i="1"/>
  <c r="L133" i="2" s="1"/>
  <c r="M165" i="1"/>
  <c r="N133" i="2" s="1"/>
  <c r="N165" i="1"/>
  <c r="O133" i="2" s="1"/>
  <c r="X165" i="1"/>
  <c r="K166" i="1"/>
  <c r="L134" i="2" s="1"/>
  <c r="M166" i="1"/>
  <c r="N134" i="2" s="1"/>
  <c r="N166" i="1"/>
  <c r="O134" i="2" s="1"/>
  <c r="X166" i="1"/>
  <c r="K167" i="1"/>
  <c r="L135" i="2" s="1"/>
  <c r="M167" i="1"/>
  <c r="N135" i="2" s="1"/>
  <c r="X167" i="1"/>
  <c r="K168" i="1"/>
  <c r="L136" i="2" s="1"/>
  <c r="M168" i="1"/>
  <c r="N136" i="2" s="1"/>
  <c r="X168" i="1"/>
  <c r="F169" i="1"/>
  <c r="G169" i="1"/>
  <c r="H169" i="1"/>
  <c r="I169" i="1"/>
  <c r="J169" i="1"/>
  <c r="L169" i="1"/>
  <c r="M169" i="1"/>
  <c r="O169" i="1"/>
  <c r="O20" i="5" s="1"/>
  <c r="P169" i="1"/>
  <c r="Q169" i="1"/>
  <c r="R169" i="1"/>
  <c r="S169" i="1"/>
  <c r="T169" i="1"/>
  <c r="U169" i="1"/>
  <c r="V169" i="1"/>
  <c r="W169" i="1"/>
  <c r="X169" i="1"/>
  <c r="K170" i="1"/>
  <c r="L138" i="2" s="1"/>
  <c r="M170" i="1"/>
  <c r="N138" i="2" s="1"/>
  <c r="N170" i="1"/>
  <c r="O138" i="2" s="1"/>
  <c r="X170" i="1"/>
  <c r="K171" i="1"/>
  <c r="L139" i="2" s="1"/>
  <c r="M171" i="1"/>
  <c r="N139" i="2" s="1"/>
  <c r="X171" i="1"/>
  <c r="K172" i="1"/>
  <c r="L140" i="2" s="1"/>
  <c r="M172" i="1"/>
  <c r="N140" i="2" s="1"/>
  <c r="X172" i="1"/>
  <c r="K173" i="1"/>
  <c r="L141" i="2" s="1"/>
  <c r="M173" i="1"/>
  <c r="N141" i="2" s="1"/>
  <c r="X173" i="1"/>
  <c r="F174" i="1"/>
  <c r="G174" i="1"/>
  <c r="H174" i="1"/>
  <c r="K174" i="1" s="1"/>
  <c r="L142" i="2" s="1"/>
  <c r="I174" i="1"/>
  <c r="I148" i="1" s="1"/>
  <c r="J174" i="1"/>
  <c r="L174" i="1"/>
  <c r="M174" i="1"/>
  <c r="O174" i="1"/>
  <c r="P174" i="1"/>
  <c r="P21" i="5" s="1"/>
  <c r="Q174" i="1"/>
  <c r="R174" i="1"/>
  <c r="S174" i="1"/>
  <c r="T174" i="1"/>
  <c r="T148" i="1" s="1"/>
  <c r="U174" i="1"/>
  <c r="V174" i="1"/>
  <c r="W174" i="1"/>
  <c r="X174" i="1"/>
  <c r="K175" i="1"/>
  <c r="L143" i="2" s="1"/>
  <c r="M175" i="1"/>
  <c r="N143" i="2" s="1"/>
  <c r="X175" i="1"/>
  <c r="K176" i="1"/>
  <c r="L144" i="2" s="1"/>
  <c r="M176" i="1"/>
  <c r="X176" i="1"/>
  <c r="K177" i="1"/>
  <c r="M177" i="1"/>
  <c r="X177" i="1"/>
  <c r="K178" i="1"/>
  <c r="E36" i="3" s="1" a="1"/>
  <c r="M178" i="1"/>
  <c r="N178" i="1" s="1"/>
  <c r="X178" i="1"/>
  <c r="F179" i="1"/>
  <c r="G179" i="1"/>
  <c r="H179" i="1"/>
  <c r="I179" i="1"/>
  <c r="J179" i="1"/>
  <c r="L179" i="1"/>
  <c r="O179" i="1"/>
  <c r="P179" i="1"/>
  <c r="Q179" i="1"/>
  <c r="R8" i="6" s="1"/>
  <c r="R13" i="6" s="1"/>
  <c r="R179" i="1"/>
  <c r="S179" i="1"/>
  <c r="T179" i="1"/>
  <c r="U179" i="1"/>
  <c r="V179" i="1"/>
  <c r="W179" i="1"/>
  <c r="X179" i="1"/>
  <c r="K180" i="1"/>
  <c r="M180" i="1"/>
  <c r="M9" i="6" s="1"/>
  <c r="N180" i="1"/>
  <c r="X180" i="1"/>
  <c r="K181" i="1"/>
  <c r="M181" i="1"/>
  <c r="X181" i="1"/>
  <c r="K182" i="1"/>
  <c r="M182" i="1"/>
  <c r="N182" i="1"/>
  <c r="X182" i="1"/>
  <c r="K183" i="1"/>
  <c r="M183" i="1"/>
  <c r="M12" i="6" s="1"/>
  <c r="X183" i="1"/>
  <c r="K184" i="1"/>
  <c r="M184" i="1"/>
  <c r="N184" i="1"/>
  <c r="X184" i="1"/>
  <c r="K185" i="1"/>
  <c r="M185" i="1"/>
  <c r="N185" i="1"/>
  <c r="X185" i="1"/>
  <c r="K186" i="1"/>
  <c r="M186" i="1"/>
  <c r="X186" i="1"/>
  <c r="K187" i="1"/>
  <c r="E40" i="3" s="1" a="1"/>
  <c r="M187" i="1"/>
  <c r="N187" i="1"/>
  <c r="N40" i="3" s="1"/>
  <c r="M27" i="4" s="1"/>
  <c r="X187" i="1"/>
  <c r="F188" i="1"/>
  <c r="G188" i="1"/>
  <c r="H156" i="2" s="1"/>
  <c r="H188" i="1"/>
  <c r="I188" i="1"/>
  <c r="J156" i="2" s="1"/>
  <c r="J188" i="1"/>
  <c r="K156" i="2" s="1"/>
  <c r="L188" i="1"/>
  <c r="M156" i="2" s="1"/>
  <c r="O188" i="1"/>
  <c r="P188" i="1"/>
  <c r="P41" i="3" s="1"/>
  <c r="O28" i="4" s="1"/>
  <c r="Q188" i="1"/>
  <c r="R188" i="1"/>
  <c r="S188" i="1"/>
  <c r="S41" i="3" s="1"/>
  <c r="R28" i="4" s="1"/>
  <c r="T188" i="1"/>
  <c r="U188" i="1"/>
  <c r="V188" i="1"/>
  <c r="V41" i="3" s="1"/>
  <c r="U28" i="4" s="1"/>
  <c r="W188" i="1"/>
  <c r="X188" i="1"/>
  <c r="K189" i="1"/>
  <c r="L157" i="2" s="1"/>
  <c r="M189" i="1"/>
  <c r="N157" i="2" s="1"/>
  <c r="X189" i="1"/>
  <c r="K190" i="1"/>
  <c r="L158" i="2" s="1"/>
  <c r="M190" i="1"/>
  <c r="X190" i="1"/>
  <c r="K191" i="1"/>
  <c r="L159" i="2" s="1"/>
  <c r="M191" i="1"/>
  <c r="N191" i="1" s="1"/>
  <c r="O159" i="2" s="1"/>
  <c r="X191" i="1"/>
  <c r="K192" i="1"/>
  <c r="L160" i="2" s="1"/>
  <c r="M192" i="1"/>
  <c r="N160" i="2" s="1"/>
  <c r="X192" i="1"/>
  <c r="F193" i="1"/>
  <c r="G193" i="1"/>
  <c r="X193" i="1" s="1"/>
  <c r="X17" i="7" s="1"/>
  <c r="H193" i="1"/>
  <c r="I193" i="1"/>
  <c r="J193" i="1"/>
  <c r="L193" i="1"/>
  <c r="O193" i="1"/>
  <c r="P193" i="1"/>
  <c r="Q193" i="1"/>
  <c r="R193" i="1"/>
  <c r="S193" i="1"/>
  <c r="T193" i="1"/>
  <c r="U193" i="1"/>
  <c r="V193" i="1"/>
  <c r="W193" i="1"/>
  <c r="K194" i="1"/>
  <c r="M194" i="1"/>
  <c r="N194" i="1" s="1"/>
  <c r="X194" i="1"/>
  <c r="K195" i="1"/>
  <c r="M195" i="1"/>
  <c r="X195" i="1"/>
  <c r="K196" i="1"/>
  <c r="K7" i="7" s="1"/>
  <c r="M196" i="1"/>
  <c r="M7" i="7" s="1"/>
  <c r="N196" i="1"/>
  <c r="X196" i="1"/>
  <c r="K197" i="1"/>
  <c r="M197" i="1"/>
  <c r="N197" i="1"/>
  <c r="X197" i="1"/>
  <c r="K198" i="1"/>
  <c r="K9" i="7" s="1"/>
  <c r="M198" i="1"/>
  <c r="M9" i="7" s="1"/>
  <c r="N198" i="1"/>
  <c r="O9" i="7" s="1"/>
  <c r="X198" i="1"/>
  <c r="X199" i="1"/>
  <c r="F202" i="1"/>
  <c r="G202" i="1"/>
  <c r="H202" i="1"/>
  <c r="I202" i="1"/>
  <c r="J202" i="1"/>
  <c r="K202" i="1"/>
  <c r="L202" i="1"/>
  <c r="O202" i="1"/>
  <c r="O34" i="3" s="1"/>
  <c r="P202" i="1"/>
  <c r="P34" i="3" s="1"/>
  <c r="Q202" i="1"/>
  <c r="Q34" i="3" s="1"/>
  <c r="R202" i="1"/>
  <c r="R34" i="3" s="1"/>
  <c r="S202" i="1"/>
  <c r="S34" i="3" s="1"/>
  <c r="T202" i="1"/>
  <c r="T34" i="3" s="1"/>
  <c r="U202" i="1"/>
  <c r="U34" i="3" s="1"/>
  <c r="V202" i="1"/>
  <c r="V34" i="3" s="1"/>
  <c r="W202" i="1"/>
  <c r="W34" i="3" s="1"/>
  <c r="K203" i="1"/>
  <c r="M203" i="1"/>
  <c r="N203" i="1"/>
  <c r="K204" i="1"/>
  <c r="M204" i="1"/>
  <c r="N204" i="1"/>
  <c r="K205" i="1"/>
  <c r="M205" i="1"/>
  <c r="K206" i="1"/>
  <c r="M206" i="1"/>
  <c r="N206" i="1"/>
  <c r="K207" i="1"/>
  <c r="M207" i="1"/>
  <c r="N207" i="1"/>
  <c r="K208" i="1"/>
  <c r="E35" i="3" s="1" a="1"/>
  <c r="M208" i="1"/>
  <c r="M35" i="3" s="1"/>
  <c r="N208" i="1"/>
  <c r="N35" i="3" s="1"/>
  <c r="K213" i="1"/>
  <c r="K45" i="3" s="1"/>
  <c r="M213" i="1"/>
  <c r="M45" i="3" s="1"/>
  <c r="N213" i="1"/>
  <c r="O213" i="1"/>
  <c r="O45" i="3" s="1"/>
  <c r="P213" i="1"/>
  <c r="P45" i="3" s="1"/>
  <c r="Q213" i="1"/>
  <c r="R213" i="1"/>
  <c r="R45" i="3" s="1"/>
  <c r="S213" i="1"/>
  <c r="T213" i="1"/>
  <c r="T45" i="3" s="1"/>
  <c r="U213" i="1"/>
  <c r="U45" i="3" s="1"/>
  <c r="V213" i="1"/>
  <c r="W213" i="1"/>
  <c r="W45" i="3" s="1"/>
  <c r="K214" i="1"/>
  <c r="K46" i="3" s="1"/>
  <c r="L214" i="1"/>
  <c r="L46" i="3" s="1"/>
  <c r="M214" i="1"/>
  <c r="M46" i="3" s="1"/>
  <c r="K215" i="1"/>
  <c r="K47" i="3" s="1"/>
  <c r="L215" i="1"/>
  <c r="L47" i="3" s="1"/>
  <c r="M215" i="1"/>
  <c r="M47" i="3" s="1"/>
  <c r="F216" i="1"/>
  <c r="F48" i="3" s="1"/>
  <c r="G216" i="1"/>
  <c r="G48" i="3" s="1"/>
  <c r="H216" i="1"/>
  <c r="H48" i="3" s="1"/>
  <c r="I216" i="1"/>
  <c r="I48" i="3" s="1"/>
  <c r="J216" i="1"/>
  <c r="J48" i="3" s="1"/>
  <c r="K216" i="1"/>
  <c r="K48" i="3" s="1"/>
  <c r="L216" i="1"/>
  <c r="L48" i="3" s="1"/>
  <c r="N216" i="1"/>
  <c r="O216" i="1"/>
  <c r="O48" i="3" s="1"/>
  <c r="P216" i="1"/>
  <c r="P48" i="3" s="1"/>
  <c r="R216" i="1"/>
  <c r="R48" i="3" s="1"/>
  <c r="S216" i="1"/>
  <c r="S48" i="3" s="1"/>
  <c r="T216" i="1"/>
  <c r="T48" i="3" s="1"/>
  <c r="U216" i="1"/>
  <c r="U48" i="3" s="1"/>
  <c r="V216" i="1"/>
  <c r="V48" i="3" s="1"/>
  <c r="W216" i="1"/>
  <c r="W48" i="3" s="1"/>
  <c r="K217" i="1"/>
  <c r="K49" i="3" s="1"/>
  <c r="M217" i="1"/>
  <c r="M49" i="3" s="1"/>
  <c r="N217" i="1"/>
  <c r="N49" i="3" s="1"/>
  <c r="O217" i="1"/>
  <c r="O49" i="3" s="1"/>
  <c r="P217" i="1"/>
  <c r="P49" i="3" s="1"/>
  <c r="Q217" i="1"/>
  <c r="Q49" i="3" s="1"/>
  <c r="R217" i="1"/>
  <c r="R49" i="3" s="1"/>
  <c r="S217" i="1"/>
  <c r="S49" i="3" s="1"/>
  <c r="T217" i="1"/>
  <c r="T49" i="3" s="1"/>
  <c r="U217" i="1"/>
  <c r="U49" i="3" s="1"/>
  <c r="V217" i="1"/>
  <c r="V49" i="3" s="1"/>
  <c r="W217" i="1"/>
  <c r="W49" i="3" s="1"/>
  <c r="K218" i="1"/>
  <c r="K50" i="3" s="1"/>
  <c r="L218" i="1"/>
  <c r="L50" i="3" s="1"/>
  <c r="M218" i="1"/>
  <c r="K219" i="1"/>
  <c r="K51" i="3" s="1"/>
  <c r="L219" i="1"/>
  <c r="L51" i="3" s="1"/>
  <c r="M219" i="1"/>
  <c r="M51" i="3" s="1"/>
  <c r="F220" i="1"/>
  <c r="F52" i="3" s="1"/>
  <c r="G220" i="1"/>
  <c r="G52" i="3" s="1"/>
  <c r="H220" i="1"/>
  <c r="H52" i="3" s="1"/>
  <c r="I220" i="1"/>
  <c r="I52" i="3" s="1"/>
  <c r="J220" i="1"/>
  <c r="J52" i="3" s="1"/>
  <c r="L220" i="1"/>
  <c r="L52" i="3" s="1"/>
  <c r="O220" i="1"/>
  <c r="O52" i="3" s="1"/>
  <c r="P220" i="1"/>
  <c r="P52" i="3" s="1"/>
  <c r="Q220" i="1"/>
  <c r="Q52" i="3" s="1"/>
  <c r="R220" i="1"/>
  <c r="R52" i="3" s="1"/>
  <c r="S220" i="1"/>
  <c r="S52" i="3" s="1"/>
  <c r="T220" i="1"/>
  <c r="T52" i="3" s="1"/>
  <c r="U220" i="1"/>
  <c r="U52" i="3" s="1"/>
  <c r="V220" i="1"/>
  <c r="V52" i="3" s="1"/>
  <c r="W220" i="1"/>
  <c r="W52" i="3" s="1"/>
  <c r="K221" i="1"/>
  <c r="K53" i="3" s="1"/>
  <c r="M221" i="1"/>
  <c r="M53" i="3" s="1"/>
  <c r="N221" i="1"/>
  <c r="N53" i="3" s="1"/>
  <c r="O221" i="1"/>
  <c r="O53" i="3" s="1"/>
  <c r="P221" i="1"/>
  <c r="P53" i="3" s="1"/>
  <c r="Q221" i="1"/>
  <c r="Q53" i="3" s="1"/>
  <c r="R221" i="1"/>
  <c r="R53" i="3" s="1"/>
  <c r="S221" i="1"/>
  <c r="S53" i="3" s="1"/>
  <c r="T221" i="1"/>
  <c r="T53" i="3" s="1"/>
  <c r="U221" i="1"/>
  <c r="U53" i="3" s="1"/>
  <c r="V221" i="1"/>
  <c r="V53" i="3" s="1"/>
  <c r="W221" i="1"/>
  <c r="W53" i="3" s="1"/>
  <c r="K222" i="1"/>
  <c r="K54" i="3" s="1"/>
  <c r="L222" i="1"/>
  <c r="L54" i="3" s="1"/>
  <c r="M222" i="1"/>
  <c r="K223" i="1"/>
  <c r="K55" i="3" s="1"/>
  <c r="L223" i="1"/>
  <c r="L55" i="3" s="1"/>
  <c r="M223" i="1"/>
  <c r="M55" i="3" s="1"/>
  <c r="F224" i="1"/>
  <c r="F56" i="3" s="1"/>
  <c r="G224" i="1"/>
  <c r="G56" i="3" s="1"/>
  <c r="H224" i="1"/>
  <c r="H56" i="3" s="1"/>
  <c r="I224" i="1"/>
  <c r="I56" i="3" s="1"/>
  <c r="J224" i="1"/>
  <c r="J56" i="3" s="1"/>
  <c r="K224" i="1"/>
  <c r="K56" i="3" s="1"/>
  <c r="L224" i="1"/>
  <c r="L56" i="3" s="1"/>
  <c r="O224" i="1"/>
  <c r="O56" i="3" s="1"/>
  <c r="P224" i="1"/>
  <c r="P56" i="3" s="1"/>
  <c r="Q224" i="1"/>
  <c r="Q56" i="3" s="1"/>
  <c r="R224" i="1"/>
  <c r="R56" i="3" s="1"/>
  <c r="T224" i="1"/>
  <c r="T56" i="3" s="1"/>
  <c r="U224" i="1"/>
  <c r="U56" i="3" s="1"/>
  <c r="V224" i="1"/>
  <c r="V56" i="3" s="1"/>
  <c r="W224" i="1"/>
  <c r="W56" i="3" s="1"/>
  <c r="K225" i="1"/>
  <c r="K57" i="3" s="1"/>
  <c r="M225" i="1"/>
  <c r="M57" i="3" s="1"/>
  <c r="N225" i="1"/>
  <c r="N57" i="3" s="1"/>
  <c r="O225" i="1"/>
  <c r="O57" i="3" s="1"/>
  <c r="P225" i="1"/>
  <c r="P57" i="3" s="1"/>
  <c r="Q225" i="1"/>
  <c r="Q57" i="3" s="1"/>
  <c r="R225" i="1"/>
  <c r="R57" i="3" s="1"/>
  <c r="S225" i="1"/>
  <c r="S57" i="3" s="1"/>
  <c r="T225" i="1"/>
  <c r="T57" i="3" s="1"/>
  <c r="U225" i="1"/>
  <c r="U57" i="3" s="1"/>
  <c r="V225" i="1"/>
  <c r="V57" i="3" s="1"/>
  <c r="W225" i="1"/>
  <c r="K226" i="1"/>
  <c r="K58" i="3" s="1"/>
  <c r="L226" i="1"/>
  <c r="L58" i="3" s="1"/>
  <c r="M226" i="1"/>
  <c r="M58" i="3" s="1"/>
  <c r="K227" i="1"/>
  <c r="K59" i="3" s="1"/>
  <c r="L227" i="1"/>
  <c r="L59" i="3" s="1"/>
  <c r="M227" i="1"/>
  <c r="M59" i="3" s="1"/>
  <c r="F228" i="1"/>
  <c r="F60" i="3" s="1"/>
  <c r="G228" i="1"/>
  <c r="G60" i="3" s="1"/>
  <c r="H228" i="1"/>
  <c r="H60" i="3" s="1"/>
  <c r="I228" i="1"/>
  <c r="I60" i="3" s="1"/>
  <c r="J228" i="1"/>
  <c r="J60" i="3" s="1"/>
  <c r="L228" i="1"/>
  <c r="L60" i="3" s="1"/>
  <c r="N228" i="1"/>
  <c r="O228" i="1"/>
  <c r="O60" i="3" s="1"/>
  <c r="P228" i="1"/>
  <c r="P60" i="3" s="1"/>
  <c r="Q228" i="1"/>
  <c r="Q60" i="3" s="1"/>
  <c r="R228" i="1"/>
  <c r="R60" i="3" s="1"/>
  <c r="S228" i="1"/>
  <c r="S60" i="3" s="1"/>
  <c r="T228" i="1"/>
  <c r="T60" i="3" s="1"/>
  <c r="U228" i="1"/>
  <c r="U60" i="3" s="1"/>
  <c r="V228" i="1"/>
  <c r="V60" i="3" s="1"/>
  <c r="K229" i="1"/>
  <c r="K61" i="3" s="1"/>
  <c r="N229" i="1"/>
  <c r="O229" i="1"/>
  <c r="O61" i="3" s="1"/>
  <c r="P229" i="1"/>
  <c r="P61" i="3" s="1"/>
  <c r="Q229" i="1"/>
  <c r="Q61" i="3" s="1"/>
  <c r="R229" i="1"/>
  <c r="R61" i="3" s="1"/>
  <c r="S229" i="1"/>
  <c r="S61" i="3" s="1"/>
  <c r="T229" i="1"/>
  <c r="T61" i="3" s="1"/>
  <c r="U229" i="1"/>
  <c r="U61" i="3" s="1"/>
  <c r="V229" i="1"/>
  <c r="V61" i="3" s="1"/>
  <c r="W229" i="1"/>
  <c r="W61" i="3" s="1"/>
  <c r="K230" i="1"/>
  <c r="K62" i="3" s="1"/>
  <c r="L230" i="1"/>
  <c r="L62" i="3" s="1"/>
  <c r="M230" i="1"/>
  <c r="M62" i="3" s="1"/>
  <c r="K231" i="1"/>
  <c r="K63" i="3" s="1"/>
  <c r="L231" i="1"/>
  <c r="L63" i="3" s="1"/>
  <c r="M231" i="1"/>
  <c r="M63" i="3" s="1"/>
  <c r="F232" i="1"/>
  <c r="F64" i="3" s="1"/>
  <c r="G232" i="1"/>
  <c r="G64" i="3" s="1"/>
  <c r="H232" i="1"/>
  <c r="H64" i="3" s="1"/>
  <c r="I232" i="1"/>
  <c r="I64" i="3" s="1"/>
  <c r="J232" i="1"/>
  <c r="J64" i="3" s="1"/>
  <c r="K232" i="1"/>
  <c r="K64" i="3" s="1"/>
  <c r="O232" i="1"/>
  <c r="O64" i="3" s="1"/>
  <c r="P232" i="1"/>
  <c r="P64" i="3" s="1"/>
  <c r="Q232" i="1"/>
  <c r="Q64" i="3" s="1"/>
  <c r="R232" i="1"/>
  <c r="R64" i="3" s="1"/>
  <c r="S232" i="1"/>
  <c r="S64" i="3" s="1"/>
  <c r="T232" i="1"/>
  <c r="T64" i="3" s="1"/>
  <c r="U232" i="1"/>
  <c r="U64" i="3" s="1"/>
  <c r="V232" i="1"/>
  <c r="V64" i="3" s="1"/>
  <c r="W232" i="1"/>
  <c r="W64" i="3" s="1"/>
  <c r="F233" i="1"/>
  <c r="G233" i="1"/>
  <c r="H233" i="1"/>
  <c r="I233" i="1"/>
  <c r="J233" i="1"/>
  <c r="L233" i="1"/>
  <c r="R233" i="1"/>
  <c r="R65" i="3" s="1"/>
  <c r="T233" i="1"/>
  <c r="T65" i="3" s="1"/>
  <c r="U233" i="1"/>
  <c r="U65" i="3" s="1"/>
  <c r="Y8" i="1"/>
  <c r="Y32" i="1"/>
  <c r="Y52" i="1"/>
  <c r="Y12" i="1"/>
  <c r="Y49" i="1"/>
  <c r="Y76" i="1"/>
  <c r="Y93" i="1"/>
  <c r="Y108" i="1"/>
  <c r="Y123" i="1"/>
  <c r="Y138" i="1"/>
  <c r="Y5" i="1"/>
  <c r="Y24" i="1"/>
  <c r="Y36" i="1"/>
  <c r="Y56" i="1"/>
  <c r="Y100" i="1"/>
  <c r="Y26" i="1"/>
  <c r="Y43" i="1"/>
  <c r="Y61" i="1"/>
  <c r="Y63" i="1"/>
  <c r="Y70" i="1"/>
  <c r="Y87" i="1"/>
  <c r="Y38" i="1"/>
  <c r="Y58" i="1"/>
  <c r="Y67" i="1"/>
  <c r="Y21" i="1"/>
  <c r="Y28" i="1"/>
  <c r="Y40" i="1"/>
  <c r="Y116" i="1"/>
  <c r="Y140" i="1"/>
  <c r="Y165" i="1"/>
  <c r="Y181" i="1"/>
  <c r="Y42" i="1"/>
  <c r="Y57" i="1"/>
  <c r="Y65" i="1"/>
  <c r="Y72" i="1"/>
  <c r="Y186" i="1"/>
  <c r="Y50" i="1"/>
  <c r="Y125" i="1"/>
  <c r="Y188" i="1"/>
  <c r="Y6" i="1"/>
  <c r="Y33" i="1"/>
  <c r="Y81" i="1"/>
  <c r="Y132" i="1"/>
  <c r="Y150" i="1"/>
  <c r="Y173" i="1"/>
  <c r="Y195" i="1"/>
  <c r="Y14" i="1"/>
  <c r="Y22" i="1"/>
  <c r="Y90" i="1"/>
  <c r="Y99" i="1"/>
  <c r="Y110" i="1"/>
  <c r="Y134" i="1"/>
  <c r="Y157" i="1"/>
  <c r="Y159" i="1"/>
  <c r="Y175" i="1"/>
  <c r="Y29" i="1"/>
  <c r="Y92" i="1"/>
  <c r="Y117" i="1"/>
  <c r="Y141" i="1"/>
  <c r="Y166" i="1"/>
  <c r="Y182" i="1"/>
  <c r="Y17" i="1"/>
  <c r="Y7" i="1"/>
  <c r="Y51" i="1"/>
  <c r="Y75" i="1"/>
  <c r="Y126" i="1"/>
  <c r="Y189" i="1"/>
  <c r="Y15" i="1"/>
  <c r="Y34" i="1"/>
  <c r="Y82" i="1"/>
  <c r="Y104" i="1"/>
  <c r="Y133" i="1"/>
  <c r="Y151" i="1"/>
  <c r="Y158" i="1"/>
  <c r="Y196" i="1"/>
  <c r="Y30" i="1"/>
  <c r="Y44" i="1"/>
  <c r="Y59" i="1"/>
  <c r="Y86" i="1"/>
  <c r="Y91" i="1"/>
  <c r="Y111" i="1"/>
  <c r="Y135" i="1"/>
  <c r="Y118" i="1"/>
  <c r="Y142" i="1"/>
  <c r="Y144" i="1"/>
  <c r="Y167" i="1"/>
  <c r="Y169" i="1"/>
  <c r="Y183" i="1"/>
  <c r="Y18" i="1"/>
  <c r="Y37" i="1"/>
  <c r="Y69" i="1"/>
  <c r="Y74" i="1"/>
  <c r="Y120" i="1"/>
  <c r="Y16" i="1"/>
  <c r="Y47" i="1"/>
  <c r="Y83" i="1"/>
  <c r="Y101" i="1"/>
  <c r="Y103" i="1"/>
  <c r="Y127" i="1"/>
  <c r="Y129" i="1"/>
  <c r="Y190" i="1"/>
  <c r="Y23" i="1"/>
  <c r="Y31" i="1"/>
  <c r="Y35" i="1"/>
  <c r="Y94" i="1"/>
  <c r="Y105" i="1"/>
  <c r="Y45" i="1"/>
  <c r="Y60" i="1"/>
  <c r="Y62" i="1"/>
  <c r="Y112" i="1"/>
  <c r="Y114" i="1"/>
  <c r="Y136" i="1"/>
  <c r="Y161" i="1"/>
  <c r="Y168" i="1"/>
  <c r="Y177" i="1"/>
  <c r="Y9" i="1"/>
  <c r="Y11" i="1"/>
  <c r="Y19" i="1"/>
  <c r="Y143" i="1"/>
  <c r="Y145" i="1"/>
  <c r="Y147" i="1"/>
  <c r="Y170" i="1"/>
  <c r="Y179" i="1"/>
  <c r="Y184" i="1"/>
  <c r="Y53" i="1"/>
  <c r="Y77" i="1"/>
  <c r="Y121" i="1"/>
  <c r="Y200" i="1"/>
  <c r="Y48" i="1"/>
  <c r="Y55" i="1"/>
  <c r="Y79" i="1"/>
  <c r="Y84" i="1"/>
  <c r="Y102" i="1"/>
  <c r="Y128" i="1"/>
  <c r="Y130" i="1"/>
  <c r="Y153" i="1"/>
  <c r="Y191" i="1"/>
  <c r="Y88" i="1"/>
  <c r="Y95" i="1"/>
  <c r="Y97" i="1"/>
  <c r="Y106" i="1"/>
  <c r="Y10" i="1"/>
  <c r="Y20" i="1"/>
  <c r="Y27" i="1"/>
  <c r="Y39" i="1"/>
  <c r="Y46" i="1"/>
  <c r="Y113" i="1"/>
  <c r="Y115" i="1"/>
  <c r="Y137" i="1"/>
  <c r="Y139" i="1"/>
  <c r="Y162" i="1"/>
  <c r="Y164" i="1"/>
  <c r="Y171" i="1"/>
  <c r="Y178" i="1"/>
  <c r="Y41" i="1"/>
  <c r="Y71" i="1"/>
  <c r="Y146" i="1"/>
  <c r="Y180" i="1"/>
  <c r="Y185" i="1"/>
  <c r="Y199" i="1"/>
  <c r="Y4" i="1"/>
  <c r="Y25" i="1"/>
  <c r="Y54" i="1"/>
  <c r="Y64" i="1"/>
  <c r="Y66" i="1"/>
  <c r="Y78" i="1"/>
  <c r="Y122" i="1"/>
  <c r="Y124" i="1"/>
  <c r="Y80" i="1"/>
  <c r="Y85" i="1"/>
  <c r="Y13" i="1"/>
  <c r="Y89" i="1"/>
  <c r="Y96" i="1"/>
  <c r="Y98" i="1"/>
  <c r="Y107" i="1"/>
  <c r="Y109" i="1"/>
  <c r="Y156" i="1"/>
  <c r="Y163" i="1"/>
  <c r="Y172" i="1"/>
  <c r="Y174" i="1"/>
  <c r="Y194" i="1"/>
  <c r="Y192" i="1"/>
  <c r="Y154" i="1"/>
  <c r="Y131" i="1"/>
  <c r="Y152" i="1"/>
  <c r="Y155" i="1"/>
  <c r="Y198" i="1"/>
  <c r="Y148" i="1"/>
  <c r="Y176" i="1"/>
  <c r="Y73" i="1"/>
  <c r="Y119" i="1"/>
  <c r="Y160" i="1"/>
  <c r="Y193" i="1"/>
  <c r="Y187" i="1"/>
  <c r="Y68" i="1"/>
  <c r="Y149" i="1"/>
  <c r="Y197" i="1"/>
  <c r="M50" i="3" l="1"/>
  <c r="M220" i="1"/>
  <c r="M52" i="3" s="1"/>
  <c r="N4" i="5"/>
  <c r="O48" i="2"/>
  <c r="J116" i="2"/>
  <c r="I200" i="1"/>
  <c r="N128" i="2"/>
  <c r="N160" i="1"/>
  <c r="O128" i="2" s="1"/>
  <c r="W57" i="3"/>
  <c r="W233" i="1"/>
  <c r="W65" i="3" s="1"/>
  <c r="W228" i="1"/>
  <c r="W60" i="3" s="1"/>
  <c r="N61" i="3"/>
  <c r="M229" i="1"/>
  <c r="N232" i="1"/>
  <c r="S18" i="5"/>
  <c r="T127" i="2"/>
  <c r="L19" i="5"/>
  <c r="M132" i="2"/>
  <c r="T8" i="6"/>
  <c r="T147" i="2"/>
  <c r="V156" i="2"/>
  <c r="U41" i="3"/>
  <c r="T28" i="4" s="1"/>
  <c r="U116" i="2"/>
  <c r="T200" i="1"/>
  <c r="Q45" i="3"/>
  <c r="Q216" i="1"/>
  <c r="Q48" i="3" s="1"/>
  <c r="Q233" i="1"/>
  <c r="Q65" i="3" s="1"/>
  <c r="K12" i="6"/>
  <c r="L151" i="2"/>
  <c r="N48" i="3"/>
  <c r="M216" i="1"/>
  <c r="M48" i="3" s="1"/>
  <c r="X116" i="2"/>
  <c r="W200" i="1"/>
  <c r="V45" i="3"/>
  <c r="V233" i="1"/>
  <c r="V65" i="3" s="1"/>
  <c r="O21" i="5"/>
  <c r="P142" i="2"/>
  <c r="O148" i="1"/>
  <c r="J12" i="5"/>
  <c r="K102" i="2"/>
  <c r="W6" i="5"/>
  <c r="X72" i="2"/>
  <c r="W103" i="1"/>
  <c r="M7" i="6"/>
  <c r="N68" i="2"/>
  <c r="N100" i="1"/>
  <c r="M6" i="7"/>
  <c r="N163" i="2"/>
  <c r="I156" i="2"/>
  <c r="K188" i="1"/>
  <c r="L156" i="2" s="1"/>
  <c r="M21" i="5"/>
  <c r="N142" i="2"/>
  <c r="N174" i="1"/>
  <c r="U20" i="5"/>
  <c r="V137" i="2"/>
  <c r="F18" i="5"/>
  <c r="G127" i="2"/>
  <c r="S11" i="5"/>
  <c r="T97" i="2"/>
  <c r="N89" i="2"/>
  <c r="N121" i="1"/>
  <c r="O89" i="2" s="1"/>
  <c r="M25" i="3"/>
  <c r="L16" i="4" s="1"/>
  <c r="N54" i="2"/>
  <c r="N86" i="1"/>
  <c r="N60" i="3"/>
  <c r="M228" i="1"/>
  <c r="M60" i="3" s="1"/>
  <c r="M202" i="1"/>
  <c r="N205" i="1"/>
  <c r="L16" i="5"/>
  <c r="M117" i="2"/>
  <c r="H12" i="5"/>
  <c r="I102" i="2"/>
  <c r="K134" i="1"/>
  <c r="L102" i="2" s="1"/>
  <c r="H8" i="5"/>
  <c r="I82" i="2"/>
  <c r="K114" i="1"/>
  <c r="L82" i="2" s="1"/>
  <c r="S45" i="3"/>
  <c r="S233" i="1"/>
  <c r="S65" i="3" s="1"/>
  <c r="N36" i="3"/>
  <c r="M23" i="4" s="1"/>
  <c r="O146" i="2"/>
  <c r="J148" i="1"/>
  <c r="M134" i="1"/>
  <c r="O6" i="6"/>
  <c r="O67" i="2"/>
  <c r="K233" i="1"/>
  <c r="O5" i="7"/>
  <c r="O162" i="2"/>
  <c r="O161" i="2" s="1"/>
  <c r="N193" i="1"/>
  <c r="M10" i="6"/>
  <c r="M179" i="1"/>
  <c r="N149" i="2"/>
  <c r="J17" i="5"/>
  <c r="K122" i="2"/>
  <c r="M154" i="1"/>
  <c r="N129" i="2"/>
  <c r="N161" i="1"/>
  <c r="O129" i="2" s="1"/>
  <c r="S71" i="2"/>
  <c r="R147" i="1"/>
  <c r="N145" i="2"/>
  <c r="M31" i="3"/>
  <c r="N177" i="1"/>
  <c r="H21" i="5"/>
  <c r="I142" i="2"/>
  <c r="G16" i="5"/>
  <c r="H117" i="2"/>
  <c r="G148" i="1"/>
  <c r="M149" i="1"/>
  <c r="X149" i="1"/>
  <c r="O108" i="2"/>
  <c r="H7" i="5"/>
  <c r="I77" i="2"/>
  <c r="K109" i="1"/>
  <c r="L77" i="2" s="1"/>
  <c r="M109" i="1"/>
  <c r="S224" i="1"/>
  <c r="S56" i="3" s="1"/>
  <c r="N190" i="1"/>
  <c r="O158" i="2" s="1"/>
  <c r="M188" i="1"/>
  <c r="N158" i="2"/>
  <c r="O9" i="6"/>
  <c r="O148" i="2"/>
  <c r="M26" i="3"/>
  <c r="L17" i="4" s="1"/>
  <c r="N59" i="2"/>
  <c r="N91" i="1"/>
  <c r="N45" i="3"/>
  <c r="N233" i="1"/>
  <c r="N65" i="3" s="1"/>
  <c r="F148" i="1"/>
  <c r="F29" i="5" s="1"/>
  <c r="M20" i="5"/>
  <c r="N137" i="2"/>
  <c r="N169" i="1"/>
  <c r="F17" i="5"/>
  <c r="G122" i="2"/>
  <c r="J11" i="5"/>
  <c r="K97" i="2"/>
  <c r="Q10" i="5"/>
  <c r="R92" i="2"/>
  <c r="N104" i="2"/>
  <c r="N136" i="1"/>
  <c r="O104" i="2" s="1"/>
  <c r="T17" i="7"/>
  <c r="U4" i="7"/>
  <c r="U10" i="7" s="1"/>
  <c r="N154" i="2"/>
  <c r="M39" i="3"/>
  <c r="L26" i="4" s="1"/>
  <c r="N186" i="1"/>
  <c r="N144" i="2"/>
  <c r="N176" i="1"/>
  <c r="O144" i="2" s="1"/>
  <c r="S19" i="5"/>
  <c r="T132" i="2"/>
  <c r="N24" i="3"/>
  <c r="M15" i="4" s="1"/>
  <c r="O53" i="2"/>
  <c r="X8" i="6"/>
  <c r="X147" i="2"/>
  <c r="I20" i="5"/>
  <c r="J137" i="2"/>
  <c r="K169" i="1"/>
  <c r="L137" i="2" s="1"/>
  <c r="L148" i="1"/>
  <c r="N224" i="1"/>
  <c r="N56" i="3" s="1"/>
  <c r="S4" i="7"/>
  <c r="R17" i="7"/>
  <c r="Q19" i="5"/>
  <c r="R132" i="2"/>
  <c r="H148" i="1"/>
  <c r="K148" i="1" s="1"/>
  <c r="L116" i="2" s="1"/>
  <c r="N103" i="2"/>
  <c r="N135" i="1"/>
  <c r="O103" i="2" s="1"/>
  <c r="J10" i="5"/>
  <c r="K92" i="2"/>
  <c r="M124" i="1"/>
  <c r="J103" i="1"/>
  <c r="N79" i="2"/>
  <c r="N111" i="1"/>
  <c r="O79" i="2" s="1"/>
  <c r="J71" i="2"/>
  <c r="K103" i="1"/>
  <c r="L71" i="2" s="1"/>
  <c r="I147" i="1"/>
  <c r="M4" i="3"/>
  <c r="N4" i="1"/>
  <c r="N4" i="3" s="1"/>
  <c r="N38" i="3"/>
  <c r="M25" i="4" s="1"/>
  <c r="O153" i="2"/>
  <c r="V8" i="6"/>
  <c r="V147" i="2"/>
  <c r="H103" i="1"/>
  <c r="N11" i="1"/>
  <c r="N5" i="3" s="1"/>
  <c r="P17" i="7"/>
  <c r="Q4" i="7"/>
  <c r="Q10" i="7" s="1"/>
  <c r="O19" i="5"/>
  <c r="P132" i="2"/>
  <c r="S13" i="5"/>
  <c r="T107" i="2"/>
  <c r="Q9" i="5"/>
  <c r="R87" i="2"/>
  <c r="H71" i="2"/>
  <c r="G147" i="1"/>
  <c r="X103" i="1"/>
  <c r="M193" i="1"/>
  <c r="Q13" i="5"/>
  <c r="R107" i="2"/>
  <c r="S103" i="1"/>
  <c r="O8" i="7"/>
  <c r="O165" i="2"/>
  <c r="N37" i="3"/>
  <c r="M24" i="4" s="1"/>
  <c r="O152" i="2"/>
  <c r="W17" i="5"/>
  <c r="X122" i="2"/>
  <c r="Q8" i="6"/>
  <c r="Q13" i="6" s="1"/>
  <c r="Q147" i="2"/>
  <c r="S12" i="5"/>
  <c r="T102" i="2"/>
  <c r="N29" i="3"/>
  <c r="M20" i="4" s="1"/>
  <c r="O70" i="2"/>
  <c r="L4" i="6"/>
  <c r="M65" i="2"/>
  <c r="N17" i="2"/>
  <c r="N44" i="1"/>
  <c r="O17" i="2" s="1"/>
  <c r="K8" i="7"/>
  <c r="L165" i="2"/>
  <c r="Q41" i="3"/>
  <c r="P28" i="4" s="1"/>
  <c r="R156" i="2"/>
  <c r="E37" i="3" a="1"/>
  <c r="L152" i="2"/>
  <c r="T21" i="5"/>
  <c r="U142" i="2"/>
  <c r="O18" i="5"/>
  <c r="P127" i="2"/>
  <c r="U17" i="5"/>
  <c r="V122" i="2"/>
  <c r="U148" i="1"/>
  <c r="O114" i="2"/>
  <c r="N144" i="1"/>
  <c r="N14" i="5" s="1"/>
  <c r="L13" i="5"/>
  <c r="M107" i="2"/>
  <c r="H17" i="7"/>
  <c r="H20" i="7" s="1"/>
  <c r="H4" i="7"/>
  <c r="H10" i="7" s="1"/>
  <c r="K193" i="1"/>
  <c r="K4" i="7" s="1"/>
  <c r="M19" i="5"/>
  <c r="N132" i="2"/>
  <c r="N164" i="1"/>
  <c r="H9" i="5"/>
  <c r="I87" i="2"/>
  <c r="M119" i="1"/>
  <c r="Q8" i="5"/>
  <c r="R82" i="2"/>
  <c r="K4" i="6"/>
  <c r="L65" i="2"/>
  <c r="O7" i="7"/>
  <c r="O164" i="2"/>
  <c r="J18" i="5"/>
  <c r="K127" i="2"/>
  <c r="N28" i="3"/>
  <c r="M19" i="4" s="1"/>
  <c r="O69" i="2"/>
  <c r="M4" i="5"/>
  <c r="N48" i="2"/>
  <c r="R17" i="5"/>
  <c r="S122" i="2"/>
  <c r="G71" i="2"/>
  <c r="F147" i="1"/>
  <c r="M4" i="6"/>
  <c r="N97" i="1"/>
  <c r="N65" i="2"/>
  <c r="M54" i="3"/>
  <c r="M224" i="1"/>
  <c r="M56" i="3" s="1"/>
  <c r="N220" i="1"/>
  <c r="N52" i="3" s="1"/>
  <c r="H8" i="6"/>
  <c r="K179" i="1"/>
  <c r="I147" i="2"/>
  <c r="H18" i="5"/>
  <c r="I127" i="2"/>
  <c r="K159" i="1"/>
  <c r="L127" i="2" s="1"/>
  <c r="M159" i="1"/>
  <c r="O112" i="2"/>
  <c r="S18" i="3"/>
  <c r="R8" i="4" s="1"/>
  <c r="T20" i="2"/>
  <c r="L232" i="1"/>
  <c r="L64" i="3" s="1"/>
  <c r="F17" i="7"/>
  <c r="F4" i="7"/>
  <c r="F10" i="7" s="1"/>
  <c r="I8" i="6"/>
  <c r="J147" i="2"/>
  <c r="T18" i="5"/>
  <c r="U127" i="2"/>
  <c r="T12" i="5"/>
  <c r="U102" i="2"/>
  <c r="R9" i="5"/>
  <c r="S87" i="2"/>
  <c r="I8" i="5"/>
  <c r="K8" i="5" s="1"/>
  <c r="J82" i="2"/>
  <c r="P6" i="5"/>
  <c r="Q72" i="2"/>
  <c r="S27" i="3"/>
  <c r="R18" i="4" s="1"/>
  <c r="T60" i="2"/>
  <c r="E25" i="3" a="1"/>
  <c r="G54" i="2"/>
  <c r="Q22" i="3"/>
  <c r="P13" i="4" s="1"/>
  <c r="R44" i="2"/>
  <c r="N72" i="1"/>
  <c r="O41" i="2" s="1"/>
  <c r="N57" i="1"/>
  <c r="O30" i="2" s="1"/>
  <c r="K47" i="1"/>
  <c r="L20" i="2" s="1"/>
  <c r="J20" i="2"/>
  <c r="N42" i="1"/>
  <c r="Q14" i="3"/>
  <c r="P6" i="4" s="1"/>
  <c r="R9" i="2"/>
  <c r="L164" i="2"/>
  <c r="O6" i="5"/>
  <c r="P72" i="2"/>
  <c r="R27" i="3"/>
  <c r="Q18" i="4" s="1"/>
  <c r="S60" i="2"/>
  <c r="F4" i="5"/>
  <c r="G48" i="2"/>
  <c r="P22" i="3"/>
  <c r="O13" i="4" s="1"/>
  <c r="Q44" i="2"/>
  <c r="N15" i="3"/>
  <c r="M7" i="4" s="1"/>
  <c r="O13" i="2"/>
  <c r="Q9" i="2"/>
  <c r="P14" i="3"/>
  <c r="O6" i="4" s="1"/>
  <c r="E11" i="3" a="1"/>
  <c r="L155" i="2"/>
  <c r="P137" i="2"/>
  <c r="P233" i="1"/>
  <c r="P65" i="3" s="1"/>
  <c r="T41" i="3"/>
  <c r="S28" i="4" s="1"/>
  <c r="U156" i="2"/>
  <c r="L154" i="2"/>
  <c r="E39" i="3" a="1"/>
  <c r="K10" i="6"/>
  <c r="L149" i="2"/>
  <c r="G8" i="6"/>
  <c r="H147" i="2"/>
  <c r="W21" i="5"/>
  <c r="X142" i="2"/>
  <c r="L20" i="5"/>
  <c r="M137" i="2"/>
  <c r="R18" i="5"/>
  <c r="S127" i="2"/>
  <c r="N156" i="1"/>
  <c r="O124" i="2" s="1"/>
  <c r="I17" i="5"/>
  <c r="J122" i="2"/>
  <c r="K144" i="1"/>
  <c r="R12" i="5"/>
  <c r="S102" i="2"/>
  <c r="I11" i="5"/>
  <c r="J97" i="2"/>
  <c r="P9" i="5"/>
  <c r="Q87" i="2"/>
  <c r="G8" i="5"/>
  <c r="M114" i="1"/>
  <c r="H82" i="2"/>
  <c r="W7" i="5"/>
  <c r="X77" i="2"/>
  <c r="O5" i="6"/>
  <c r="O66" i="2"/>
  <c r="Q27" i="3"/>
  <c r="P18" i="4" s="1"/>
  <c r="R60" i="2"/>
  <c r="O22" i="3"/>
  <c r="N13" i="4" s="1"/>
  <c r="P44" i="2"/>
  <c r="H20" i="2"/>
  <c r="M47" i="1"/>
  <c r="M15" i="3"/>
  <c r="L7" i="4" s="1"/>
  <c r="N13" i="2"/>
  <c r="P9" i="2"/>
  <c r="O14" i="3"/>
  <c r="N6" i="4" s="1"/>
  <c r="O233" i="1"/>
  <c r="O65" i="3" s="1"/>
  <c r="M5" i="7"/>
  <c r="N162" i="2"/>
  <c r="N192" i="1"/>
  <c r="O160" i="2" s="1"/>
  <c r="F8" i="6"/>
  <c r="G147" i="2"/>
  <c r="V21" i="5"/>
  <c r="W142" i="2"/>
  <c r="Q18" i="5"/>
  <c r="R127" i="2"/>
  <c r="H17" i="5"/>
  <c r="I122" i="2"/>
  <c r="Q12" i="5"/>
  <c r="R102" i="2"/>
  <c r="N131" i="1"/>
  <c r="O99" i="2" s="1"/>
  <c r="H11" i="5"/>
  <c r="I97" i="2"/>
  <c r="O9" i="5"/>
  <c r="P87" i="2"/>
  <c r="F8" i="5"/>
  <c r="G82" i="2"/>
  <c r="V7" i="5"/>
  <c r="W77" i="2"/>
  <c r="M104" i="1"/>
  <c r="M5" i="6"/>
  <c r="N66" i="2"/>
  <c r="P27" i="3"/>
  <c r="O18" i="4" s="1"/>
  <c r="Q60" i="2"/>
  <c r="N80" i="1"/>
  <c r="O49" i="2" s="1"/>
  <c r="X66" i="1"/>
  <c r="N49" i="1"/>
  <c r="O22" i="2" s="1"/>
  <c r="E18" i="3" a="1"/>
  <c r="G20" i="2"/>
  <c r="E15" i="3" a="1"/>
  <c r="L13" i="2"/>
  <c r="M36" i="1"/>
  <c r="M17" i="1"/>
  <c r="E5" i="3" a="1"/>
  <c r="Q142" i="2"/>
  <c r="K5" i="7"/>
  <c r="L162" i="2"/>
  <c r="R41" i="3"/>
  <c r="Q28" i="4" s="1"/>
  <c r="S156" i="2"/>
  <c r="U21" i="5"/>
  <c r="V142" i="2"/>
  <c r="J20" i="5"/>
  <c r="K137" i="2"/>
  <c r="P18" i="5"/>
  <c r="Q127" i="2"/>
  <c r="G17" i="5"/>
  <c r="H122" i="2"/>
  <c r="K14" i="5"/>
  <c r="P12" i="5"/>
  <c r="Q102" i="2"/>
  <c r="G11" i="5"/>
  <c r="M129" i="1"/>
  <c r="H97" i="2"/>
  <c r="W10" i="5"/>
  <c r="X92" i="2"/>
  <c r="N122" i="1"/>
  <c r="O90" i="2" s="1"/>
  <c r="U7" i="5"/>
  <c r="V77" i="2"/>
  <c r="L6" i="5"/>
  <c r="M72" i="2"/>
  <c r="K5" i="6"/>
  <c r="L66" i="2"/>
  <c r="P60" i="2"/>
  <c r="O27" i="3"/>
  <c r="N18" i="4" s="1"/>
  <c r="M24" i="3"/>
  <c r="L15" i="4" s="1"/>
  <c r="N53" i="2"/>
  <c r="N78" i="1"/>
  <c r="O47" i="2" s="1"/>
  <c r="M75" i="1"/>
  <c r="X35" i="2"/>
  <c r="W21" i="3"/>
  <c r="V12" i="4" s="1"/>
  <c r="E20" i="3" a="1"/>
  <c r="N29" i="2"/>
  <c r="N56" i="1"/>
  <c r="N54" i="1"/>
  <c r="O27" i="2" s="1"/>
  <c r="K32" i="1"/>
  <c r="L5" i="2" s="1"/>
  <c r="N25" i="1"/>
  <c r="N10" i="3" s="1"/>
  <c r="O12" i="5"/>
  <c r="P102" i="2"/>
  <c r="F11" i="5"/>
  <c r="G97" i="2"/>
  <c r="V10" i="5"/>
  <c r="W92" i="2"/>
  <c r="T7" i="5"/>
  <c r="U77" i="2"/>
  <c r="E24" i="3" a="1"/>
  <c r="L53" i="2"/>
  <c r="W35" i="2"/>
  <c r="V21" i="3"/>
  <c r="U12" i="4" s="1"/>
  <c r="X14" i="2"/>
  <c r="W16" i="3"/>
  <c r="V9" i="4" s="1"/>
  <c r="E34" i="3" a="1"/>
  <c r="M38" i="3"/>
  <c r="L25" i="4" s="1"/>
  <c r="N153" i="2"/>
  <c r="S21" i="5"/>
  <c r="T142" i="2"/>
  <c r="H20" i="5"/>
  <c r="I137" i="2"/>
  <c r="W19" i="5"/>
  <c r="X132" i="2"/>
  <c r="N162" i="1"/>
  <c r="O130" i="2" s="1"/>
  <c r="M144" i="1"/>
  <c r="M14" i="5" s="1"/>
  <c r="N114" i="2"/>
  <c r="W13" i="5"/>
  <c r="X107" i="2"/>
  <c r="N137" i="1"/>
  <c r="O105" i="2" s="1"/>
  <c r="U10" i="5"/>
  <c r="V92" i="2"/>
  <c r="L9" i="5"/>
  <c r="M87" i="2"/>
  <c r="N115" i="1"/>
  <c r="O83" i="2" s="1"/>
  <c r="N113" i="1"/>
  <c r="O81" i="2" s="1"/>
  <c r="S7" i="5"/>
  <c r="T77" i="2"/>
  <c r="J6" i="5"/>
  <c r="K72" i="2"/>
  <c r="X97" i="1"/>
  <c r="M92" i="1"/>
  <c r="N17" i="3"/>
  <c r="M10" i="4" s="1"/>
  <c r="O19" i="2"/>
  <c r="N39" i="1"/>
  <c r="O12" i="2" s="1"/>
  <c r="N12" i="2"/>
  <c r="J9" i="2"/>
  <c r="K36" i="1"/>
  <c r="L9" i="2" s="1"/>
  <c r="E10" i="3"/>
  <c r="G10" i="3"/>
  <c r="H10" i="3"/>
  <c r="J10" i="3"/>
  <c r="F10" i="3"/>
  <c r="I10" i="3"/>
  <c r="K10" i="3"/>
  <c r="L10" i="3"/>
  <c r="R161" i="2"/>
  <c r="W156" i="2"/>
  <c r="R147" i="2"/>
  <c r="X4" i="7"/>
  <c r="X10" i="7" s="1"/>
  <c r="X20" i="7" s="1"/>
  <c r="W17" i="7"/>
  <c r="O41" i="3"/>
  <c r="N28" i="4" s="1"/>
  <c r="P156" i="2"/>
  <c r="E38" i="3" a="1"/>
  <c r="L153" i="2"/>
  <c r="K9" i="6"/>
  <c r="L148" i="2"/>
  <c r="M36" i="3"/>
  <c r="L23" i="4" s="1"/>
  <c r="N146" i="2"/>
  <c r="R21" i="5"/>
  <c r="S142" i="2"/>
  <c r="G20" i="5"/>
  <c r="H137" i="2"/>
  <c r="V19" i="5"/>
  <c r="W132" i="2"/>
  <c r="J16" i="5"/>
  <c r="K117" i="2"/>
  <c r="V13" i="5"/>
  <c r="W107" i="2"/>
  <c r="T10" i="5"/>
  <c r="U92" i="2"/>
  <c r="R7" i="5"/>
  <c r="S77" i="2"/>
  <c r="I6" i="5"/>
  <c r="J72" i="2"/>
  <c r="X4" i="6"/>
  <c r="X65" i="2"/>
  <c r="V14" i="2"/>
  <c r="U16" i="3"/>
  <c r="T9" i="4" s="1"/>
  <c r="M26" i="1"/>
  <c r="N159" i="2"/>
  <c r="T156" i="2"/>
  <c r="V17" i="7"/>
  <c r="W4" i="7"/>
  <c r="E36" i="3"/>
  <c r="C23" i="4" s="1"/>
  <c r="F36" i="3"/>
  <c r="E23" i="4" s="1"/>
  <c r="G36" i="3"/>
  <c r="F23" i="4" s="1"/>
  <c r="H36" i="3"/>
  <c r="G23" i="4" s="1"/>
  <c r="I36" i="3"/>
  <c r="H23" i="4" s="1"/>
  <c r="J36" i="3"/>
  <c r="I23" i="4" s="1"/>
  <c r="K36" i="3"/>
  <c r="J23" i="4" s="1"/>
  <c r="L36" i="3"/>
  <c r="K23" i="4" s="1"/>
  <c r="Q21" i="5"/>
  <c r="R142" i="2"/>
  <c r="F20" i="5"/>
  <c r="G137" i="2"/>
  <c r="U19" i="5"/>
  <c r="V132" i="2"/>
  <c r="L18" i="5"/>
  <c r="M127" i="2"/>
  <c r="I16" i="5"/>
  <c r="J117" i="2"/>
  <c r="U13" i="5"/>
  <c r="V107" i="2"/>
  <c r="L12" i="5"/>
  <c r="M102" i="2"/>
  <c r="N130" i="1"/>
  <c r="O98" i="2" s="1"/>
  <c r="N128" i="1"/>
  <c r="O96" i="2" s="1"/>
  <c r="S10" i="5"/>
  <c r="T92" i="2"/>
  <c r="J9" i="5"/>
  <c r="K87" i="2"/>
  <c r="Q7" i="5"/>
  <c r="R77" i="2"/>
  <c r="H6" i="5"/>
  <c r="I72" i="2"/>
  <c r="W4" i="6"/>
  <c r="W65" i="2"/>
  <c r="N23" i="3"/>
  <c r="M14" i="4" s="1"/>
  <c r="O52" i="2"/>
  <c r="W4" i="5"/>
  <c r="W29" i="5"/>
  <c r="X48" i="2"/>
  <c r="T35" i="2"/>
  <c r="S21" i="3"/>
  <c r="R12" i="4" s="1"/>
  <c r="X28" i="2"/>
  <c r="W19" i="3"/>
  <c r="V11" i="4" s="1"/>
  <c r="E17" i="3" a="1"/>
  <c r="L19" i="2"/>
  <c r="T16" i="3"/>
  <c r="S9" i="4" s="1"/>
  <c r="U14" i="2"/>
  <c r="H5" i="2"/>
  <c r="M32" i="1"/>
  <c r="Q156" i="2"/>
  <c r="U17" i="7"/>
  <c r="U20" i="7" s="1"/>
  <c r="V4" i="7"/>
  <c r="V10" i="7" s="1"/>
  <c r="T19" i="5"/>
  <c r="U132" i="2"/>
  <c r="H16" i="5"/>
  <c r="I117" i="2"/>
  <c r="T13" i="5"/>
  <c r="U107" i="2"/>
  <c r="R10" i="5"/>
  <c r="S92" i="2"/>
  <c r="I9" i="5"/>
  <c r="K9" i="5" s="1"/>
  <c r="J87" i="2"/>
  <c r="P7" i="5"/>
  <c r="Q77" i="2"/>
  <c r="G6" i="5"/>
  <c r="H72" i="2"/>
  <c r="M29" i="3"/>
  <c r="L20" i="4" s="1"/>
  <c r="N70" i="2"/>
  <c r="V4" i="6"/>
  <c r="V65" i="2"/>
  <c r="V19" i="3"/>
  <c r="U11" i="4" s="1"/>
  <c r="W28" i="2"/>
  <c r="N53" i="1"/>
  <c r="O26" i="2" s="1"/>
  <c r="N38" i="1"/>
  <c r="O11" i="2" s="1"/>
  <c r="E14" i="3" a="1"/>
  <c r="G9" i="2"/>
  <c r="G5" i="2"/>
  <c r="I9" i="3"/>
  <c r="J9" i="3"/>
  <c r="K9" i="3"/>
  <c r="L9" i="3"/>
  <c r="F9" i="3"/>
  <c r="G9" i="3"/>
  <c r="H9" i="3"/>
  <c r="E9" i="3"/>
  <c r="Y6" i="6"/>
  <c r="R4" i="3"/>
  <c r="O7" i="5"/>
  <c r="P77" i="2"/>
  <c r="F6" i="5"/>
  <c r="G72" i="2"/>
  <c r="L70" i="2"/>
  <c r="E29" i="3" a="1"/>
  <c r="U4" i="6"/>
  <c r="U65" i="2"/>
  <c r="I23" i="3"/>
  <c r="H14" i="4" s="1"/>
  <c r="K23" i="3"/>
  <c r="J14" i="4" s="1"/>
  <c r="L23" i="3"/>
  <c r="K14" i="4" s="1"/>
  <c r="E23" i="3"/>
  <c r="C14" i="4" s="1"/>
  <c r="F23" i="3"/>
  <c r="E14" i="4" s="1"/>
  <c r="G23" i="3"/>
  <c r="F14" i="4" s="1"/>
  <c r="H23" i="3"/>
  <c r="G14" i="4" s="1"/>
  <c r="J23" i="3"/>
  <c r="I14" i="4" s="1"/>
  <c r="R35" i="2"/>
  <c r="Q21" i="3"/>
  <c r="P12" i="4" s="1"/>
  <c r="V28" i="2"/>
  <c r="U19" i="3"/>
  <c r="T11" i="4" s="1"/>
  <c r="R16" i="3"/>
  <c r="Q9" i="4" s="1"/>
  <c r="S14" i="2"/>
  <c r="F6" i="3"/>
  <c r="I6" i="3"/>
  <c r="J6" i="3"/>
  <c r="K6" i="3"/>
  <c r="E6" i="3"/>
  <c r="G6" i="3"/>
  <c r="H6" i="3"/>
  <c r="L6" i="3"/>
  <c r="S17" i="7"/>
  <c r="T4" i="7"/>
  <c r="T10" i="7" s="1"/>
  <c r="M37" i="3"/>
  <c r="L24" i="4" s="1"/>
  <c r="N152" i="2"/>
  <c r="W8" i="6"/>
  <c r="W13" i="6" s="1"/>
  <c r="W147" i="2"/>
  <c r="R19" i="5"/>
  <c r="S132" i="2"/>
  <c r="I18" i="5"/>
  <c r="K18" i="5" s="1"/>
  <c r="J127" i="2"/>
  <c r="X154" i="1"/>
  <c r="F16" i="5"/>
  <c r="G117" i="2"/>
  <c r="N112" i="2"/>
  <c r="Y4" i="7"/>
  <c r="R13" i="5"/>
  <c r="Y7" i="7"/>
  <c r="S107" i="2"/>
  <c r="I12" i="5"/>
  <c r="K12" i="5" s="1"/>
  <c r="J102" i="2"/>
  <c r="P10" i="5"/>
  <c r="Q92" i="2"/>
  <c r="G9" i="5"/>
  <c r="H87" i="2"/>
  <c r="W8" i="5"/>
  <c r="X82" i="2"/>
  <c r="N112" i="1"/>
  <c r="O80" i="2" s="1"/>
  <c r="T4" i="6"/>
  <c r="T65" i="2"/>
  <c r="T4" i="5"/>
  <c r="U48" i="2"/>
  <c r="E22" i="3" a="1"/>
  <c r="P21" i="3"/>
  <c r="O12" i="4" s="1"/>
  <c r="Q35" i="2"/>
  <c r="N60" i="1"/>
  <c r="O33" i="2" s="1"/>
  <c r="U28" i="2"/>
  <c r="T19" i="3"/>
  <c r="S11" i="4" s="1"/>
  <c r="N45" i="1"/>
  <c r="O18" i="2" s="1"/>
  <c r="Q16" i="3"/>
  <c r="P9" i="4" s="1"/>
  <c r="R14" i="2"/>
  <c r="O166" i="2"/>
  <c r="O10" i="5"/>
  <c r="P92" i="2"/>
  <c r="F9" i="5"/>
  <c r="G87" i="2"/>
  <c r="V8" i="5"/>
  <c r="W82" i="2"/>
  <c r="S4" i="6"/>
  <c r="S65" i="2"/>
  <c r="P35" i="2"/>
  <c r="O21" i="3"/>
  <c r="N12" i="4" s="1"/>
  <c r="N21" i="4" s="1"/>
  <c r="N30" i="4" s="1"/>
  <c r="P16" i="3"/>
  <c r="O9" i="4" s="1"/>
  <c r="Q14" i="2"/>
  <c r="M12" i="3"/>
  <c r="L4" i="4" s="1"/>
  <c r="N4" i="2"/>
  <c r="N31" i="1"/>
  <c r="O30" i="3"/>
  <c r="O42" i="3" s="1"/>
  <c r="N166" i="2"/>
  <c r="K228" i="1"/>
  <c r="K60" i="3" s="1"/>
  <c r="K220" i="1"/>
  <c r="K52" i="3" s="1"/>
  <c r="M8" i="7"/>
  <c r="N165" i="2"/>
  <c r="R4" i="7"/>
  <c r="R10" i="7" s="1"/>
  <c r="Q17" i="7"/>
  <c r="Q20" i="7" s="1"/>
  <c r="U8" i="6"/>
  <c r="U13" i="6" s="1"/>
  <c r="U147" i="2"/>
  <c r="U20" i="6" s="1"/>
  <c r="E31" i="3" a="1"/>
  <c r="L145" i="2"/>
  <c r="L21" i="5"/>
  <c r="M142" i="2"/>
  <c r="P19" i="5"/>
  <c r="Q132" i="2"/>
  <c r="G18" i="5"/>
  <c r="H127" i="2"/>
  <c r="V17" i="5"/>
  <c r="V15" i="5" s="1"/>
  <c r="W122" i="2"/>
  <c r="P13" i="5"/>
  <c r="Q107" i="2"/>
  <c r="G12" i="5"/>
  <c r="H102" i="2"/>
  <c r="W11" i="5"/>
  <c r="X97" i="2"/>
  <c r="N127" i="1"/>
  <c r="O95" i="2" s="1"/>
  <c r="U8" i="5"/>
  <c r="V82" i="2"/>
  <c r="L7" i="5"/>
  <c r="M77" i="2"/>
  <c r="R4" i="5"/>
  <c r="S48" i="2"/>
  <c r="N76" i="1"/>
  <c r="O45" i="2" s="1"/>
  <c r="N66" i="1"/>
  <c r="S28" i="2"/>
  <c r="R19" i="3"/>
  <c r="Q11" i="4" s="1"/>
  <c r="O16" i="3"/>
  <c r="N9" i="4" s="1"/>
  <c r="P14" i="2"/>
  <c r="O13" i="5"/>
  <c r="P107" i="2"/>
  <c r="F12" i="5"/>
  <c r="G102" i="2"/>
  <c r="V11" i="5"/>
  <c r="W97" i="2"/>
  <c r="T8" i="5"/>
  <c r="U82" i="2"/>
  <c r="V103" i="1"/>
  <c r="M28" i="3"/>
  <c r="L19" i="4" s="1"/>
  <c r="N69" i="2"/>
  <c r="Q4" i="5"/>
  <c r="R48" i="2"/>
  <c r="M66" i="1"/>
  <c r="Q19" i="3"/>
  <c r="P11" i="4" s="1"/>
  <c r="R28" i="2"/>
  <c r="V18" i="3"/>
  <c r="U8" i="4" s="1"/>
  <c r="W20" i="2"/>
  <c r="L166" i="2"/>
  <c r="P4" i="7"/>
  <c r="P10" i="7" s="1"/>
  <c r="O17" i="7"/>
  <c r="N183" i="1"/>
  <c r="S8" i="6"/>
  <c r="S13" i="6" s="1"/>
  <c r="S147" i="2"/>
  <c r="J21" i="5"/>
  <c r="K142" i="2"/>
  <c r="W20" i="5"/>
  <c r="X137" i="2"/>
  <c r="N167" i="1"/>
  <c r="O135" i="2" s="1"/>
  <c r="T17" i="5"/>
  <c r="U122" i="2"/>
  <c r="V148" i="1"/>
  <c r="N142" i="1"/>
  <c r="O110" i="2" s="1"/>
  <c r="U11" i="5"/>
  <c r="V97" i="2"/>
  <c r="L10" i="5"/>
  <c r="M92" i="2"/>
  <c r="N118" i="1"/>
  <c r="O86" i="2" s="1"/>
  <c r="S8" i="5"/>
  <c r="T82" i="2"/>
  <c r="J7" i="5"/>
  <c r="K77" i="2"/>
  <c r="U103" i="1"/>
  <c r="E28" i="3" a="1"/>
  <c r="L69" i="2"/>
  <c r="P4" i="6"/>
  <c r="P65" i="2"/>
  <c r="N93" i="1"/>
  <c r="P29" i="5"/>
  <c r="P4" i="5"/>
  <c r="Q48" i="2"/>
  <c r="U18" i="3"/>
  <c r="T8" i="4" s="1"/>
  <c r="V20" i="2"/>
  <c r="M41" i="1"/>
  <c r="E41" i="3" a="1"/>
  <c r="G156" i="2"/>
  <c r="I21" i="5"/>
  <c r="K21" i="5" s="1"/>
  <c r="J142" i="2"/>
  <c r="V20" i="5"/>
  <c r="W137" i="2"/>
  <c r="S17" i="5"/>
  <c r="S15" i="5" s="1"/>
  <c r="T122" i="2"/>
  <c r="M139" i="1"/>
  <c r="T11" i="5"/>
  <c r="U97" i="2"/>
  <c r="R8" i="5"/>
  <c r="S82" i="2"/>
  <c r="I7" i="5"/>
  <c r="K7" i="5" s="1"/>
  <c r="J77" i="2"/>
  <c r="X104" i="1"/>
  <c r="T103" i="1"/>
  <c r="T29" i="5" s="1"/>
  <c r="O4" i="5"/>
  <c r="O29" i="5"/>
  <c r="P48" i="2"/>
  <c r="K66" i="1"/>
  <c r="L35" i="2" s="1"/>
  <c r="N32" i="2"/>
  <c r="N59" i="1"/>
  <c r="O32" i="2" s="1"/>
  <c r="O19" i="3"/>
  <c r="N11" i="4" s="1"/>
  <c r="P28" i="2"/>
  <c r="T18" i="3"/>
  <c r="S8" i="4" s="1"/>
  <c r="U20" i="2"/>
  <c r="L17" i="7"/>
  <c r="L20" i="7" s="1"/>
  <c r="L4" i="7"/>
  <c r="L10" i="7" s="1"/>
  <c r="N189" i="1"/>
  <c r="P8" i="6"/>
  <c r="P13" i="6" s="1"/>
  <c r="P147" i="2"/>
  <c r="G21" i="5"/>
  <c r="H142" i="2"/>
  <c r="T20" i="5"/>
  <c r="U137" i="2"/>
  <c r="Q17" i="5"/>
  <c r="Q15" i="5" s="1"/>
  <c r="R122" i="2"/>
  <c r="S148" i="1"/>
  <c r="R11" i="5"/>
  <c r="S97" i="2"/>
  <c r="N126" i="1"/>
  <c r="O94" i="2" s="1"/>
  <c r="I10" i="5"/>
  <c r="K10" i="5" s="1"/>
  <c r="J92" i="2"/>
  <c r="X119" i="1"/>
  <c r="P8" i="5"/>
  <c r="Q82" i="2"/>
  <c r="G7" i="5"/>
  <c r="H77" i="2"/>
  <c r="V6" i="5"/>
  <c r="W72" i="2"/>
  <c r="K7" i="6"/>
  <c r="L68" i="2"/>
  <c r="E26" i="3" a="1"/>
  <c r="L59" i="2"/>
  <c r="W22" i="3"/>
  <c r="V13" i="4" s="1"/>
  <c r="X44" i="2"/>
  <c r="M55" i="1"/>
  <c r="N51" i="1"/>
  <c r="O24" i="2" s="1"/>
  <c r="R18" i="3"/>
  <c r="Q8" i="4" s="1"/>
  <c r="S20" i="2"/>
  <c r="E8" i="3" a="1"/>
  <c r="F21" i="5"/>
  <c r="G142" i="2"/>
  <c r="S20" i="5"/>
  <c r="T137" i="2"/>
  <c r="J19" i="5"/>
  <c r="K132" i="2"/>
  <c r="P17" i="5"/>
  <c r="P15" i="5" s="1"/>
  <c r="Q122" i="2"/>
  <c r="R148" i="1"/>
  <c r="R29" i="5" s="1"/>
  <c r="J13" i="5"/>
  <c r="K107" i="2"/>
  <c r="Q11" i="5"/>
  <c r="R97" i="2"/>
  <c r="H10" i="5"/>
  <c r="I92" i="2"/>
  <c r="W9" i="5"/>
  <c r="X87" i="2"/>
  <c r="O8" i="5"/>
  <c r="P82" i="2"/>
  <c r="F7" i="5"/>
  <c r="G77" i="2"/>
  <c r="P103" i="1"/>
  <c r="J4" i="6"/>
  <c r="K65" i="2"/>
  <c r="X92" i="1"/>
  <c r="L4" i="5"/>
  <c r="L29" i="5"/>
  <c r="M48" i="2"/>
  <c r="V22" i="3"/>
  <c r="U13" i="4" s="1"/>
  <c r="W44" i="2"/>
  <c r="Q18" i="3"/>
  <c r="P8" i="4" s="1"/>
  <c r="P21" i="4" s="1"/>
  <c r="P30" i="4" s="1"/>
  <c r="R20" i="2"/>
  <c r="W9" i="2"/>
  <c r="V14" i="3"/>
  <c r="U6" i="4" s="1"/>
  <c r="N151" i="2"/>
  <c r="J17" i="7"/>
  <c r="J4" i="7"/>
  <c r="J10" i="7" s="1"/>
  <c r="M40" i="3"/>
  <c r="L27" i="4" s="1"/>
  <c r="N155" i="2"/>
  <c r="O11" i="6"/>
  <c r="O150" i="2"/>
  <c r="R20" i="5"/>
  <c r="S137" i="2"/>
  <c r="I19" i="5"/>
  <c r="J132" i="2"/>
  <c r="X159" i="1"/>
  <c r="O17" i="5"/>
  <c r="O15" i="5" s="1"/>
  <c r="P122" i="2"/>
  <c r="Q148" i="1"/>
  <c r="I13" i="5"/>
  <c r="J107" i="2"/>
  <c r="X134" i="1"/>
  <c r="P11" i="5"/>
  <c r="Q97" i="2"/>
  <c r="G10" i="5"/>
  <c r="H92" i="2"/>
  <c r="V9" i="5"/>
  <c r="W87" i="2"/>
  <c r="T6" i="5"/>
  <c r="T5" i="5" s="1"/>
  <c r="U72" i="2"/>
  <c r="O103" i="1"/>
  <c r="I4" i="6"/>
  <c r="J65" i="2"/>
  <c r="X60" i="2"/>
  <c r="W27" i="3"/>
  <c r="V18" i="4" s="1"/>
  <c r="U22" i="3"/>
  <c r="T13" i="4" s="1"/>
  <c r="V44" i="2"/>
  <c r="K55" i="1"/>
  <c r="L28" i="2" s="1"/>
  <c r="P18" i="3"/>
  <c r="O8" i="4" s="1"/>
  <c r="O21" i="4" s="1"/>
  <c r="O30" i="4" s="1"/>
  <c r="Q20" i="2"/>
  <c r="V9" i="2"/>
  <c r="U14" i="3"/>
  <c r="T6" i="4" s="1"/>
  <c r="T21" i="4" s="1"/>
  <c r="T30" i="4" s="1"/>
  <c r="E4" i="3" a="1"/>
  <c r="L146" i="2"/>
  <c r="I35" i="3"/>
  <c r="K35" i="3"/>
  <c r="L35" i="3"/>
  <c r="H35" i="3"/>
  <c r="J35" i="3"/>
  <c r="E35" i="3"/>
  <c r="F35" i="3"/>
  <c r="G35" i="3"/>
  <c r="I17" i="7"/>
  <c r="I4" i="7"/>
  <c r="E40" i="3"/>
  <c r="C27" i="4" s="1"/>
  <c r="J40" i="3"/>
  <c r="I27" i="4" s="1"/>
  <c r="F40" i="3"/>
  <c r="E27" i="4" s="1"/>
  <c r="G40" i="3"/>
  <c r="F27" i="4" s="1"/>
  <c r="H40" i="3"/>
  <c r="G27" i="4" s="1"/>
  <c r="I40" i="3"/>
  <c r="H27" i="4" s="1"/>
  <c r="K40" i="3"/>
  <c r="J27" i="4" s="1"/>
  <c r="L40" i="3"/>
  <c r="K27" i="4" s="1"/>
  <c r="M11" i="6"/>
  <c r="N150" i="2"/>
  <c r="L8" i="6"/>
  <c r="L13" i="6" s="1"/>
  <c r="M147" i="2"/>
  <c r="L20" i="6" s="1"/>
  <c r="N175" i="1"/>
  <c r="O143" i="2" s="1"/>
  <c r="Q20" i="5"/>
  <c r="R137" i="2"/>
  <c r="H19" i="5"/>
  <c r="I132" i="2"/>
  <c r="W18" i="5"/>
  <c r="X127" i="2"/>
  <c r="N157" i="1"/>
  <c r="O125" i="2" s="1"/>
  <c r="P148" i="1"/>
  <c r="H13" i="5"/>
  <c r="I107" i="2"/>
  <c r="W12" i="5"/>
  <c r="X102" i="2"/>
  <c r="O11" i="5"/>
  <c r="P97" i="2"/>
  <c r="F10" i="5"/>
  <c r="G92" i="2"/>
  <c r="L8" i="5"/>
  <c r="M82" i="2"/>
  <c r="N110" i="1"/>
  <c r="O78" i="2" s="1"/>
  <c r="N108" i="1"/>
  <c r="O76" i="2" s="1"/>
  <c r="S6" i="5"/>
  <c r="S5" i="5" s="1"/>
  <c r="T72" i="2"/>
  <c r="H4" i="6"/>
  <c r="I65" i="2"/>
  <c r="W60" i="2"/>
  <c r="V27" i="3"/>
  <c r="U18" i="4" s="1"/>
  <c r="N90" i="1"/>
  <c r="O58" i="2" s="1"/>
  <c r="J4" i="5"/>
  <c r="J29" i="5"/>
  <c r="K48" i="2"/>
  <c r="T22" i="3"/>
  <c r="S13" i="4" s="1"/>
  <c r="U44" i="2"/>
  <c r="O18" i="3"/>
  <c r="N8" i="4" s="1"/>
  <c r="P20" i="2"/>
  <c r="K11" i="6"/>
  <c r="L150" i="2"/>
  <c r="P20" i="5"/>
  <c r="Q137" i="2"/>
  <c r="G19" i="5"/>
  <c r="H132" i="2"/>
  <c r="V18" i="5"/>
  <c r="W127" i="2"/>
  <c r="G13" i="5"/>
  <c r="H107" i="2"/>
  <c r="V12" i="5"/>
  <c r="W102" i="2"/>
  <c r="T9" i="5"/>
  <c r="U87" i="2"/>
  <c r="R6" i="5"/>
  <c r="R5" i="5" s="1"/>
  <c r="S72" i="2"/>
  <c r="M6" i="6"/>
  <c r="N67" i="2"/>
  <c r="G4" i="6"/>
  <c r="H65" i="2"/>
  <c r="V60" i="2"/>
  <c r="U27" i="3"/>
  <c r="T18" i="4" s="1"/>
  <c r="I4" i="5"/>
  <c r="I29" i="5"/>
  <c r="J48" i="2"/>
  <c r="T44" i="2"/>
  <c r="S22" i="3"/>
  <c r="R13" i="4" s="1"/>
  <c r="E16" i="3" a="1"/>
  <c r="G14" i="2"/>
  <c r="S14" i="3"/>
  <c r="R6" i="4" s="1"/>
  <c r="R21" i="4" s="1"/>
  <c r="R30" i="4" s="1"/>
  <c r="T9" i="2"/>
  <c r="E7" i="3"/>
  <c r="F7" i="3"/>
  <c r="H7" i="3"/>
  <c r="J7" i="3"/>
  <c r="G7" i="3"/>
  <c r="I7" i="3"/>
  <c r="K7" i="3"/>
  <c r="L7" i="3"/>
  <c r="N164" i="2"/>
  <c r="N148" i="2"/>
  <c r="K6" i="7"/>
  <c r="L163" i="2"/>
  <c r="G17" i="7"/>
  <c r="G4" i="7"/>
  <c r="G10" i="7" s="1"/>
  <c r="X156" i="2"/>
  <c r="W41" i="3"/>
  <c r="V28" i="4" s="1"/>
  <c r="J8" i="6"/>
  <c r="J13" i="6" s="1"/>
  <c r="K147" i="2"/>
  <c r="J20" i="6" s="1"/>
  <c r="F19" i="5"/>
  <c r="G132" i="2"/>
  <c r="U18" i="5"/>
  <c r="V127" i="2"/>
  <c r="L17" i="5"/>
  <c r="M122" i="2"/>
  <c r="F13" i="5"/>
  <c r="G107" i="2"/>
  <c r="L11" i="5"/>
  <c r="M97" i="2"/>
  <c r="S9" i="5"/>
  <c r="T87" i="2"/>
  <c r="J8" i="5"/>
  <c r="K82" i="2"/>
  <c r="Q6" i="5"/>
  <c r="Q5" i="5" s="1"/>
  <c r="R72" i="2"/>
  <c r="Q103" i="1"/>
  <c r="Q29" i="5" s="1"/>
  <c r="L103" i="1"/>
  <c r="K6" i="6"/>
  <c r="L67" i="2"/>
  <c r="F4" i="6"/>
  <c r="G65" i="2"/>
  <c r="U60" i="2"/>
  <c r="T27" i="3"/>
  <c r="S18" i="4" s="1"/>
  <c r="H4" i="5"/>
  <c r="H29" i="5"/>
  <c r="I48" i="2"/>
  <c r="R14" i="3"/>
  <c r="Q6" i="4" s="1"/>
  <c r="S9" i="2"/>
  <c r="O155" i="2"/>
  <c r="L112" i="2"/>
  <c r="G29" i="5"/>
  <c r="G4" i="5"/>
  <c r="E21" i="3" a="1"/>
  <c r="R65" i="2"/>
  <c r="N19" i="2"/>
  <c r="Q65" i="2"/>
  <c r="G44" i="2"/>
  <c r="P19" i="3"/>
  <c r="O11" i="4" s="1"/>
  <c r="U29" i="4"/>
  <c r="T14" i="3"/>
  <c r="S6" i="4" s="1"/>
  <c r="S21" i="4" s="1"/>
  <c r="S30" i="4" s="1"/>
  <c r="Y5" i="7"/>
  <c r="T29" i="4"/>
  <c r="G35" i="2"/>
  <c r="S29" i="4"/>
  <c r="U21" i="3"/>
  <c r="T12" i="4" s="1"/>
  <c r="R29" i="4"/>
  <c r="T21" i="3"/>
  <c r="S12" i="4" s="1"/>
  <c r="N94" i="1"/>
  <c r="O62" i="2" s="1"/>
  <c r="V4" i="5"/>
  <c r="V29" i="5"/>
  <c r="V72" i="2"/>
  <c r="V48" i="2"/>
  <c r="Q29" i="4"/>
  <c r="W10" i="7"/>
  <c r="E19" i="3" a="1"/>
  <c r="X9" i="2"/>
  <c r="R21" i="3"/>
  <c r="Q12" i="4" s="1"/>
  <c r="Q21" i="4" s="1"/>
  <c r="Q30" i="4" s="1"/>
  <c r="S16" i="3"/>
  <c r="R9" i="4" s="1"/>
  <c r="P32" i="3"/>
  <c r="O22" i="4"/>
  <c r="O29" i="4" s="1"/>
  <c r="V21" i="4"/>
  <c r="V30" i="4" s="1"/>
  <c r="U5" i="5"/>
  <c r="E27" i="3" a="1"/>
  <c r="S4" i="5"/>
  <c r="S29" i="5"/>
  <c r="E12" i="3" a="1"/>
  <c r="L4" i="2"/>
  <c r="V87" i="2"/>
  <c r="G60" i="2"/>
  <c r="N29" i="4"/>
  <c r="N52" i="2"/>
  <c r="V22" i="4"/>
  <c r="V29" i="4" s="1"/>
  <c r="P22" i="4"/>
  <c r="P29" i="4" s="1"/>
  <c r="V102" i="2"/>
  <c r="L52" i="2"/>
  <c r="S44" i="2"/>
  <c r="U29" i="5"/>
  <c r="T28" i="2"/>
  <c r="R32" i="3"/>
  <c r="W14" i="2"/>
  <c r="V16" i="3"/>
  <c r="U9" i="4" s="1"/>
  <c r="U21" i="4" s="1"/>
  <c r="U30" i="4" s="1"/>
  <c r="Q30" i="3"/>
  <c r="Q42" i="3" s="1"/>
  <c r="X20" i="2"/>
  <c r="Y7" i="6"/>
  <c r="O32" i="3"/>
  <c r="I10" i="7"/>
  <c r="K10" i="7" s="1"/>
  <c r="J75" i="8"/>
  <c r="J204" i="9"/>
  <c r="J204" i="11"/>
  <c r="F41" i="11"/>
  <c r="H75" i="13"/>
  <c r="O108" i="15"/>
  <c r="P75" i="15"/>
  <c r="P204" i="15" s="1"/>
  <c r="P207" i="8" s="1"/>
  <c r="E204" i="19"/>
  <c r="N204" i="22"/>
  <c r="J206" i="28" s="1"/>
  <c r="O204" i="8"/>
  <c r="I204" i="9"/>
  <c r="P108" i="15"/>
  <c r="E204" i="20"/>
  <c r="J204" i="21"/>
  <c r="K204" i="8"/>
  <c r="H204" i="9"/>
  <c r="F204" i="12"/>
  <c r="H41" i="12"/>
  <c r="F75" i="13"/>
  <c r="L204" i="22"/>
  <c r="J206" i="26" s="1"/>
  <c r="J204" i="8"/>
  <c r="F204" i="9"/>
  <c r="F41" i="9"/>
  <c r="J204" i="16"/>
  <c r="H204" i="21"/>
  <c r="F204" i="8"/>
  <c r="E204" i="9"/>
  <c r="J204" i="12"/>
  <c r="F41" i="12"/>
  <c r="H204" i="16"/>
  <c r="G204" i="21"/>
  <c r="O108" i="22"/>
  <c r="J204" i="23"/>
  <c r="E204" i="8"/>
  <c r="E204" i="11"/>
  <c r="I204" i="12"/>
  <c r="J204" i="17"/>
  <c r="H204" i="23"/>
  <c r="E204" i="16"/>
  <c r="E205" i="21" s="1"/>
  <c r="H204" i="10"/>
  <c r="G204" i="12"/>
  <c r="I204" i="13"/>
  <c r="G204" i="17"/>
  <c r="E204" i="23"/>
  <c r="G204" i="9"/>
  <c r="P186" i="15"/>
  <c r="I204" i="16"/>
  <c r="J204" i="22"/>
  <c r="J206" i="24" s="1"/>
  <c r="K204" i="22"/>
  <c r="J206" i="25" s="1"/>
  <c r="U15" i="5"/>
  <c r="U22" i="5" s="1"/>
  <c r="M204" i="8"/>
  <c r="H186" i="13"/>
  <c r="H204" i="13" s="1"/>
  <c r="L196" i="15"/>
  <c r="L204" i="15" s="1"/>
  <c r="J205" i="19" s="1"/>
  <c r="O186" i="15"/>
  <c r="O204" i="15" s="1"/>
  <c r="I204" i="17"/>
  <c r="F204" i="21"/>
  <c r="I204" i="22"/>
  <c r="J206" i="23" s="1"/>
  <c r="I204" i="23"/>
  <c r="H205" i="22" s="1"/>
  <c r="H204" i="24"/>
  <c r="I204" i="10"/>
  <c r="G204" i="10"/>
  <c r="J204" i="13"/>
  <c r="H204" i="17"/>
  <c r="I204" i="18"/>
  <c r="J204" i="25"/>
  <c r="Y5" i="6"/>
  <c r="F186" i="10"/>
  <c r="H108" i="12"/>
  <c r="H204" i="12" s="1"/>
  <c r="N204" i="15"/>
  <c r="J205" i="21" s="1"/>
  <c r="F204" i="16"/>
  <c r="G204" i="22"/>
  <c r="H204" i="25"/>
  <c r="R15" i="5"/>
  <c r="P41" i="8"/>
  <c r="J204" i="18"/>
  <c r="G204" i="25"/>
  <c r="J204" i="26"/>
  <c r="E204" i="10"/>
  <c r="J204" i="14"/>
  <c r="H204" i="18"/>
  <c r="F204" i="24"/>
  <c r="I204" i="26"/>
  <c r="J108" i="10"/>
  <c r="J204" i="10" s="1"/>
  <c r="E204" i="13"/>
  <c r="I204" i="14"/>
  <c r="J204" i="15"/>
  <c r="J205" i="17" s="1"/>
  <c r="G204" i="18"/>
  <c r="E204" i="24"/>
  <c r="I204" i="25"/>
  <c r="H204" i="26"/>
  <c r="J204" i="27"/>
  <c r="S10" i="7"/>
  <c r="H41" i="10"/>
  <c r="F75" i="11"/>
  <c r="I204" i="15"/>
  <c r="J205" i="16" s="1"/>
  <c r="I204" i="19"/>
  <c r="G204" i="26"/>
  <c r="I204" i="27"/>
  <c r="G204" i="14"/>
  <c r="H204" i="15"/>
  <c r="H207" i="8" s="1"/>
  <c r="H208" i="8" s="1"/>
  <c r="G204" i="19"/>
  <c r="J204" i="20"/>
  <c r="F204" i="26"/>
  <c r="Y4" i="6"/>
  <c r="Y6" i="7"/>
  <c r="P75" i="8"/>
  <c r="J41" i="8"/>
  <c r="F41" i="10"/>
  <c r="F204" i="10" s="1"/>
  <c r="F204" i="19"/>
  <c r="I204" i="20"/>
  <c r="F204" i="25"/>
  <c r="E204" i="26"/>
  <c r="F108" i="13"/>
  <c r="F204" i="13" s="1"/>
  <c r="J204" i="19"/>
  <c r="F204" i="20"/>
  <c r="H204" i="27"/>
  <c r="J204" i="28"/>
  <c r="K204" i="15"/>
  <c r="J205" i="18" s="1"/>
  <c r="E204" i="15"/>
  <c r="G204" i="27"/>
  <c r="I204" i="28"/>
  <c r="I204" i="11"/>
  <c r="F75" i="12"/>
  <c r="H108" i="14"/>
  <c r="H204" i="14" s="1"/>
  <c r="G204" i="15"/>
  <c r="G207" i="8" s="1"/>
  <c r="G208" i="8" s="1"/>
  <c r="H204" i="19"/>
  <c r="O196" i="22"/>
  <c r="E204" i="22"/>
  <c r="F204" i="27"/>
  <c r="H204" i="28"/>
  <c r="F204" i="15"/>
  <c r="F207" i="8" s="1"/>
  <c r="F208" i="8" s="1"/>
  <c r="H204" i="20"/>
  <c r="O186" i="22"/>
  <c r="O204" i="22" s="1"/>
  <c r="E204" i="27"/>
  <c r="G204" i="28"/>
  <c r="J41" i="9"/>
  <c r="F204" i="11"/>
  <c r="H186" i="11"/>
  <c r="H204" i="11" s="1"/>
  <c r="O75" i="15"/>
  <c r="G204" i="20"/>
  <c r="I204" i="21"/>
  <c r="O75" i="22"/>
  <c r="F204" i="28"/>
  <c r="P186" i="22"/>
  <c r="R186" i="22" s="1"/>
  <c r="R97" i="22"/>
  <c r="E186" i="17"/>
  <c r="E204" i="17" s="1"/>
  <c r="R197" i="22"/>
  <c r="R203" i="22" s="1"/>
  <c r="P41" i="22"/>
  <c r="R41" i="22" s="1"/>
  <c r="P8" i="15"/>
  <c r="P41" i="15" s="1"/>
  <c r="T4" i="15" s="1"/>
  <c r="E186" i="16"/>
  <c r="R191" i="22"/>
  <c r="O207" i="8" l="1"/>
  <c r="O208" i="8" s="1"/>
  <c r="L239" i="1"/>
  <c r="M13" i="5"/>
  <c r="N107" i="2"/>
  <c r="M11" i="3"/>
  <c r="N26" i="1"/>
  <c r="N11" i="3" s="1"/>
  <c r="E20" i="3"/>
  <c r="F20" i="3"/>
  <c r="G20" i="3"/>
  <c r="H20" i="3"/>
  <c r="I20" i="3"/>
  <c r="J20" i="3"/>
  <c r="L20" i="3"/>
  <c r="K20" i="3"/>
  <c r="N161" i="2"/>
  <c r="K11" i="5"/>
  <c r="E11" i="3"/>
  <c r="F11" i="3"/>
  <c r="G11" i="3"/>
  <c r="I11" i="3"/>
  <c r="K11" i="3"/>
  <c r="L11" i="3"/>
  <c r="H11" i="3"/>
  <c r="J11" i="3"/>
  <c r="O145" i="2"/>
  <c r="N31" i="3"/>
  <c r="T20" i="6"/>
  <c r="P20" i="6"/>
  <c r="P23" i="6" s="1"/>
  <c r="M21" i="3"/>
  <c r="L12" i="4" s="1"/>
  <c r="N35" i="2"/>
  <c r="R22" i="5"/>
  <c r="R32" i="5" s="1"/>
  <c r="P30" i="3"/>
  <c r="P42" i="3" s="1"/>
  <c r="G5" i="5"/>
  <c r="G22" i="5" s="1"/>
  <c r="G32" i="5" s="1"/>
  <c r="M27" i="3"/>
  <c r="L18" i="4" s="1"/>
  <c r="N60" i="2"/>
  <c r="E25" i="3"/>
  <c r="C16" i="4" s="1"/>
  <c r="F25" i="3"/>
  <c r="E16" i="4" s="1"/>
  <c r="H25" i="3"/>
  <c r="G16" i="4" s="1"/>
  <c r="G25" i="3"/>
  <c r="F16" i="4" s="1"/>
  <c r="I25" i="3"/>
  <c r="H16" i="4" s="1"/>
  <c r="J25" i="3"/>
  <c r="I16" i="4" s="1"/>
  <c r="K25" i="3"/>
  <c r="J16" i="4" s="1"/>
  <c r="L25" i="3"/>
  <c r="K16" i="4" s="1"/>
  <c r="L22" i="4"/>
  <c r="M32" i="3"/>
  <c r="T13" i="6"/>
  <c r="H20" i="6"/>
  <c r="R30" i="3"/>
  <c r="R42" i="3" s="1"/>
  <c r="K16" i="5"/>
  <c r="I15" i="5"/>
  <c r="E38" i="3"/>
  <c r="C25" i="4" s="1"/>
  <c r="G38" i="3"/>
  <c r="F25" i="4" s="1"/>
  <c r="H38" i="3"/>
  <c r="G25" i="4" s="1"/>
  <c r="L38" i="3"/>
  <c r="K25" i="4" s="1"/>
  <c r="F38" i="3"/>
  <c r="E25" i="4" s="1"/>
  <c r="I38" i="3"/>
  <c r="H25" i="4" s="1"/>
  <c r="J38" i="3"/>
  <c r="I25" i="4" s="1"/>
  <c r="K38" i="3"/>
  <c r="J25" i="4" s="1"/>
  <c r="F12" i="3"/>
  <c r="E4" i="4" s="1"/>
  <c r="I12" i="3"/>
  <c r="H4" i="4" s="1"/>
  <c r="J12" i="3"/>
  <c r="I4" i="4" s="1"/>
  <c r="K12" i="3"/>
  <c r="J4" i="4" s="1"/>
  <c r="E12" i="3"/>
  <c r="C4" i="4" s="1"/>
  <c r="G12" i="3"/>
  <c r="F4" i="4" s="1"/>
  <c r="H12" i="3"/>
  <c r="G4" i="4" s="1"/>
  <c r="L12" i="3"/>
  <c r="K4" i="4" s="1"/>
  <c r="E26" i="3"/>
  <c r="C17" i="4" s="1"/>
  <c r="G26" i="3"/>
  <c r="F17" i="4" s="1"/>
  <c r="H26" i="3"/>
  <c r="G17" i="4" s="1"/>
  <c r="I26" i="3"/>
  <c r="H17" i="4" s="1"/>
  <c r="J26" i="3"/>
  <c r="I17" i="4" s="1"/>
  <c r="L26" i="3"/>
  <c r="K17" i="4" s="1"/>
  <c r="F26" i="3"/>
  <c r="E17" i="4" s="1"/>
  <c r="K26" i="3"/>
  <c r="J17" i="4" s="1"/>
  <c r="O157" i="2"/>
  <c r="N188" i="1"/>
  <c r="Q22" i="5"/>
  <c r="Q32" i="5" s="1"/>
  <c r="E34" i="3"/>
  <c r="G34" i="3"/>
  <c r="H34" i="3"/>
  <c r="J34" i="3"/>
  <c r="F34" i="3"/>
  <c r="I34" i="3"/>
  <c r="K34" i="3"/>
  <c r="L34" i="3"/>
  <c r="M22" i="3"/>
  <c r="L13" i="4" s="1"/>
  <c r="N44" i="2"/>
  <c r="N75" i="1"/>
  <c r="M6" i="5"/>
  <c r="N72" i="2"/>
  <c r="M103" i="1"/>
  <c r="K8" i="6"/>
  <c r="L147" i="2"/>
  <c r="M9" i="5"/>
  <c r="N87" i="2"/>
  <c r="N119" i="1"/>
  <c r="K147" i="1"/>
  <c r="L167" i="2" s="1"/>
  <c r="I209" i="1"/>
  <c r="K17" i="7"/>
  <c r="I20" i="7"/>
  <c r="P204" i="8"/>
  <c r="P206" i="15" s="1"/>
  <c r="P207" i="15" s="1"/>
  <c r="E16" i="3"/>
  <c r="C9" i="4" s="1"/>
  <c r="G16" i="3"/>
  <c r="F9" i="4" s="1"/>
  <c r="H16" i="3"/>
  <c r="G9" i="4" s="1"/>
  <c r="J16" i="3"/>
  <c r="I9" i="4" s="1"/>
  <c r="F16" i="3"/>
  <c r="E9" i="4" s="1"/>
  <c r="I16" i="3"/>
  <c r="H9" i="4" s="1"/>
  <c r="K16" i="3"/>
  <c r="J9" i="4" s="1"/>
  <c r="L16" i="3"/>
  <c r="K9" i="4" s="1"/>
  <c r="J5" i="5"/>
  <c r="V30" i="3"/>
  <c r="V42" i="3" s="1"/>
  <c r="H13" i="6"/>
  <c r="S22" i="5"/>
  <c r="S32" i="5" s="1"/>
  <c r="W20" i="7"/>
  <c r="K17" i="5"/>
  <c r="P5" i="5"/>
  <c r="J115" i="2"/>
  <c r="J167" i="2"/>
  <c r="I27" i="3"/>
  <c r="H18" i="4" s="1"/>
  <c r="K27" i="3"/>
  <c r="J18" i="4" s="1"/>
  <c r="L27" i="3"/>
  <c r="K18" i="4" s="1"/>
  <c r="F27" i="3"/>
  <c r="E18" i="4" s="1"/>
  <c r="E27" i="3"/>
  <c r="C18" i="4" s="1"/>
  <c r="G27" i="3"/>
  <c r="F18" i="4" s="1"/>
  <c r="H27" i="3"/>
  <c r="G18" i="4" s="1"/>
  <c r="J27" i="3"/>
  <c r="I18" i="4" s="1"/>
  <c r="P71" i="2"/>
  <c r="P115" i="2" s="1"/>
  <c r="O147" i="1"/>
  <c r="I5" i="5"/>
  <c r="K6" i="5"/>
  <c r="N19" i="5"/>
  <c r="O132" i="2"/>
  <c r="N64" i="3"/>
  <c r="M232" i="1"/>
  <c r="M64" i="3" s="1"/>
  <c r="J23" i="6"/>
  <c r="J20" i="7"/>
  <c r="V5" i="5"/>
  <c r="V22" i="5" s="1"/>
  <c r="V32" i="5" s="1"/>
  <c r="W116" i="2"/>
  <c r="W167" i="2" s="1"/>
  <c r="V200" i="1"/>
  <c r="W71" i="2"/>
  <c r="W115" i="2" s="1"/>
  <c r="W168" i="2" s="1"/>
  <c r="U33" i="4" s="1"/>
  <c r="U34" i="4" s="1"/>
  <c r="V147" i="1"/>
  <c r="V209" i="1" s="1"/>
  <c r="F15" i="5"/>
  <c r="R20" i="6"/>
  <c r="R23" i="6" s="1"/>
  <c r="M18" i="3"/>
  <c r="L8" i="4" s="1"/>
  <c r="N47" i="1"/>
  <c r="N20" i="2"/>
  <c r="V116" i="2"/>
  <c r="V167" i="2" s="1"/>
  <c r="U200" i="1"/>
  <c r="N26" i="3"/>
  <c r="M17" i="4" s="1"/>
  <c r="O59" i="2"/>
  <c r="M61" i="3"/>
  <c r="M233" i="1"/>
  <c r="M65" i="3" s="1"/>
  <c r="I71" i="2"/>
  <c r="I115" i="2" s="1"/>
  <c r="I168" i="2" s="1"/>
  <c r="G33" i="4" s="1"/>
  <c r="H147" i="1"/>
  <c r="K71" i="2"/>
  <c r="K115" i="2" s="1"/>
  <c r="J147" i="1"/>
  <c r="I41" i="3"/>
  <c r="H28" i="4" s="1"/>
  <c r="E41" i="3"/>
  <c r="C28" i="4" s="1"/>
  <c r="F41" i="3"/>
  <c r="E28" i="4" s="1"/>
  <c r="G41" i="3"/>
  <c r="F28" i="4" s="1"/>
  <c r="H41" i="3"/>
  <c r="G28" i="4" s="1"/>
  <c r="J41" i="3"/>
  <c r="I28" i="4" s="1"/>
  <c r="K41" i="3"/>
  <c r="J28" i="4" s="1"/>
  <c r="L41" i="3"/>
  <c r="K28" i="4" s="1"/>
  <c r="I22" i="5"/>
  <c r="K4" i="5"/>
  <c r="M16" i="3"/>
  <c r="L9" i="4" s="1"/>
  <c r="N14" i="2"/>
  <c r="T15" i="5"/>
  <c r="T22" i="5" s="1"/>
  <c r="T32" i="5" s="1"/>
  <c r="O4" i="2"/>
  <c r="N12" i="3"/>
  <c r="M4" i="4" s="1"/>
  <c r="T71" i="2"/>
  <c r="T115" i="2" s="1"/>
  <c r="T168" i="2" s="1"/>
  <c r="R33" i="4" s="1"/>
  <c r="R34" i="4" s="1"/>
  <c r="S147" i="1"/>
  <c r="V20" i="6"/>
  <c r="M10" i="5"/>
  <c r="N92" i="2"/>
  <c r="N124" i="1"/>
  <c r="Q116" i="2"/>
  <c r="Q167" i="2" s="1"/>
  <c r="P200" i="1"/>
  <c r="S116" i="2"/>
  <c r="S167" i="2" s="1"/>
  <c r="R200" i="1"/>
  <c r="E22" i="3"/>
  <c r="C13" i="4" s="1"/>
  <c r="G22" i="3"/>
  <c r="F13" i="4" s="1"/>
  <c r="H22" i="3"/>
  <c r="G13" i="4" s="1"/>
  <c r="J22" i="3"/>
  <c r="I13" i="4" s="1"/>
  <c r="F22" i="3"/>
  <c r="E13" i="4" s="1"/>
  <c r="I22" i="3"/>
  <c r="H13" i="4" s="1"/>
  <c r="K22" i="3"/>
  <c r="J13" i="4" s="1"/>
  <c r="L22" i="3"/>
  <c r="K13" i="4" s="1"/>
  <c r="U30" i="3"/>
  <c r="U42" i="3" s="1"/>
  <c r="J24" i="3"/>
  <c r="I15" i="4" s="1"/>
  <c r="K24" i="3"/>
  <c r="J15" i="4" s="1"/>
  <c r="L24" i="3"/>
  <c r="K15" i="4" s="1"/>
  <c r="E24" i="3"/>
  <c r="C15" i="4" s="1"/>
  <c r="F24" i="3"/>
  <c r="E15" i="4" s="1"/>
  <c r="G24" i="3"/>
  <c r="F15" i="4" s="1"/>
  <c r="H24" i="3"/>
  <c r="G15" i="4" s="1"/>
  <c r="I24" i="3"/>
  <c r="H15" i="4" s="1"/>
  <c r="W15" i="5"/>
  <c r="V13" i="6"/>
  <c r="N39" i="3"/>
  <c r="M26" i="4" s="1"/>
  <c r="O154" i="2"/>
  <c r="O54" i="2"/>
  <c r="N25" i="3"/>
  <c r="M16" i="4" s="1"/>
  <c r="R204" i="22"/>
  <c r="H15" i="5"/>
  <c r="M7" i="5"/>
  <c r="N77" i="2"/>
  <c r="N109" i="1"/>
  <c r="R209" i="1"/>
  <c r="H5" i="5"/>
  <c r="H22" i="5" s="1"/>
  <c r="H32" i="5" s="1"/>
  <c r="L5" i="5"/>
  <c r="M4" i="7"/>
  <c r="M10" i="7" s="1"/>
  <c r="M17" i="7"/>
  <c r="X147" i="1"/>
  <c r="G209" i="1"/>
  <c r="M116" i="2"/>
  <c r="M167" i="2" s="1"/>
  <c r="L200" i="1"/>
  <c r="N20" i="5"/>
  <c r="O137" i="2"/>
  <c r="S115" i="2"/>
  <c r="S168" i="2" s="1"/>
  <c r="Q33" i="4" s="1"/>
  <c r="Q34" i="4" s="1"/>
  <c r="O7" i="6"/>
  <c r="O68" i="2"/>
  <c r="G20" i="7"/>
  <c r="M71" i="2"/>
  <c r="M115" i="2" s="1"/>
  <c r="L147" i="1"/>
  <c r="P22" i="5"/>
  <c r="W20" i="6"/>
  <c r="W23" i="6" s="1"/>
  <c r="E13" i="3" a="1"/>
  <c r="E5" i="3"/>
  <c r="F5" i="3"/>
  <c r="G5" i="3"/>
  <c r="I5" i="3"/>
  <c r="K5" i="3"/>
  <c r="L5" i="3"/>
  <c r="H5" i="3"/>
  <c r="J5" i="3"/>
  <c r="G20" i="6"/>
  <c r="O5" i="5"/>
  <c r="H115" i="2"/>
  <c r="M41" i="3"/>
  <c r="L28" i="4" s="1"/>
  <c r="N156" i="2"/>
  <c r="J15" i="5"/>
  <c r="M6" i="3"/>
  <c r="M30" i="3" s="1"/>
  <c r="M42" i="3" s="1"/>
  <c r="N17" i="1"/>
  <c r="N6" i="3" s="1"/>
  <c r="G13" i="6"/>
  <c r="I20" i="6"/>
  <c r="I116" i="2"/>
  <c r="I167" i="2" s="1"/>
  <c r="H200" i="1"/>
  <c r="K200" i="1" s="1"/>
  <c r="T20" i="7"/>
  <c r="U32" i="5"/>
  <c r="O22" i="5"/>
  <c r="O32" i="5" s="1"/>
  <c r="O61" i="2"/>
  <c r="N92" i="1"/>
  <c r="S20" i="6"/>
  <c r="S23" i="6" s="1"/>
  <c r="E14" i="3"/>
  <c r="C6" i="4" s="1"/>
  <c r="F14" i="3"/>
  <c r="E6" i="4" s="1"/>
  <c r="G14" i="3"/>
  <c r="F6" i="4" s="1"/>
  <c r="H14" i="3"/>
  <c r="G6" i="4" s="1"/>
  <c r="I14" i="3"/>
  <c r="H6" i="4" s="1"/>
  <c r="J14" i="3"/>
  <c r="I6" i="4" s="1"/>
  <c r="L14" i="3"/>
  <c r="K6" i="4" s="1"/>
  <c r="K14" i="3"/>
  <c r="J6" i="4" s="1"/>
  <c r="N36" i="1"/>
  <c r="N9" i="2"/>
  <c r="M14" i="3"/>
  <c r="L6" i="4" s="1"/>
  <c r="N104" i="1"/>
  <c r="I13" i="6"/>
  <c r="K13" i="6" s="1"/>
  <c r="H37" i="3"/>
  <c r="G24" i="4" s="1"/>
  <c r="E37" i="3"/>
  <c r="C24" i="4" s="1"/>
  <c r="F37" i="3"/>
  <c r="E24" i="4" s="1"/>
  <c r="G37" i="3"/>
  <c r="F24" i="4" s="1"/>
  <c r="I37" i="3"/>
  <c r="H24" i="4" s="1"/>
  <c r="J37" i="3"/>
  <c r="I24" i="4" s="1"/>
  <c r="K37" i="3"/>
  <c r="J24" i="4" s="1"/>
  <c r="L37" i="3"/>
  <c r="K24" i="4" s="1"/>
  <c r="K20" i="5"/>
  <c r="G116" i="2"/>
  <c r="G167" i="2" s="1"/>
  <c r="F200" i="1"/>
  <c r="N139" i="1"/>
  <c r="M17" i="5"/>
  <c r="N122" i="2"/>
  <c r="N154" i="1"/>
  <c r="X71" i="2"/>
  <c r="X115" i="2" s="1"/>
  <c r="W147" i="1"/>
  <c r="W209" i="1" s="1"/>
  <c r="U71" i="2"/>
  <c r="U115" i="2" s="1"/>
  <c r="T147" i="1"/>
  <c r="T209" i="1" s="1"/>
  <c r="X20" i="6"/>
  <c r="E207" i="8"/>
  <c r="E208" i="8" s="1"/>
  <c r="G239" i="1" a="1"/>
  <c r="G239" i="1" s="1"/>
  <c r="E206" i="15" a="1"/>
  <c r="G238" i="1" a="1"/>
  <c r="G238" i="1" s="1"/>
  <c r="K13" i="5"/>
  <c r="O12" i="6"/>
  <c r="O151" i="2"/>
  <c r="S30" i="3"/>
  <c r="S42" i="3" s="1"/>
  <c r="I15" i="3"/>
  <c r="H7" i="4" s="1"/>
  <c r="J15" i="3"/>
  <c r="I7" i="4" s="1"/>
  <c r="K15" i="3"/>
  <c r="J7" i="4" s="1"/>
  <c r="L15" i="3"/>
  <c r="K7" i="4" s="1"/>
  <c r="F15" i="3"/>
  <c r="E7" i="4" s="1"/>
  <c r="E15" i="3"/>
  <c r="C7" i="4" s="1"/>
  <c r="G15" i="3"/>
  <c r="F7" i="4" s="1"/>
  <c r="H15" i="3"/>
  <c r="G7" i="4" s="1"/>
  <c r="I39" i="3"/>
  <c r="H26" i="4" s="1"/>
  <c r="K39" i="3"/>
  <c r="J26" i="4" s="1"/>
  <c r="L39" i="3"/>
  <c r="K26" i="4" s="1"/>
  <c r="F39" i="3"/>
  <c r="E26" i="4" s="1"/>
  <c r="E39" i="3"/>
  <c r="C26" i="4" s="1"/>
  <c r="G39" i="3"/>
  <c r="F26" i="4" s="1"/>
  <c r="H39" i="3"/>
  <c r="G26" i="4" s="1"/>
  <c r="J39" i="3"/>
  <c r="I26" i="4" s="1"/>
  <c r="O15" i="2"/>
  <c r="N41" i="1"/>
  <c r="F20" i="7"/>
  <c r="Q20" i="6"/>
  <c r="Q23" i="6" s="1"/>
  <c r="R20" i="7"/>
  <c r="X13" i="6"/>
  <c r="M12" i="5"/>
  <c r="N102" i="2"/>
  <c r="N134" i="1"/>
  <c r="W5" i="5"/>
  <c r="W22" i="5" s="1"/>
  <c r="W32" i="5" s="1"/>
  <c r="I32" i="5"/>
  <c r="O206" i="15"/>
  <c r="O207" i="15" s="1"/>
  <c r="L238" i="1"/>
  <c r="E4" i="3"/>
  <c r="G4" i="3"/>
  <c r="H4" i="3"/>
  <c r="J4" i="3"/>
  <c r="I4" i="3"/>
  <c r="K4" i="3"/>
  <c r="L4" i="3"/>
  <c r="F4" i="3"/>
  <c r="R116" i="2"/>
  <c r="R167" i="2" s="1"/>
  <c r="Q200" i="1"/>
  <c r="T116" i="2"/>
  <c r="T167" i="2" s="1"/>
  <c r="S200" i="1"/>
  <c r="S20" i="7"/>
  <c r="M13" i="3"/>
  <c r="L5" i="4" s="1"/>
  <c r="L21" i="4" s="1"/>
  <c r="N5" i="2"/>
  <c r="N32" i="1"/>
  <c r="M16" i="5"/>
  <c r="N117" i="2"/>
  <c r="N149" i="1"/>
  <c r="M148" i="1"/>
  <c r="K116" i="2"/>
  <c r="K167" i="2" s="1"/>
  <c r="J200" i="1"/>
  <c r="E19" i="3"/>
  <c r="C11" i="4" s="1"/>
  <c r="F19" i="3"/>
  <c r="E11" i="4" s="1"/>
  <c r="H19" i="3"/>
  <c r="G11" i="4" s="1"/>
  <c r="G19" i="3"/>
  <c r="F11" i="4" s="1"/>
  <c r="I19" i="3"/>
  <c r="H11" i="4" s="1"/>
  <c r="J19" i="3"/>
  <c r="I11" i="4" s="1"/>
  <c r="K19" i="3"/>
  <c r="J11" i="4" s="1"/>
  <c r="L19" i="3"/>
  <c r="K11" i="4" s="1"/>
  <c r="R71" i="2"/>
  <c r="R115" i="2" s="1"/>
  <c r="Q147" i="1"/>
  <c r="Q209" i="1" s="1"/>
  <c r="J22" i="5"/>
  <c r="J32" i="5" s="1"/>
  <c r="P32" i="5"/>
  <c r="P204" i="22"/>
  <c r="W30" i="3"/>
  <c r="W42" i="3" s="1"/>
  <c r="L23" i="6"/>
  <c r="E8" i="3"/>
  <c r="F8" i="3"/>
  <c r="G8" i="3"/>
  <c r="H8" i="3"/>
  <c r="I8" i="3"/>
  <c r="J8" i="3"/>
  <c r="L8" i="3"/>
  <c r="K8" i="3"/>
  <c r="E28" i="3"/>
  <c r="C19" i="4" s="1"/>
  <c r="G28" i="3"/>
  <c r="F19" i="4" s="1"/>
  <c r="H28" i="3"/>
  <c r="G19" i="4" s="1"/>
  <c r="J28" i="3"/>
  <c r="I19" i="4" s="1"/>
  <c r="F28" i="3"/>
  <c r="E19" i="4" s="1"/>
  <c r="I28" i="3"/>
  <c r="H19" i="4" s="1"/>
  <c r="K28" i="3"/>
  <c r="J19" i="4" s="1"/>
  <c r="L28" i="3"/>
  <c r="K19" i="4" s="1"/>
  <c r="M11" i="5"/>
  <c r="N97" i="2"/>
  <c r="N129" i="1"/>
  <c r="I18" i="3"/>
  <c r="H8" i="4" s="1"/>
  <c r="J18" i="3"/>
  <c r="I8" i="4" s="1"/>
  <c r="K18" i="3"/>
  <c r="J8" i="4" s="1"/>
  <c r="E18" i="3"/>
  <c r="C8" i="4" s="1"/>
  <c r="F18" i="3"/>
  <c r="E8" i="4" s="1"/>
  <c r="G18" i="3"/>
  <c r="F8" i="4" s="1"/>
  <c r="H18" i="3"/>
  <c r="G8" i="4" s="1"/>
  <c r="L18" i="3"/>
  <c r="K8" i="4" s="1"/>
  <c r="M8" i="5"/>
  <c r="N82" i="2"/>
  <c r="N114" i="1"/>
  <c r="H116" i="2"/>
  <c r="H167" i="2" s="1"/>
  <c r="X148" i="1"/>
  <c r="G200" i="1"/>
  <c r="X200" i="1" s="1"/>
  <c r="M8" i="6"/>
  <c r="M13" i="6" s="1"/>
  <c r="N147" i="2"/>
  <c r="M20" i="6" s="1"/>
  <c r="N179" i="1"/>
  <c r="X167" i="2"/>
  <c r="V71" i="2"/>
  <c r="V115" i="2" s="1"/>
  <c r="V168" i="2" s="1"/>
  <c r="T33" i="4" s="1"/>
  <c r="T34" i="4" s="1"/>
  <c r="U147" i="1"/>
  <c r="U209" i="1" s="1"/>
  <c r="I29" i="3"/>
  <c r="H20" i="4" s="1"/>
  <c r="K29" i="3"/>
  <c r="J20" i="4" s="1"/>
  <c r="L29" i="3"/>
  <c r="K20" i="4" s="1"/>
  <c r="F29" i="3"/>
  <c r="E20" i="4" s="1"/>
  <c r="G29" i="3"/>
  <c r="F20" i="4" s="1"/>
  <c r="H29" i="3"/>
  <c r="G20" i="4" s="1"/>
  <c r="J29" i="3"/>
  <c r="I20" i="4" s="1"/>
  <c r="E29" i="3"/>
  <c r="C20" i="4" s="1"/>
  <c r="V20" i="7"/>
  <c r="O4" i="6"/>
  <c r="O65" i="2"/>
  <c r="P116" i="2"/>
  <c r="P167" i="2" s="1"/>
  <c r="O200" i="1"/>
  <c r="Q71" i="2"/>
  <c r="Q115" i="2" s="1"/>
  <c r="Q168" i="2" s="1"/>
  <c r="P147" i="1"/>
  <c r="P209" i="1" s="1"/>
  <c r="N21" i="3"/>
  <c r="M12" i="4" s="1"/>
  <c r="O35" i="2"/>
  <c r="F20" i="6"/>
  <c r="P20" i="7"/>
  <c r="G15" i="5"/>
  <c r="N17" i="7"/>
  <c r="N20" i="7" s="1"/>
  <c r="O4" i="7"/>
  <c r="O10" i="7" s="1"/>
  <c r="O20" i="7" s="1"/>
  <c r="L15" i="5"/>
  <c r="L22" i="5" s="1"/>
  <c r="L32" i="5" s="1"/>
  <c r="N21" i="5"/>
  <c r="O142" i="2"/>
  <c r="E31" i="3"/>
  <c r="C22" i="4" s="1"/>
  <c r="F31" i="3"/>
  <c r="J31" i="3"/>
  <c r="G31" i="3"/>
  <c r="H31" i="3"/>
  <c r="I31" i="3"/>
  <c r="K31" i="3"/>
  <c r="J22" i="4" s="1"/>
  <c r="L31" i="3"/>
  <c r="O29" i="2"/>
  <c r="N55" i="1"/>
  <c r="F13" i="6"/>
  <c r="M18" i="5"/>
  <c r="N127" i="2"/>
  <c r="N159" i="1"/>
  <c r="F209" i="1"/>
  <c r="U167" i="2"/>
  <c r="I21" i="3"/>
  <c r="H12" i="4" s="1"/>
  <c r="J21" i="3"/>
  <c r="I12" i="4" s="1"/>
  <c r="K21" i="3"/>
  <c r="J12" i="4" s="1"/>
  <c r="L21" i="3"/>
  <c r="K12" i="4" s="1"/>
  <c r="F21" i="3"/>
  <c r="E12" i="4" s="1"/>
  <c r="E21" i="3"/>
  <c r="C12" i="4" s="1"/>
  <c r="G21" i="3"/>
  <c r="F12" i="4" s="1"/>
  <c r="H21" i="3"/>
  <c r="G12" i="4" s="1"/>
  <c r="K19" i="5"/>
  <c r="M19" i="3"/>
  <c r="L11" i="4" s="1"/>
  <c r="N28" i="2"/>
  <c r="U23" i="6"/>
  <c r="F5" i="5"/>
  <c r="F22" i="5" s="1"/>
  <c r="F32" i="5" s="1"/>
  <c r="E17" i="3"/>
  <c r="C10" i="4" s="1"/>
  <c r="F17" i="3"/>
  <c r="E10" i="4" s="1"/>
  <c r="G17" i="3"/>
  <c r="F10" i="4" s="1"/>
  <c r="I17" i="3"/>
  <c r="H10" i="4" s="1"/>
  <c r="K17" i="3"/>
  <c r="J10" i="4" s="1"/>
  <c r="L17" i="3"/>
  <c r="K10" i="4" s="1"/>
  <c r="H17" i="3"/>
  <c r="G10" i="4" s="1"/>
  <c r="J17" i="3"/>
  <c r="I10" i="4" s="1"/>
  <c r="T30" i="3"/>
  <c r="T42" i="3" s="1"/>
  <c r="G115" i="2"/>
  <c r="G168" i="2" s="1"/>
  <c r="M34" i="3"/>
  <c r="N202" i="1"/>
  <c r="N34" i="3" s="1"/>
  <c r="N19" i="3" l="1"/>
  <c r="M11" i="4" s="1"/>
  <c r="O28" i="2"/>
  <c r="O33" i="4"/>
  <c r="O34" i="4" s="1"/>
  <c r="O8" i="6"/>
  <c r="O13" i="6" s="1"/>
  <c r="O147" i="2"/>
  <c r="O20" i="6" s="1"/>
  <c r="O23" i="6" s="1"/>
  <c r="R69" i="3"/>
  <c r="R70" i="3" s="1"/>
  <c r="S172" i="2"/>
  <c r="S174" i="2" s="1"/>
  <c r="V23" i="6"/>
  <c r="K168" i="2"/>
  <c r="I33" i="4" s="1"/>
  <c r="M23" i="6"/>
  <c r="I23" i="6"/>
  <c r="N7" i="5"/>
  <c r="O77" i="2"/>
  <c r="S209" i="1"/>
  <c r="H209" i="1"/>
  <c r="L115" i="2"/>
  <c r="J168" i="2"/>
  <c r="L32" i="3"/>
  <c r="K22" i="4"/>
  <c r="K29" i="4" s="1"/>
  <c r="X23" i="6"/>
  <c r="N6" i="5"/>
  <c r="O72" i="2"/>
  <c r="N103" i="1"/>
  <c r="T4" i="8"/>
  <c r="L209" i="1"/>
  <c r="I32" i="3"/>
  <c r="K32" i="3" s="1"/>
  <c r="H22" i="4"/>
  <c r="H29" i="4" s="1"/>
  <c r="J29" i="4" s="1"/>
  <c r="T69" i="3"/>
  <c r="T70" i="3" s="1"/>
  <c r="U172" i="2"/>
  <c r="U174" i="2" s="1"/>
  <c r="G22" i="4"/>
  <c r="G29" i="4" s="1"/>
  <c r="H32" i="3"/>
  <c r="U168" i="2"/>
  <c r="S33" i="4" s="1"/>
  <c r="S34" i="4" s="1"/>
  <c r="M168" i="2"/>
  <c r="K33" i="4" s="1"/>
  <c r="N14" i="3"/>
  <c r="M6" i="4" s="1"/>
  <c r="M21" i="4" s="1"/>
  <c r="M30" i="4" s="1"/>
  <c r="O9" i="2"/>
  <c r="F22" i="4"/>
  <c r="F29" i="4" s="1"/>
  <c r="G32" i="3"/>
  <c r="I22" i="4"/>
  <c r="I29" i="4" s="1"/>
  <c r="J32" i="3"/>
  <c r="N8" i="5"/>
  <c r="O82" i="2"/>
  <c r="E22" i="4"/>
  <c r="E29" i="4" s="1"/>
  <c r="F32" i="3"/>
  <c r="W69" i="3"/>
  <c r="W70" i="3" s="1"/>
  <c r="X172" i="2"/>
  <c r="N41" i="3"/>
  <c r="M28" i="4" s="1"/>
  <c r="O156" i="2"/>
  <c r="X168" i="2"/>
  <c r="V33" i="4" s="1"/>
  <c r="V34" i="4" s="1"/>
  <c r="I69" i="3"/>
  <c r="J172" i="2"/>
  <c r="K209" i="1"/>
  <c r="N17" i="5"/>
  <c r="O122" i="2"/>
  <c r="K22" i="5"/>
  <c r="K15" i="5"/>
  <c r="N116" i="2"/>
  <c r="N167" i="2" s="1"/>
  <c r="M200" i="1"/>
  <c r="K5" i="5"/>
  <c r="N16" i="5"/>
  <c r="O117" i="2"/>
  <c r="N148" i="1"/>
  <c r="H168" i="2"/>
  <c r="F33" i="4" s="1"/>
  <c r="N9" i="5"/>
  <c r="O87" i="2"/>
  <c r="N13" i="5"/>
  <c r="O107" i="2"/>
  <c r="O209" i="1"/>
  <c r="M15" i="5"/>
  <c r="G23" i="6"/>
  <c r="P168" i="2"/>
  <c r="Q3" i="8"/>
  <c r="N13" i="3"/>
  <c r="M5" i="4" s="1"/>
  <c r="O5" i="2"/>
  <c r="N12" i="5"/>
  <c r="O102" i="2"/>
  <c r="G69" i="3"/>
  <c r="H172" i="2"/>
  <c r="N18" i="3"/>
  <c r="M8" i="4" s="1"/>
  <c r="O20" i="2"/>
  <c r="N27" i="3"/>
  <c r="M18" i="4" s="1"/>
  <c r="O60" i="2"/>
  <c r="U69" i="3"/>
  <c r="U70" i="3" s="1"/>
  <c r="V172" i="2"/>
  <c r="V174" i="2" s="1"/>
  <c r="M20" i="7"/>
  <c r="N71" i="2"/>
  <c r="N115" i="2" s="1"/>
  <c r="N168" i="2" s="1"/>
  <c r="M147" i="1"/>
  <c r="M209" i="1" s="1"/>
  <c r="M29" i="5"/>
  <c r="N11" i="5"/>
  <c r="O97" i="2"/>
  <c r="Q69" i="3"/>
  <c r="Q70" i="3" s="1"/>
  <c r="R172" i="2"/>
  <c r="F69" i="3"/>
  <c r="G172" i="2"/>
  <c r="G174" i="2" s="1"/>
  <c r="R168" i="2"/>
  <c r="V69" i="3"/>
  <c r="V70" i="3" s="1"/>
  <c r="W172" i="2"/>
  <c r="W174" i="2" s="1"/>
  <c r="M5" i="5"/>
  <c r="H23" i="6"/>
  <c r="N22" i="3"/>
  <c r="M13" i="4" s="1"/>
  <c r="O44" i="2"/>
  <c r="F21" i="4"/>
  <c r="F30" i="4" s="1"/>
  <c r="N18" i="5"/>
  <c r="O127" i="2"/>
  <c r="N10" i="5"/>
  <c r="O92" i="2"/>
  <c r="T23" i="6"/>
  <c r="E33" i="4"/>
  <c r="F23" i="6"/>
  <c r="N16" i="3"/>
  <c r="M9" i="4" s="1"/>
  <c r="O14" i="2"/>
  <c r="F207" i="15"/>
  <c r="G207" i="15"/>
  <c r="E206" i="15"/>
  <c r="E207" i="15" s="1"/>
  <c r="H207" i="15"/>
  <c r="M22" i="4"/>
  <c r="M29" i="4" s="1"/>
  <c r="N32" i="3"/>
  <c r="P69" i="3"/>
  <c r="P70" i="3" s="1"/>
  <c r="Q172" i="2"/>
  <c r="Q174" i="2" s="1"/>
  <c r="E13" i="3"/>
  <c r="C5" i="4" s="1"/>
  <c r="F13" i="3"/>
  <c r="E5" i="4" s="1"/>
  <c r="E21" i="4" s="1"/>
  <c r="E30" i="4" s="1"/>
  <c r="H13" i="3"/>
  <c r="G5" i="4" s="1"/>
  <c r="G21" i="4" s="1"/>
  <c r="G30" i="4" s="1"/>
  <c r="G34" i="4" s="1"/>
  <c r="J13" i="3"/>
  <c r="I5" i="4" s="1"/>
  <c r="I21" i="4" s="1"/>
  <c r="I30" i="4" s="1"/>
  <c r="I13" i="3"/>
  <c r="H5" i="4" s="1"/>
  <c r="H21" i="4" s="1"/>
  <c r="K13" i="3"/>
  <c r="J5" i="4" s="1"/>
  <c r="L13" i="3"/>
  <c r="K5" i="4" s="1"/>
  <c r="K21" i="4" s="1"/>
  <c r="K30" i="4" s="1"/>
  <c r="G13" i="3"/>
  <c r="F5" i="4" s="1"/>
  <c r="J209" i="1"/>
  <c r="L29" i="4"/>
  <c r="L30" i="4" s="1"/>
  <c r="P208" i="8"/>
  <c r="H30" i="4" l="1"/>
  <c r="J30" i="4" s="1"/>
  <c r="J21" i="4"/>
  <c r="G173" i="2"/>
  <c r="N33" i="4"/>
  <c r="N34" i="4" s="1"/>
  <c r="J30" i="3"/>
  <c r="J42" i="3" s="1"/>
  <c r="O69" i="3"/>
  <c r="O70" i="3" s="1"/>
  <c r="P172" i="2"/>
  <c r="P174" i="2" s="1"/>
  <c r="L30" i="3"/>
  <c r="L42" i="3" s="1"/>
  <c r="J69" i="3"/>
  <c r="J70" i="3" s="1"/>
  <c r="K172" i="2"/>
  <c r="K174" i="2" s="1"/>
  <c r="N172" i="2"/>
  <c r="N174" i="2" s="1"/>
  <c r="M69" i="3"/>
  <c r="M70" i="3" s="1"/>
  <c r="E34" i="4"/>
  <c r="L33" i="4"/>
  <c r="L34" i="4" s="1"/>
  <c r="X174" i="2"/>
  <c r="I34" i="4"/>
  <c r="L69" i="3"/>
  <c r="L70" i="3" s="1"/>
  <c r="M172" i="2"/>
  <c r="M174" i="2" s="1"/>
  <c r="F34" i="4"/>
  <c r="O116" i="2"/>
  <c r="O167" i="2" s="1"/>
  <c r="N200" i="1"/>
  <c r="O71" i="2"/>
  <c r="O115" i="2" s="1"/>
  <c r="O168" i="2" s="1"/>
  <c r="N147" i="1"/>
  <c r="N29" i="5"/>
  <c r="N32" i="5" s="1"/>
  <c r="F30" i="3"/>
  <c r="F42" i="3" s="1"/>
  <c r="F70" i="3" s="1"/>
  <c r="N15" i="5"/>
  <c r="N5" i="5"/>
  <c r="N22" i="5" s="1"/>
  <c r="I30" i="3"/>
  <c r="Q175" i="2"/>
  <c r="M22" i="5"/>
  <c r="M32" i="5" s="1"/>
  <c r="H174" i="2"/>
  <c r="G237" i="1" a="1"/>
  <c r="G30" i="3"/>
  <c r="G42" i="3" s="1"/>
  <c r="G70" i="3" s="1"/>
  <c r="N30" i="3"/>
  <c r="N42" i="3" s="1"/>
  <c r="K34" i="4"/>
  <c r="H33" i="4"/>
  <c r="H34" i="4" s="1"/>
  <c r="L168" i="2"/>
  <c r="H30" i="3"/>
  <c r="H42" i="3" s="1"/>
  <c r="P33" i="4"/>
  <c r="P34" i="4" s="1"/>
  <c r="R175" i="2"/>
  <c r="H69" i="3"/>
  <c r="H70" i="3" s="1"/>
  <c r="I172" i="2"/>
  <c r="I174" i="2" s="1"/>
  <c r="R174" i="2"/>
  <c r="J174" i="2"/>
  <c r="S69" i="3"/>
  <c r="S70" i="3" s="1"/>
  <c r="T172" i="2"/>
  <c r="T174" i="2" s="1"/>
  <c r="H241" i="1" l="1"/>
  <c r="I241" i="1"/>
  <c r="J241" i="1"/>
  <c r="L241" i="1"/>
  <c r="G237" i="1"/>
  <c r="G241" i="1" s="1"/>
  <c r="H242" i="1"/>
  <c r="N175" i="2"/>
  <c r="K30" i="3"/>
  <c r="I42" i="3"/>
  <c r="N209" i="1"/>
  <c r="P175" i="2"/>
  <c r="M33" i="4"/>
  <c r="M34" i="4" s="1"/>
  <c r="N69" i="3" l="1"/>
  <c r="N70" i="3" s="1"/>
  <c r="O172" i="2"/>
  <c r="K42" i="3"/>
  <c r="I70" i="3"/>
  <c r="O174" i="2" l="1"/>
  <c r="O17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<sst xmlns="http://schemas.openxmlformats.org/spreadsheetml/2006/main" count="5533" uniqueCount="299">
  <si>
    <t>Sub Total</t>
  </si>
  <si>
    <t>Balance dues collectibles</t>
  </si>
  <si>
    <t>Dispute cases - registration/adjustments/legal</t>
  </si>
  <si>
    <t>Developer/DLD termination</t>
  </si>
  <si>
    <t>Total</t>
  </si>
  <si>
    <t>Waves</t>
  </si>
  <si>
    <t>Waves Grande</t>
  </si>
  <si>
    <t>Creek vista reserve Tower B</t>
  </si>
  <si>
    <t>Creek Vistas Reserve</t>
  </si>
  <si>
    <t>Creek vista reserve Tower A</t>
  </si>
  <si>
    <t>One Park Avenue Tower</t>
  </si>
  <si>
    <t>Creek vista Tower B</t>
  </si>
  <si>
    <t>Creek Vistas</t>
  </si>
  <si>
    <t>Creek Vista Tower A</t>
  </si>
  <si>
    <t>building breakup</t>
  </si>
  <si>
    <t>Grand Total</t>
  </si>
  <si>
    <t>RERA</t>
  </si>
  <si>
    <t>The S</t>
  </si>
  <si>
    <t>The Crest - Retail</t>
  </si>
  <si>
    <t>The crest - D</t>
  </si>
  <si>
    <t>The crest - C</t>
  </si>
  <si>
    <t>The crest - B</t>
  </si>
  <si>
    <t>The Crest - A</t>
  </si>
  <si>
    <t>Crest</t>
  </si>
  <si>
    <t>Ongoing handover building</t>
  </si>
  <si>
    <t>Others</t>
  </si>
  <si>
    <t>Pre-Launch</t>
  </si>
  <si>
    <t>The Orchard</t>
  </si>
  <si>
    <t>The Terraces</t>
  </si>
  <si>
    <t>River Cove Residences - Tower C</t>
  </si>
  <si>
    <t>River Cove Residences - Tower B</t>
  </si>
  <si>
    <t>River Cove Residences - Tower A</t>
  </si>
  <si>
    <t>River Cove Residences</t>
  </si>
  <si>
    <t>The Willows</t>
  </si>
  <si>
    <t>The Grove</t>
  </si>
  <si>
    <t>The Brooks</t>
  </si>
  <si>
    <t>The Greens</t>
  </si>
  <si>
    <t>Sobha Sanctuary</t>
  </si>
  <si>
    <t>Sobha Central Mall</t>
  </si>
  <si>
    <t>The Pinnacle</t>
  </si>
  <si>
    <t>The Mirage</t>
  </si>
  <si>
    <t>Sobha Skyparks</t>
  </si>
  <si>
    <t>Sobha Aquacrest Tower D</t>
  </si>
  <si>
    <t>Sobha Aquacrest Tower C</t>
  </si>
  <si>
    <t>Sobha Aquacrest Tower B</t>
  </si>
  <si>
    <t>Sobha Aquacrest Tower A</t>
  </si>
  <si>
    <t>Sobha Aquacrest</t>
  </si>
  <si>
    <t>The Tranquil</t>
  </si>
  <si>
    <t>The Serene</t>
  </si>
  <si>
    <t>Pearlside Marina Residences Tower B</t>
  </si>
  <si>
    <t>Pearlside Marina Residences Tower A</t>
  </si>
  <si>
    <t>Pearlside Marina Residences</t>
  </si>
  <si>
    <t>Canalside Marina Residences Tower D</t>
  </si>
  <si>
    <t>Canalside Marina Residences Tower C</t>
  </si>
  <si>
    <t>Canalside Marina Residences Tower B</t>
  </si>
  <si>
    <t>Canalside Marina Residences Tower A</t>
  </si>
  <si>
    <t>Canalside Marina Residences</t>
  </si>
  <si>
    <t>Bayfront Marina Residences Tower D</t>
  </si>
  <si>
    <t>Bayfront Marina Residences Tower C</t>
  </si>
  <si>
    <t>Bayfront Marina Residences Tower B</t>
  </si>
  <si>
    <t>Bayfront Marina Residences Tower A</t>
  </si>
  <si>
    <t>Bayfront Marina Residences</t>
  </si>
  <si>
    <t>Yachtside Marina Residences Tower D</t>
  </si>
  <si>
    <t>Yachtside Marina Residences Tower C</t>
  </si>
  <si>
    <t>Yachtside Marina Residences Tower B</t>
  </si>
  <si>
    <t>Yachtside Marina Residences Tower A</t>
  </si>
  <si>
    <t>Yachtside Marina Residences</t>
  </si>
  <si>
    <t>Pierside Marina Residences - Tower D</t>
  </si>
  <si>
    <t>Pierside Marina Residences - Tower C</t>
  </si>
  <si>
    <t>Pierside  Marina Residences - Tower B</t>
  </si>
  <si>
    <t>Pierside Marina Residences - Tower A</t>
  </si>
  <si>
    <t>Pierside Marina Residences</t>
  </si>
  <si>
    <t>Bayside Marina Residences Tower D</t>
  </si>
  <si>
    <t>Bayside Marina Residences Tower C</t>
  </si>
  <si>
    <t>Bayside Marina Residences Tower B</t>
  </si>
  <si>
    <t>Bayside Marina Residences Tower A</t>
  </si>
  <si>
    <t>Bayside Marina Residences</t>
  </si>
  <si>
    <t>Siniya Marina Residences</t>
  </si>
  <si>
    <t>Tranquil Beach Residences - Tower B</t>
  </si>
  <si>
    <t>Tranquil Beach Residences - Tower A</t>
  </si>
  <si>
    <t>Tranquil Beach Residences</t>
  </si>
  <si>
    <t>Pristine Beach Residences Tower D</t>
  </si>
  <si>
    <t>Pristine Beach Residences Tower C</t>
  </si>
  <si>
    <t>Pristine Beach Residences Tower B</t>
  </si>
  <si>
    <t>Pristine Beach Residences Tower A</t>
  </si>
  <si>
    <t>Pristine Beach Residences</t>
  </si>
  <si>
    <t>Starline Beach Residences Tower D</t>
  </si>
  <si>
    <t>Starline Beach Residences Tower C</t>
  </si>
  <si>
    <t>Starline Beach Residences Tower B</t>
  </si>
  <si>
    <t>Starline Beach Residences Tower A</t>
  </si>
  <si>
    <t>Starline Beach Residences</t>
  </si>
  <si>
    <t>Coastline Beach Residences Tower D</t>
  </si>
  <si>
    <t>Coastline Beach Residences Tower C</t>
  </si>
  <si>
    <t>Coastline Beach Residences Tower B</t>
  </si>
  <si>
    <t>Coastline Beach Residences Tower A</t>
  </si>
  <si>
    <t>Coastline Beach Residences</t>
  </si>
  <si>
    <t>Florine Beach Residences Tower D</t>
  </si>
  <si>
    <t>Florine Beach Residences Tower C</t>
  </si>
  <si>
    <t>Florine Beach Residences Tower B</t>
  </si>
  <si>
    <t>Florine Beach Residences Tower A</t>
  </si>
  <si>
    <t>Florine Beach Residences</t>
  </si>
  <si>
    <t>Aquamarine Beach Residences Tower D</t>
  </si>
  <si>
    <t>Aquamarine Beach Residences Tower C</t>
  </si>
  <si>
    <t>Aquamarine Beach Residences Tower B</t>
  </si>
  <si>
    <t>Aquamarine Beach Residences Tower A</t>
  </si>
  <si>
    <t>Aquamarine Beach Residences</t>
  </si>
  <si>
    <t>Coraline Beach Residences Tower D</t>
  </si>
  <si>
    <t>Coraline Beach Residences Tower C</t>
  </si>
  <si>
    <t>Coraline Beach Residences Tower B</t>
  </si>
  <si>
    <t>Coraline Beach Residences Tower A</t>
  </si>
  <si>
    <t>Coraline Beach Residences</t>
  </si>
  <si>
    <t>Delphine Beach Residences Tower D</t>
  </si>
  <si>
    <t>Delphine Beach Residences Tower C</t>
  </si>
  <si>
    <t>Delphine Beach Residences Tower B</t>
  </si>
  <si>
    <t>Delphine Beach Residences Tower A</t>
  </si>
  <si>
    <t>Delphine Beach Residences</t>
  </si>
  <si>
    <t>Selene Beach Residences Tower D</t>
  </si>
  <si>
    <t>Selene Beach Residences Tower C</t>
  </si>
  <si>
    <t>Selene Beach Residences Tower B</t>
  </si>
  <si>
    <t>Selene Beach Residences Tower A</t>
  </si>
  <si>
    <t>Selene Beach Residences</t>
  </si>
  <si>
    <t>Siniya Beach Residences</t>
  </si>
  <si>
    <t>The Eden</t>
  </si>
  <si>
    <t>The Horizon</t>
  </si>
  <si>
    <t>Sobha Aquamont Tower C</t>
  </si>
  <si>
    <t>Sobha Aquamont Tower B</t>
  </si>
  <si>
    <t>Sobha Aquamont Tower A</t>
  </si>
  <si>
    <t>Sobha Aquamont</t>
  </si>
  <si>
    <t>Skyvue Altier</t>
  </si>
  <si>
    <t>Skyvue Stellar</t>
  </si>
  <si>
    <t>Skyvue Spectra</t>
  </si>
  <si>
    <t>Skyvue Solair</t>
  </si>
  <si>
    <t>Skyvue</t>
  </si>
  <si>
    <t>The Element at Sobha One</t>
  </si>
  <si>
    <t>Sobha Solis Tower D</t>
  </si>
  <si>
    <t>Sobha Solis Tower C</t>
  </si>
  <si>
    <t>Sobha Solis Tower B</t>
  </si>
  <si>
    <t>Sobha Solis Tower A</t>
  </si>
  <si>
    <t>Sobha Solis</t>
  </si>
  <si>
    <t>Elwood Villas 1</t>
  </si>
  <si>
    <t>Elwood Villas</t>
  </si>
  <si>
    <t>Sobha Siniya Island Mansions</t>
  </si>
  <si>
    <t>Siniya Island-Villas Phase II B</t>
  </si>
  <si>
    <t>Siniya Island-Villas Phase II</t>
  </si>
  <si>
    <t>Siniya Island</t>
  </si>
  <si>
    <t>Siniya Island-Villas &amp; Mansion</t>
  </si>
  <si>
    <t>Skyscape Altius</t>
  </si>
  <si>
    <t>Skyscape Aura</t>
  </si>
  <si>
    <t>Skyscape Avenue</t>
  </si>
  <si>
    <t>Skyscape</t>
  </si>
  <si>
    <t>Sobha Orbis Tower Plaza</t>
  </si>
  <si>
    <t>Sobha Orbis Tower G</t>
  </si>
  <si>
    <t>Sobha Orbis Tower F</t>
  </si>
  <si>
    <t>Sobha Orbis Tower E</t>
  </si>
  <si>
    <t>Sobha Orbis Tower D</t>
  </si>
  <si>
    <t>Sobha Orbis Tower C</t>
  </si>
  <si>
    <t>Sobha Orbis Tower B</t>
  </si>
  <si>
    <t>Sobha Orbis Tower A</t>
  </si>
  <si>
    <t>Sobha Orbis</t>
  </si>
  <si>
    <t>Plots</t>
  </si>
  <si>
    <t>Waterside Plots</t>
  </si>
  <si>
    <t>Hartland Extension</t>
  </si>
  <si>
    <t>Sobha Tranquility</t>
  </si>
  <si>
    <t>Hartland 1 plots</t>
  </si>
  <si>
    <t>310 Riverside Crescent</t>
  </si>
  <si>
    <t>350 Riverside Crescent</t>
  </si>
  <si>
    <t>360 Riverside Crescent</t>
  </si>
  <si>
    <t>340 Riverside Crescent</t>
  </si>
  <si>
    <t>330 Riverside Crescent</t>
  </si>
  <si>
    <t>320 Riverside Crescent</t>
  </si>
  <si>
    <t>Riverside Crescent</t>
  </si>
  <si>
    <t>Sobha One Retail Tower</t>
  </si>
  <si>
    <t>Sobha One - Podium</t>
  </si>
  <si>
    <t>Sobha One Tower E</t>
  </si>
  <si>
    <t>Sobha One Tower D</t>
  </si>
  <si>
    <t>Sobha One Tower C</t>
  </si>
  <si>
    <t>Sobha One Tower B</t>
  </si>
  <si>
    <t>Sobha One Tower A</t>
  </si>
  <si>
    <t>Sobha One</t>
  </si>
  <si>
    <t>Sobha Reserve Villas</t>
  </si>
  <si>
    <t>Hartland II Villas 6BR</t>
  </si>
  <si>
    <t>Sobha Hartland II Villas-Sobha Hartland II Villas (6BR)</t>
  </si>
  <si>
    <t>Hartland II Villas-Phase II</t>
  </si>
  <si>
    <t>Sobha Hartland II Villas-Phase II</t>
  </si>
  <si>
    <t>Hartland II Mansion</t>
  </si>
  <si>
    <t>Sobha Hartland II Mansion-Sobha Hartland II Mansion</t>
  </si>
  <si>
    <t>Hartland II Villas</t>
  </si>
  <si>
    <t>Sobha Hartland II Villas-Sobha Hartland II Villas</t>
  </si>
  <si>
    <t>Hartland II Villas &amp; Mansion</t>
  </si>
  <si>
    <t>Verde</t>
  </si>
  <si>
    <t>Sea Haven Tower C</t>
  </si>
  <si>
    <t>Sea Haven Tower B</t>
  </si>
  <si>
    <t>Sea Haven Tower A</t>
  </si>
  <si>
    <t>Sea Haven</t>
  </si>
  <si>
    <t>Creek vista heights retail</t>
  </si>
  <si>
    <t>Creek vista heights tower B</t>
  </si>
  <si>
    <t>Creek vista heights tower A</t>
  </si>
  <si>
    <t>Creek Vista Heights</t>
  </si>
  <si>
    <t>Waves Opulence</t>
  </si>
  <si>
    <t>Crest Grande - Retail</t>
  </si>
  <si>
    <t>Crest Grande - Tower C</t>
  </si>
  <si>
    <t>Crest Grande - Tower B</t>
  </si>
  <si>
    <t>Crest Grande - Tower A</t>
  </si>
  <si>
    <t>Crest Grande</t>
  </si>
  <si>
    <t>Creek Vistas Grande</t>
  </si>
  <si>
    <t>CV &amp; CVR</t>
  </si>
  <si>
    <t>Townhouse</t>
  </si>
  <si>
    <t>Villas Phase IV</t>
  </si>
  <si>
    <t>Villas Phase III</t>
  </si>
  <si>
    <t>Villas Phase II</t>
  </si>
  <si>
    <t>Villas Phase I</t>
  </si>
  <si>
    <t>Hartland 1 villas &amp; townhouses</t>
  </si>
  <si>
    <t>Phase III - Building 6</t>
  </si>
  <si>
    <t>Phase III - Building 5</t>
  </si>
  <si>
    <t>Phase II - Building 3</t>
  </si>
  <si>
    <t>Phase II - Building 2</t>
  </si>
  <si>
    <t>Phase I - Building 4</t>
  </si>
  <si>
    <t>Phase I - Building 1</t>
  </si>
  <si>
    <t>Greens</t>
  </si>
  <si>
    <t>Future collectibles</t>
  </si>
  <si>
    <t>Due to be collected</t>
  </si>
  <si>
    <t xml:space="preserve">% Collected vs Milestone </t>
  </si>
  <si>
    <t>Collected against Advance</t>
  </si>
  <si>
    <t>Collected against due</t>
  </si>
  <si>
    <t>Milestone due</t>
  </si>
  <si>
    <t xml:space="preserve">Sale value </t>
  </si>
  <si>
    <t>Unit Count</t>
  </si>
  <si>
    <t>Project registration status</t>
  </si>
  <si>
    <t>Project details</t>
  </si>
  <si>
    <t>S.No.</t>
  </si>
  <si>
    <t>As on</t>
  </si>
  <si>
    <t>Consolidated collections tracker</t>
  </si>
  <si>
    <t>-</t>
  </si>
  <si>
    <t>ACD (Anticipated Completion Date)</t>
  </si>
  <si>
    <t>Consolidated collections tracker - Offplan projects</t>
  </si>
  <si>
    <t>All Projects</t>
  </si>
  <si>
    <t>Sub Total (H)</t>
  </si>
  <si>
    <t>H</t>
  </si>
  <si>
    <t>Sobha AUH</t>
  </si>
  <si>
    <t>Sub Total (G)</t>
  </si>
  <si>
    <t xml:space="preserve">Sobha 
Aquamont
</t>
  </si>
  <si>
    <t>G</t>
  </si>
  <si>
    <t>Downtown UAQ</t>
  </si>
  <si>
    <t>Sub Total (F)</t>
  </si>
  <si>
    <t>F</t>
  </si>
  <si>
    <t>Sub Total (E)</t>
  </si>
  <si>
    <t>E</t>
  </si>
  <si>
    <t>Sanctuary</t>
  </si>
  <si>
    <t>Sub Total (D)</t>
  </si>
  <si>
    <t>D</t>
  </si>
  <si>
    <t>Central</t>
  </si>
  <si>
    <t>Sub Total (C)</t>
  </si>
  <si>
    <t>Seahaven</t>
  </si>
  <si>
    <t>C</t>
  </si>
  <si>
    <t>Under pre-registration</t>
  </si>
  <si>
    <t>Sub Total (B)</t>
  </si>
  <si>
    <t>Creek vista Heights</t>
  </si>
  <si>
    <t>B</t>
  </si>
  <si>
    <t>Pre-registered projects</t>
  </si>
  <si>
    <t>Sub Total (A)</t>
  </si>
  <si>
    <t>A</t>
  </si>
  <si>
    <t>Handed over Projects</t>
  </si>
  <si>
    <t>No. of units with overdue</t>
  </si>
  <si>
    <t>180+</t>
  </si>
  <si>
    <t>121-180</t>
  </si>
  <si>
    <t>91-120</t>
  </si>
  <si>
    <t>61-90</t>
  </si>
  <si>
    <t>31-60</t>
  </si>
  <si>
    <t>0-30</t>
  </si>
  <si>
    <t>Collected against advance</t>
  </si>
  <si>
    <t xml:space="preserve"> </t>
  </si>
  <si>
    <t>OVERDUE (ageing bucket no. of days)</t>
  </si>
  <si>
    <t>Total Collected</t>
  </si>
  <si>
    <t>MS Due</t>
  </si>
  <si>
    <t>Sale Value</t>
  </si>
  <si>
    <t>Project Name</t>
  </si>
  <si>
    <t>Project Category</t>
  </si>
  <si>
    <t>&gt;1500</t>
  </si>
  <si>
    <t>Collected against Due</t>
  </si>
  <si>
    <t>OVERDUE 0-30 DAYS</t>
  </si>
  <si>
    <t>Unique Customers</t>
  </si>
  <si>
    <t>No.of Units</t>
  </si>
  <si>
    <t>OVERDUE 31-60 DAYS</t>
  </si>
  <si>
    <t>OVERDUE 61-90 DAYS</t>
  </si>
  <si>
    <t>OVERDUE 91-120 DAYS</t>
  </si>
  <si>
    <t>OVERDUE 121-180 DAYS</t>
  </si>
  <si>
    <t>OVERDUE 180+ DAYS</t>
  </si>
  <si>
    <t>Handed over projects</t>
  </si>
  <si>
    <t>Total Collected against Due</t>
  </si>
  <si>
    <t>Total Collected against DUE</t>
  </si>
  <si>
    <t>Total OD from No booking OD units</t>
  </si>
  <si>
    <t>Total Overdue from booking Overdue units</t>
  </si>
  <si>
    <t>BOOKING OVERDUE (ageing bucket no. of days)</t>
  </si>
  <si>
    <t>Total Collected against Booking amount</t>
  </si>
  <si>
    <t>Booking Due</t>
  </si>
  <si>
    <t>Florine Beach Residences Tower a</t>
  </si>
  <si>
    <t>Aquamarine Beach Residences Tower a</t>
  </si>
  <si>
    <t>Coraline Beach Residences Tower a</t>
  </si>
  <si>
    <t>Delphine Beach Residences Tower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</si>
</sst>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0.0%"/>
    <numFmt numFmtId="168" formatCode="[$-409]mmm\-yy;@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i/>
      <sz val="36"/>
      <color theme="1"/>
      <name val="Tahoma"/>
      <family val="2"/>
    </font>
    <font>
      <b/>
      <sz val="44"/>
      <color theme="1"/>
      <name val="Tahoma"/>
      <family val="2"/>
    </font>
    <font>
      <sz val="44"/>
      <color theme="1"/>
      <name val="Tahoma"/>
      <family val="2"/>
    </font>
    <font>
      <i/>
      <sz val="30"/>
      <color theme="1"/>
      <name val="Tahoma"/>
      <family val="2"/>
    </font>
    <font>
      <i/>
      <sz val="44"/>
      <color theme="1"/>
      <name val="Tahoma"/>
      <family val="2"/>
    </font>
    <font>
      <sz val="42"/>
      <color theme="1"/>
      <name val="Tahoma"/>
      <family val="2"/>
    </font>
    <font>
      <b/>
      <sz val="44"/>
      <color theme="0"/>
      <name val="Tahoma"/>
      <family val="2"/>
    </font>
    <font>
      <b/>
      <sz val="40"/>
      <color theme="1"/>
      <name val="Calibri"/>
      <family val="2"/>
      <scheme val="minor"/>
    </font>
    <font>
      <b/>
      <sz val="48"/>
      <color theme="1"/>
      <name val="Tahoma"/>
      <family val="2"/>
    </font>
    <font>
      <b/>
      <sz val="52"/>
      <color theme="1"/>
      <name val="Tahoma"/>
      <family val="2"/>
    </font>
    <font>
      <b/>
      <sz val="72"/>
      <color theme="1"/>
      <name val="Tahoma"/>
      <family val="2"/>
    </font>
    <font>
      <sz val="30"/>
      <color theme="1"/>
      <name val="Calibri"/>
      <family val="2"/>
      <scheme val="minor"/>
    </font>
    <font>
      <b/>
      <sz val="55"/>
      <color theme="1"/>
      <name val="Tahoma"/>
      <family val="2"/>
    </font>
    <font>
      <sz val="42"/>
      <color theme="1"/>
      <name val="Calibri"/>
      <family val="2"/>
      <scheme val="minor"/>
    </font>
    <font>
      <sz val="43"/>
      <color theme="1"/>
      <name val="Calibri"/>
      <family val="2"/>
      <scheme val="minor"/>
    </font>
    <font>
      <b/>
      <sz val="11"/>
      <color theme="2"/>
      <name val="Tahoma"/>
      <family val="2"/>
    </font>
    <font>
      <b/>
      <sz val="11"/>
      <name val="Tahoma"/>
      <family val="2"/>
    </font>
    <font>
      <b/>
      <sz val="10.5"/>
      <color theme="1"/>
      <name val="Tahoma"/>
      <family val="2"/>
    </font>
    <font>
      <b/>
      <sz val="11"/>
      <color theme="1"/>
      <name val="Tahoma"/>
      <family val="2"/>
    </font>
    <font>
      <b/>
      <sz val="11"/>
      <color indexed="8"/>
      <name val="Tahoma"/>
      <family val="2"/>
    </font>
    <font>
      <sz val="11"/>
      <color theme="1"/>
      <name val="Tahoma"/>
      <family val="2"/>
    </font>
    <font>
      <sz val="11"/>
      <color indexed="8"/>
      <name val="Tahoma"/>
      <family val="2"/>
    </font>
    <font>
      <sz val="10.5"/>
      <color theme="1"/>
      <name val="Tahoma"/>
      <family val="2"/>
    </font>
    <font>
      <sz val="11"/>
      <color indexed="8"/>
      <name val="Calibri"/>
      <family val="2"/>
      <scheme val="minor"/>
    </font>
    <font>
      <b/>
      <sz val="11"/>
      <color theme="0"/>
      <name val="Tahoma"/>
      <family val="2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Tahoma"/>
      <family val="2"/>
    </font>
    <font>
      <sz val="10.5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4F9F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CFDF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F4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EF8F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auto="1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93">
    <xf numFmtId="0" fontId="0" fillId="0" borderId="0" xfId="0"/>
    <xf numFmtId="0" fontId="4" fillId="0" borderId="0" xfId="0" applyFont="1"/>
    <xf numFmtId="164" fontId="4" fillId="0" borderId="0" xfId="1" applyFont="1" applyAlignment="1">
      <alignment horizontal="center" vertical="center"/>
    </xf>
    <xf numFmtId="165" fontId="4" fillId="0" borderId="0" xfId="1" applyNumberFormat="1" applyFont="1"/>
    <xf numFmtId="0" fontId="5" fillId="0" borderId="0" xfId="0" applyFont="1" applyAlignment="1">
      <alignment wrapText="1"/>
    </xf>
    <xf numFmtId="166" fontId="6" fillId="0" borderId="0" xfId="1" applyNumberFormat="1" applyFont="1"/>
    <xf numFmtId="0" fontId="3" fillId="0" borderId="0" xfId="0" applyFont="1"/>
    <xf numFmtId="0" fontId="7" fillId="0" borderId="0" xfId="0" applyFont="1"/>
    <xf numFmtId="0" fontId="8" fillId="0" borderId="0" xfId="0" applyFont="1"/>
    <xf numFmtId="166" fontId="9" fillId="0" borderId="0" xfId="0" applyNumberFormat="1" applyFont="1"/>
    <xf numFmtId="166" fontId="4" fillId="0" borderId="0" xfId="0" applyNumberFormat="1" applyFont="1"/>
    <xf numFmtId="2" fontId="7" fillId="0" borderId="0" xfId="1" applyNumberFormat="1" applyFont="1" applyAlignment="1">
      <alignment horizontal="center" vertical="center"/>
    </xf>
    <xf numFmtId="9" fontId="9" fillId="0" borderId="0" xfId="2" applyFont="1"/>
    <xf numFmtId="0" fontId="10" fillId="0" borderId="0" xfId="0" applyFont="1"/>
    <xf numFmtId="165" fontId="10" fillId="0" borderId="0" xfId="1" applyNumberFormat="1" applyFont="1"/>
    <xf numFmtId="166" fontId="10" fillId="0" borderId="0" xfId="1" applyNumberFormat="1" applyFont="1"/>
    <xf numFmtId="43" fontId="7" fillId="0" borderId="0" xfId="0" applyNumberFormat="1" applyFont="1"/>
    <xf numFmtId="166" fontId="7" fillId="0" borderId="0" xfId="0" applyNumberFormat="1" applyFont="1"/>
    <xf numFmtId="166" fontId="11" fillId="0" borderId="0" xfId="1" applyNumberFormat="1" applyFont="1"/>
    <xf numFmtId="9" fontId="11" fillId="0" borderId="0" xfId="2" applyFont="1"/>
    <xf numFmtId="0" fontId="12" fillId="0" borderId="0" xfId="0" applyFont="1"/>
    <xf numFmtId="0" fontId="11" fillId="0" borderId="0" xfId="0" applyFont="1"/>
    <xf numFmtId="166" fontId="13" fillId="2" borderId="1" xfId="0" applyNumberFormat="1" applyFont="1" applyFill="1" applyBorder="1" applyAlignment="1">
      <alignment horizontal="right" vertical="center"/>
    </xf>
    <xf numFmtId="166" fontId="13" fillId="3" borderId="1" xfId="0" applyNumberFormat="1" applyFont="1" applyFill="1" applyBorder="1" applyAlignment="1">
      <alignment horizontal="right" vertical="center"/>
    </xf>
    <xf numFmtId="166" fontId="13" fillId="4" borderId="1" xfId="0" applyNumberFormat="1" applyFont="1" applyFill="1" applyBorder="1" applyAlignment="1">
      <alignment horizontal="right" vertical="center"/>
    </xf>
    <xf numFmtId="167" fontId="13" fillId="5" borderId="1" xfId="2" applyNumberFormat="1" applyFont="1" applyFill="1" applyBorder="1" applyAlignment="1">
      <alignment horizontal="right" vertical="center"/>
    </xf>
    <xf numFmtId="166" fontId="13" fillId="5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166" fontId="14" fillId="6" borderId="3" xfId="3" applyNumberFormat="1" applyFont="1" applyFill="1" applyBorder="1" applyAlignment="1">
      <alignment horizontal="right" vertical="center"/>
    </xf>
    <xf numFmtId="166" fontId="13" fillId="6" borderId="4" xfId="3" applyNumberFormat="1" applyFont="1" applyFill="1" applyBorder="1" applyAlignment="1">
      <alignment horizontal="right" vertical="center"/>
    </xf>
    <xf numFmtId="167" fontId="14" fillId="6" borderId="3" xfId="2" applyNumberFormat="1" applyFont="1" applyFill="1" applyBorder="1" applyAlignment="1">
      <alignment horizontal="right" vertical="center"/>
    </xf>
    <xf numFmtId="0" fontId="14" fillId="6" borderId="5" xfId="0" applyFont="1" applyFill="1" applyBorder="1" applyAlignment="1">
      <alignment horizontal="left" vertical="center" indent="1"/>
    </xf>
    <xf numFmtId="166" fontId="14" fillId="6" borderId="8" xfId="3" applyNumberFormat="1" applyFont="1" applyFill="1" applyBorder="1" applyAlignment="1">
      <alignment horizontal="right" vertical="center"/>
    </xf>
    <xf numFmtId="167" fontId="14" fillId="6" borderId="8" xfId="2" applyNumberFormat="1" applyFont="1" applyFill="1" applyBorder="1" applyAlignment="1">
      <alignment horizontal="right" vertical="center"/>
    </xf>
    <xf numFmtId="0" fontId="14" fillId="6" borderId="9" xfId="0" applyFont="1" applyFill="1" applyBorder="1" applyAlignment="1">
      <alignment horizontal="left" vertical="center" wrapText="1" indent="1"/>
    </xf>
    <xf numFmtId="166" fontId="13" fillId="6" borderId="8" xfId="3" applyNumberFormat="1" applyFont="1" applyFill="1" applyBorder="1" applyAlignment="1">
      <alignment horizontal="right" vertical="center"/>
    </xf>
    <xf numFmtId="167" fontId="13" fillId="6" borderId="8" xfId="2" applyNumberFormat="1" applyFont="1" applyFill="1" applyBorder="1" applyAlignment="1">
      <alignment horizontal="right" vertical="center"/>
    </xf>
    <xf numFmtId="0" fontId="13" fillId="6" borderId="9" xfId="0" applyFont="1" applyFill="1" applyBorder="1" applyAlignment="1">
      <alignment horizontal="left" vertical="center" indent="1"/>
    </xf>
    <xf numFmtId="0" fontId="14" fillId="6" borderId="12" xfId="0" applyFont="1" applyFill="1" applyBorder="1" applyAlignment="1">
      <alignment horizontal="left" vertical="center" indent="1"/>
    </xf>
    <xf numFmtId="166" fontId="14" fillId="0" borderId="8" xfId="3" applyNumberFormat="1" applyFont="1" applyFill="1" applyBorder="1" applyAlignment="1">
      <alignment horizontal="right" vertical="center"/>
    </xf>
    <xf numFmtId="166" fontId="13" fillId="0" borderId="4" xfId="3" applyNumberFormat="1" applyFont="1" applyFill="1" applyBorder="1" applyAlignment="1">
      <alignment horizontal="right" vertical="center"/>
    </xf>
    <xf numFmtId="167" fontId="14" fillId="0" borderId="8" xfId="2" applyNumberFormat="1" applyFont="1" applyFill="1" applyBorder="1" applyAlignment="1">
      <alignment horizontal="right" vertical="center"/>
    </xf>
    <xf numFmtId="0" fontId="14" fillId="0" borderId="9" xfId="0" applyFont="1" applyBorder="1" applyAlignment="1">
      <alignment horizontal="left" vertical="center" indent="1"/>
    </xf>
    <xf numFmtId="0" fontId="14" fillId="0" borderId="9" xfId="0" applyFont="1" applyBorder="1" applyAlignment="1">
      <alignment horizontal="left" vertical="center" wrapText="1" indent="1"/>
    </xf>
    <xf numFmtId="166" fontId="14" fillId="0" borderId="8" xfId="3" applyNumberFormat="1" applyFont="1" applyBorder="1" applyAlignment="1">
      <alignment horizontal="right" vertical="center"/>
    </xf>
    <xf numFmtId="166" fontId="13" fillId="0" borderId="8" xfId="3" applyNumberFormat="1" applyFont="1" applyFill="1" applyBorder="1" applyAlignment="1">
      <alignment horizontal="right" vertical="center"/>
    </xf>
    <xf numFmtId="167" fontId="13" fillId="0" borderId="8" xfId="2" applyNumberFormat="1" applyFont="1" applyFill="1" applyBorder="1" applyAlignment="1">
      <alignment horizontal="right" vertical="center"/>
    </xf>
    <xf numFmtId="0" fontId="13" fillId="0" borderId="9" xfId="0" applyFont="1" applyBorder="1" applyAlignment="1">
      <alignment horizontal="left" vertical="center" indent="1"/>
    </xf>
    <xf numFmtId="0" fontId="14" fillId="6" borderId="9" xfId="0" applyFont="1" applyFill="1" applyBorder="1" applyAlignment="1">
      <alignment horizontal="left" vertical="center" indent="1"/>
    </xf>
    <xf numFmtId="166" fontId="14" fillId="0" borderId="3" xfId="3" applyNumberFormat="1" applyFont="1" applyFill="1" applyBorder="1" applyAlignment="1">
      <alignment horizontal="right" vertical="center"/>
    </xf>
    <xf numFmtId="166" fontId="13" fillId="0" borderId="14" xfId="3" applyNumberFormat="1" applyFont="1" applyFill="1" applyBorder="1" applyAlignment="1">
      <alignment horizontal="right" vertical="center"/>
    </xf>
    <xf numFmtId="167" fontId="14" fillId="0" borderId="3" xfId="2" applyNumberFormat="1" applyFont="1" applyFill="1" applyBorder="1" applyAlignment="1">
      <alignment horizontal="right" vertical="center"/>
    </xf>
    <xf numFmtId="0" fontId="14" fillId="0" borderId="5" xfId="0" applyFont="1" applyBorder="1" applyAlignment="1">
      <alignment horizontal="left" vertical="center" indent="1"/>
    </xf>
    <xf numFmtId="0" fontId="14" fillId="0" borderId="5" xfId="0" applyFont="1" applyBorder="1" applyAlignment="1">
      <alignment horizontal="left" vertical="center" wrapText="1" indent="1"/>
    </xf>
    <xf numFmtId="167" fontId="13" fillId="6" borderId="15" xfId="2" applyNumberFormat="1" applyFont="1" applyFill="1" applyBorder="1" applyAlignment="1">
      <alignment horizontal="right" vertical="center"/>
    </xf>
    <xf numFmtId="0" fontId="13" fillId="6" borderId="16" xfId="0" applyFont="1" applyFill="1" applyBorder="1" applyAlignment="1">
      <alignment horizontal="left" vertical="center" indent="1"/>
    </xf>
    <xf numFmtId="166" fontId="7" fillId="0" borderId="18" xfId="0" applyNumberFormat="1" applyFont="1" applyBorder="1"/>
    <xf numFmtId="167" fontId="7" fillId="0" borderId="18" xfId="2" applyNumberFormat="1" applyFont="1" applyBorder="1"/>
    <xf numFmtId="0" fontId="7" fillId="0" borderId="18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19" xfId="0" applyFont="1" applyBorder="1" applyAlignment="1">
      <alignment horizontal="center"/>
    </xf>
    <xf numFmtId="166" fontId="13" fillId="0" borderId="20" xfId="0" applyNumberFormat="1" applyFont="1" applyBorder="1" applyAlignment="1">
      <alignment horizontal="right" vertical="center"/>
    </xf>
    <xf numFmtId="166" fontId="13" fillId="0" borderId="2" xfId="0" applyNumberFormat="1" applyFont="1" applyBorder="1" applyAlignment="1">
      <alignment horizontal="right" vertical="center"/>
    </xf>
    <xf numFmtId="167" fontId="13" fillId="0" borderId="20" xfId="2" applyNumberFormat="1" applyFont="1" applyFill="1" applyBorder="1" applyAlignment="1">
      <alignment horizontal="right" vertical="center"/>
    </xf>
    <xf numFmtId="0" fontId="13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9" fontId="13" fillId="0" borderId="20" xfId="2" applyFont="1" applyBorder="1" applyAlignment="1">
      <alignment horizontal="right" vertical="center"/>
    </xf>
    <xf numFmtId="166" fontId="13" fillId="7" borderId="1" xfId="0" applyNumberFormat="1" applyFont="1" applyFill="1" applyBorder="1" applyAlignment="1">
      <alignment horizontal="right" vertical="center"/>
    </xf>
    <xf numFmtId="166" fontId="13" fillId="8" borderId="1" xfId="0" applyNumberFormat="1" applyFont="1" applyFill="1" applyBorder="1" applyAlignment="1">
      <alignment horizontal="right" vertical="center"/>
    </xf>
    <xf numFmtId="167" fontId="13" fillId="9" borderId="1" xfId="2" applyNumberFormat="1" applyFont="1" applyFill="1" applyBorder="1" applyAlignment="1">
      <alignment horizontal="right" vertical="center"/>
    </xf>
    <xf numFmtId="166" fontId="13" fillId="9" borderId="1" xfId="0" applyNumberFormat="1" applyFont="1" applyFill="1" applyBorder="1" applyAlignment="1">
      <alignment horizontal="right" vertical="center"/>
    </xf>
    <xf numFmtId="0" fontId="13" fillId="9" borderId="1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left" vertical="center"/>
    </xf>
    <xf numFmtId="0" fontId="14" fillId="6" borderId="22" xfId="0" applyFont="1" applyFill="1" applyBorder="1" applyAlignment="1">
      <alignment horizontal="left" vertical="center" indent="1"/>
    </xf>
    <xf numFmtId="0" fontId="14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right" indent="1"/>
    </xf>
    <xf numFmtId="0" fontId="14" fillId="0" borderId="22" xfId="0" applyFont="1" applyBorder="1" applyAlignment="1">
      <alignment horizontal="left" vertical="center" indent="1"/>
    </xf>
    <xf numFmtId="0" fontId="6" fillId="0" borderId="0" xfId="0" applyFont="1"/>
    <xf numFmtId="0" fontId="13" fillId="6" borderId="22" xfId="0" applyFont="1" applyFill="1" applyBorder="1" applyAlignment="1">
      <alignment horizontal="left" vertical="center" indent="1"/>
    </xf>
    <xf numFmtId="0" fontId="14" fillId="6" borderId="2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6" fontId="13" fillId="0" borderId="23" xfId="0" applyNumberFormat="1" applyFont="1" applyBorder="1" applyAlignment="1">
      <alignment horizontal="right" vertical="center"/>
    </xf>
    <xf numFmtId="9" fontId="13" fillId="0" borderId="23" xfId="2" applyFont="1" applyBorder="1" applyAlignment="1">
      <alignment horizontal="right" vertical="center"/>
    </xf>
    <xf numFmtId="0" fontId="13" fillId="0" borderId="23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166" fontId="14" fillId="6" borderId="0" xfId="3" applyNumberFormat="1" applyFont="1" applyFill="1" applyBorder="1" applyAlignment="1">
      <alignment horizontal="right" vertical="center"/>
    </xf>
    <xf numFmtId="166" fontId="13" fillId="6" borderId="11" xfId="3" applyNumberFormat="1" applyFont="1" applyFill="1" applyBorder="1" applyAlignment="1">
      <alignment horizontal="right" vertical="center"/>
    </xf>
    <xf numFmtId="166" fontId="13" fillId="6" borderId="0" xfId="3" applyNumberFormat="1" applyFont="1" applyFill="1" applyBorder="1" applyAlignment="1">
      <alignment horizontal="right" vertical="center"/>
    </xf>
    <xf numFmtId="167" fontId="14" fillId="6" borderId="0" xfId="2" applyNumberFormat="1" applyFont="1" applyFill="1" applyBorder="1" applyAlignment="1">
      <alignment horizontal="right" vertical="center"/>
    </xf>
    <xf numFmtId="0" fontId="14" fillId="6" borderId="0" xfId="0" applyFont="1" applyFill="1" applyAlignment="1">
      <alignment horizontal="left" vertical="center" indent="1"/>
    </xf>
    <xf numFmtId="0" fontId="14" fillId="6" borderId="22" xfId="0" applyFont="1" applyFill="1" applyBorder="1" applyAlignment="1">
      <alignment horizontal="right" indent="1"/>
    </xf>
    <xf numFmtId="0" fontId="14" fillId="0" borderId="24" xfId="0" applyFont="1" applyBorder="1" applyAlignment="1">
      <alignment horizontal="center" vertical="center"/>
    </xf>
    <xf numFmtId="0" fontId="14" fillId="0" borderId="22" xfId="0" applyFont="1" applyBorder="1" applyAlignment="1">
      <alignment horizontal="right" vertical="center" indent="1"/>
    </xf>
    <xf numFmtId="0" fontId="16" fillId="0" borderId="22" xfId="0" applyFont="1" applyBorder="1" applyAlignment="1">
      <alignment horizontal="right" vertical="center" indent="1"/>
    </xf>
    <xf numFmtId="0" fontId="16" fillId="0" borderId="22" xfId="0" applyFont="1" applyBorder="1" applyAlignment="1">
      <alignment horizontal="right" indent="1"/>
    </xf>
    <xf numFmtId="0" fontId="14" fillId="0" borderId="22" xfId="0" applyFont="1" applyBorder="1" applyAlignment="1">
      <alignment horizontal="right"/>
    </xf>
    <xf numFmtId="166" fontId="13" fillId="2" borderId="23" xfId="0" applyNumberFormat="1" applyFont="1" applyFill="1" applyBorder="1" applyAlignment="1">
      <alignment horizontal="right" vertical="center"/>
    </xf>
    <xf numFmtId="167" fontId="13" fillId="0" borderId="23" xfId="2" applyNumberFormat="1" applyFont="1" applyBorder="1" applyAlignment="1">
      <alignment horizontal="right" vertical="center"/>
    </xf>
    <xf numFmtId="0" fontId="16" fillId="6" borderId="22" xfId="0" applyFont="1" applyFill="1" applyBorder="1" applyAlignment="1">
      <alignment horizontal="right" indent="1"/>
    </xf>
    <xf numFmtId="0" fontId="16" fillId="0" borderId="22" xfId="0" applyFont="1" applyBorder="1" applyAlignment="1">
      <alignment horizontal="right"/>
    </xf>
    <xf numFmtId="0" fontId="14" fillId="6" borderId="22" xfId="0" applyFont="1" applyFill="1" applyBorder="1" applyAlignment="1">
      <alignment horizontal="right" vertical="center" indent="1"/>
    </xf>
    <xf numFmtId="166" fontId="13" fillId="6" borderId="3" xfId="3" applyNumberFormat="1" applyFont="1" applyFill="1" applyBorder="1" applyAlignment="1">
      <alignment horizontal="right" vertical="center"/>
    </xf>
    <xf numFmtId="2" fontId="7" fillId="0" borderId="0" xfId="1" applyNumberFormat="1" applyFont="1" applyFill="1" applyAlignment="1">
      <alignment horizontal="center" vertical="center"/>
    </xf>
    <xf numFmtId="0" fontId="17" fillId="0" borderId="22" xfId="0" applyFont="1" applyBorder="1" applyAlignment="1">
      <alignment horizontal="right" vertical="center" indent="1"/>
    </xf>
    <xf numFmtId="0" fontId="17" fillId="6" borderId="22" xfId="0" applyFont="1" applyFill="1" applyBorder="1" applyAlignment="1">
      <alignment horizontal="right" vertical="center" indent="1"/>
    </xf>
    <xf numFmtId="0" fontId="17" fillId="6" borderId="22" xfId="0" applyFont="1" applyFill="1" applyBorder="1" applyAlignment="1">
      <alignment horizontal="right" indent="1"/>
    </xf>
    <xf numFmtId="0" fontId="17" fillId="0" borderId="22" xfId="0" applyFont="1" applyBorder="1" applyAlignment="1">
      <alignment horizontal="right" indent="1"/>
    </xf>
    <xf numFmtId="165" fontId="5" fillId="7" borderId="0" xfId="1" applyNumberFormat="1" applyFont="1" applyFill="1" applyAlignment="1">
      <alignment horizontal="center" vertical="center"/>
    </xf>
    <xf numFmtId="165" fontId="5" fillId="7" borderId="0" xfId="1" applyNumberFormat="1" applyFont="1" applyFill="1"/>
    <xf numFmtId="0" fontId="13" fillId="3" borderId="25" xfId="3" applyNumberFormat="1" applyFont="1" applyFill="1" applyBorder="1" applyAlignment="1">
      <alignment horizontal="center" vertical="center" wrapText="1"/>
    </xf>
    <xf numFmtId="168" fontId="13" fillId="7" borderId="26" xfId="0" applyNumberFormat="1" applyFont="1" applyFill="1" applyBorder="1" applyAlignment="1">
      <alignment horizontal="center" vertical="center" wrapText="1"/>
    </xf>
    <xf numFmtId="166" fontId="18" fillId="10" borderId="25" xfId="3" applyNumberFormat="1" applyFont="1" applyFill="1" applyBorder="1" applyAlignment="1">
      <alignment horizontal="center" vertical="center" wrapText="1"/>
    </xf>
    <xf numFmtId="166" fontId="13" fillId="11" borderId="25" xfId="3" applyNumberFormat="1" applyFont="1" applyFill="1" applyBorder="1" applyAlignment="1">
      <alignment horizontal="center" vertical="center" wrapText="1"/>
    </xf>
    <xf numFmtId="0" fontId="13" fillId="11" borderId="25" xfId="0" applyFont="1" applyFill="1" applyBorder="1" applyAlignment="1">
      <alignment horizontal="center" vertical="center" wrapText="1"/>
    </xf>
    <xf numFmtId="0" fontId="13" fillId="11" borderId="27" xfId="0" applyFont="1" applyFill="1" applyBorder="1" applyAlignment="1">
      <alignment horizontal="left" vertical="center" wrapText="1" indent="1"/>
    </xf>
    <xf numFmtId="0" fontId="13" fillId="11" borderId="28" xfId="0" applyFont="1" applyFill="1" applyBorder="1" applyAlignment="1">
      <alignment horizontal="left" vertical="center" indent="1"/>
    </xf>
    <xf numFmtId="0" fontId="19" fillId="12" borderId="0" xfId="0" applyFont="1" applyFill="1" applyAlignment="1">
      <alignment horizontal="center" vertical="center"/>
    </xf>
    <xf numFmtId="15" fontId="20" fillId="0" borderId="0" xfId="0" applyNumberFormat="1" applyFont="1" applyAlignment="1">
      <alignment horizontal="left"/>
    </xf>
    <xf numFmtId="0" fontId="21" fillId="0" borderId="0" xfId="0" applyFont="1" applyAlignment="1">
      <alignment horizontal="right"/>
    </xf>
    <xf numFmtId="0" fontId="13" fillId="0" borderId="0" xfId="0" applyFont="1"/>
    <xf numFmtId="0" fontId="22" fillId="0" borderId="0" xfId="0" applyFont="1"/>
    <xf numFmtId="14" fontId="5" fillId="0" borderId="0" xfId="0" applyNumberFormat="1" applyFont="1" applyAlignment="1">
      <alignment wrapText="1"/>
    </xf>
    <xf numFmtId="14" fontId="4" fillId="0" borderId="0" xfId="0" applyNumberFormat="1" applyFont="1"/>
    <xf numFmtId="165" fontId="23" fillId="0" borderId="0" xfId="1" applyNumberFormat="1" applyFont="1"/>
    <xf numFmtId="0" fontId="23" fillId="0" borderId="0" xfId="0" applyFont="1"/>
    <xf numFmtId="165" fontId="4" fillId="0" borderId="0" xfId="0" applyNumberFormat="1" applyFont="1"/>
    <xf numFmtId="166" fontId="13" fillId="0" borderId="29" xfId="0" applyNumberFormat="1" applyFont="1" applyBorder="1" applyAlignment="1">
      <alignment horizontal="right" vertical="center"/>
    </xf>
    <xf numFmtId="14" fontId="13" fillId="0" borderId="20" xfId="0" applyNumberFormat="1" applyFont="1" applyBorder="1" applyAlignment="1">
      <alignment horizontal="left" vertical="center"/>
    </xf>
    <xf numFmtId="14" fontId="13" fillId="9" borderId="1" xfId="0" applyNumberFormat="1" applyFont="1" applyFill="1" applyBorder="1" applyAlignment="1">
      <alignment horizontal="left" vertical="center"/>
    </xf>
    <xf numFmtId="14" fontId="13" fillId="0" borderId="23" xfId="0" applyNumberFormat="1" applyFont="1" applyBorder="1" applyAlignment="1">
      <alignment horizontal="left" vertical="center"/>
    </xf>
    <xf numFmtId="14" fontId="14" fillId="6" borderId="9" xfId="0" applyNumberFormat="1" applyFont="1" applyFill="1" applyBorder="1" applyAlignment="1">
      <alignment horizontal="left" vertical="center" indent="1"/>
    </xf>
    <xf numFmtId="0" fontId="14" fillId="6" borderId="22" xfId="0" applyFont="1" applyFill="1" applyBorder="1" applyAlignment="1">
      <alignment horizontal="right"/>
    </xf>
    <xf numFmtId="166" fontId="14" fillId="6" borderId="30" xfId="3" applyNumberFormat="1" applyFont="1" applyFill="1" applyBorder="1" applyAlignment="1">
      <alignment horizontal="right" vertical="center"/>
    </xf>
    <xf numFmtId="166" fontId="14" fillId="0" borderId="30" xfId="3" applyNumberFormat="1" applyFont="1" applyFill="1" applyBorder="1" applyAlignment="1">
      <alignment horizontal="right" vertical="center"/>
    </xf>
    <xf numFmtId="0" fontId="13" fillId="3" borderId="31" xfId="3" applyNumberFormat="1" applyFont="1" applyFill="1" applyBorder="1" applyAlignment="1">
      <alignment horizontal="center" vertical="center" wrapText="1"/>
    </xf>
    <xf numFmtId="14" fontId="13" fillId="11" borderId="27" xfId="0" applyNumberFormat="1" applyFont="1" applyFill="1" applyBorder="1" applyAlignment="1">
      <alignment horizontal="left" vertical="center" wrapText="1" indent="1"/>
    </xf>
    <xf numFmtId="0" fontId="24" fillId="0" borderId="0" xfId="0" applyFont="1"/>
    <xf numFmtId="14" fontId="7" fillId="0" borderId="0" xfId="0" applyNumberFormat="1" applyFont="1"/>
    <xf numFmtId="164" fontId="4" fillId="0" borderId="0" xfId="1" applyFont="1"/>
    <xf numFmtId="0" fontId="5" fillId="0" borderId="0" xfId="0" applyFont="1"/>
    <xf numFmtId="164" fontId="5" fillId="0" borderId="0" xfId="1" applyFont="1"/>
    <xf numFmtId="166" fontId="5" fillId="0" borderId="0" xfId="0" applyNumberFormat="1" applyFont="1"/>
    <xf numFmtId="164" fontId="7" fillId="0" borderId="0" xfId="1" applyFont="1"/>
    <xf numFmtId="166" fontId="14" fillId="6" borderId="32" xfId="3" applyNumberFormat="1" applyFont="1" applyFill="1" applyBorder="1" applyAlignment="1">
      <alignment horizontal="right" vertical="center"/>
    </xf>
    <xf numFmtId="166" fontId="14" fillId="6" borderId="33" xfId="3" applyNumberFormat="1" applyFont="1" applyFill="1" applyBorder="1" applyAlignment="1">
      <alignment horizontal="right" vertical="center"/>
    </xf>
    <xf numFmtId="166" fontId="13" fillId="6" borderId="14" xfId="3" applyNumberFormat="1" applyFont="1" applyFill="1" applyBorder="1" applyAlignment="1">
      <alignment horizontal="right" vertical="center"/>
    </xf>
    <xf numFmtId="166" fontId="14" fillId="0" borderId="34" xfId="3" applyNumberFormat="1" applyFont="1" applyFill="1" applyBorder="1" applyAlignment="1">
      <alignment horizontal="right" vertical="center"/>
    </xf>
    <xf numFmtId="166" fontId="14" fillId="6" borderId="34" xfId="3" applyNumberFormat="1" applyFont="1" applyFill="1" applyBorder="1" applyAlignment="1">
      <alignment horizontal="right" vertical="center"/>
    </xf>
    <xf numFmtId="166" fontId="14" fillId="0" borderId="32" xfId="3" applyNumberFormat="1" applyFont="1" applyFill="1" applyBorder="1" applyAlignment="1">
      <alignment horizontal="right" vertical="center"/>
    </xf>
    <xf numFmtId="166" fontId="14" fillId="0" borderId="33" xfId="3" applyNumberFormat="1" applyFont="1" applyFill="1" applyBorder="1" applyAlignment="1">
      <alignment horizontal="right" vertical="center"/>
    </xf>
    <xf numFmtId="0" fontId="13" fillId="0" borderId="21" xfId="0" applyFont="1" applyBorder="1" applyAlignment="1">
      <alignment horizontal="left" vertical="center"/>
    </xf>
    <xf numFmtId="166" fontId="13" fillId="3" borderId="2" xfId="0" applyNumberFormat="1" applyFont="1" applyFill="1" applyBorder="1" applyAlignment="1">
      <alignment horizontal="right" vertical="center"/>
    </xf>
    <xf numFmtId="166" fontId="13" fillId="7" borderId="2" xfId="0" applyNumberFormat="1" applyFont="1" applyFill="1" applyBorder="1" applyAlignment="1">
      <alignment horizontal="right" vertical="center"/>
    </xf>
    <xf numFmtId="166" fontId="13" fillId="8" borderId="2" xfId="0" applyNumberFormat="1" applyFont="1" applyFill="1" applyBorder="1" applyAlignment="1">
      <alignment horizontal="right" vertical="center"/>
    </xf>
    <xf numFmtId="167" fontId="13" fillId="9" borderId="2" xfId="2" applyNumberFormat="1" applyFont="1" applyFill="1" applyBorder="1" applyAlignment="1">
      <alignment horizontal="right" vertical="center"/>
    </xf>
    <xf numFmtId="166" fontId="13" fillId="9" borderId="2" xfId="0" applyNumberFormat="1" applyFont="1" applyFill="1" applyBorder="1" applyAlignment="1">
      <alignment horizontal="right" vertical="center"/>
    </xf>
    <xf numFmtId="0" fontId="13" fillId="11" borderId="28" xfId="0" applyFont="1" applyFill="1" applyBorder="1" applyAlignment="1">
      <alignment horizontal="left" vertical="center"/>
    </xf>
    <xf numFmtId="0" fontId="25" fillId="0" borderId="0" xfId="0" applyFont="1"/>
    <xf numFmtId="165" fontId="25" fillId="0" borderId="0" xfId="1" applyNumberFormat="1" applyFont="1"/>
    <xf numFmtId="9" fontId="13" fillId="6" borderId="23" xfId="2" applyFont="1" applyFill="1" applyBorder="1" applyAlignment="1">
      <alignment horizontal="right" vertical="center"/>
    </xf>
    <xf numFmtId="9" fontId="14" fillId="6" borderId="8" xfId="2" applyFont="1" applyFill="1" applyBorder="1" applyAlignment="1">
      <alignment horizontal="right" vertical="center"/>
    </xf>
    <xf numFmtId="15" fontId="14" fillId="6" borderId="9" xfId="0" applyNumberFormat="1" applyFont="1" applyFill="1" applyBorder="1" applyAlignment="1">
      <alignment horizontal="left" vertical="center" indent="1"/>
    </xf>
    <xf numFmtId="15" fontId="14" fillId="0" borderId="9" xfId="0" applyNumberFormat="1" applyFont="1" applyBorder="1" applyAlignment="1">
      <alignment horizontal="left" vertical="center" indent="1"/>
    </xf>
    <xf numFmtId="9" fontId="14" fillId="0" borderId="8" xfId="2" applyFont="1" applyFill="1" applyBorder="1" applyAlignment="1">
      <alignment horizontal="right" vertical="center"/>
    </xf>
    <xf numFmtId="0" fontId="14" fillId="0" borderId="22" xfId="0" applyFont="1" applyBorder="1" applyAlignment="1">
      <alignment horizontal="left" vertical="center" wrapText="1" indent="1"/>
    </xf>
    <xf numFmtId="0" fontId="13" fillId="3" borderId="35" xfId="3" applyNumberFormat="1" applyFont="1" applyFill="1" applyBorder="1" applyAlignment="1">
      <alignment horizontal="center" vertical="center" wrapText="1"/>
    </xf>
    <xf numFmtId="15" fontId="13" fillId="0" borderId="0" xfId="0" applyNumberFormat="1" applyFont="1" applyAlignment="1">
      <alignment horizontal="left"/>
    </xf>
    <xf numFmtId="0" fontId="13" fillId="0" borderId="0" xfId="0" applyFont="1" applyAlignment="1">
      <alignment horizontal="right"/>
    </xf>
    <xf numFmtId="0" fontId="26" fillId="0" borderId="0" xfId="0" applyFont="1"/>
    <xf numFmtId="164" fontId="26" fillId="0" borderId="0" xfId="1" applyFont="1"/>
    <xf numFmtId="0" fontId="26" fillId="0" borderId="0" xfId="0" applyFont="1" applyAlignment="1">
      <alignment horizontal="center" vertical="center"/>
    </xf>
    <xf numFmtId="165" fontId="26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2" applyFont="1"/>
    <xf numFmtId="165" fontId="26" fillId="0" borderId="0" xfId="1" applyNumberFormat="1" applyFont="1"/>
    <xf numFmtId="9" fontId="26" fillId="0" borderId="0" xfId="2" applyFont="1"/>
    <xf numFmtId="9" fontId="26" fillId="0" borderId="0" xfId="2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165" fontId="13" fillId="0" borderId="20" xfId="1" applyNumberFormat="1" applyFont="1" applyBorder="1" applyAlignment="1">
      <alignment horizontal="right" vertical="center"/>
    </xf>
    <xf numFmtId="9" fontId="13" fillId="0" borderId="20" xfId="2" applyFont="1" applyFill="1" applyBorder="1" applyAlignment="1">
      <alignment horizontal="right" vertical="center"/>
    </xf>
    <xf numFmtId="165" fontId="7" fillId="0" borderId="0" xfId="0" applyNumberFormat="1" applyFont="1"/>
    <xf numFmtId="165" fontId="13" fillId="8" borderId="2" xfId="1" applyNumberFormat="1" applyFont="1" applyFill="1" applyBorder="1" applyAlignment="1">
      <alignment horizontal="right" vertical="center"/>
    </xf>
    <xf numFmtId="9" fontId="13" fillId="9" borderId="2" xfId="2" applyFont="1" applyFill="1" applyBorder="1" applyAlignment="1">
      <alignment horizontal="right" vertical="center"/>
    </xf>
    <xf numFmtId="165" fontId="13" fillId="6" borderId="8" xfId="1" applyNumberFormat="1" applyFont="1" applyFill="1" applyBorder="1" applyAlignment="1">
      <alignment horizontal="right" vertical="center"/>
    </xf>
    <xf numFmtId="165" fontId="14" fillId="6" borderId="8" xfId="1" applyNumberFormat="1" applyFont="1" applyFill="1" applyBorder="1" applyAlignment="1">
      <alignment horizontal="right" vertical="center"/>
    </xf>
    <xf numFmtId="165" fontId="18" fillId="10" borderId="25" xfId="1" applyNumberFormat="1" applyFont="1" applyFill="1" applyBorder="1" applyAlignment="1">
      <alignment horizontal="center" vertical="center" wrapText="1"/>
    </xf>
    <xf numFmtId="9" fontId="13" fillId="11" borderId="25" xfId="2" applyFont="1" applyFill="1" applyBorder="1" applyAlignment="1">
      <alignment horizontal="center" vertical="center" wrapText="1"/>
    </xf>
    <xf numFmtId="165" fontId="13" fillId="0" borderId="0" xfId="1" applyNumberFormat="1" applyFont="1"/>
    <xf numFmtId="9" fontId="22" fillId="0" borderId="0" xfId="2" applyFont="1"/>
    <xf numFmtId="0" fontId="14" fillId="6" borderId="22" xfId="0" applyFont="1" applyFill="1" applyBorder="1" applyAlignment="1">
      <alignment horizontal="left" vertical="center"/>
    </xf>
    <xf numFmtId="0" fontId="14" fillId="6" borderId="22" xfId="0" applyFont="1" applyFill="1" applyBorder="1" applyAlignment="1">
      <alignment vertical="center"/>
    </xf>
    <xf numFmtId="165" fontId="0" fillId="0" borderId="0" xfId="1" applyNumberFormat="1" applyFont="1"/>
    <xf numFmtId="165" fontId="0" fillId="0" borderId="0" xfId="0" applyNumberFormat="1"/>
    <xf numFmtId="165" fontId="27" fillId="13" borderId="36" xfId="1" applyNumberFormat="1" applyFont="1" applyFill="1" applyBorder="1"/>
    <xf numFmtId="165" fontId="27" fillId="13" borderId="37" xfId="1" applyNumberFormat="1" applyFont="1" applyFill="1" applyBorder="1"/>
    <xf numFmtId="165" fontId="27" fillId="14" borderId="38" xfId="1" applyNumberFormat="1" applyFont="1" applyFill="1" applyBorder="1"/>
    <xf numFmtId="165" fontId="27" fillId="14" borderId="37" xfId="1" applyNumberFormat="1" applyFont="1" applyFill="1" applyBorder="1"/>
    <xf numFmtId="165" fontId="27" fillId="14" borderId="39" xfId="1" applyNumberFormat="1" applyFont="1" applyFill="1" applyBorder="1"/>
    <xf numFmtId="165" fontId="28" fillId="15" borderId="38" xfId="1" applyNumberFormat="1" applyFont="1" applyFill="1" applyBorder="1"/>
    <xf numFmtId="165" fontId="28" fillId="15" borderId="37" xfId="1" applyNumberFormat="1" applyFont="1" applyFill="1" applyBorder="1"/>
    <xf numFmtId="165" fontId="28" fillId="15" borderId="40" xfId="1" applyNumberFormat="1" applyFont="1" applyFill="1" applyBorder="1"/>
    <xf numFmtId="0" fontId="28" fillId="15" borderId="37" xfId="0" applyFont="1" applyFill="1" applyBorder="1" applyAlignment="1">
      <alignment horizontal="left" vertical="center"/>
    </xf>
    <xf numFmtId="165" fontId="30" fillId="15" borderId="41" xfId="1" applyNumberFormat="1" applyFont="1" applyFill="1" applyBorder="1"/>
    <xf numFmtId="165" fontId="30" fillId="15" borderId="42" xfId="1" applyNumberFormat="1" applyFont="1" applyFill="1" applyBorder="1"/>
    <xf numFmtId="165" fontId="30" fillId="16" borderId="43" xfId="1" applyNumberFormat="1" applyFont="1" applyFill="1" applyBorder="1"/>
    <xf numFmtId="165" fontId="30" fillId="9" borderId="19" xfId="1" applyNumberFormat="1" applyFont="1" applyFill="1" applyBorder="1"/>
    <xf numFmtId="165" fontId="30" fillId="9" borderId="1" xfId="1" applyNumberFormat="1" applyFont="1" applyFill="1" applyBorder="1"/>
    <xf numFmtId="165" fontId="30" fillId="9" borderId="42" xfId="1" applyNumberFormat="1" applyFont="1" applyFill="1" applyBorder="1"/>
    <xf numFmtId="0" fontId="30" fillId="9" borderId="44" xfId="0" applyFont="1" applyFill="1" applyBorder="1" applyAlignment="1">
      <alignment horizontal="left" vertical="center"/>
    </xf>
    <xf numFmtId="165" fontId="30" fillId="17" borderId="47" xfId="1" applyNumberFormat="1" applyFont="1" applyFill="1" applyBorder="1"/>
    <xf numFmtId="165" fontId="30" fillId="17" borderId="48" xfId="1" applyNumberFormat="1" applyFont="1" applyFill="1" applyBorder="1"/>
    <xf numFmtId="165" fontId="32" fillId="0" borderId="49" xfId="1" applyNumberFormat="1" applyFont="1" applyBorder="1"/>
    <xf numFmtId="165" fontId="32" fillId="0" borderId="50" xfId="1" applyNumberFormat="1" applyFont="1" applyBorder="1"/>
    <xf numFmtId="165" fontId="32" fillId="0" borderId="51" xfId="1" applyNumberFormat="1" applyFont="1" applyBorder="1"/>
    <xf numFmtId="165" fontId="32" fillId="0" borderId="4" xfId="1" applyNumberFormat="1" applyFont="1" applyBorder="1"/>
    <xf numFmtId="165" fontId="32" fillId="0" borderId="52" xfId="1" applyNumberFormat="1" applyFont="1" applyBorder="1"/>
    <xf numFmtId="0" fontId="31" fillId="0" borderId="4" xfId="0" applyFont="1" applyBorder="1" applyAlignment="1">
      <alignment horizontal="left"/>
    </xf>
    <xf numFmtId="0" fontId="33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 vertical="top"/>
    </xf>
    <xf numFmtId="0" fontId="31" fillId="0" borderId="4" xfId="0" applyFont="1" applyBorder="1" applyAlignment="1">
      <alignment horizontal="left" vertical="center"/>
    </xf>
    <xf numFmtId="165" fontId="34" fillId="0" borderId="55" xfId="1" applyNumberFormat="1" applyFont="1" applyBorder="1"/>
    <xf numFmtId="165" fontId="34" fillId="0" borderId="56" xfId="1" applyNumberFormat="1" applyFont="1" applyBorder="1"/>
    <xf numFmtId="165" fontId="34" fillId="0" borderId="57" xfId="1" applyNumberFormat="1" applyFont="1" applyBorder="1"/>
    <xf numFmtId="165" fontId="34" fillId="0" borderId="24" xfId="1" applyNumberFormat="1" applyFont="1" applyBorder="1"/>
    <xf numFmtId="165" fontId="34" fillId="0" borderId="11" xfId="1" applyNumberFormat="1" applyFont="1" applyBorder="1"/>
    <xf numFmtId="0" fontId="34" fillId="0" borderId="14" xfId="0" applyFont="1" applyBorder="1" applyAlignment="1">
      <alignment horizontal="left" vertical="center"/>
    </xf>
    <xf numFmtId="0" fontId="30" fillId="9" borderId="4" xfId="0" applyFont="1" applyFill="1" applyBorder="1" applyAlignment="1">
      <alignment horizontal="left" vertical="center"/>
    </xf>
    <xf numFmtId="165" fontId="32" fillId="0" borderId="0" xfId="1" applyNumberFormat="1" applyFont="1" applyBorder="1"/>
    <xf numFmtId="165" fontId="32" fillId="0" borderId="11" xfId="1" applyNumberFormat="1" applyFont="1" applyBorder="1"/>
    <xf numFmtId="165" fontId="32" fillId="0" borderId="24" xfId="1" applyNumberFormat="1" applyFont="1" applyBorder="1"/>
    <xf numFmtId="0" fontId="30" fillId="0" borderId="52" xfId="0" applyFont="1" applyBorder="1" applyAlignment="1">
      <alignment horizontal="left" vertical="center"/>
    </xf>
    <xf numFmtId="0" fontId="30" fillId="0" borderId="54" xfId="0" applyFont="1" applyBorder="1" applyAlignment="1">
      <alignment horizontal="center" vertical="center" wrapText="1"/>
    </xf>
    <xf numFmtId="165" fontId="30" fillId="15" borderId="61" xfId="1" applyNumberFormat="1" applyFont="1" applyFill="1" applyBorder="1"/>
    <xf numFmtId="165" fontId="30" fillId="16" borderId="18" xfId="1" applyNumberFormat="1" applyFont="1" applyFill="1" applyBorder="1"/>
    <xf numFmtId="165" fontId="30" fillId="9" borderId="18" xfId="1" applyNumberFormat="1" applyFont="1" applyFill="1" applyBorder="1"/>
    <xf numFmtId="0" fontId="32" fillId="0" borderId="52" xfId="0" applyFont="1" applyBorder="1" applyAlignment="1">
      <alignment horizontal="right"/>
    </xf>
    <xf numFmtId="0" fontId="33" fillId="0" borderId="52" xfId="0" applyFont="1" applyBorder="1" applyAlignment="1">
      <alignment horizontal="right"/>
    </xf>
    <xf numFmtId="165" fontId="30" fillId="17" borderId="51" xfId="1" applyNumberFormat="1" applyFont="1" applyFill="1" applyBorder="1"/>
    <xf numFmtId="165" fontId="30" fillId="17" borderId="62" xfId="1" applyNumberFormat="1" applyFont="1" applyFill="1" applyBorder="1"/>
    <xf numFmtId="165" fontId="32" fillId="0" borderId="63" xfId="1" applyNumberFormat="1" applyFont="1" applyBorder="1"/>
    <xf numFmtId="0" fontId="31" fillId="0" borderId="52" xfId="0" applyFont="1" applyBorder="1" applyAlignment="1">
      <alignment horizontal="left" vertical="center"/>
    </xf>
    <xf numFmtId="165" fontId="30" fillId="17" borderId="64" xfId="1" applyNumberFormat="1" applyFont="1" applyFill="1" applyBorder="1"/>
    <xf numFmtId="165" fontId="32" fillId="0" borderId="44" xfId="1" applyNumberFormat="1" applyFont="1" applyBorder="1"/>
    <xf numFmtId="165" fontId="32" fillId="0" borderId="65" xfId="1" applyNumberFormat="1" applyFont="1" applyBorder="1"/>
    <xf numFmtId="0" fontId="32" fillId="0" borderId="4" xfId="0" applyFont="1" applyBorder="1" applyAlignment="1">
      <alignment horizontal="right"/>
    </xf>
    <xf numFmtId="0" fontId="30" fillId="0" borderId="4" xfId="0" applyFont="1" applyBorder="1" applyAlignment="1">
      <alignment horizontal="left" vertical="center"/>
    </xf>
    <xf numFmtId="165" fontId="0" fillId="0" borderId="0" xfId="1" applyNumberFormat="1" applyFont="1" applyFill="1"/>
    <xf numFmtId="165" fontId="30" fillId="0" borderId="55" xfId="1" applyNumberFormat="1" applyFont="1" applyFill="1" applyBorder="1"/>
    <xf numFmtId="165" fontId="30" fillId="0" borderId="66" xfId="1" applyNumberFormat="1" applyFont="1" applyFill="1" applyBorder="1"/>
    <xf numFmtId="165" fontId="30" fillId="0" borderId="0" xfId="1" applyNumberFormat="1" applyFont="1" applyFill="1" applyBorder="1"/>
    <xf numFmtId="165" fontId="30" fillId="0" borderId="57" xfId="1" applyNumberFormat="1" applyFont="1" applyFill="1" applyBorder="1"/>
    <xf numFmtId="165" fontId="30" fillId="0" borderId="11" xfId="1" applyNumberFormat="1" applyFont="1" applyFill="1" applyBorder="1"/>
    <xf numFmtId="165" fontId="30" fillId="0" borderId="67" xfId="1" applyNumberFormat="1" applyFont="1" applyFill="1" applyBorder="1"/>
    <xf numFmtId="165" fontId="30" fillId="0" borderId="68" xfId="1" applyNumberFormat="1" applyFont="1" applyFill="1" applyBorder="1"/>
    <xf numFmtId="0" fontId="0" fillId="0" borderId="0" xfId="0" applyAlignment="1">
      <alignment horizontal="right"/>
    </xf>
    <xf numFmtId="0" fontId="35" fillId="0" borderId="0" xfId="0" applyFont="1" applyAlignment="1">
      <alignment horizontal="right"/>
    </xf>
    <xf numFmtId="0" fontId="33" fillId="0" borderId="52" xfId="0" applyFont="1" applyBorder="1" applyAlignment="1">
      <alignment horizontal="right" vertical="center"/>
    </xf>
    <xf numFmtId="0" fontId="31" fillId="0" borderId="52" xfId="0" applyFont="1" applyBorder="1" applyAlignment="1">
      <alignment horizontal="left"/>
    </xf>
    <xf numFmtId="165" fontId="32" fillId="0" borderId="55" xfId="1" applyNumberFormat="1" applyFont="1" applyBorder="1"/>
    <xf numFmtId="165" fontId="32" fillId="0" borderId="57" xfId="1" applyNumberFormat="1" applyFont="1" applyBorder="1"/>
    <xf numFmtId="165" fontId="32" fillId="0" borderId="56" xfId="1" applyNumberFormat="1" applyFont="1" applyBorder="1"/>
    <xf numFmtId="0" fontId="32" fillId="0" borderId="4" xfId="0" applyFont="1" applyBorder="1" applyAlignment="1">
      <alignment horizontal="left" vertical="center"/>
    </xf>
    <xf numFmtId="165" fontId="30" fillId="15" borderId="1" xfId="1" applyNumberFormat="1" applyFont="1" applyFill="1" applyBorder="1"/>
    <xf numFmtId="165" fontId="30" fillId="9" borderId="41" xfId="1" applyNumberFormat="1" applyFont="1" applyFill="1" applyBorder="1"/>
    <xf numFmtId="0" fontId="30" fillId="9" borderId="52" xfId="0" applyFont="1" applyFill="1" applyBorder="1" applyAlignment="1">
      <alignment horizontal="left" vertical="center"/>
    </xf>
    <xf numFmtId="165" fontId="30" fillId="17" borderId="4" xfId="1" applyNumberFormat="1" applyFont="1" applyFill="1" applyBorder="1"/>
    <xf numFmtId="0" fontId="30" fillId="0" borderId="69" xfId="0" applyFont="1" applyBorder="1" applyAlignment="1">
      <alignment horizontal="left" vertical="center"/>
    </xf>
    <xf numFmtId="165" fontId="30" fillId="17" borderId="14" xfId="1" applyNumberFormat="1" applyFont="1" applyFill="1" applyBorder="1"/>
    <xf numFmtId="165" fontId="32" fillId="0" borderId="70" xfId="1" applyNumberFormat="1" applyFont="1" applyBorder="1"/>
    <xf numFmtId="165" fontId="32" fillId="0" borderId="14" xfId="1" applyNumberFormat="1" applyFont="1" applyBorder="1"/>
    <xf numFmtId="165" fontId="30" fillId="17" borderId="71" xfId="1" applyNumberFormat="1" applyFont="1" applyFill="1" applyBorder="1"/>
    <xf numFmtId="165" fontId="30" fillId="15" borderId="72" xfId="1" applyNumberFormat="1" applyFont="1" applyFill="1" applyBorder="1" applyAlignment="1">
      <alignment horizontal="center" wrapText="1"/>
    </xf>
    <xf numFmtId="165" fontId="30" fillId="15" borderId="73" xfId="1" applyNumberFormat="1" applyFont="1" applyFill="1" applyBorder="1" applyAlignment="1">
      <alignment horizontal="center"/>
    </xf>
    <xf numFmtId="165" fontId="30" fillId="15" borderId="74" xfId="1" applyNumberFormat="1" applyFont="1" applyFill="1" applyBorder="1" applyAlignment="1">
      <alignment horizontal="center"/>
    </xf>
    <xf numFmtId="165" fontId="30" fillId="15" borderId="75" xfId="1" applyNumberFormat="1" applyFont="1" applyFill="1" applyBorder="1" applyAlignment="1">
      <alignment horizontal="center"/>
    </xf>
    <xf numFmtId="165" fontId="30" fillId="15" borderId="76" xfId="1" applyNumberFormat="1" applyFont="1" applyFill="1" applyBorder="1" applyAlignment="1">
      <alignment horizontal="center"/>
    </xf>
    <xf numFmtId="0" fontId="30" fillId="9" borderId="77" xfId="0" applyFont="1" applyFill="1" applyBorder="1" applyAlignment="1">
      <alignment horizontal="center" vertical="center"/>
    </xf>
    <xf numFmtId="0" fontId="30" fillId="9" borderId="67" xfId="0" applyFont="1" applyFill="1" applyBorder="1" applyAlignment="1">
      <alignment horizontal="center" vertical="center"/>
    </xf>
    <xf numFmtId="165" fontId="32" fillId="0" borderId="73" xfId="1" applyNumberFormat="1" applyFont="1" applyBorder="1"/>
    <xf numFmtId="0" fontId="30" fillId="9" borderId="78" xfId="0" applyFont="1" applyFill="1" applyBorder="1" applyAlignment="1">
      <alignment horizontal="center" vertical="center"/>
    </xf>
    <xf numFmtId="0" fontId="30" fillId="9" borderId="79" xfId="0" applyFont="1" applyFill="1" applyBorder="1" applyAlignment="1">
      <alignment horizontal="center" vertical="center"/>
    </xf>
    <xf numFmtId="165" fontId="2" fillId="18" borderId="0" xfId="1" applyNumberFormat="1" applyFont="1" applyFill="1"/>
    <xf numFmtId="14" fontId="0" fillId="0" borderId="0" xfId="0" applyNumberFormat="1"/>
    <xf numFmtId="165" fontId="3" fillId="0" borderId="0" xfId="0" applyNumberFormat="1" applyFont="1"/>
    <xf numFmtId="165" fontId="3" fillId="0" borderId="0" xfId="1" applyNumberFormat="1" applyFont="1"/>
    <xf numFmtId="165" fontId="27" fillId="14" borderId="38" xfId="1" applyNumberFormat="1" applyFont="1" applyFill="1" applyBorder="1" applyAlignment="1">
      <alignment vertical="center"/>
    </xf>
    <xf numFmtId="165" fontId="28" fillId="15" borderId="37" xfId="1" applyNumberFormat="1" applyFont="1" applyFill="1" applyBorder="1" applyAlignment="1">
      <alignment vertical="center"/>
    </xf>
    <xf numFmtId="165" fontId="30" fillId="16" borderId="65" xfId="1" applyNumberFormat="1" applyFont="1" applyFill="1" applyBorder="1" applyAlignment="1"/>
    <xf numFmtId="165" fontId="30" fillId="9" borderId="21" xfId="1" applyNumberFormat="1" applyFont="1" applyFill="1" applyBorder="1"/>
    <xf numFmtId="165" fontId="30" fillId="9" borderId="2" xfId="1" applyNumberFormat="1" applyFont="1" applyFill="1" applyBorder="1"/>
    <xf numFmtId="165" fontId="30" fillId="0" borderId="34" xfId="1" applyNumberFormat="1" applyFont="1" applyBorder="1" applyAlignment="1"/>
    <xf numFmtId="165" fontId="34" fillId="0" borderId="0" xfId="1" applyNumberFormat="1" applyFont="1" applyBorder="1" applyAlignment="1"/>
    <xf numFmtId="165" fontId="29" fillId="0" borderId="67" xfId="1" applyNumberFormat="1" applyFont="1" applyBorder="1" applyAlignment="1"/>
    <xf numFmtId="165" fontId="30" fillId="0" borderId="33" xfId="1" applyNumberFormat="1" applyFont="1" applyBorder="1" applyAlignment="1"/>
    <xf numFmtId="165" fontId="30" fillId="0" borderId="3" xfId="1" applyNumberFormat="1" applyFont="1" applyBorder="1" applyAlignment="1"/>
    <xf numFmtId="165" fontId="30" fillId="0" borderId="8" xfId="1" applyNumberFormat="1" applyFont="1" applyBorder="1" applyAlignment="1"/>
    <xf numFmtId="0" fontId="0" fillId="0" borderId="85" xfId="0" applyBorder="1"/>
    <xf numFmtId="165" fontId="30" fillId="0" borderId="77" xfId="1" applyNumberFormat="1" applyFont="1" applyBorder="1" applyAlignment="1"/>
    <xf numFmtId="165" fontId="30" fillId="9" borderId="2" xfId="1" applyNumberFormat="1" applyFont="1" applyFill="1" applyBorder="1" applyAlignment="1">
      <alignment horizontal="center"/>
    </xf>
    <xf numFmtId="0" fontId="32" fillId="0" borderId="7" xfId="0" applyFont="1" applyBorder="1" applyAlignment="1">
      <alignment horizontal="left" vertical="center"/>
    </xf>
    <xf numFmtId="165" fontId="30" fillId="9" borderId="2" xfId="1" applyNumberFormat="1" applyFont="1" applyFill="1" applyBorder="1" applyAlignment="1">
      <alignment horizontal="center" vertical="center" wrapText="1"/>
    </xf>
    <xf numFmtId="165" fontId="30" fillId="9" borderId="74" xfId="1" applyNumberFormat="1" applyFont="1" applyFill="1" applyBorder="1" applyAlignment="1">
      <alignment vertical="center"/>
    </xf>
    <xf numFmtId="165" fontId="27" fillId="14" borderId="88" xfId="1" applyNumberFormat="1" applyFont="1" applyFill="1" applyBorder="1" applyAlignment="1">
      <alignment vertical="center"/>
    </xf>
    <xf numFmtId="0" fontId="0" fillId="0" borderId="89" xfId="0" applyBorder="1"/>
    <xf numFmtId="165" fontId="30" fillId="16" borderId="90" xfId="1" applyNumberFormat="1" applyFont="1" applyFill="1" applyBorder="1" applyAlignment="1"/>
    <xf numFmtId="165" fontId="30" fillId="0" borderId="91" xfId="1" applyNumberFormat="1" applyFont="1" applyBorder="1" applyAlignment="1"/>
    <xf numFmtId="165" fontId="29" fillId="0" borderId="92" xfId="1" applyNumberFormat="1" applyFont="1" applyBorder="1" applyAlignment="1"/>
    <xf numFmtId="165" fontId="30" fillId="0" borderId="93" xfId="1" applyNumberFormat="1" applyFont="1" applyBorder="1" applyAlignment="1"/>
    <xf numFmtId="165" fontId="30" fillId="0" borderId="72" xfId="1" applyNumberFormat="1" applyFont="1" applyBorder="1" applyAlignment="1"/>
    <xf numFmtId="165" fontId="30" fillId="0" borderId="94" xfId="1" applyNumberFormat="1" applyFont="1" applyBorder="1" applyAlignment="1"/>
    <xf numFmtId="0" fontId="3" fillId="0" borderId="55" xfId="0" applyFont="1" applyBorder="1"/>
    <xf numFmtId="0" fontId="3" fillId="0" borderId="81" xfId="0" applyFont="1" applyBorder="1"/>
    <xf numFmtId="0" fontId="0" fillId="0" borderId="82" xfId="0" applyBorder="1"/>
    <xf numFmtId="0" fontId="0" fillId="0" borderId="84" xfId="0" applyBorder="1"/>
    <xf numFmtId="165" fontId="27" fillId="14" borderId="37" xfId="1" applyNumberFormat="1" applyFont="1" applyFill="1" applyBorder="1" applyAlignment="1">
      <alignment vertical="center"/>
    </xf>
    <xf numFmtId="165" fontId="30" fillId="0" borderId="52" xfId="1" applyNumberFormat="1" applyFont="1" applyBorder="1" applyAlignment="1"/>
    <xf numFmtId="165" fontId="34" fillId="0" borderId="73" xfId="1" applyNumberFormat="1" applyFont="1" applyBorder="1" applyAlignment="1"/>
    <xf numFmtId="165" fontId="30" fillId="0" borderId="97" xfId="1" applyNumberFormat="1" applyFont="1" applyBorder="1" applyAlignment="1"/>
    <xf numFmtId="0" fontId="37" fillId="0" borderId="0" xfId="0" applyFont="1"/>
    <xf numFmtId="165" fontId="32" fillId="0" borderId="8" xfId="1" applyNumberFormat="1" applyFont="1" applyBorder="1" applyAlignment="1"/>
    <xf numFmtId="165" fontId="30" fillId="0" borderId="69" xfId="1" applyNumberFormat="1" applyFont="1" applyBorder="1" applyAlignment="1"/>
    <xf numFmtId="165" fontId="34" fillId="0" borderId="67" xfId="1" applyNumberFormat="1" applyFont="1" applyBorder="1" applyAlignment="1"/>
    <xf numFmtId="165" fontId="36" fillId="13" borderId="1" xfId="1" applyNumberFormat="1" applyFont="1" applyFill="1" applyBorder="1" applyAlignment="1">
      <alignment vertical="center" wrapText="1"/>
    </xf>
    <xf numFmtId="165" fontId="36" fillId="13" borderId="98" xfId="1" applyNumberFormat="1" applyFont="1" applyFill="1" applyBorder="1" applyAlignment="1">
      <alignment vertical="center" wrapText="1"/>
    </xf>
    <xf numFmtId="165" fontId="0" fillId="0" borderId="0" xfId="1" applyNumberFormat="1" applyFont="1" applyBorder="1"/>
    <xf numFmtId="165" fontId="38" fillId="0" borderId="0" xfId="1" applyNumberFormat="1" applyFont="1" applyFill="1" applyBorder="1" applyAlignment="1">
      <alignment horizontal="center"/>
    </xf>
    <xf numFmtId="165" fontId="28" fillId="0" borderId="0" xfId="1" applyNumberFormat="1" applyFont="1" applyFill="1" applyBorder="1" applyAlignment="1">
      <alignment horizontal="center"/>
    </xf>
    <xf numFmtId="165" fontId="36" fillId="19" borderId="36" xfId="1" applyNumberFormat="1" applyFont="1" applyFill="1" applyBorder="1"/>
    <xf numFmtId="165" fontId="36" fillId="20" borderId="88" xfId="1" applyNumberFormat="1" applyFont="1" applyFill="1" applyBorder="1"/>
    <xf numFmtId="165" fontId="36" fillId="20" borderId="37" xfId="1" applyNumberFormat="1" applyFont="1" applyFill="1" applyBorder="1"/>
    <xf numFmtId="165" fontId="36" fillId="20" borderId="40" xfId="1" applyNumberFormat="1" applyFont="1" applyFill="1" applyBorder="1"/>
    <xf numFmtId="165" fontId="28" fillId="12" borderId="36" xfId="1" applyNumberFormat="1" applyFont="1" applyFill="1" applyBorder="1"/>
    <xf numFmtId="165" fontId="28" fillId="12" borderId="37" xfId="1" applyNumberFormat="1" applyFont="1" applyFill="1" applyBorder="1"/>
    <xf numFmtId="0" fontId="28" fillId="12" borderId="37" xfId="0" applyFont="1" applyFill="1" applyBorder="1" applyAlignment="1">
      <alignment horizontal="left" vertical="center"/>
    </xf>
    <xf numFmtId="165" fontId="39" fillId="0" borderId="0" xfId="1" applyNumberFormat="1" applyFont="1" applyFill="1" applyBorder="1" applyAlignment="1">
      <alignment horizontal="center"/>
    </xf>
    <xf numFmtId="165" fontId="30" fillId="12" borderId="41" xfId="1" applyNumberFormat="1" applyFont="1" applyFill="1" applyBorder="1"/>
    <xf numFmtId="165" fontId="30" fillId="22" borderId="100" xfId="1" applyNumberFormat="1" applyFont="1" applyFill="1" applyBorder="1"/>
    <xf numFmtId="165" fontId="30" fillId="22" borderId="1" xfId="1" applyNumberFormat="1" applyFont="1" applyFill="1" applyBorder="1"/>
    <xf numFmtId="165" fontId="30" fillId="22" borderId="42" xfId="1" applyNumberFormat="1" applyFont="1" applyFill="1" applyBorder="1"/>
    <xf numFmtId="165" fontId="30" fillId="21" borderId="41" xfId="1" applyNumberFormat="1" applyFont="1" applyFill="1" applyBorder="1"/>
    <xf numFmtId="165" fontId="30" fillId="21" borderId="1" xfId="1" applyNumberFormat="1" applyFont="1" applyFill="1" applyBorder="1"/>
    <xf numFmtId="0" fontId="30" fillId="21" borderId="44" xfId="0" applyFont="1" applyFill="1" applyBorder="1" applyAlignment="1">
      <alignment horizontal="left" vertical="center"/>
    </xf>
    <xf numFmtId="165" fontId="30" fillId="23" borderId="55" xfId="1" applyNumberFormat="1" applyFont="1" applyFill="1" applyBorder="1"/>
    <xf numFmtId="165" fontId="30" fillId="23" borderId="57" xfId="1" applyNumberFormat="1" applyFont="1" applyFill="1" applyBorder="1"/>
    <xf numFmtId="165" fontId="32" fillId="0" borderId="9" xfId="1" applyNumberFormat="1" applyFont="1" applyBorder="1"/>
    <xf numFmtId="0" fontId="30" fillId="0" borderId="101" xfId="0" applyFont="1" applyBorder="1" applyAlignment="1">
      <alignment horizontal="center" vertical="center"/>
    </xf>
    <xf numFmtId="165" fontId="40" fillId="0" borderId="55" xfId="1" applyNumberFormat="1" applyFont="1" applyBorder="1"/>
    <xf numFmtId="165" fontId="40" fillId="0" borderId="102" xfId="1" applyNumberFormat="1" applyFont="1" applyBorder="1"/>
    <xf numFmtId="165" fontId="40" fillId="0" borderId="11" xfId="1" applyNumberFormat="1" applyFont="1" applyBorder="1"/>
    <xf numFmtId="165" fontId="40" fillId="0" borderId="56" xfId="1" applyNumberFormat="1" applyFont="1" applyBorder="1"/>
    <xf numFmtId="0" fontId="30" fillId="21" borderId="63" xfId="0" applyFont="1" applyFill="1" applyBorder="1" applyAlignment="1">
      <alignment horizontal="left" vertical="center"/>
    </xf>
    <xf numFmtId="0" fontId="30" fillId="0" borderId="104" xfId="0" applyFont="1" applyBorder="1" applyAlignment="1">
      <alignment horizontal="center" vertical="center"/>
    </xf>
    <xf numFmtId="165" fontId="32" fillId="0" borderId="71" xfId="1" applyNumberFormat="1" applyFont="1" applyBorder="1"/>
    <xf numFmtId="165" fontId="32" fillId="0" borderId="7" xfId="1" applyNumberFormat="1" applyFont="1" applyBorder="1"/>
    <xf numFmtId="165" fontId="30" fillId="12" borderId="43" xfId="1" applyNumberFormat="1" applyFont="1" applyFill="1" applyBorder="1"/>
    <xf numFmtId="165" fontId="30" fillId="22" borderId="19" xfId="1" applyNumberFormat="1" applyFont="1" applyFill="1" applyBorder="1"/>
    <xf numFmtId="0" fontId="30" fillId="21" borderId="105" xfId="0" applyFont="1" applyFill="1" applyBorder="1" applyAlignment="1">
      <alignment horizontal="left" vertical="center"/>
    </xf>
    <xf numFmtId="165" fontId="32" fillId="0" borderId="102" xfId="1" applyNumberFormat="1" applyFont="1" applyBorder="1"/>
    <xf numFmtId="165" fontId="32" fillId="0" borderId="106" xfId="1" applyNumberFormat="1" applyFont="1" applyBorder="1"/>
    <xf numFmtId="165" fontId="32" fillId="0" borderId="67" xfId="1" applyNumberFormat="1" applyFont="1" applyBorder="1"/>
    <xf numFmtId="165" fontId="32" fillId="0" borderId="68" xfId="1" applyNumberFormat="1" applyFont="1" applyBorder="1"/>
    <xf numFmtId="165" fontId="32" fillId="0" borderId="92" xfId="1" applyNumberFormat="1" applyFont="1" applyBorder="1"/>
    <xf numFmtId="0" fontId="32" fillId="0" borderId="107" xfId="0" applyFont="1" applyBorder="1" applyAlignment="1">
      <alignment horizontal="left" vertical="center"/>
    </xf>
    <xf numFmtId="165" fontId="30" fillId="23" borderId="108" xfId="1" applyNumberFormat="1" applyFont="1" applyFill="1" applyBorder="1"/>
    <xf numFmtId="0" fontId="30" fillId="21" borderId="70" xfId="0" applyFont="1" applyFill="1" applyBorder="1" applyAlignment="1">
      <alignment horizontal="left" vertical="center"/>
    </xf>
    <xf numFmtId="165" fontId="30" fillId="12" borderId="100" xfId="1" applyNumberFormat="1" applyFont="1" applyFill="1" applyBorder="1" applyAlignment="1">
      <alignment horizontal="center" wrapText="1"/>
    </xf>
    <xf numFmtId="165" fontId="30" fillId="12" borderId="1" xfId="1" applyNumberFormat="1" applyFont="1" applyFill="1" applyBorder="1" applyAlignment="1">
      <alignment horizontal="center"/>
    </xf>
    <xf numFmtId="165" fontId="30" fillId="12" borderId="42" xfId="1" applyNumberFormat="1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165" fontId="32" fillId="0" borderId="1" xfId="1" applyNumberFormat="1" applyFont="1" applyBorder="1"/>
    <xf numFmtId="0" fontId="30" fillId="0" borderId="42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165" fontId="27" fillId="20" borderId="38" xfId="1" applyNumberFormat="1" applyFont="1" applyFill="1" applyBorder="1" applyAlignment="1">
      <alignment vertical="center"/>
    </xf>
    <xf numFmtId="165" fontId="28" fillId="12" borderId="37" xfId="1" applyNumberFormat="1" applyFont="1" applyFill="1" applyBorder="1" applyAlignment="1">
      <alignment vertical="center"/>
    </xf>
    <xf numFmtId="165" fontId="30" fillId="22" borderId="65" xfId="1" applyNumberFormat="1" applyFont="1" applyFill="1" applyBorder="1" applyAlignment="1"/>
    <xf numFmtId="165" fontId="30" fillId="21" borderId="21" xfId="1" applyNumberFormat="1" applyFont="1" applyFill="1" applyBorder="1"/>
    <xf numFmtId="165" fontId="30" fillId="21" borderId="2" xfId="1" applyNumberFormat="1" applyFont="1" applyFill="1" applyBorder="1"/>
    <xf numFmtId="0" fontId="30" fillId="0" borderId="4" xfId="0" applyFont="1" applyBorder="1" applyAlignment="1">
      <alignment vertical="center"/>
    </xf>
    <xf numFmtId="165" fontId="30" fillId="0" borderId="15" xfId="1" applyNumberFormat="1" applyFont="1" applyBorder="1" applyAlignment="1"/>
    <xf numFmtId="165" fontId="36" fillId="19" borderId="21" xfId="1" applyNumberFormat="1" applyFont="1" applyFill="1" applyBorder="1" applyAlignment="1">
      <alignment vertical="center" wrapText="1"/>
    </xf>
    <xf numFmtId="165" fontId="36" fillId="19" borderId="74" xfId="1" applyNumberFormat="1" applyFont="1" applyFill="1" applyBorder="1" applyAlignment="1">
      <alignment vertical="center" wrapText="1"/>
    </xf>
    <xf numFmtId="165" fontId="27" fillId="20" borderId="37" xfId="1" applyNumberFormat="1" applyFont="1" applyFill="1" applyBorder="1" applyAlignment="1">
      <alignment vertical="center"/>
    </xf>
    <xf numFmtId="165" fontId="29" fillId="0" borderId="73" xfId="1" applyNumberFormat="1" applyFont="1" applyBorder="1" applyAlignment="1"/>
    <xf numFmtId="14" fontId="0" fillId="0" borderId="0" xfId="0" applyNumberFormat="1" applyAlignment="1">
      <alignment wrapText="1"/>
    </xf>
    <xf numFmtId="0" fontId="28" fillId="12" borderId="0" xfId="0" applyFont="1" applyFill="1" applyAlignment="1">
      <alignment horizontal="left" vertical="center"/>
    </xf>
    <xf numFmtId="0" fontId="30" fillId="21" borderId="0" xfId="0" applyFont="1" applyFill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1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center" vertical="top"/>
    </xf>
    <xf numFmtId="0" fontId="31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3" fillId="0" borderId="0" xfId="0" applyFont="1" applyAlignment="1">
      <alignment horizontal="right"/>
    </xf>
    <xf numFmtId="0" fontId="30" fillId="0" borderId="0" xfId="0" applyFont="1" applyAlignment="1">
      <alignment horizontal="left" vertical="center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0" fontId="0" fillId="0" borderId="112" xfId="0" applyBorder="1"/>
    <xf numFmtId="165" fontId="36" fillId="24" borderId="113" xfId="1" applyNumberFormat="1" applyFont="1" applyFill="1" applyBorder="1"/>
    <xf numFmtId="165" fontId="36" fillId="25" borderId="114" xfId="1" applyNumberFormat="1" applyFont="1" applyFill="1" applyBorder="1"/>
    <xf numFmtId="165" fontId="36" fillId="25" borderId="115" xfId="1" applyNumberFormat="1" applyFont="1" applyFill="1" applyBorder="1"/>
    <xf numFmtId="165" fontId="36" fillId="25" borderId="110" xfId="1" applyNumberFormat="1" applyFont="1" applyFill="1" applyBorder="1"/>
    <xf numFmtId="165" fontId="28" fillId="7" borderId="37" xfId="1" applyNumberFormat="1" applyFont="1" applyFill="1" applyBorder="1"/>
    <xf numFmtId="0" fontId="28" fillId="7" borderId="37" xfId="0" applyFont="1" applyFill="1" applyBorder="1" applyAlignment="1">
      <alignment horizontal="left" vertical="center"/>
    </xf>
    <xf numFmtId="165" fontId="30" fillId="26" borderId="43" xfId="1" applyNumberFormat="1" applyFont="1" applyFill="1" applyBorder="1"/>
    <xf numFmtId="165" fontId="30" fillId="26" borderId="100" xfId="1" applyNumberFormat="1" applyFont="1" applyFill="1" applyBorder="1"/>
    <xf numFmtId="165" fontId="30" fillId="26" borderId="1" xfId="1" applyNumberFormat="1" applyFont="1" applyFill="1" applyBorder="1"/>
    <xf numFmtId="165" fontId="30" fillId="26" borderId="61" xfId="1" applyNumberFormat="1" applyFont="1" applyFill="1" applyBorder="1"/>
    <xf numFmtId="165" fontId="30" fillId="3" borderId="19" xfId="1" applyNumberFormat="1" applyFont="1" applyFill="1" applyBorder="1"/>
    <xf numFmtId="165" fontId="30" fillId="3" borderId="1" xfId="1" applyNumberFormat="1" applyFont="1" applyFill="1" applyBorder="1"/>
    <xf numFmtId="165" fontId="30" fillId="3" borderId="57" xfId="1" applyNumberFormat="1" applyFont="1" applyFill="1" applyBorder="1"/>
    <xf numFmtId="165" fontId="32" fillId="0" borderId="66" xfId="1" applyNumberFormat="1" applyFont="1" applyBorder="1"/>
    <xf numFmtId="165" fontId="40" fillId="0" borderId="57" xfId="1" applyNumberFormat="1" applyFont="1" applyBorder="1"/>
    <xf numFmtId="165" fontId="40" fillId="0" borderId="66" xfId="1" applyNumberFormat="1" applyFont="1" applyBorder="1"/>
    <xf numFmtId="165" fontId="40" fillId="0" borderId="24" xfId="1" applyNumberFormat="1" applyFont="1" applyBorder="1"/>
    <xf numFmtId="0" fontId="32" fillId="0" borderId="49" xfId="0" applyFont="1" applyBorder="1" applyAlignment="1">
      <alignment horizontal="left" vertical="center"/>
    </xf>
    <xf numFmtId="165" fontId="30" fillId="3" borderId="106" xfId="1" applyNumberFormat="1" applyFont="1" applyFill="1" applyBorder="1"/>
    <xf numFmtId="165" fontId="32" fillId="0" borderId="87" xfId="1" applyNumberFormat="1" applyFont="1" applyBorder="1"/>
    <xf numFmtId="165" fontId="32" fillId="0" borderId="85" xfId="1" applyNumberFormat="1" applyFont="1" applyBorder="1"/>
    <xf numFmtId="165" fontId="30" fillId="7" borderId="118" xfId="1" applyNumberFormat="1" applyFont="1" applyFill="1" applyBorder="1" applyAlignment="1">
      <alignment horizontal="center"/>
    </xf>
    <xf numFmtId="165" fontId="30" fillId="7" borderId="119" xfId="1" applyNumberFormat="1" applyFont="1" applyFill="1" applyBorder="1" applyAlignment="1">
      <alignment horizontal="center"/>
    </xf>
    <xf numFmtId="165" fontId="30" fillId="7" borderId="98" xfId="1" applyNumberFormat="1" applyFont="1" applyFill="1" applyBorder="1" applyAlignment="1">
      <alignment horizontal="center"/>
    </xf>
    <xf numFmtId="165" fontId="30" fillId="7" borderId="120" xfId="1" applyNumberFormat="1" applyFont="1" applyFill="1" applyBorder="1" applyAlignment="1">
      <alignment horizontal="center"/>
    </xf>
    <xf numFmtId="0" fontId="30" fillId="0" borderId="121" xfId="0" applyFont="1" applyBorder="1" applyAlignment="1">
      <alignment horizontal="center" vertical="center"/>
    </xf>
    <xf numFmtId="0" fontId="30" fillId="0" borderId="78" xfId="0" applyFont="1" applyBorder="1" applyAlignment="1">
      <alignment horizontal="center" vertical="center"/>
    </xf>
    <xf numFmtId="43" fontId="0" fillId="0" borderId="0" xfId="0" applyNumberFormat="1"/>
    <xf numFmtId="165" fontId="27" fillId="25" borderId="37" xfId="1" applyNumberFormat="1" applyFont="1" applyFill="1" applyBorder="1" applyAlignment="1">
      <alignment vertical="center"/>
    </xf>
    <xf numFmtId="165" fontId="28" fillId="7" borderId="37" xfId="1" applyNumberFormat="1" applyFont="1" applyFill="1" applyBorder="1" applyAlignment="1">
      <alignment vertical="center"/>
    </xf>
    <xf numFmtId="0" fontId="28" fillId="7" borderId="0" xfId="0" applyFont="1" applyFill="1" applyAlignment="1">
      <alignment horizontal="left" vertical="center"/>
    </xf>
    <xf numFmtId="165" fontId="30" fillId="26" borderId="65" xfId="1" applyNumberFormat="1" applyFont="1" applyFill="1" applyBorder="1" applyAlignment="1"/>
    <xf numFmtId="165" fontId="30" fillId="3" borderId="21" xfId="1" applyNumberFormat="1" applyFont="1" applyFill="1" applyBorder="1"/>
    <xf numFmtId="165" fontId="30" fillId="3" borderId="2" xfId="1" applyNumberFormat="1" applyFont="1" applyFill="1" applyBorder="1"/>
    <xf numFmtId="0" fontId="30" fillId="3" borderId="44" xfId="0" applyFont="1" applyFill="1" applyBorder="1" applyAlignment="1">
      <alignment horizontal="left" vertical="center"/>
    </xf>
    <xf numFmtId="0" fontId="30" fillId="3" borderId="0" xfId="0" applyFont="1" applyFill="1" applyAlignment="1">
      <alignment horizontal="left" vertical="center"/>
    </xf>
    <xf numFmtId="165" fontId="36" fillId="24" borderId="24" xfId="1" applyNumberFormat="1" applyFont="1" applyFill="1" applyBorder="1" applyAlignment="1">
      <alignment vertical="center" wrapText="1"/>
    </xf>
    <xf numFmtId="165" fontId="36" fillId="24" borderId="74" xfId="1" applyNumberFormat="1" applyFont="1" applyFill="1" applyBorder="1" applyAlignment="1">
      <alignment vertical="center" wrapText="1"/>
    </xf>
    <xf numFmtId="164" fontId="0" fillId="0" borderId="0" xfId="1" applyFont="1"/>
    <xf numFmtId="165" fontId="27" fillId="25" borderId="38" xfId="1" applyNumberFormat="1" applyFont="1" applyFill="1" applyBorder="1" applyAlignment="1">
      <alignment vertical="center"/>
    </xf>
    <xf numFmtId="0" fontId="33" fillId="0" borderId="4" xfId="0" applyFont="1" applyBorder="1" applyAlignment="1">
      <alignment horizontal="left"/>
    </xf>
    <xf numFmtId="0" fontId="33" fillId="0" borderId="4" xfId="0" applyFont="1" applyBorder="1" applyAlignment="1">
      <alignment horizontal="left" vertical="center"/>
    </xf>
    <xf numFmtId="165" fontId="27" fillId="25" borderId="88" xfId="1" applyNumberFormat="1" applyFont="1" applyFill="1" applyBorder="1" applyAlignment="1">
      <alignment vertical="center"/>
    </xf>
    <xf numFmtId="165" fontId="30" fillId="26" borderId="90" xfId="1" applyNumberFormat="1" applyFont="1" applyFill="1" applyBorder="1" applyAlignment="1"/>
    <xf numFmtId="165" fontId="30" fillId="0" borderId="124" xfId="1" applyNumberFormat="1" applyFont="1" applyBorder="1" applyAlignment="1"/>
    <xf numFmtId="165" fontId="36" fillId="24" borderId="102" xfId="1" applyNumberFormat="1" applyFont="1" applyFill="1" applyBorder="1" applyAlignment="1">
      <alignment vertical="center" wrapText="1"/>
    </xf>
    <xf numFmtId="165" fontId="36" fillId="24" borderId="96" xfId="1" applyNumberFormat="1" applyFont="1" applyFill="1" applyBorder="1" applyAlignment="1">
      <alignment vertical="center" wrapText="1"/>
    </xf>
    <xf numFmtId="165" fontId="0" fillId="0" borderId="82" xfId="0" applyNumberFormat="1" applyBorder="1"/>
    <xf numFmtId="0" fontId="0" fillId="0" borderId="63" xfId="0" applyBorder="1"/>
    <xf numFmtId="0" fontId="14" fillId="0" borderId="1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 indent="1"/>
    </xf>
    <xf numFmtId="0" fontId="14" fillId="0" borderId="10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14" fillId="6" borderId="11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left" vertical="center" indent="1"/>
    </xf>
    <xf numFmtId="0" fontId="14" fillId="6" borderId="10" xfId="0" applyFont="1" applyFill="1" applyBorder="1" applyAlignment="1">
      <alignment horizontal="left" vertical="center" indent="1"/>
    </xf>
    <xf numFmtId="0" fontId="14" fillId="6" borderId="6" xfId="0" applyFont="1" applyFill="1" applyBorder="1" applyAlignment="1">
      <alignment horizontal="left" vertical="center" indent="1"/>
    </xf>
    <xf numFmtId="0" fontId="14" fillId="6" borderId="17" xfId="0" applyFont="1" applyFill="1" applyBorder="1" applyAlignment="1">
      <alignment horizontal="left" vertical="center" indent="1"/>
    </xf>
    <xf numFmtId="0" fontId="14" fillId="6" borderId="13" xfId="0" applyFont="1" applyFill="1" applyBorder="1" applyAlignment="1">
      <alignment horizontal="left" vertical="center" indent="1"/>
    </xf>
    <xf numFmtId="0" fontId="30" fillId="9" borderId="84" xfId="0" applyFont="1" applyFill="1" applyBorder="1" applyAlignment="1">
      <alignment horizontal="center" vertical="center"/>
    </xf>
    <xf numFmtId="0" fontId="30" fillId="9" borderId="83" xfId="0" applyFont="1" applyFill="1" applyBorder="1" applyAlignment="1">
      <alignment horizontal="center" vertical="center"/>
    </xf>
    <xf numFmtId="0" fontId="30" fillId="9" borderId="80" xfId="0" applyFont="1" applyFill="1" applyBorder="1" applyAlignment="1">
      <alignment horizontal="center" vertical="center"/>
    </xf>
    <xf numFmtId="0" fontId="30" fillId="9" borderId="29" xfId="0" applyFont="1" applyFill="1" applyBorder="1" applyAlignment="1">
      <alignment horizontal="center" vertical="center"/>
    </xf>
    <xf numFmtId="0" fontId="30" fillId="9" borderId="75" xfId="0" applyFont="1" applyFill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/>
    </xf>
    <xf numFmtId="165" fontId="30" fillId="9" borderId="83" xfId="1" applyNumberFormat="1" applyFont="1" applyFill="1" applyBorder="1" applyAlignment="1">
      <alignment horizontal="center" vertical="center"/>
    </xf>
    <xf numFmtId="165" fontId="30" fillId="9" borderId="29" xfId="1" applyNumberFormat="1" applyFont="1" applyFill="1" applyBorder="1" applyAlignment="1">
      <alignment horizontal="center" vertical="center"/>
    </xf>
    <xf numFmtId="165" fontId="30" fillId="9" borderId="75" xfId="1" applyNumberFormat="1" applyFont="1" applyFill="1" applyBorder="1" applyAlignment="1">
      <alignment horizontal="center" vertical="center"/>
    </xf>
    <xf numFmtId="165" fontId="30" fillId="9" borderId="2" xfId="1" applyNumberFormat="1" applyFont="1" applyFill="1" applyBorder="1" applyAlignment="1">
      <alignment horizontal="center" vertical="center"/>
    </xf>
    <xf numFmtId="165" fontId="30" fillId="9" borderId="74" xfId="1" applyNumberFormat="1" applyFont="1" applyFill="1" applyBorder="1" applyAlignment="1">
      <alignment horizontal="center" vertical="center"/>
    </xf>
    <xf numFmtId="165" fontId="30" fillId="9" borderId="21" xfId="1" applyNumberFormat="1" applyFont="1" applyFill="1" applyBorder="1" applyAlignment="1">
      <alignment horizontal="center" vertical="center"/>
    </xf>
    <xf numFmtId="165" fontId="36" fillId="13" borderId="74" xfId="1" applyNumberFormat="1" applyFont="1" applyFill="1" applyBorder="1" applyAlignment="1">
      <alignment horizontal="center" vertical="center"/>
    </xf>
    <xf numFmtId="165" fontId="36" fillId="13" borderId="82" xfId="1" applyNumberFormat="1" applyFont="1" applyFill="1" applyBorder="1" applyAlignment="1">
      <alignment horizontal="center" vertical="center"/>
    </xf>
    <xf numFmtId="165" fontId="36" fillId="13" borderId="81" xfId="1" applyNumberFormat="1" applyFont="1" applyFill="1" applyBorder="1" applyAlignment="1">
      <alignment horizontal="center" vertical="center"/>
    </xf>
    <xf numFmtId="165" fontId="36" fillId="13" borderId="24" xfId="1" applyNumberFormat="1" applyFont="1" applyFill="1" applyBorder="1" applyAlignment="1">
      <alignment horizontal="center" vertical="center"/>
    </xf>
    <xf numFmtId="165" fontId="36" fillId="13" borderId="0" xfId="1" applyNumberFormat="1" applyFont="1" applyFill="1" applyBorder="1" applyAlignment="1">
      <alignment horizontal="center" vertical="center"/>
    </xf>
    <xf numFmtId="165" fontId="36" fillId="13" borderId="55" xfId="1" applyNumberFormat="1" applyFont="1" applyFill="1" applyBorder="1" applyAlignment="1">
      <alignment horizontal="center" vertical="center"/>
    </xf>
    <xf numFmtId="0" fontId="31" fillId="0" borderId="32" xfId="0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 wrapText="1"/>
    </xf>
    <xf numFmtId="0" fontId="31" fillId="0" borderId="46" xfId="0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 wrapText="1"/>
    </xf>
    <xf numFmtId="0" fontId="29" fillId="9" borderId="39" xfId="0" applyFont="1" applyFill="1" applyBorder="1" applyAlignment="1">
      <alignment horizontal="center" vertical="center"/>
    </xf>
    <xf numFmtId="0" fontId="29" fillId="9" borderId="37" xfId="0" applyFont="1" applyFill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165" fontId="30" fillId="9" borderId="83" xfId="1" applyNumberFormat="1" applyFont="1" applyFill="1" applyBorder="1" applyAlignment="1">
      <alignment horizontal="center" vertical="center" wrapText="1"/>
    </xf>
    <xf numFmtId="165" fontId="30" fillId="9" borderId="29" xfId="1" applyNumberFormat="1" applyFont="1" applyFill="1" applyBorder="1" applyAlignment="1">
      <alignment horizontal="center" vertical="center" wrapText="1"/>
    </xf>
    <xf numFmtId="165" fontId="36" fillId="13" borderId="75" xfId="1" applyNumberFormat="1" applyFont="1" applyFill="1" applyBorder="1" applyAlignment="1">
      <alignment horizontal="center" vertical="center" wrapText="1"/>
    </xf>
    <xf numFmtId="165" fontId="36" fillId="13" borderId="2" xfId="1" applyNumberFormat="1" applyFont="1" applyFill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85" xfId="0" applyFont="1" applyBorder="1" applyAlignment="1">
      <alignment horizontal="center" vertical="center" wrapText="1"/>
    </xf>
    <xf numFmtId="0" fontId="30" fillId="0" borderId="79" xfId="0" applyFont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/>
    </xf>
    <xf numFmtId="0" fontId="30" fillId="0" borderId="86" xfId="0" applyFont="1" applyBorder="1" applyAlignment="1">
      <alignment horizontal="center" vertical="center"/>
    </xf>
    <xf numFmtId="165" fontId="36" fillId="13" borderId="96" xfId="1" applyNumberFormat="1" applyFont="1" applyFill="1" applyBorder="1" applyAlignment="1">
      <alignment horizontal="center" vertical="center" wrapText="1"/>
    </xf>
    <xf numFmtId="165" fontId="36" fillId="13" borderId="95" xfId="1" applyNumberFormat="1" applyFont="1" applyFill="1" applyBorder="1" applyAlignment="1">
      <alignment horizontal="center" vertical="center" wrapText="1"/>
    </xf>
    <xf numFmtId="0" fontId="30" fillId="21" borderId="84" xfId="0" applyFont="1" applyFill="1" applyBorder="1" applyAlignment="1">
      <alignment horizontal="center" vertical="center"/>
    </xf>
    <xf numFmtId="0" fontId="30" fillId="21" borderId="81" xfId="0" applyFont="1" applyFill="1" applyBorder="1" applyAlignment="1">
      <alignment horizontal="center" vertical="center"/>
    </xf>
    <xf numFmtId="0" fontId="30" fillId="21" borderId="80" xfId="0" applyFont="1" applyFill="1" applyBorder="1" applyAlignment="1">
      <alignment horizontal="center" vertical="center"/>
    </xf>
    <xf numFmtId="0" fontId="30" fillId="21" borderId="109" xfId="0" applyFont="1" applyFill="1" applyBorder="1" applyAlignment="1">
      <alignment horizontal="center" vertical="center"/>
    </xf>
    <xf numFmtId="0" fontId="30" fillId="21" borderId="82" xfId="0" applyFont="1" applyFill="1" applyBorder="1" applyAlignment="1">
      <alignment horizontal="center" vertical="center"/>
    </xf>
    <xf numFmtId="0" fontId="30" fillId="21" borderId="20" xfId="0" applyFont="1" applyFill="1" applyBorder="1" applyAlignment="1">
      <alignment horizontal="center" vertical="center"/>
    </xf>
    <xf numFmtId="165" fontId="30" fillId="21" borderId="75" xfId="1" applyNumberFormat="1" applyFont="1" applyFill="1" applyBorder="1" applyAlignment="1">
      <alignment horizontal="center" vertical="center"/>
    </xf>
    <xf numFmtId="165" fontId="30" fillId="21" borderId="11" xfId="1" applyNumberFormat="1" applyFont="1" applyFill="1" applyBorder="1" applyAlignment="1">
      <alignment horizontal="center" vertical="center"/>
    </xf>
    <xf numFmtId="165" fontId="30" fillId="21" borderId="82" xfId="1" applyNumberFormat="1" applyFont="1" applyFill="1" applyBorder="1" applyAlignment="1">
      <alignment horizontal="center" vertical="center"/>
    </xf>
    <xf numFmtId="165" fontId="30" fillId="21" borderId="81" xfId="1" applyNumberFormat="1" applyFont="1" applyFill="1" applyBorder="1" applyAlignment="1">
      <alignment horizontal="center" vertical="center"/>
    </xf>
    <xf numFmtId="165" fontId="30" fillId="21" borderId="0" xfId="1" applyNumberFormat="1" applyFont="1" applyFill="1" applyBorder="1" applyAlignment="1">
      <alignment horizontal="center" vertical="center"/>
    </xf>
    <xf numFmtId="165" fontId="30" fillId="21" borderId="55" xfId="1" applyNumberFormat="1" applyFont="1" applyFill="1" applyBorder="1" applyAlignment="1">
      <alignment horizontal="center" vertical="center"/>
    </xf>
    <xf numFmtId="165" fontId="36" fillId="19" borderId="84" xfId="1" applyNumberFormat="1" applyFont="1" applyFill="1" applyBorder="1" applyAlignment="1">
      <alignment horizontal="center" vertical="center"/>
    </xf>
    <xf numFmtId="165" fontId="36" fillId="19" borderId="82" xfId="1" applyNumberFormat="1" applyFont="1" applyFill="1" applyBorder="1" applyAlignment="1">
      <alignment horizontal="center" vertical="center"/>
    </xf>
    <xf numFmtId="165" fontId="36" fillId="19" borderId="81" xfId="1" applyNumberFormat="1" applyFont="1" applyFill="1" applyBorder="1" applyAlignment="1">
      <alignment horizontal="center" vertical="center"/>
    </xf>
    <xf numFmtId="165" fontId="36" fillId="19" borderId="85" xfId="1" applyNumberFormat="1" applyFont="1" applyFill="1" applyBorder="1" applyAlignment="1">
      <alignment horizontal="center" vertical="center"/>
    </xf>
    <xf numFmtId="165" fontId="36" fillId="19" borderId="0" xfId="1" applyNumberFormat="1" applyFont="1" applyFill="1" applyBorder="1" applyAlignment="1">
      <alignment horizontal="center" vertical="center"/>
    </xf>
    <xf numFmtId="165" fontId="36" fillId="19" borderId="55" xfId="1" applyNumberFormat="1" applyFont="1" applyFill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30" fillId="0" borderId="104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21" borderId="99" xfId="0" applyFont="1" applyFill="1" applyBorder="1" applyAlignment="1">
      <alignment horizontal="center" vertical="center"/>
    </xf>
    <xf numFmtId="0" fontId="30" fillId="21" borderId="40" xfId="0" applyFont="1" applyFill="1" applyBorder="1" applyAlignment="1">
      <alignment horizontal="center" vertical="center"/>
    </xf>
    <xf numFmtId="165" fontId="30" fillId="21" borderId="83" xfId="1" applyNumberFormat="1" applyFont="1" applyFill="1" applyBorder="1" applyAlignment="1">
      <alignment horizontal="center" vertical="center"/>
    </xf>
    <xf numFmtId="165" fontId="30" fillId="21" borderId="29" xfId="1" applyNumberFormat="1" applyFont="1" applyFill="1" applyBorder="1" applyAlignment="1">
      <alignment horizontal="center" vertical="center"/>
    </xf>
    <xf numFmtId="165" fontId="30" fillId="21" borderId="83" xfId="1" applyNumberFormat="1" applyFont="1" applyFill="1" applyBorder="1" applyAlignment="1">
      <alignment horizontal="center" vertical="center" wrapText="1"/>
    </xf>
    <xf numFmtId="165" fontId="30" fillId="21" borderId="29" xfId="1" applyNumberFormat="1" applyFont="1" applyFill="1" applyBorder="1" applyAlignment="1">
      <alignment horizontal="center" vertical="center" wrapText="1"/>
    </xf>
    <xf numFmtId="165" fontId="30" fillId="21" borderId="2" xfId="1" applyNumberFormat="1" applyFont="1" applyFill="1" applyBorder="1" applyAlignment="1">
      <alignment horizontal="center" vertical="center"/>
    </xf>
    <xf numFmtId="165" fontId="30" fillId="21" borderId="75" xfId="1" applyNumberFormat="1" applyFont="1" applyFill="1" applyBorder="1" applyAlignment="1">
      <alignment horizontal="center" vertical="center" wrapText="1"/>
    </xf>
    <xf numFmtId="165" fontId="30" fillId="21" borderId="2" xfId="1" applyNumberFormat="1" applyFont="1" applyFill="1" applyBorder="1" applyAlignment="1">
      <alignment horizontal="center" vertical="center" wrapText="1"/>
    </xf>
    <xf numFmtId="0" fontId="30" fillId="21" borderId="83" xfId="0" applyFont="1" applyFill="1" applyBorder="1" applyAlignment="1">
      <alignment horizontal="center" vertical="center"/>
    </xf>
    <xf numFmtId="0" fontId="30" fillId="21" borderId="29" xfId="0" applyFont="1" applyFill="1" applyBorder="1" applyAlignment="1">
      <alignment horizontal="center" vertical="center"/>
    </xf>
    <xf numFmtId="0" fontId="30" fillId="21" borderId="75" xfId="0" applyFont="1" applyFill="1" applyBorder="1" applyAlignment="1">
      <alignment horizontal="center" vertical="center"/>
    </xf>
    <xf numFmtId="0" fontId="30" fillId="21" borderId="2" xfId="0" applyFont="1" applyFill="1" applyBorder="1" applyAlignment="1">
      <alignment horizontal="center" vertical="center"/>
    </xf>
    <xf numFmtId="0" fontId="29" fillId="21" borderId="39" xfId="0" applyFont="1" applyFill="1" applyBorder="1" applyAlignment="1">
      <alignment horizontal="center" vertical="center"/>
    </xf>
    <xf numFmtId="0" fontId="29" fillId="21" borderId="37" xfId="0" applyFont="1" applyFill="1" applyBorder="1" applyAlignment="1">
      <alignment horizontal="center" vertical="center"/>
    </xf>
    <xf numFmtId="0" fontId="30" fillId="21" borderId="75" xfId="0" applyFont="1" applyFill="1" applyBorder="1" applyAlignment="1">
      <alignment horizontal="center" vertical="center" wrapText="1"/>
    </xf>
    <xf numFmtId="0" fontId="30" fillId="21" borderId="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11" xfId="0" applyFont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29" fillId="21" borderId="110" xfId="0" applyFont="1" applyFill="1" applyBorder="1" applyAlignment="1">
      <alignment horizontal="center" vertical="center"/>
    </xf>
    <xf numFmtId="165" fontId="30" fillId="3" borderId="123" xfId="1" applyNumberFormat="1" applyFont="1" applyFill="1" applyBorder="1" applyAlignment="1">
      <alignment horizontal="center" vertical="center"/>
    </xf>
    <xf numFmtId="165" fontId="30" fillId="3" borderId="122" xfId="1" applyNumberFormat="1" applyFont="1" applyFill="1" applyBorder="1" applyAlignment="1">
      <alignment horizontal="center" vertical="center"/>
    </xf>
    <xf numFmtId="165" fontId="30" fillId="3" borderId="123" xfId="1" applyNumberFormat="1" applyFont="1" applyFill="1" applyBorder="1" applyAlignment="1">
      <alignment horizontal="center" vertical="center" wrapText="1"/>
    </xf>
    <xf numFmtId="165" fontId="30" fillId="3" borderId="122" xfId="1" applyNumberFormat="1" applyFont="1" applyFill="1" applyBorder="1" applyAlignment="1">
      <alignment horizontal="center" vertical="center" wrapText="1"/>
    </xf>
    <xf numFmtId="165" fontId="36" fillId="24" borderId="74" xfId="1" applyNumberFormat="1" applyFont="1" applyFill="1" applyBorder="1" applyAlignment="1">
      <alignment horizontal="center" vertical="center"/>
    </xf>
    <xf numFmtId="165" fontId="36" fillId="24" borderId="82" xfId="1" applyNumberFormat="1" applyFont="1" applyFill="1" applyBorder="1" applyAlignment="1">
      <alignment horizontal="center" vertical="center"/>
    </xf>
    <xf numFmtId="165" fontId="36" fillId="24" borderId="81" xfId="1" applyNumberFormat="1" applyFont="1" applyFill="1" applyBorder="1" applyAlignment="1">
      <alignment horizontal="center" vertical="center"/>
    </xf>
    <xf numFmtId="165" fontId="36" fillId="24" borderId="24" xfId="1" applyNumberFormat="1" applyFont="1" applyFill="1" applyBorder="1" applyAlignment="1">
      <alignment horizontal="center" vertical="center"/>
    </xf>
    <xf numFmtId="165" fontId="36" fillId="24" borderId="0" xfId="1" applyNumberFormat="1" applyFont="1" applyFill="1" applyBorder="1" applyAlignment="1">
      <alignment horizontal="center" vertical="center"/>
    </xf>
    <xf numFmtId="165" fontId="36" fillId="24" borderId="55" xfId="1" applyNumberFormat="1" applyFont="1" applyFill="1" applyBorder="1" applyAlignment="1">
      <alignment horizontal="center" vertical="center"/>
    </xf>
    <xf numFmtId="165" fontId="30" fillId="3" borderId="57" xfId="1" applyNumberFormat="1" applyFont="1" applyFill="1" applyBorder="1" applyAlignment="1">
      <alignment horizontal="center" vertical="center" wrapText="1"/>
    </xf>
    <xf numFmtId="0" fontId="30" fillId="3" borderId="84" xfId="0" applyFont="1" applyFill="1" applyBorder="1" applyAlignment="1">
      <alignment horizontal="center" vertical="center"/>
    </xf>
    <xf numFmtId="0" fontId="30" fillId="3" borderId="81" xfId="0" applyFont="1" applyFill="1" applyBorder="1" applyAlignment="1">
      <alignment horizontal="center" vertical="center"/>
    </xf>
    <xf numFmtId="0" fontId="30" fillId="3" borderId="80" xfId="0" applyFont="1" applyFill="1" applyBorder="1" applyAlignment="1">
      <alignment horizontal="center" vertical="center"/>
    </xf>
    <xf numFmtId="0" fontId="30" fillId="3" borderId="109" xfId="0" applyFont="1" applyFill="1" applyBorder="1" applyAlignment="1">
      <alignment horizontal="center" vertical="center"/>
    </xf>
    <xf numFmtId="0" fontId="30" fillId="3" borderId="99" xfId="0" applyFont="1" applyFill="1" applyBorder="1" applyAlignment="1">
      <alignment horizontal="center" vertical="center"/>
    </xf>
    <xf numFmtId="0" fontId="30" fillId="3" borderId="40" xfId="0" applyFont="1" applyFill="1" applyBorder="1" applyAlignment="1">
      <alignment horizontal="center" vertical="center"/>
    </xf>
    <xf numFmtId="0" fontId="31" fillId="0" borderId="117" xfId="0" applyFont="1" applyBorder="1" applyAlignment="1">
      <alignment horizontal="center" vertical="center" wrapText="1"/>
    </xf>
    <xf numFmtId="0" fontId="31" fillId="0" borderId="116" xfId="0" applyFont="1" applyBorder="1" applyAlignment="1">
      <alignment horizontal="center" vertical="center" wrapText="1"/>
    </xf>
    <xf numFmtId="165" fontId="30" fillId="3" borderId="83" xfId="1" applyNumberFormat="1" applyFont="1" applyFill="1" applyBorder="1" applyAlignment="1">
      <alignment horizontal="center" vertical="center"/>
    </xf>
    <xf numFmtId="165" fontId="30" fillId="3" borderId="29" xfId="1" applyNumberFormat="1" applyFont="1" applyFill="1" applyBorder="1" applyAlignment="1">
      <alignment horizontal="center" vertical="center"/>
    </xf>
    <xf numFmtId="165" fontId="30" fillId="3" borderId="83" xfId="1" applyNumberFormat="1" applyFont="1" applyFill="1" applyBorder="1" applyAlignment="1">
      <alignment horizontal="center" vertical="center" wrapText="1"/>
    </xf>
    <xf numFmtId="165" fontId="30" fillId="3" borderId="29" xfId="1" applyNumberFormat="1" applyFont="1" applyFill="1" applyBorder="1" applyAlignment="1">
      <alignment horizontal="center" vertical="center" wrapText="1"/>
    </xf>
    <xf numFmtId="165" fontId="30" fillId="3" borderId="75" xfId="1" applyNumberFormat="1" applyFont="1" applyFill="1" applyBorder="1" applyAlignment="1">
      <alignment horizontal="center" vertical="center"/>
    </xf>
    <xf numFmtId="165" fontId="30" fillId="3" borderId="2" xfId="1" applyNumberFormat="1" applyFont="1" applyFill="1" applyBorder="1" applyAlignment="1">
      <alignment horizontal="center" vertical="center"/>
    </xf>
    <xf numFmtId="0" fontId="30" fillId="3" borderId="83" xfId="0" applyFont="1" applyFill="1" applyBorder="1" applyAlignment="1">
      <alignment horizontal="center" vertical="center"/>
    </xf>
    <xf numFmtId="0" fontId="30" fillId="3" borderId="29" xfId="0" applyFont="1" applyFill="1" applyBorder="1" applyAlignment="1">
      <alignment horizontal="center" vertical="center"/>
    </xf>
    <xf numFmtId="0" fontId="30" fillId="3" borderId="75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29" fillId="3" borderId="39" xfId="0" applyFont="1" applyFill="1" applyBorder="1" applyAlignment="1">
      <alignment horizontal="center" vertical="center"/>
    </xf>
    <xf numFmtId="0" fontId="29" fillId="3" borderId="37" xfId="0" applyFont="1" applyFill="1" applyBorder="1" applyAlignment="1">
      <alignment horizontal="center" vertical="center"/>
    </xf>
    <xf numFmtId="165" fontId="30" fillId="3" borderId="75" xfId="1" applyNumberFormat="1" applyFont="1" applyFill="1" applyBorder="1" applyAlignment="1">
      <alignment horizontal="center" vertical="center" wrapText="1"/>
    </xf>
    <xf numFmtId="165" fontId="30" fillId="3" borderId="2" xfId="1" applyNumberFormat="1" applyFont="1" applyFill="1" applyBorder="1" applyAlignment="1">
      <alignment horizontal="center" vertical="center" wrapText="1"/>
    </xf>
    <xf numFmtId="0" fontId="30" fillId="3" borderId="75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</cellXfs>
  <cellStyles count="4">
    <cellStyle name="Comma" xfId="1" builtinId="3"/>
    <cellStyle name="Comma 10" xfId="3" xr:uid="{531ABB6D-0D0B-4EE3-B56D-8B19582EDA19}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839B-E2B3-4877-855A-725DF4BC6CF8}">
  <sheetPr>
    <tabColor theme="9" tint="0.79998168889431442"/>
  </sheetPr>
  <dimension ref="A1:AU281"/>
  <sheetViews>
    <sheetView tabSelected="1" view="pageBreakPreview" zoomScale="10" zoomScaleNormal="10" zoomScaleSheetLayoutView="10" zoomScalePageLayoutView="40" workbookViewId="0">
      <pane ySplit="3" topLeftCell="A62" activePane="bottomLeft" state="frozen"/>
      <selection pane="bottomLeft" activeCell="E85" sqref="A85:E85"/>
    </sheetView>
  </sheetViews>
  <sheetFormatPr defaultColWidth="9.26953125" defaultRowHeight="51" outlineLevelRow="2" x14ac:dyDescent="1.1000000000000001"/>
  <cols>
    <col min="1" max="1" width="45.1796875" style="4" customWidth="1"/>
    <col min="2" max="2" width="3.81640625" style="1" customWidth="1"/>
    <col min="3" max="3" width="29" style="1" bestFit="1" customWidth="1"/>
    <col min="4" max="4" width="159.54296875" style="1" bestFit="1" customWidth="1"/>
    <col min="5" max="5" width="84" style="1" customWidth="1"/>
    <col min="6" max="6" width="66.26953125" style="1" customWidth="1"/>
    <col min="7" max="9" width="85.7265625" style="1" customWidth="1"/>
    <col min="10" max="10" width="90.1796875" style="1" customWidth="1"/>
    <col min="11" max="11" width="73.453125" style="1" customWidth="1"/>
    <col min="12" max="12" width="91.7265625" style="1" customWidth="1"/>
    <col min="13" max="13" width="103.453125" style="1" customWidth="1"/>
    <col min="14" max="14" width="114.453125" style="1" bestFit="1" customWidth="1"/>
    <col min="15" max="15" width="90.81640625" style="1" bestFit="1" customWidth="1"/>
    <col min="16" max="16" width="79.54296875" style="1" bestFit="1" customWidth="1"/>
    <col min="17" max="17" width="85.7265625" style="1" bestFit="1" customWidth="1"/>
    <col min="18" max="18" width="80.1796875" style="1" customWidth="1"/>
    <col min="19" max="23" width="79.54296875" style="1" bestFit="1" customWidth="1"/>
    <col min="24" max="24" width="69.26953125" style="1" customWidth="1"/>
    <col min="25" max="25" width="75.7265625" style="3" customWidth="1"/>
    <col min="26" max="26" width="58" style="2" bestFit="1" customWidth="1"/>
    <col min="27" max="27" width="68.453125" style="1" bestFit="1" customWidth="1"/>
    <col min="28" max="29" width="9.26953125" style="1" customWidth="1"/>
    <col min="30" max="31" width="9.26953125" style="1"/>
    <col min="32" max="32" width="99.7265625" style="1" customWidth="1"/>
    <col min="33" max="33" width="24" style="1" bestFit="1" customWidth="1"/>
    <col min="34" max="46" width="9.26953125" style="1"/>
    <col min="47" max="47" width="30.54296875" style="1" customWidth="1"/>
    <col min="48" max="16384" width="9.26953125" style="1"/>
  </cols>
  <sheetData>
    <row r="1" spans="1:27" x14ac:dyDescent="1.1000000000000001">
      <c r="A1" s="125">
        <v>46143</v>
      </c>
    </row>
    <row r="2" spans="1:27" ht="78" customHeight="1" x14ac:dyDescent="1.55">
      <c r="C2" s="7"/>
      <c r="D2" s="7"/>
      <c r="E2" s="7"/>
      <c r="F2" s="7"/>
      <c r="G2" s="7"/>
      <c r="H2" s="17"/>
      <c r="I2" s="123"/>
      <c r="J2" s="124" t="s">
        <v>231</v>
      </c>
      <c r="K2" s="124"/>
      <c r="L2" s="123"/>
      <c r="M2" s="7"/>
      <c r="N2" s="122" t="s">
        <v>230</v>
      </c>
      <c r="O2" s="121">
        <v>46143</v>
      </c>
      <c r="Q2" s="122"/>
      <c r="R2" s="121"/>
      <c r="Y2" s="112"/>
      <c r="Z2" s="120"/>
    </row>
    <row r="3" spans="1:27" s="7" customFormat="1" ht="180" customHeight="1" x14ac:dyDescent="1.25">
      <c r="A3" s="4"/>
      <c r="C3" s="119" t="s">
        <v>229</v>
      </c>
      <c r="D3" s="119" t="s">
        <v>228</v>
      </c>
      <c r="E3" s="118" t="s">
        <v>227</v>
      </c>
      <c r="F3" s="117" t="s">
        <v>226</v>
      </c>
      <c r="G3" s="116" t="s">
        <v>225</v>
      </c>
      <c r="H3" s="116" t="s">
        <v>224</v>
      </c>
      <c r="I3" s="116" t="s">
        <v>223</v>
      </c>
      <c r="J3" s="116" t="s">
        <v>222</v>
      </c>
      <c r="K3" s="116" t="s">
        <v>221</v>
      </c>
      <c r="L3" s="115" t="s">
        <v>220</v>
      </c>
      <c r="M3" s="114" t="s">
        <v>219</v>
      </c>
      <c r="N3" s="113">
        <v>2026</v>
      </c>
      <c r="O3" s="113">
        <v>2027</v>
      </c>
      <c r="P3" s="113">
        <v>2028</v>
      </c>
      <c r="Q3" s="113">
        <v>2029</v>
      </c>
      <c r="R3" s="113">
        <v>2030</v>
      </c>
      <c r="S3" s="113">
        <v>2031</v>
      </c>
      <c r="T3" s="113">
        <f>+S3+1</f>
        <v>2032</v>
      </c>
      <c r="U3" s="113">
        <f>T3+1</f>
        <v>2033</v>
      </c>
      <c r="V3" s="113">
        <f>U3+1</f>
        <v>2034</v>
      </c>
      <c r="W3" s="113">
        <f>V3+1</f>
        <v>2035</v>
      </c>
      <c r="Y3" s="112"/>
      <c r="Z3" s="111"/>
    </row>
    <row r="4" spans="1:27" s="7" customFormat="1" ht="180" customHeight="1" x14ac:dyDescent="1.25">
      <c r="A4" s="4"/>
      <c r="C4" s="82">
        <v>1</v>
      </c>
      <c r="D4" s="76" t="s">
        <v>218</v>
      </c>
      <c r="E4" s="49" t="s">
        <v>16</v>
      </c>
      <c r="F4" s="33">
        <f>SUM(F5:F10)</f>
        <v>1026</v>
      </c>
      <c r="G4" s="33">
        <f>SUM(G5:G10)</f>
        <v>1560008516.7500002</v>
      </c>
      <c r="H4" s="33">
        <f>SUM(H5:H10)</f>
        <v>1560555223.2799993</v>
      </c>
      <c r="I4" s="33">
        <f>SUM(I5:I10)</f>
        <v>1557023969.95</v>
      </c>
      <c r="J4" s="33">
        <f>SUM(J5:J10)</f>
        <v>610608.84</v>
      </c>
      <c r="K4" s="42">
        <f>I4/H4</f>
        <v>0.99773718143560652</v>
      </c>
      <c r="L4" s="36">
        <f>SUM(L5:L10)</f>
        <v>3531253.1799999997</v>
      </c>
      <c r="M4" s="30">
        <f>SUM(M5:M10)</f>
        <v>2069265.8999999918</v>
      </c>
      <c r="N4" s="40">
        <f>M4-SUM(O4:W4)</f>
        <v>772553.75999999163</v>
      </c>
      <c r="O4" s="40">
        <f t="shared" ref="O4:W4" si="0">SUM(O5:O10)</f>
        <v>558962.14</v>
      </c>
      <c r="P4" s="33">
        <f t="shared" si="0"/>
        <v>368875</v>
      </c>
      <c r="Q4" s="40">
        <f t="shared" si="0"/>
        <v>368875</v>
      </c>
      <c r="R4" s="40">
        <f t="shared" si="0"/>
        <v>0</v>
      </c>
      <c r="S4" s="33">
        <f t="shared" si="0"/>
        <v>0</v>
      </c>
      <c r="T4" s="33">
        <f t="shared" si="0"/>
        <v>0</v>
      </c>
      <c r="U4" s="33">
        <f t="shared" si="0"/>
        <v>0</v>
      </c>
      <c r="V4" s="33">
        <f t="shared" si="0"/>
        <v>0</v>
      </c>
      <c r="W4" s="33">
        <f t="shared" si="0"/>
        <v>0</v>
      </c>
      <c r="X4" s="17">
        <f>_xlfn.XLOOKUP(D4,'Overdue-1'!D:D,'Overdue-1'!E:E,0)-G4</f>
        <v>0</v>
      </c>
      <c r="Y4" s="17" t="str">
        <f t="shared" ref="Y4:Y35" ca="1" si="1">_xlfn.FORMULATEXT(H4)</f>
        <v>=SUM(H5:H10)</v>
      </c>
      <c r="Z4" s="11"/>
      <c r="AA4" s="16"/>
    </row>
    <row r="5" spans="1:27" s="7" customFormat="1" ht="180" hidden="1" customHeight="1" outlineLevel="1" x14ac:dyDescent="1.25">
      <c r="A5" s="4"/>
      <c r="C5" s="82"/>
      <c r="D5" s="94" t="s">
        <v>217</v>
      </c>
      <c r="E5" s="49" t="s">
        <v>16</v>
      </c>
      <c r="F5" s="33">
        <v>90</v>
      </c>
      <c r="G5" s="33">
        <v>157655382.09999999</v>
      </c>
      <c r="H5" s="33">
        <v>158328137.53</v>
      </c>
      <c r="I5" s="33">
        <v>157426945.43000001</v>
      </c>
      <c r="J5" s="33">
        <v>0</v>
      </c>
      <c r="K5" s="42">
        <v>1</v>
      </c>
      <c r="L5" s="36">
        <v>901192.10000000009</v>
      </c>
      <c r="M5" s="30">
        <f>MAX(G5-(H5+J5),0)</f>
        <v>0</v>
      </c>
      <c r="N5" s="40">
        <v>0</v>
      </c>
      <c r="O5" s="40">
        <v>0</v>
      </c>
      <c r="P5" s="33">
        <v>0</v>
      </c>
      <c r="Q5" s="40">
        <v>0</v>
      </c>
      <c r="R5" s="40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17">
        <f>_xlfn.XLOOKUP(D5,'Overdue-1'!D:D,'Overdue-1'!E:E,0)-G5</f>
        <v>0</v>
      </c>
      <c r="Y5" s="17" t="e">
        <f t="shared" ca="1" si="1"/>
        <v>#N/A</v>
      </c>
      <c r="Z5" s="11">
        <v>0</v>
      </c>
      <c r="AA5" s="16"/>
    </row>
    <row r="6" spans="1:27" s="7" customFormat="1" ht="180" hidden="1" customHeight="1" outlineLevel="1" x14ac:dyDescent="1.25">
      <c r="A6" s="4"/>
      <c r="C6" s="82"/>
      <c r="D6" s="94" t="s">
        <v>216</v>
      </c>
      <c r="E6" s="49" t="s">
        <v>16</v>
      </c>
      <c r="F6" s="33">
        <v>78</v>
      </c>
      <c r="G6" s="33">
        <v>199205094.81999999</v>
      </c>
      <c r="H6" s="33">
        <v>199205100.17999998</v>
      </c>
      <c r="I6" s="33">
        <v>199205093.80000001</v>
      </c>
      <c r="J6" s="33">
        <v>3.0199999999999996</v>
      </c>
      <c r="K6" s="42">
        <f t="shared" ref="K6:K14" si="2">I6/H6</f>
        <v>0.99999996797270774</v>
      </c>
      <c r="L6" s="36">
        <v>6.38</v>
      </c>
      <c r="M6" s="30">
        <f>MAX(G6-(H6+J6),0)</f>
        <v>0</v>
      </c>
      <c r="N6" s="40">
        <v>0</v>
      </c>
      <c r="O6" s="40">
        <v>0</v>
      </c>
      <c r="P6" s="33">
        <v>0</v>
      </c>
      <c r="Q6" s="40">
        <v>0</v>
      </c>
      <c r="R6" s="40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17">
        <f>_xlfn.XLOOKUP(D6,'Overdue-1'!D:D,'Overdue-1'!E:E,0)-G6</f>
        <v>0</v>
      </c>
      <c r="Y6" s="17" t="e">
        <f t="shared" ca="1" si="1"/>
        <v>#N/A</v>
      </c>
      <c r="Z6" s="11">
        <v>0</v>
      </c>
      <c r="AA6" s="16"/>
    </row>
    <row r="7" spans="1:27" s="7" customFormat="1" ht="180" hidden="1" customHeight="1" outlineLevel="1" x14ac:dyDescent="1.25">
      <c r="A7" s="4"/>
      <c r="C7" s="82"/>
      <c r="D7" s="94" t="s">
        <v>215</v>
      </c>
      <c r="E7" s="49" t="s">
        <v>16</v>
      </c>
      <c r="F7" s="33">
        <v>257</v>
      </c>
      <c r="G7" s="33">
        <v>392533969.24000007</v>
      </c>
      <c r="H7" s="33">
        <v>394043349.16999972</v>
      </c>
      <c r="I7" s="33">
        <v>393770252.58000004</v>
      </c>
      <c r="J7" s="33">
        <v>1.1500000000000001</v>
      </c>
      <c r="K7" s="42">
        <f t="shared" si="2"/>
        <v>0.99930693769968482</v>
      </c>
      <c r="L7" s="36">
        <v>273096.53999999998</v>
      </c>
      <c r="M7" s="30">
        <f>MAX(G7-(H7+J7),0)</f>
        <v>0</v>
      </c>
      <c r="N7" s="40">
        <v>0</v>
      </c>
      <c r="O7" s="40">
        <v>0</v>
      </c>
      <c r="P7" s="33">
        <v>0</v>
      </c>
      <c r="Q7" s="40">
        <v>0</v>
      </c>
      <c r="R7" s="40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17">
        <f>_xlfn.XLOOKUP(D7,'Overdue-1'!D:D,'Overdue-1'!E:E,0)-G7</f>
        <v>0</v>
      </c>
      <c r="Y7" s="17" t="e">
        <f t="shared" ca="1" si="1"/>
        <v>#N/A</v>
      </c>
      <c r="Z7" s="11">
        <v>0</v>
      </c>
      <c r="AA7" s="16"/>
    </row>
    <row r="8" spans="1:27" s="7" customFormat="1" ht="150" hidden="1" customHeight="1" outlineLevel="1" x14ac:dyDescent="1.25">
      <c r="A8" s="4"/>
      <c r="C8" s="82"/>
      <c r="D8" s="109" t="s">
        <v>214</v>
      </c>
      <c r="E8" s="49" t="s">
        <v>16</v>
      </c>
      <c r="F8" s="33">
        <v>96</v>
      </c>
      <c r="G8" s="33">
        <v>161076032.54999998</v>
      </c>
      <c r="H8" s="40">
        <v>161071027.37</v>
      </c>
      <c r="I8" s="33">
        <v>160976325.80999997</v>
      </c>
      <c r="J8" s="33">
        <v>5004.6399999999994</v>
      </c>
      <c r="K8" s="34">
        <f t="shared" si="2"/>
        <v>0.99941205093463215</v>
      </c>
      <c r="L8" s="36">
        <v>94701.560000000012</v>
      </c>
      <c r="M8" s="30">
        <f>MAX(G8-(H8+J8),0)</f>
        <v>0.53999999165534973</v>
      </c>
      <c r="N8" s="40">
        <f>M8-SUM(O8:W8)</f>
        <v>0.53999999165534973</v>
      </c>
      <c r="O8" s="40">
        <v>0</v>
      </c>
      <c r="P8" s="33">
        <v>0</v>
      </c>
      <c r="Q8" s="40">
        <v>0</v>
      </c>
      <c r="R8" s="40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17">
        <f>_xlfn.XLOOKUP(D8,'Overdue-1'!D:D,'Overdue-1'!E:E,0)-G8</f>
        <v>0</v>
      </c>
      <c r="Y8" s="17" t="e">
        <f t="shared" ca="1" si="1"/>
        <v>#N/A</v>
      </c>
      <c r="Z8" s="11">
        <v>0</v>
      </c>
      <c r="AA8" s="16"/>
    </row>
    <row r="9" spans="1:27" s="7" customFormat="1" ht="150" hidden="1" customHeight="1" outlineLevel="1" x14ac:dyDescent="1.25">
      <c r="A9" s="4"/>
      <c r="C9" s="77"/>
      <c r="D9" s="110" t="s">
        <v>213</v>
      </c>
      <c r="E9" s="43" t="s">
        <v>16</v>
      </c>
      <c r="F9" s="40">
        <v>198</v>
      </c>
      <c r="G9" s="40">
        <v>358312432.18999994</v>
      </c>
      <c r="H9" s="40">
        <v>356878589.08999979</v>
      </c>
      <c r="I9" s="40">
        <v>355289739.41999996</v>
      </c>
      <c r="J9" s="40">
        <v>468638.21</v>
      </c>
      <c r="K9" s="42">
        <f t="shared" si="2"/>
        <v>0.99554792660985569</v>
      </c>
      <c r="L9" s="36">
        <v>1588849.6199999999</v>
      </c>
      <c r="M9" s="30">
        <f>SUM(N9:W9)</f>
        <v>1786525.1400000001</v>
      </c>
      <c r="N9" s="40">
        <v>489813</v>
      </c>
      <c r="O9" s="40">
        <v>558962.14</v>
      </c>
      <c r="P9" s="40">
        <v>368875</v>
      </c>
      <c r="Q9" s="40">
        <v>368875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17">
        <f>_xlfn.XLOOKUP(D9,'Overdue-1'!D:D,'Overdue-1'!E:E,0)-G9</f>
        <v>0</v>
      </c>
      <c r="Y9" s="17" t="e">
        <f t="shared" ca="1" si="1"/>
        <v>#N/A</v>
      </c>
      <c r="Z9" s="11">
        <v>0</v>
      </c>
      <c r="AA9" s="16"/>
    </row>
    <row r="10" spans="1:27" s="7" customFormat="1" ht="150" hidden="1" customHeight="1" outlineLevel="1" x14ac:dyDescent="1.25">
      <c r="A10" s="4"/>
      <c r="C10" s="82"/>
      <c r="D10" s="109" t="s">
        <v>212</v>
      </c>
      <c r="E10" s="49" t="s">
        <v>16</v>
      </c>
      <c r="F10" s="33">
        <v>307</v>
      </c>
      <c r="G10" s="33">
        <v>291225605.85000008</v>
      </c>
      <c r="H10" s="40">
        <v>291029019.93999976</v>
      </c>
      <c r="I10" s="33">
        <v>290355612.91000009</v>
      </c>
      <c r="J10" s="33">
        <v>136961.81999999998</v>
      </c>
      <c r="K10" s="34">
        <f t="shared" si="2"/>
        <v>0.99768611724652578</v>
      </c>
      <c r="L10" s="36">
        <v>673406.97999999975</v>
      </c>
      <c r="M10" s="30">
        <f>SUM(N10:W10)</f>
        <v>282740.21999999997</v>
      </c>
      <c r="N10" s="40">
        <v>282740.21999999997</v>
      </c>
      <c r="O10" s="40">
        <v>0</v>
      </c>
      <c r="P10" s="33">
        <v>0</v>
      </c>
      <c r="Q10" s="40">
        <v>0</v>
      </c>
      <c r="R10" s="40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17">
        <f>_xlfn.XLOOKUP(D10,'Overdue-1'!D:D,'Overdue-1'!E:E,0)-G10</f>
        <v>0</v>
      </c>
      <c r="Y10" s="17" t="e">
        <f t="shared" ca="1" si="1"/>
        <v>#N/A</v>
      </c>
      <c r="Z10" s="11">
        <v>0</v>
      </c>
      <c r="AA10" s="16"/>
    </row>
    <row r="11" spans="1:27" s="7" customFormat="1" ht="150" customHeight="1" collapsed="1" x14ac:dyDescent="1.25">
      <c r="A11" s="4"/>
      <c r="C11" s="82">
        <v>2</v>
      </c>
      <c r="D11" s="79" t="s">
        <v>211</v>
      </c>
      <c r="E11" s="49" t="s">
        <v>16</v>
      </c>
      <c r="F11" s="33">
        <f>SUM(F12:F16)</f>
        <v>154</v>
      </c>
      <c r="G11" s="33">
        <f>SUM(G12:G16)</f>
        <v>1875287813.0100002</v>
      </c>
      <c r="H11" s="33">
        <f>SUM(H12:H16)</f>
        <v>1868294679.8599989</v>
      </c>
      <c r="I11" s="33">
        <f>SUM(I12:I16)</f>
        <v>1863774380.1600001</v>
      </c>
      <c r="J11" s="33">
        <f>SUM(J12:J16)</f>
        <v>837382.12000000011</v>
      </c>
      <c r="K11" s="42">
        <f t="shared" si="2"/>
        <v>0.99758052102340855</v>
      </c>
      <c r="L11" s="36">
        <f t="shared" ref="L11:W11" si="3">SUM(L12:L16)</f>
        <v>4520296.7699999996</v>
      </c>
      <c r="M11" s="30">
        <f t="shared" si="3"/>
        <v>6155754.580001235</v>
      </c>
      <c r="N11" s="40">
        <f t="shared" si="3"/>
        <v>6155754.580001235</v>
      </c>
      <c r="O11" s="40">
        <f t="shared" si="3"/>
        <v>0</v>
      </c>
      <c r="P11" s="33">
        <f t="shared" si="3"/>
        <v>0</v>
      </c>
      <c r="Q11" s="40">
        <f t="shared" si="3"/>
        <v>0</v>
      </c>
      <c r="R11" s="40">
        <f t="shared" si="3"/>
        <v>0</v>
      </c>
      <c r="S11" s="33">
        <f t="shared" si="3"/>
        <v>0</v>
      </c>
      <c r="T11" s="33">
        <f t="shared" si="3"/>
        <v>0</v>
      </c>
      <c r="U11" s="33">
        <f t="shared" si="3"/>
        <v>0</v>
      </c>
      <c r="V11" s="33">
        <f t="shared" si="3"/>
        <v>0</v>
      </c>
      <c r="W11" s="33">
        <f t="shared" si="3"/>
        <v>0</v>
      </c>
      <c r="X11" s="17">
        <f>_xlfn.XLOOKUP(D11,'Overdue-1'!D:D,'Overdue-1'!E:E,0)-G11</f>
        <v>0</v>
      </c>
      <c r="Y11" s="17" t="str">
        <f t="shared" ca="1" si="1"/>
        <v>=SUM(H12:H16)</v>
      </c>
      <c r="Z11" s="11"/>
      <c r="AA11" s="16"/>
    </row>
    <row r="12" spans="1:27" s="7" customFormat="1" ht="150" hidden="1" customHeight="1" outlineLevel="1" x14ac:dyDescent="1.25">
      <c r="A12" s="4"/>
      <c r="C12" s="77"/>
      <c r="D12" s="107" t="s">
        <v>210</v>
      </c>
      <c r="E12" s="43" t="s">
        <v>16</v>
      </c>
      <c r="F12" s="40">
        <v>48</v>
      </c>
      <c r="G12" s="40">
        <v>634380816.07000017</v>
      </c>
      <c r="H12" s="40">
        <v>632814460.90999973</v>
      </c>
      <c r="I12" s="40">
        <v>632789049.27999997</v>
      </c>
      <c r="J12" s="40">
        <v>6.6599999999999993</v>
      </c>
      <c r="K12" s="42">
        <f t="shared" si="2"/>
        <v>0.9999598434745578</v>
      </c>
      <c r="L12" s="36">
        <v>25411.390000000003</v>
      </c>
      <c r="M12" s="41">
        <f>MAX(G12-(H12+J12),0)</f>
        <v>1566348.5000004768</v>
      </c>
      <c r="N12" s="40">
        <f>M12</f>
        <v>1566348.5000004768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17">
        <f>_xlfn.XLOOKUP(D12,'Overdue-1'!D:D,'Overdue-1'!E:E,0)-G12</f>
        <v>0</v>
      </c>
      <c r="Y12" s="17" t="e">
        <f t="shared" ca="1" si="1"/>
        <v>#N/A</v>
      </c>
      <c r="Z12" s="11">
        <v>0</v>
      </c>
      <c r="AA12" s="16"/>
    </row>
    <row r="13" spans="1:27" s="7" customFormat="1" ht="150" hidden="1" customHeight="1" outlineLevel="1" x14ac:dyDescent="1.25">
      <c r="A13" s="4"/>
      <c r="C13" s="82"/>
      <c r="D13" s="108" t="s">
        <v>209</v>
      </c>
      <c r="E13" s="49" t="s">
        <v>16</v>
      </c>
      <c r="F13" s="33">
        <v>24</v>
      </c>
      <c r="G13" s="33">
        <v>183681570.45999995</v>
      </c>
      <c r="H13" s="33">
        <v>182844401.50999978</v>
      </c>
      <c r="I13" s="33">
        <v>182794897.88999999</v>
      </c>
      <c r="J13" s="33">
        <v>837172.01</v>
      </c>
      <c r="K13" s="34">
        <f t="shared" si="2"/>
        <v>0.99972925821304359</v>
      </c>
      <c r="L13" s="36">
        <v>49503.619999999995</v>
      </c>
      <c r="M13" s="30">
        <f>MAX(G13-(H13+J13),0)</f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17">
        <f>_xlfn.XLOOKUP(D13,'Overdue-1'!D:D,'Overdue-1'!E:E,0)-G13</f>
        <v>0</v>
      </c>
      <c r="Y13" s="17" t="e">
        <f t="shared" ca="1" si="1"/>
        <v>#N/A</v>
      </c>
      <c r="Z13" s="11">
        <v>0</v>
      </c>
      <c r="AA13" s="16"/>
    </row>
    <row r="14" spans="1:27" s="7" customFormat="1" ht="150" hidden="1" customHeight="1" outlineLevel="1" x14ac:dyDescent="1.25">
      <c r="A14" s="4"/>
      <c r="C14" s="82"/>
      <c r="D14" s="108" t="s">
        <v>208</v>
      </c>
      <c r="E14" s="49" t="s">
        <v>16</v>
      </c>
      <c r="F14" s="33">
        <v>55</v>
      </c>
      <c r="G14" s="33">
        <v>913012779.07000017</v>
      </c>
      <c r="H14" s="33">
        <v>908423169.81999946</v>
      </c>
      <c r="I14" s="33">
        <v>903977792.04000008</v>
      </c>
      <c r="J14" s="33">
        <v>203.16999999999996</v>
      </c>
      <c r="K14" s="34">
        <f t="shared" si="2"/>
        <v>0.99510649009439045</v>
      </c>
      <c r="L14" s="36">
        <v>4445375.33</v>
      </c>
      <c r="M14" s="30">
        <f>MAX(G14-(H14+J14),0)</f>
        <v>4589406.0800007582</v>
      </c>
      <c r="N14" s="40">
        <f>M14</f>
        <v>4589406.0800007582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17">
        <f>_xlfn.XLOOKUP(D14,'Overdue-1'!D:D,'Overdue-1'!E:E,0)-G14</f>
        <v>0</v>
      </c>
      <c r="Y14" s="17" t="e">
        <f t="shared" ca="1" si="1"/>
        <v>#N/A</v>
      </c>
      <c r="Z14" s="11">
        <v>0</v>
      </c>
      <c r="AA14" s="16"/>
    </row>
    <row r="15" spans="1:27" s="7" customFormat="1" ht="150" hidden="1" customHeight="1" outlineLevel="1" x14ac:dyDescent="1.25">
      <c r="A15" s="4"/>
      <c r="C15" s="82"/>
      <c r="D15" s="108" t="s">
        <v>207</v>
      </c>
      <c r="E15" s="49" t="s">
        <v>16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4" t="str">
        <f>IFERROR(I15/H15,"-")</f>
        <v>-</v>
      </c>
      <c r="L15" s="36">
        <v>0</v>
      </c>
      <c r="M15" s="30">
        <f>MAX(G15-(H15+J15),0)</f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17">
        <f>_xlfn.XLOOKUP(D15,'Overdue-1'!D:D,'Overdue-1'!E:E,0)-G15</f>
        <v>0</v>
      </c>
      <c r="Y15" s="17" t="e">
        <f t="shared" ca="1" si="1"/>
        <v>#N/A</v>
      </c>
      <c r="Z15" s="11">
        <v>0</v>
      </c>
      <c r="AA15" s="16"/>
    </row>
    <row r="16" spans="1:27" s="7" customFormat="1" ht="150" hidden="1" customHeight="1" outlineLevel="1" x14ac:dyDescent="1.25">
      <c r="A16" s="4"/>
      <c r="C16" s="77"/>
      <c r="D16" s="96" t="s">
        <v>206</v>
      </c>
      <c r="E16" s="43" t="s">
        <v>16</v>
      </c>
      <c r="F16" s="40">
        <v>27</v>
      </c>
      <c r="G16" s="40">
        <v>144212647.40999997</v>
      </c>
      <c r="H16" s="40">
        <v>144212647.62000006</v>
      </c>
      <c r="I16" s="40">
        <v>144212640.94999999</v>
      </c>
      <c r="J16" s="40">
        <v>0.27999999999999997</v>
      </c>
      <c r="K16" s="42">
        <f t="shared" ref="K16:K23" si="4">I16/H16</f>
        <v>0.99999995374885498</v>
      </c>
      <c r="L16" s="36">
        <v>6.4300000000000006</v>
      </c>
      <c r="M16" s="30">
        <f>MAX(G16-(H16+J16),0)</f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17">
        <f>_xlfn.XLOOKUP(D16,'Overdue-1'!D:D,'Overdue-1'!E:E,0)-G16</f>
        <v>0</v>
      </c>
      <c r="Y16" s="17" t="e">
        <f t="shared" ca="1" si="1"/>
        <v>#N/A</v>
      </c>
      <c r="Z16" s="11">
        <v>0</v>
      </c>
      <c r="AA16" s="16"/>
    </row>
    <row r="17" spans="1:27" s="7" customFormat="1" ht="150" customHeight="1" collapsed="1" x14ac:dyDescent="1.25">
      <c r="A17" s="4"/>
      <c r="C17" s="77">
        <v>3</v>
      </c>
      <c r="D17" s="76" t="s">
        <v>205</v>
      </c>
      <c r="E17" s="43" t="s">
        <v>16</v>
      </c>
      <c r="F17" s="40">
        <f>SUM(F18:F21)</f>
        <v>1562</v>
      </c>
      <c r="G17" s="40">
        <f>SUM(G18:G21)</f>
        <v>1637639122.6399999</v>
      </c>
      <c r="H17" s="40">
        <f>SUM(H18:H21)</f>
        <v>1634992810.170002</v>
      </c>
      <c r="I17" s="40">
        <f>SUM(I18:I21)</f>
        <v>1632402675.8299994</v>
      </c>
      <c r="J17" s="40">
        <f>SUM(J18:J21)</f>
        <v>373043.070000001</v>
      </c>
      <c r="K17" s="42">
        <f t="shared" si="4"/>
        <v>0.99841581300915128</v>
      </c>
      <c r="L17" s="36">
        <f>SUM(L18:L21)</f>
        <v>2590134.1100000003</v>
      </c>
      <c r="M17" s="41">
        <f>SUM(M18:M21)</f>
        <v>2427182.3499988317</v>
      </c>
      <c r="N17" s="40">
        <f>M17-SUM(O17:W17)</f>
        <v>1036547.5499988319</v>
      </c>
      <c r="O17" s="40">
        <f t="shared" ref="O17:W17" si="5">SUM(O18:O21)</f>
        <v>1025238.7999999999</v>
      </c>
      <c r="P17" s="40">
        <f t="shared" si="5"/>
        <v>365396</v>
      </c>
      <c r="Q17" s="40">
        <f t="shared" si="5"/>
        <v>0</v>
      </c>
      <c r="R17" s="40">
        <f t="shared" si="5"/>
        <v>0</v>
      </c>
      <c r="S17" s="40">
        <f t="shared" si="5"/>
        <v>0</v>
      </c>
      <c r="T17" s="40">
        <f t="shared" si="5"/>
        <v>0</v>
      </c>
      <c r="U17" s="40">
        <f t="shared" si="5"/>
        <v>0</v>
      </c>
      <c r="V17" s="40">
        <f t="shared" si="5"/>
        <v>0</v>
      </c>
      <c r="W17" s="40">
        <f t="shared" si="5"/>
        <v>0</v>
      </c>
      <c r="X17" s="17">
        <f>_xlfn.XLOOKUP(D17,'Overdue-1'!D:D,'Overdue-1'!E:E,0)-G17</f>
        <v>0</v>
      </c>
      <c r="Y17" s="17" t="str">
        <f t="shared" ca="1" si="1"/>
        <v>=SUM(H18:H21)</v>
      </c>
      <c r="Z17" s="11"/>
      <c r="AA17" s="16"/>
    </row>
    <row r="18" spans="1:27" s="7" customFormat="1" ht="150" hidden="1" customHeight="1" outlineLevel="1" x14ac:dyDescent="1.25">
      <c r="A18" s="4"/>
      <c r="C18" s="82"/>
      <c r="D18" s="108" t="s">
        <v>9</v>
      </c>
      <c r="E18" s="49" t="s">
        <v>16</v>
      </c>
      <c r="F18" s="33">
        <v>452</v>
      </c>
      <c r="G18" s="33">
        <v>467951965.36000025</v>
      </c>
      <c r="H18" s="33">
        <v>466580405.23000044</v>
      </c>
      <c r="I18" s="33">
        <v>465060661.46999961</v>
      </c>
      <c r="J18" s="33">
        <v>349884.97000000108</v>
      </c>
      <c r="K18" s="42">
        <f t="shared" si="4"/>
        <v>0.99674280414915484</v>
      </c>
      <c r="L18" s="36">
        <v>1519743.5700000003</v>
      </c>
      <c r="M18" s="30">
        <f>MAX(G18-(H18+J18),0)</f>
        <v>1021675.1599997878</v>
      </c>
      <c r="N18" s="40">
        <f>M18-SUM(O18:W18)</f>
        <v>315299.55999978783</v>
      </c>
      <c r="O18" s="40">
        <v>340979.6</v>
      </c>
      <c r="P18" s="33">
        <v>365396</v>
      </c>
      <c r="Q18" s="40">
        <v>0</v>
      </c>
      <c r="R18" s="40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17">
        <f>_xlfn.XLOOKUP(D18,'Overdue-1'!D:D,'Overdue-1'!E:E,0)-G18</f>
        <v>0</v>
      </c>
      <c r="Y18" s="17" t="e">
        <f t="shared" ca="1" si="1"/>
        <v>#N/A</v>
      </c>
      <c r="Z18" s="11">
        <v>-8.9406967163085938E-7</v>
      </c>
      <c r="AA18" s="16"/>
    </row>
    <row r="19" spans="1:27" s="7" customFormat="1" ht="150" hidden="1" customHeight="1" outlineLevel="1" x14ac:dyDescent="1.25">
      <c r="A19" s="4"/>
      <c r="C19" s="82"/>
      <c r="D19" s="108" t="s">
        <v>7</v>
      </c>
      <c r="E19" s="49" t="s">
        <v>16</v>
      </c>
      <c r="F19" s="33">
        <v>330</v>
      </c>
      <c r="G19" s="33">
        <v>335073288.11000013</v>
      </c>
      <c r="H19" s="33">
        <v>334629994.64000082</v>
      </c>
      <c r="I19" s="33">
        <v>334271892.27000046</v>
      </c>
      <c r="J19" s="33">
        <v>20608.69999999995</v>
      </c>
      <c r="K19" s="42">
        <f t="shared" si="4"/>
        <v>0.99892985573398574</v>
      </c>
      <c r="L19" s="36">
        <v>358102.36999999988</v>
      </c>
      <c r="M19" s="30">
        <f>MAX(G19-(H19+J19),0)</f>
        <v>422684.76999932528</v>
      </c>
      <c r="N19" s="40">
        <f>M19-SUM(O19:W19)</f>
        <v>422684.76999932528</v>
      </c>
      <c r="O19" s="40">
        <v>0</v>
      </c>
      <c r="P19" s="33">
        <v>0</v>
      </c>
      <c r="Q19" s="40">
        <v>0</v>
      </c>
      <c r="R19" s="40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17">
        <f>_xlfn.XLOOKUP(D19,'Overdue-1'!D:D,'Overdue-1'!E:E,0)-G19</f>
        <v>0</v>
      </c>
      <c r="Y19" s="17" t="e">
        <f t="shared" ca="1" si="1"/>
        <v>#N/A</v>
      </c>
      <c r="Z19" s="11">
        <v>0</v>
      </c>
      <c r="AA19" s="16"/>
    </row>
    <row r="20" spans="1:27" s="7" customFormat="1" ht="150" hidden="1" customHeight="1" outlineLevel="1" x14ac:dyDescent="1.25">
      <c r="A20" s="4"/>
      <c r="C20" s="82"/>
      <c r="D20" s="108" t="s">
        <v>13</v>
      </c>
      <c r="E20" s="49" t="s">
        <v>16</v>
      </c>
      <c r="F20" s="33">
        <v>389</v>
      </c>
      <c r="G20" s="33">
        <v>407497568.81999987</v>
      </c>
      <c r="H20" s="33">
        <v>407651478.55000055</v>
      </c>
      <c r="I20" s="33">
        <v>407005252.28999984</v>
      </c>
      <c r="J20" s="33">
        <v>3.2200000000000006</v>
      </c>
      <c r="K20" s="42">
        <f t="shared" si="4"/>
        <v>0.99841475796359358</v>
      </c>
      <c r="L20" s="36">
        <v>646226.25000000012</v>
      </c>
      <c r="M20" s="30">
        <f>MAX(G20-(H20+J20),0)</f>
        <v>0</v>
      </c>
      <c r="N20" s="40">
        <f>M20-SUM(O20:W20)</f>
        <v>0</v>
      </c>
      <c r="O20" s="40">
        <v>0</v>
      </c>
      <c r="P20" s="33">
        <v>0</v>
      </c>
      <c r="Q20" s="40">
        <v>0</v>
      </c>
      <c r="R20" s="40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17">
        <f>_xlfn.XLOOKUP(D20,'Overdue-1'!D:D,'Overdue-1'!E:E,0)-G20</f>
        <v>0</v>
      </c>
      <c r="Y20" s="17" t="e">
        <f t="shared" ca="1" si="1"/>
        <v>#N/A</v>
      </c>
      <c r="Z20" s="11">
        <v>-8.9406967163085938E-7</v>
      </c>
      <c r="AA20" s="16"/>
    </row>
    <row r="21" spans="1:27" s="7" customFormat="1" ht="150" hidden="1" customHeight="1" outlineLevel="1" x14ac:dyDescent="1.25">
      <c r="A21" s="4"/>
      <c r="C21" s="77"/>
      <c r="D21" s="107" t="s">
        <v>11</v>
      </c>
      <c r="E21" s="49" t="s">
        <v>16</v>
      </c>
      <c r="F21" s="40">
        <v>391</v>
      </c>
      <c r="G21" s="40">
        <v>427116300.34999979</v>
      </c>
      <c r="H21" s="40">
        <v>426130931.75000006</v>
      </c>
      <c r="I21" s="40">
        <v>426064869.79999983</v>
      </c>
      <c r="J21" s="40">
        <v>2546.1800000000012</v>
      </c>
      <c r="K21" s="42">
        <f t="shared" si="4"/>
        <v>0.99984497264789274</v>
      </c>
      <c r="L21" s="46">
        <v>66061.920000000013</v>
      </c>
      <c r="M21" s="30">
        <f>MAX(G21-(H21+J21),0)</f>
        <v>982822.41999971867</v>
      </c>
      <c r="N21" s="40">
        <f>M21-SUM(O21:W21)</f>
        <v>298563.21999971871</v>
      </c>
      <c r="O21" s="40">
        <v>684259.2</v>
      </c>
      <c r="P21" s="33">
        <v>0</v>
      </c>
      <c r="Q21" s="40">
        <v>0</v>
      </c>
      <c r="R21" s="40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17">
        <f>_xlfn.XLOOKUP(D21,'Overdue-1'!D:D,'Overdue-1'!E:E,0)-G21</f>
        <v>0</v>
      </c>
      <c r="Y21" s="17" t="e">
        <f t="shared" ca="1" si="1"/>
        <v>#N/A</v>
      </c>
      <c r="Z21" s="11">
        <v>0</v>
      </c>
      <c r="AA21" s="16"/>
    </row>
    <row r="22" spans="1:27" s="7" customFormat="1" ht="150" customHeight="1" collapsed="1" x14ac:dyDescent="1.25">
      <c r="A22" s="4"/>
      <c r="C22" s="77">
        <v>4</v>
      </c>
      <c r="D22" s="79" t="s">
        <v>10</v>
      </c>
      <c r="E22" s="43" t="s">
        <v>16</v>
      </c>
      <c r="F22" s="40">
        <v>415</v>
      </c>
      <c r="G22" s="40">
        <v>776702862.11999893</v>
      </c>
      <c r="H22" s="40">
        <v>778355329.75999641</v>
      </c>
      <c r="I22" s="40">
        <v>776553473.00999916</v>
      </c>
      <c r="J22" s="40">
        <v>401335.66000000009</v>
      </c>
      <c r="K22" s="42">
        <f t="shared" si="4"/>
        <v>0.99768504604374864</v>
      </c>
      <c r="L22" s="46">
        <v>1801856.45</v>
      </c>
      <c r="M22" s="41">
        <f>SUM(N22:W22)</f>
        <v>260280.26</v>
      </c>
      <c r="N22" s="40">
        <v>84418.14</v>
      </c>
      <c r="O22" s="40">
        <v>175862.12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17">
        <f>_xlfn.XLOOKUP(D22,'Overdue-1'!D:D,'Overdue-1'!E:E,0)-G22</f>
        <v>0</v>
      </c>
      <c r="Y22" s="17" t="e">
        <f t="shared" ca="1" si="1"/>
        <v>#N/A</v>
      </c>
      <c r="Z22" s="11">
        <v>3.2186508178710938E-6</v>
      </c>
      <c r="AA22" s="16"/>
    </row>
    <row r="23" spans="1:27" s="7" customFormat="1" ht="150" customHeight="1" x14ac:dyDescent="1.25">
      <c r="A23" s="4"/>
      <c r="C23" s="77">
        <v>5</v>
      </c>
      <c r="D23" s="79" t="s">
        <v>5</v>
      </c>
      <c r="E23" s="43" t="s">
        <v>16</v>
      </c>
      <c r="F23" s="40">
        <f>F229</f>
        <v>600</v>
      </c>
      <c r="G23" s="40">
        <f>G229</f>
        <v>793673521.40999985</v>
      </c>
      <c r="H23" s="40">
        <f>H229</f>
        <v>794923048.28999949</v>
      </c>
      <c r="I23" s="40">
        <f>I229</f>
        <v>793964919.89999998</v>
      </c>
      <c r="J23" s="40">
        <f>J229</f>
        <v>0.22000000000000003</v>
      </c>
      <c r="K23" s="42">
        <f t="shared" si="4"/>
        <v>0.99879469038913815</v>
      </c>
      <c r="L23" s="46">
        <v>958128.30999999994</v>
      </c>
      <c r="M23" s="41">
        <f>SUM(N23:W23)</f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17">
        <f>_xlfn.XLOOKUP(D23,'Overdue-1'!D:D,'Overdue-1'!E:E,0)-G23</f>
        <v>0</v>
      </c>
      <c r="Y23" s="17" t="str">
        <f t="shared" ca="1" si="1"/>
        <v>=H229</v>
      </c>
      <c r="Z23" s="106"/>
      <c r="AA23" s="16"/>
    </row>
    <row r="24" spans="1:27" s="7" customFormat="1" ht="150" customHeight="1" x14ac:dyDescent="1.25">
      <c r="A24" s="4"/>
      <c r="C24" s="77">
        <v>6</v>
      </c>
      <c r="D24" s="79" t="s">
        <v>6</v>
      </c>
      <c r="E24" s="43" t="s">
        <v>16</v>
      </c>
      <c r="F24" s="40">
        <v>438</v>
      </c>
      <c r="G24" s="40">
        <v>797988715.11999989</v>
      </c>
      <c r="H24" s="40">
        <v>798746446.85000002</v>
      </c>
      <c r="I24" s="40">
        <v>797694530.77999938</v>
      </c>
      <c r="J24" s="40">
        <v>0.19000000000000003</v>
      </c>
      <c r="K24" s="42">
        <f>IFERROR(I24/H24,0)</f>
        <v>0.99868304131536478</v>
      </c>
      <c r="L24" s="46">
        <v>1051915.9399999997</v>
      </c>
      <c r="M24" s="41">
        <f>SUM(N24:W24)</f>
        <v>1102957.97</v>
      </c>
      <c r="N24" s="40">
        <v>940818.89999999991</v>
      </c>
      <c r="O24" s="40">
        <v>162139.07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17">
        <f>_xlfn.XLOOKUP(D24,'Overdue-1'!D:D,'Overdue-1'!E:E,0)-G24</f>
        <v>0</v>
      </c>
      <c r="Y24" s="17" t="e">
        <f t="shared" ca="1" si="1"/>
        <v>#N/A</v>
      </c>
      <c r="Z24" s="11">
        <v>-1.1920928955078125E-6</v>
      </c>
      <c r="AA24" s="16"/>
    </row>
    <row r="25" spans="1:27" s="7" customFormat="1" ht="150" customHeight="1" x14ac:dyDescent="1.25">
      <c r="A25" s="4"/>
      <c r="C25" s="82">
        <v>7</v>
      </c>
      <c r="D25" s="39" t="s">
        <v>204</v>
      </c>
      <c r="E25" s="32" t="s">
        <v>16</v>
      </c>
      <c r="F25" s="29">
        <v>399</v>
      </c>
      <c r="G25" s="29">
        <v>802635089.07000005</v>
      </c>
      <c r="H25" s="29">
        <v>677960738.09999609</v>
      </c>
      <c r="I25" s="29">
        <v>666711599.26999962</v>
      </c>
      <c r="J25" s="29">
        <v>57228840.810000025</v>
      </c>
      <c r="K25" s="31">
        <f>IFERROR(I25/H25,0)</f>
        <v>0.98340738895658986</v>
      </c>
      <c r="L25" s="105">
        <v>11249138.710000006</v>
      </c>
      <c r="M25" s="30">
        <f>MAX(G25-(H25+J25),0)</f>
        <v>67445510.160003901</v>
      </c>
      <c r="N25" s="40">
        <f t="shared" ref="N25:N30" si="6">M25-SUM(O25:W25)</f>
        <v>66338413.250003904</v>
      </c>
      <c r="O25" s="29">
        <v>1107096.9099999999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17">
        <f>_xlfn.XLOOKUP(D25,'Overdue-1'!D:D,'Overdue-1'!E:E,0)-G25</f>
        <v>0</v>
      </c>
      <c r="Y25" s="17" t="e">
        <f t="shared" ca="1" si="1"/>
        <v>#N/A</v>
      </c>
      <c r="Z25" s="11">
        <v>3.2186508178710938E-6</v>
      </c>
      <c r="AA25" s="16"/>
    </row>
    <row r="26" spans="1:27" s="7" customFormat="1" ht="150" customHeight="1" x14ac:dyDescent="1.25">
      <c r="A26" s="4"/>
      <c r="C26" s="77">
        <v>8</v>
      </c>
      <c r="D26" s="76" t="s">
        <v>203</v>
      </c>
      <c r="E26" s="49" t="s">
        <v>16</v>
      </c>
      <c r="F26" s="33">
        <f>SUM(F27:F30)</f>
        <v>976</v>
      </c>
      <c r="G26" s="33">
        <f>SUM(G27:G30)</f>
        <v>2548741854.77</v>
      </c>
      <c r="H26" s="33">
        <f>SUM(H27:H30)</f>
        <v>1860490380.8199992</v>
      </c>
      <c r="I26" s="33">
        <f>SUM(I27:I30)</f>
        <v>1749557552.6000006</v>
      </c>
      <c r="J26" s="33">
        <f>SUM(J27:J30)</f>
        <v>88303513.029999986</v>
      </c>
      <c r="K26" s="34">
        <f t="shared" ref="K26:K44" si="7">I26/H26</f>
        <v>0.94037441452876225</v>
      </c>
      <c r="L26" s="36">
        <f>SUM(L27:L30)</f>
        <v>110932827.58000004</v>
      </c>
      <c r="M26" s="30">
        <f>SUM(M27:M30)</f>
        <v>602330643.2590009</v>
      </c>
      <c r="N26" s="40">
        <f t="shared" si="6"/>
        <v>136603039.37900043</v>
      </c>
      <c r="O26" s="40">
        <f t="shared" ref="O26:W26" si="8">SUM(O27:O30)</f>
        <v>308054849.1200003</v>
      </c>
      <c r="P26" s="33">
        <f t="shared" si="8"/>
        <v>157672754.76000017</v>
      </c>
      <c r="Q26" s="40">
        <f t="shared" si="8"/>
        <v>0</v>
      </c>
      <c r="R26" s="40">
        <f t="shared" si="8"/>
        <v>0</v>
      </c>
      <c r="S26" s="33">
        <f t="shared" si="8"/>
        <v>0</v>
      </c>
      <c r="T26" s="33">
        <f t="shared" si="8"/>
        <v>0</v>
      </c>
      <c r="U26" s="33">
        <f t="shared" si="8"/>
        <v>0</v>
      </c>
      <c r="V26" s="33">
        <f t="shared" si="8"/>
        <v>0</v>
      </c>
      <c r="W26" s="33">
        <f t="shared" si="8"/>
        <v>0</v>
      </c>
      <c r="X26" s="17">
        <f>_xlfn.XLOOKUP(D26,'Overdue-1'!D:D,'Overdue-1'!E:E,0)-G26</f>
        <v>0</v>
      </c>
      <c r="Y26" s="17" t="str">
        <f t="shared" ca="1" si="1"/>
        <v>=SUM(H27:H30)</v>
      </c>
      <c r="Z26" s="11"/>
      <c r="AA26" s="16"/>
    </row>
    <row r="27" spans="1:27" s="7" customFormat="1" ht="150" hidden="1" customHeight="1" outlineLevel="1" x14ac:dyDescent="1.25">
      <c r="A27" s="4"/>
      <c r="C27" s="77"/>
      <c r="D27" s="94" t="s">
        <v>202</v>
      </c>
      <c r="E27" s="49" t="s">
        <v>16</v>
      </c>
      <c r="F27" s="33">
        <v>317</v>
      </c>
      <c r="G27" s="33">
        <v>862944444.54999995</v>
      </c>
      <c r="H27" s="33">
        <v>635759669.01999819</v>
      </c>
      <c r="I27" s="33">
        <v>591046637.77999961</v>
      </c>
      <c r="J27" s="33">
        <v>23092171.729999993</v>
      </c>
      <c r="K27" s="34">
        <f t="shared" si="7"/>
        <v>0.92966991550608713</v>
      </c>
      <c r="L27" s="36">
        <v>44713031.140000015</v>
      </c>
      <c r="M27" s="30">
        <f>MAX(G27-(H27+J27),0)</f>
        <v>204092603.80000174</v>
      </c>
      <c r="N27" s="40">
        <f t="shared" si="6"/>
        <v>47056546.070001423</v>
      </c>
      <c r="O27" s="40">
        <v>103871683.5200002</v>
      </c>
      <c r="P27" s="33">
        <v>53164374.210000113</v>
      </c>
      <c r="Q27" s="40">
        <v>0</v>
      </c>
      <c r="R27" s="40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17">
        <f>_xlfn.XLOOKUP(D27,'Overdue-1'!D:D,'Overdue-1'!E:E,0)-G27</f>
        <v>0</v>
      </c>
      <c r="Y27" s="17" t="e">
        <f t="shared" ca="1" si="1"/>
        <v>#N/A</v>
      </c>
      <c r="Z27" s="11">
        <v>2.1457672119140625E-6</v>
      </c>
      <c r="AA27" s="16"/>
    </row>
    <row r="28" spans="1:27" s="7" customFormat="1" ht="150" hidden="1" customHeight="1" outlineLevel="1" x14ac:dyDescent="1.25">
      <c r="A28" s="4"/>
      <c r="C28" s="77"/>
      <c r="D28" s="94" t="s">
        <v>201</v>
      </c>
      <c r="E28" s="49" t="s">
        <v>16</v>
      </c>
      <c r="F28" s="33">
        <v>353</v>
      </c>
      <c r="G28" s="33">
        <v>769607765.77999997</v>
      </c>
      <c r="H28" s="33">
        <v>519359967.34999776</v>
      </c>
      <c r="I28" s="33">
        <v>498149880.93000036</v>
      </c>
      <c r="J28" s="33">
        <v>47316206.399999984</v>
      </c>
      <c r="K28" s="34">
        <f t="shared" si="7"/>
        <v>0.95916110645142605</v>
      </c>
      <c r="L28" s="36">
        <v>21210086.129999992</v>
      </c>
      <c r="M28" s="30">
        <f>MAX(G28-(H28+J28),0)</f>
        <v>202931592.03000224</v>
      </c>
      <c r="N28" s="40">
        <f t="shared" si="6"/>
        <v>45806587.520002186</v>
      </c>
      <c r="O28" s="40">
        <v>103804754.24000002</v>
      </c>
      <c r="P28" s="33">
        <v>53320250.270000026</v>
      </c>
      <c r="Q28" s="40">
        <v>0</v>
      </c>
      <c r="R28" s="40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17">
        <f>_xlfn.XLOOKUP(D28,'Overdue-1'!D:D,'Overdue-1'!E:E,0)-G28</f>
        <v>0</v>
      </c>
      <c r="Y28" s="17" t="e">
        <f t="shared" ca="1" si="1"/>
        <v>#N/A</v>
      </c>
      <c r="Z28" s="11">
        <v>3.2186508178710938E-6</v>
      </c>
      <c r="AA28" s="16"/>
    </row>
    <row r="29" spans="1:27" s="7" customFormat="1" ht="150" hidden="1" customHeight="1" outlineLevel="1" x14ac:dyDescent="1.25">
      <c r="A29" s="4"/>
      <c r="C29" s="77"/>
      <c r="D29" s="94" t="s">
        <v>200</v>
      </c>
      <c r="E29" s="49" t="s">
        <v>16</v>
      </c>
      <c r="F29" s="33">
        <v>286</v>
      </c>
      <c r="G29" s="33">
        <v>868535997.65999997</v>
      </c>
      <c r="H29" s="33">
        <v>658307063.47000301</v>
      </c>
      <c r="I29" s="33">
        <v>614289798.53000057</v>
      </c>
      <c r="J29" s="33">
        <v>17875389.610000003</v>
      </c>
      <c r="K29" s="34">
        <f t="shared" si="7"/>
        <v>0.93313566360964895</v>
      </c>
      <c r="L29" s="36">
        <v>44017264.690000027</v>
      </c>
      <c r="M29" s="30">
        <f>MAX(G29-(H29+J29),0)</f>
        <v>192353544.57999694</v>
      </c>
      <c r="N29" s="40">
        <f t="shared" si="6"/>
        <v>43016489.059996784</v>
      </c>
      <c r="O29" s="40">
        <v>98892087.28000012</v>
      </c>
      <c r="P29" s="33">
        <v>50444968.240000047</v>
      </c>
      <c r="Q29" s="40">
        <v>0</v>
      </c>
      <c r="R29" s="40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17">
        <f>_xlfn.XLOOKUP(D29,'Overdue-1'!D:D,'Overdue-1'!E:E,0)-G29</f>
        <v>0</v>
      </c>
      <c r="Y29" s="17" t="e">
        <f t="shared" ca="1" si="1"/>
        <v>#N/A</v>
      </c>
      <c r="Z29" s="11">
        <v>-2177912.500002265</v>
      </c>
      <c r="AA29" s="16"/>
    </row>
    <row r="30" spans="1:27" s="7" customFormat="1" ht="150" hidden="1" customHeight="1" outlineLevel="1" x14ac:dyDescent="1.25">
      <c r="A30" s="4"/>
      <c r="C30" s="77"/>
      <c r="D30" s="94" t="s">
        <v>199</v>
      </c>
      <c r="E30" s="49" t="s">
        <v>16</v>
      </c>
      <c r="F30" s="33">
        <v>20</v>
      </c>
      <c r="G30" s="33">
        <v>47653646.780000001</v>
      </c>
      <c r="H30" s="33">
        <v>47063680.979999997</v>
      </c>
      <c r="I30" s="33">
        <v>46071235.359999999</v>
      </c>
      <c r="J30" s="33">
        <v>19745.29</v>
      </c>
      <c r="K30" s="34">
        <f t="shared" si="7"/>
        <v>0.97891270722275758</v>
      </c>
      <c r="L30" s="36">
        <v>992445.62000000011</v>
      </c>
      <c r="M30" s="30">
        <f>MAX(1.05*G30-(H30+J30),0)</f>
        <v>2952902.8490000069</v>
      </c>
      <c r="N30" s="40">
        <f t="shared" si="6"/>
        <v>723416.7290000068</v>
      </c>
      <c r="O30" s="40">
        <v>1486324.08</v>
      </c>
      <c r="P30" s="33">
        <v>743162.04</v>
      </c>
      <c r="Q30" s="40">
        <v>0</v>
      </c>
      <c r="R30" s="40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17">
        <f>_xlfn.XLOOKUP(D30,'Overdue-1'!D:D,'Overdue-1'!E:E,0)-G30</f>
        <v>0</v>
      </c>
      <c r="Y30" s="17" t="e">
        <f t="shared" ca="1" si="1"/>
        <v>#N/A</v>
      </c>
      <c r="Z30" s="11">
        <v>0</v>
      </c>
      <c r="AA30" s="16"/>
    </row>
    <row r="31" spans="1:27" s="7" customFormat="1" ht="150" customHeight="1" collapsed="1" x14ac:dyDescent="1.25">
      <c r="A31" s="4"/>
      <c r="C31" s="77">
        <v>9</v>
      </c>
      <c r="D31" s="79" t="s">
        <v>198</v>
      </c>
      <c r="E31" s="43" t="s">
        <v>16</v>
      </c>
      <c r="F31" s="40">
        <v>357</v>
      </c>
      <c r="G31" s="40">
        <v>1007360090.5500002</v>
      </c>
      <c r="H31" s="40">
        <v>598134517.1899991</v>
      </c>
      <c r="I31" s="40">
        <v>588102005.86999953</v>
      </c>
      <c r="J31" s="40">
        <v>101762337.62999991</v>
      </c>
      <c r="K31" s="42">
        <f t="shared" si="7"/>
        <v>0.98322699822252069</v>
      </c>
      <c r="L31" s="36">
        <v>10032510.960000001</v>
      </c>
      <c r="M31" s="41">
        <f t="shared" ref="M31:M62" si="9">MAX(G31-(H31+J31),0)</f>
        <v>307463235.73000121</v>
      </c>
      <c r="N31" s="40">
        <f>M31</f>
        <v>307463235.73000121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17">
        <f>_xlfn.XLOOKUP(D31,'Overdue-1'!D:D,'Overdue-1'!E:E,0)-G31</f>
        <v>0</v>
      </c>
      <c r="Y31" s="17" t="e">
        <f t="shared" ca="1" si="1"/>
        <v>#N/A</v>
      </c>
      <c r="Z31" s="11">
        <v>0</v>
      </c>
      <c r="AA31" s="16"/>
    </row>
    <row r="32" spans="1:27" s="7" customFormat="1" ht="150" customHeight="1" x14ac:dyDescent="1.25">
      <c r="A32" s="4"/>
      <c r="C32" s="77">
        <v>10</v>
      </c>
      <c r="D32" s="76" t="s">
        <v>197</v>
      </c>
      <c r="E32" s="49" t="s">
        <v>16</v>
      </c>
      <c r="F32" s="33">
        <f>SUM(F33:F35)</f>
        <v>1324</v>
      </c>
      <c r="G32" s="33">
        <f>SUM(G33:G35)</f>
        <v>2541198797.9000025</v>
      </c>
      <c r="H32" s="33">
        <f>SUM(H33:H35)</f>
        <v>1548350914.5199885</v>
      </c>
      <c r="I32" s="33">
        <f>SUM(I33:I35)</f>
        <v>1527323781.1800008</v>
      </c>
      <c r="J32" s="33">
        <f>SUM(J33:J35)</f>
        <v>184292194.43000007</v>
      </c>
      <c r="K32" s="34">
        <f t="shared" si="7"/>
        <v>0.98641965904317852</v>
      </c>
      <c r="L32" s="36">
        <f>SUM(L33:L35)</f>
        <v>20972071.429999996</v>
      </c>
      <c r="M32" s="30">
        <f t="shared" si="9"/>
        <v>808555688.95001388</v>
      </c>
      <c r="N32" s="40">
        <f>M32</f>
        <v>808555688.95001388</v>
      </c>
      <c r="O32" s="40">
        <v>0</v>
      </c>
      <c r="P32" s="33">
        <v>0</v>
      </c>
      <c r="Q32" s="40">
        <v>0</v>
      </c>
      <c r="R32" s="40">
        <v>0</v>
      </c>
      <c r="S32" s="33">
        <v>0</v>
      </c>
      <c r="T32" s="33">
        <v>0</v>
      </c>
      <c r="U32" s="33">
        <v>0</v>
      </c>
      <c r="V32" s="33">
        <v>0</v>
      </c>
      <c r="W32" s="33">
        <v>0</v>
      </c>
      <c r="X32" s="17">
        <f>_xlfn.XLOOKUP(D32,'Overdue-1'!D:D,'Overdue-1'!E:E,0)-G32</f>
        <v>0</v>
      </c>
      <c r="Y32" s="17" t="str">
        <f t="shared" ca="1" si="1"/>
        <v>=SUM(H33:H35)</v>
      </c>
      <c r="Z32" s="11"/>
      <c r="AA32" s="16"/>
    </row>
    <row r="33" spans="1:27" s="7" customFormat="1" ht="150" hidden="1" customHeight="1" outlineLevel="1" x14ac:dyDescent="1.25">
      <c r="A33" s="4"/>
      <c r="C33" s="77"/>
      <c r="D33" s="94" t="s">
        <v>196</v>
      </c>
      <c r="E33" s="49" t="s">
        <v>16</v>
      </c>
      <c r="F33" s="33">
        <v>631</v>
      </c>
      <c r="G33" s="33">
        <v>1017869953.77</v>
      </c>
      <c r="H33" s="33">
        <v>626245285.1399982</v>
      </c>
      <c r="I33" s="33">
        <v>617990968.49000013</v>
      </c>
      <c r="J33" s="33">
        <v>67154177.470000044</v>
      </c>
      <c r="K33" s="34">
        <f t="shared" si="7"/>
        <v>0.98681935521773578</v>
      </c>
      <c r="L33" s="36">
        <v>8254316.509999997</v>
      </c>
      <c r="M33" s="30">
        <f t="shared" si="9"/>
        <v>324470491.16000175</v>
      </c>
      <c r="N33" s="40">
        <f>M33-SUM(O33:W33)</f>
        <v>324062936.98000175</v>
      </c>
      <c r="O33" s="40">
        <v>407554.18</v>
      </c>
      <c r="P33" s="33">
        <v>0</v>
      </c>
      <c r="Q33" s="40">
        <v>0</v>
      </c>
      <c r="R33" s="40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17">
        <f>_xlfn.XLOOKUP(D33,'Overdue-1'!D:D,'Overdue-1'!E:E,0)-G33</f>
        <v>0</v>
      </c>
      <c r="Y33" s="17" t="e">
        <f t="shared" ca="1" si="1"/>
        <v>#N/A</v>
      </c>
      <c r="Z33" s="11">
        <v>2.1457672119140625E-6</v>
      </c>
      <c r="AA33" s="16"/>
    </row>
    <row r="34" spans="1:27" s="7" customFormat="1" ht="150" hidden="1" customHeight="1" outlineLevel="1" x14ac:dyDescent="1.25">
      <c r="A34" s="4"/>
      <c r="C34" s="77"/>
      <c r="D34" s="94" t="s">
        <v>195</v>
      </c>
      <c r="E34" s="49" t="s">
        <v>16</v>
      </c>
      <c r="F34" s="33">
        <v>681</v>
      </c>
      <c r="G34" s="33">
        <v>1470983486.8800027</v>
      </c>
      <c r="H34" s="33">
        <v>889723568.8199904</v>
      </c>
      <c r="I34" s="33">
        <v>877322143.73000073</v>
      </c>
      <c r="J34" s="33">
        <v>108950023.01000005</v>
      </c>
      <c r="K34" s="34">
        <f t="shared" si="7"/>
        <v>0.9860614852471119</v>
      </c>
      <c r="L34" s="36">
        <v>12401424.919999998</v>
      </c>
      <c r="M34" s="30">
        <f t="shared" si="9"/>
        <v>472309895.05001235</v>
      </c>
      <c r="N34" s="40">
        <f>M34</f>
        <v>472309895.05001235</v>
      </c>
      <c r="O34" s="40">
        <v>0</v>
      </c>
      <c r="P34" s="33">
        <v>0</v>
      </c>
      <c r="Q34" s="40">
        <v>0</v>
      </c>
      <c r="R34" s="40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17">
        <f>_xlfn.XLOOKUP(D34,'Overdue-1'!D:D,'Overdue-1'!E:E,0)-G34</f>
        <v>0</v>
      </c>
      <c r="Y34" s="17" t="e">
        <f t="shared" ca="1" si="1"/>
        <v>#N/A</v>
      </c>
      <c r="Z34" s="11">
        <v>1.0371208190917969E-5</v>
      </c>
      <c r="AA34" s="16"/>
    </row>
    <row r="35" spans="1:27" s="7" customFormat="1" ht="150" hidden="1" customHeight="1" outlineLevel="1" x14ac:dyDescent="1.25">
      <c r="A35" s="4"/>
      <c r="C35" s="77"/>
      <c r="D35" s="94" t="s">
        <v>194</v>
      </c>
      <c r="E35" s="49" t="s">
        <v>16</v>
      </c>
      <c r="F35" s="33">
        <v>12</v>
      </c>
      <c r="G35" s="33">
        <v>52345357.25</v>
      </c>
      <c r="H35" s="33">
        <v>32382060.560000002</v>
      </c>
      <c r="I35" s="33">
        <v>32010668.960000001</v>
      </c>
      <c r="J35" s="33">
        <v>8187993.9500000002</v>
      </c>
      <c r="K35" s="34">
        <f t="shared" si="7"/>
        <v>0.98853094603686942</v>
      </c>
      <c r="L35" s="36">
        <v>316330</v>
      </c>
      <c r="M35" s="30">
        <f t="shared" si="9"/>
        <v>11775302.739999995</v>
      </c>
      <c r="N35" s="40">
        <f>M35</f>
        <v>11775302.739999995</v>
      </c>
      <c r="O35" s="40">
        <v>0</v>
      </c>
      <c r="P35" s="33">
        <v>0</v>
      </c>
      <c r="Q35" s="40">
        <v>0</v>
      </c>
      <c r="R35" s="40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17">
        <f>_xlfn.XLOOKUP(D35,'Overdue-1'!D:D,'Overdue-1'!E:E,0)-G35</f>
        <v>0</v>
      </c>
      <c r="Y35" s="17" t="e">
        <f t="shared" ca="1" si="1"/>
        <v>#N/A</v>
      </c>
      <c r="Z35" s="11">
        <v>0</v>
      </c>
      <c r="AA35" s="16"/>
    </row>
    <row r="36" spans="1:27" s="7" customFormat="1" ht="150" customHeight="1" collapsed="1" x14ac:dyDescent="1.25">
      <c r="A36" s="4"/>
      <c r="C36" s="77">
        <v>11</v>
      </c>
      <c r="D36" s="79" t="s">
        <v>193</v>
      </c>
      <c r="E36" s="43" t="s">
        <v>16</v>
      </c>
      <c r="F36" s="40">
        <f>SUM(F37:F39)</f>
        <v>680</v>
      </c>
      <c r="G36" s="40">
        <f>SUM(G37:G39)</f>
        <v>5301963228.2799997</v>
      </c>
      <c r="H36" s="40">
        <f>SUM(H37:H39)</f>
        <v>3061852349.7400026</v>
      </c>
      <c r="I36" s="40">
        <f>SUM(I37:I39)</f>
        <v>2861273379.0300007</v>
      </c>
      <c r="J36" s="40">
        <f>SUM(J37:J39)</f>
        <v>258975239.60000002</v>
      </c>
      <c r="K36" s="42">
        <f t="shared" si="7"/>
        <v>0.93449097219628041</v>
      </c>
      <c r="L36" s="46">
        <f>SUM(L37:L39)</f>
        <v>200578968.11000001</v>
      </c>
      <c r="M36" s="41">
        <f t="shared" si="9"/>
        <v>1981135638.9399972</v>
      </c>
      <c r="N36" s="40">
        <f>M36-SUM(O36:W36)</f>
        <v>965452935.35999727</v>
      </c>
      <c r="O36" s="40">
        <f t="shared" ref="O36:W36" si="10">SUM(O37:O39)</f>
        <v>1015682703.5799999</v>
      </c>
      <c r="P36" s="40">
        <f t="shared" si="10"/>
        <v>0</v>
      </c>
      <c r="Q36" s="40">
        <f t="shared" si="10"/>
        <v>0</v>
      </c>
      <c r="R36" s="40">
        <f t="shared" si="10"/>
        <v>0</v>
      </c>
      <c r="S36" s="40">
        <f t="shared" si="10"/>
        <v>0</v>
      </c>
      <c r="T36" s="40">
        <f t="shared" si="10"/>
        <v>0</v>
      </c>
      <c r="U36" s="40">
        <f t="shared" si="10"/>
        <v>0</v>
      </c>
      <c r="V36" s="40">
        <f t="shared" si="10"/>
        <v>0</v>
      </c>
      <c r="W36" s="40">
        <f t="shared" si="10"/>
        <v>0</v>
      </c>
      <c r="X36" s="17">
        <f>_xlfn.XLOOKUP(D36,'Overdue-1'!D:D,'Overdue-1'!E:E,0)-G36</f>
        <v>-5301963228.2799997</v>
      </c>
      <c r="Y36" s="17" t="str">
        <f t="shared" ref="Y36:Y67" ca="1" si="11">_xlfn.FORMULATEXT(H36)</f>
        <v>=SUM(H37:H39)</v>
      </c>
      <c r="Z36" s="11"/>
      <c r="AA36" s="16"/>
    </row>
    <row r="37" spans="1:27" s="7" customFormat="1" ht="150" hidden="1" customHeight="1" outlineLevel="1" x14ac:dyDescent="1.25">
      <c r="A37" s="4"/>
      <c r="C37" s="77"/>
      <c r="D37" s="78" t="s">
        <v>192</v>
      </c>
      <c r="E37" s="43" t="s">
        <v>16</v>
      </c>
      <c r="F37" s="40">
        <v>315</v>
      </c>
      <c r="G37" s="40">
        <v>2615490904.3499999</v>
      </c>
      <c r="H37" s="40">
        <v>1736493994.8900018</v>
      </c>
      <c r="I37" s="40">
        <v>1604216341.1900008</v>
      </c>
      <c r="J37" s="40">
        <v>145719771.67000002</v>
      </c>
      <c r="K37" s="42">
        <f t="shared" si="7"/>
        <v>0.92382487121219203</v>
      </c>
      <c r="L37" s="36">
        <v>132277651.73000002</v>
      </c>
      <c r="M37" s="41">
        <f t="shared" si="9"/>
        <v>733277137.78999805</v>
      </c>
      <c r="N37" s="40">
        <f>M37</f>
        <v>733277137.78999805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17">
        <f>_xlfn.XLOOKUP(D37,'Overdue-1'!D:D,'Overdue-1'!E:E,0)-G37</f>
        <v>0</v>
      </c>
      <c r="Y37" s="17" t="e">
        <f t="shared" ca="1" si="11"/>
        <v>#N/A</v>
      </c>
      <c r="Z37" s="11">
        <v>1592974.799998045</v>
      </c>
      <c r="AA37" s="16"/>
    </row>
    <row r="38" spans="1:27" s="7" customFormat="1" ht="150" hidden="1" customHeight="1" outlineLevel="1" x14ac:dyDescent="1.25">
      <c r="A38" s="4"/>
      <c r="C38" s="77"/>
      <c r="D38" s="78" t="s">
        <v>191</v>
      </c>
      <c r="E38" s="43" t="s">
        <v>16</v>
      </c>
      <c r="F38" s="40">
        <v>223</v>
      </c>
      <c r="G38" s="40">
        <v>1512285647.21</v>
      </c>
      <c r="H38" s="40">
        <v>799332322.49000072</v>
      </c>
      <c r="I38" s="40">
        <v>761723950.79999995</v>
      </c>
      <c r="J38" s="40">
        <v>33855060.810000002</v>
      </c>
      <c r="K38" s="42">
        <f t="shared" si="7"/>
        <v>0.95295026782747017</v>
      </c>
      <c r="L38" s="36">
        <v>37608371.609999992</v>
      </c>
      <c r="M38" s="41">
        <f t="shared" si="9"/>
        <v>679098263.90999937</v>
      </c>
      <c r="N38" s="40">
        <f>M38-SUM(O38:W38)</f>
        <v>138570512.8799994</v>
      </c>
      <c r="O38" s="40">
        <v>540527751.02999997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17">
        <f>_xlfn.XLOOKUP(D38,'Overdue-1'!D:D,'Overdue-1'!E:E,0)-G38</f>
        <v>0</v>
      </c>
      <c r="Y38" s="17" t="e">
        <f t="shared" ca="1" si="11"/>
        <v>#N/A</v>
      </c>
      <c r="Z38" s="11">
        <v>1527856.7999992371</v>
      </c>
      <c r="AA38" s="16"/>
    </row>
    <row r="39" spans="1:27" s="7" customFormat="1" ht="150" hidden="1" customHeight="1" outlineLevel="1" x14ac:dyDescent="1.25">
      <c r="A39" s="4"/>
      <c r="C39" s="77"/>
      <c r="D39" s="78" t="s">
        <v>190</v>
      </c>
      <c r="E39" s="43" t="s">
        <v>16</v>
      </c>
      <c r="F39" s="40">
        <v>142</v>
      </c>
      <c r="G39" s="40">
        <v>1174186676.72</v>
      </c>
      <c r="H39" s="40">
        <v>526026032.36000037</v>
      </c>
      <c r="I39" s="40">
        <v>495333087.03999996</v>
      </c>
      <c r="J39" s="40">
        <v>79400407.11999999</v>
      </c>
      <c r="K39" s="42">
        <f t="shared" si="7"/>
        <v>0.94165128067465143</v>
      </c>
      <c r="L39" s="36">
        <v>30692944.770000003</v>
      </c>
      <c r="M39" s="41">
        <f t="shared" si="9"/>
        <v>568760237.23999965</v>
      </c>
      <c r="N39" s="40">
        <f>M39-SUM(O39:W39)</f>
        <v>93605284.68999964</v>
      </c>
      <c r="O39" s="40">
        <v>475154952.55000001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17">
        <f>_xlfn.XLOOKUP(D39,'Overdue-1'!D:D,'Overdue-1'!E:E,0)-G39</f>
        <v>0</v>
      </c>
      <c r="Y39" s="17" t="e">
        <f t="shared" ca="1" si="11"/>
        <v>#N/A</v>
      </c>
      <c r="Z39" s="11">
        <v>0</v>
      </c>
      <c r="AA39" s="16"/>
    </row>
    <row r="40" spans="1:27" s="7" customFormat="1" ht="150" customHeight="1" collapsed="1" x14ac:dyDescent="1.25">
      <c r="A40" s="4"/>
      <c r="C40" s="77">
        <v>12</v>
      </c>
      <c r="D40" s="76" t="s">
        <v>189</v>
      </c>
      <c r="E40" s="49" t="s">
        <v>16</v>
      </c>
      <c r="F40" s="33">
        <v>606</v>
      </c>
      <c r="G40" s="33">
        <v>1535529679.7600019</v>
      </c>
      <c r="H40" s="33">
        <v>891061974.60999799</v>
      </c>
      <c r="I40" s="33">
        <v>863327073.92000043</v>
      </c>
      <c r="J40" s="33">
        <v>62673788.359999962</v>
      </c>
      <c r="K40" s="34">
        <f t="shared" si="7"/>
        <v>0.96887433031564762</v>
      </c>
      <c r="L40" s="36">
        <v>27734900.610000011</v>
      </c>
      <c r="M40" s="30">
        <f t="shared" si="9"/>
        <v>581793916.7900039</v>
      </c>
      <c r="N40" s="40">
        <f>M40-SUM(O40:W40)</f>
        <v>581793916.7900039</v>
      </c>
      <c r="O40" s="40">
        <v>0</v>
      </c>
      <c r="P40" s="33">
        <v>0</v>
      </c>
      <c r="Q40" s="40">
        <v>0</v>
      </c>
      <c r="R40" s="40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17">
        <f>_xlfn.XLOOKUP(D40,'Overdue-1'!D:D,'Overdue-1'!E:E,0)-G40</f>
        <v>0</v>
      </c>
      <c r="Y40" s="17" t="e">
        <f t="shared" ca="1" si="11"/>
        <v>#N/A</v>
      </c>
      <c r="Z40" s="11">
        <v>376077.20000195503</v>
      </c>
      <c r="AA40" s="16"/>
    </row>
    <row r="41" spans="1:27" s="7" customFormat="1" ht="150" customHeight="1" x14ac:dyDescent="1.25">
      <c r="A41" s="4"/>
      <c r="C41" s="77">
        <v>13</v>
      </c>
      <c r="D41" s="79" t="s">
        <v>188</v>
      </c>
      <c r="E41" s="49" t="s">
        <v>16</v>
      </c>
      <c r="F41" s="33">
        <f>SUM(F42:F45)</f>
        <v>104</v>
      </c>
      <c r="G41" s="33">
        <f>SUM(G42:G45)</f>
        <v>2966057520.7600002</v>
      </c>
      <c r="H41" s="33">
        <f>SUM(H42:H45)</f>
        <v>1619130627.4600003</v>
      </c>
      <c r="I41" s="33">
        <f>SUM(I42:I45)</f>
        <v>1505348877.3899999</v>
      </c>
      <c r="J41" s="33">
        <f>SUM(J42:J45)</f>
        <v>214355430.16999999</v>
      </c>
      <c r="K41" s="34">
        <f t="shared" si="7"/>
        <v>0.92972663962975322</v>
      </c>
      <c r="L41" s="36">
        <f>SUM(L42:L45)</f>
        <v>113781748.85000002</v>
      </c>
      <c r="M41" s="30">
        <f t="shared" si="9"/>
        <v>1132571463.1299999</v>
      </c>
      <c r="N41" s="33">
        <f t="shared" ref="N41:W41" si="12">SUM(N42:N45)</f>
        <v>619358623.52999973</v>
      </c>
      <c r="O41" s="40">
        <f t="shared" si="12"/>
        <v>513212839.60000008</v>
      </c>
      <c r="P41" s="33">
        <f t="shared" si="12"/>
        <v>0</v>
      </c>
      <c r="Q41" s="40">
        <f t="shared" si="12"/>
        <v>0</v>
      </c>
      <c r="R41" s="40">
        <f t="shared" si="12"/>
        <v>0</v>
      </c>
      <c r="S41" s="33">
        <f t="shared" si="12"/>
        <v>0</v>
      </c>
      <c r="T41" s="33">
        <f t="shared" si="12"/>
        <v>0</v>
      </c>
      <c r="U41" s="33">
        <f t="shared" si="12"/>
        <v>0</v>
      </c>
      <c r="V41" s="33">
        <f t="shared" si="12"/>
        <v>0</v>
      </c>
      <c r="W41" s="33">
        <f t="shared" si="12"/>
        <v>0</v>
      </c>
      <c r="X41" s="17">
        <f>_xlfn.XLOOKUP(D41,'Overdue-1'!D:D,'Overdue-1'!E:E,0)-G41</f>
        <v>0</v>
      </c>
      <c r="Y41" s="17" t="str">
        <f t="shared" ca="1" si="11"/>
        <v>=SUM(H42:H45)</v>
      </c>
      <c r="Z41" s="11"/>
      <c r="AA41" s="16"/>
    </row>
    <row r="42" spans="1:27" s="7" customFormat="1" ht="150" hidden="1" customHeight="1" outlineLevel="1" x14ac:dyDescent="1.25">
      <c r="A42" s="4" t="s">
        <v>187</v>
      </c>
      <c r="C42" s="77"/>
      <c r="D42" s="78" t="s">
        <v>186</v>
      </c>
      <c r="E42" s="49" t="s">
        <v>16</v>
      </c>
      <c r="F42" s="33">
        <v>54</v>
      </c>
      <c r="G42" s="33">
        <v>1504805394.76</v>
      </c>
      <c r="H42" s="33">
        <v>1063549010.1600002</v>
      </c>
      <c r="I42" s="33">
        <v>1035333504.5200001</v>
      </c>
      <c r="J42" s="33">
        <v>73147086.789999992</v>
      </c>
      <c r="K42" s="34">
        <f t="shared" si="7"/>
        <v>0.97347042273514472</v>
      </c>
      <c r="L42" s="36">
        <v>28215504.420000002</v>
      </c>
      <c r="M42" s="30">
        <f t="shared" si="9"/>
        <v>368109297.8099997</v>
      </c>
      <c r="N42" s="40">
        <f>M42-SUM(O42:W42)</f>
        <v>368109297.8099997</v>
      </c>
      <c r="O42" s="40">
        <v>0</v>
      </c>
      <c r="P42" s="33">
        <v>0</v>
      </c>
      <c r="Q42" s="40">
        <v>0</v>
      </c>
      <c r="R42" s="40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17">
        <f>_xlfn.XLOOKUP(D42,'Overdue-1'!D:D,'Overdue-1'!E:E,0)-G42</f>
        <v>0</v>
      </c>
      <c r="Y42" s="17" t="e">
        <f t="shared" ca="1" si="11"/>
        <v>#N/A</v>
      </c>
      <c r="Z42" s="11">
        <v>0</v>
      </c>
      <c r="AA42" s="16"/>
    </row>
    <row r="43" spans="1:27" s="7" customFormat="1" ht="150" hidden="1" customHeight="1" outlineLevel="1" x14ac:dyDescent="1.25">
      <c r="A43" s="4" t="s">
        <v>185</v>
      </c>
      <c r="C43" s="77"/>
      <c r="D43" s="78" t="s">
        <v>184</v>
      </c>
      <c r="E43" s="49" t="s">
        <v>16</v>
      </c>
      <c r="F43" s="33">
        <v>1</v>
      </c>
      <c r="G43" s="33">
        <v>130000000</v>
      </c>
      <c r="H43" s="33">
        <v>78000000</v>
      </c>
      <c r="I43" s="33">
        <v>78000000</v>
      </c>
      <c r="J43" s="33">
        <v>0</v>
      </c>
      <c r="K43" s="34">
        <f t="shared" si="7"/>
        <v>1</v>
      </c>
      <c r="L43" s="36">
        <v>0</v>
      </c>
      <c r="M43" s="30">
        <f t="shared" si="9"/>
        <v>52000000</v>
      </c>
      <c r="N43" s="40">
        <v>52000000</v>
      </c>
      <c r="O43" s="40">
        <v>0</v>
      </c>
      <c r="P43" s="33">
        <v>0</v>
      </c>
      <c r="Q43" s="40">
        <v>0</v>
      </c>
      <c r="R43" s="40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17">
        <f>_xlfn.XLOOKUP(D43,'Overdue-1'!D:D,'Overdue-1'!E:E,0)-G43</f>
        <v>0</v>
      </c>
      <c r="Y43" s="17" t="e">
        <f t="shared" ca="1" si="11"/>
        <v>#N/A</v>
      </c>
      <c r="Z43" s="11">
        <v>0</v>
      </c>
      <c r="AA43" s="16"/>
    </row>
    <row r="44" spans="1:27" s="7" customFormat="1" ht="150" hidden="1" customHeight="1" outlineLevel="1" x14ac:dyDescent="1.25">
      <c r="A44" s="4" t="s">
        <v>183</v>
      </c>
      <c r="C44" s="77"/>
      <c r="D44" s="78" t="s">
        <v>182</v>
      </c>
      <c r="E44" s="49" t="s">
        <v>16</v>
      </c>
      <c r="F44" s="33">
        <v>48</v>
      </c>
      <c r="G44" s="33">
        <v>1266411551</v>
      </c>
      <c r="H44" s="33">
        <v>471097559.79999995</v>
      </c>
      <c r="I44" s="33">
        <v>385531315.37</v>
      </c>
      <c r="J44" s="33">
        <v>85186085.879999995</v>
      </c>
      <c r="K44" s="34">
        <f t="shared" si="7"/>
        <v>0.81836831320814674</v>
      </c>
      <c r="L44" s="36">
        <v>85566244.430000022</v>
      </c>
      <c r="M44" s="30">
        <f t="shared" si="9"/>
        <v>710127905.32000005</v>
      </c>
      <c r="N44" s="40">
        <f>M44-SUM(O44:W44)</f>
        <v>196915065.71999997</v>
      </c>
      <c r="O44" s="40">
        <v>513212839.60000008</v>
      </c>
      <c r="P44" s="33">
        <v>0</v>
      </c>
      <c r="Q44" s="40">
        <v>0</v>
      </c>
      <c r="R44" s="40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17">
        <f>_xlfn.XLOOKUP(D44,'Overdue-1'!D:D,'Overdue-1'!E:E,0)-G44</f>
        <v>0</v>
      </c>
      <c r="Y44" s="17" t="e">
        <f t="shared" ca="1" si="11"/>
        <v>#N/A</v>
      </c>
      <c r="Z44" s="11">
        <v>0</v>
      </c>
      <c r="AA44" s="16"/>
    </row>
    <row r="45" spans="1:27" s="7" customFormat="1" ht="150" hidden="1" customHeight="1" outlineLevel="1" x14ac:dyDescent="1.25">
      <c r="A45" s="4" t="s">
        <v>181</v>
      </c>
      <c r="C45" s="77"/>
      <c r="D45" s="78" t="s">
        <v>180</v>
      </c>
      <c r="E45" s="49" t="s">
        <v>16</v>
      </c>
      <c r="F45" s="33">
        <v>1</v>
      </c>
      <c r="G45" s="33">
        <v>64840575</v>
      </c>
      <c r="H45" s="33">
        <v>6484057.5</v>
      </c>
      <c r="I45" s="33">
        <v>6484057.5</v>
      </c>
      <c r="J45" s="33">
        <v>56022257.5</v>
      </c>
      <c r="K45" s="34">
        <f>IFERROR(I45/H45,0)</f>
        <v>1</v>
      </c>
      <c r="L45" s="36">
        <v>0</v>
      </c>
      <c r="M45" s="30">
        <f t="shared" si="9"/>
        <v>2334260</v>
      </c>
      <c r="N45" s="40">
        <f>M45</f>
        <v>2334260</v>
      </c>
      <c r="O45" s="40">
        <v>0</v>
      </c>
      <c r="P45" s="33">
        <v>0</v>
      </c>
      <c r="Q45" s="40">
        <v>0</v>
      </c>
      <c r="R45" s="40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17">
        <f>_xlfn.XLOOKUP(D45,'Overdue-1'!D:D,'Overdue-1'!E:E,0)-G45</f>
        <v>0</v>
      </c>
      <c r="Y45" s="17" t="e">
        <f t="shared" ca="1" si="11"/>
        <v>#N/A</v>
      </c>
      <c r="Z45" s="11">
        <v>0</v>
      </c>
      <c r="AA45" s="16"/>
    </row>
    <row r="46" spans="1:27" s="7" customFormat="1" ht="150" customHeight="1" collapsed="1" x14ac:dyDescent="1.25">
      <c r="A46" s="4"/>
      <c r="C46" s="77">
        <v>14</v>
      </c>
      <c r="D46" s="76" t="s">
        <v>179</v>
      </c>
      <c r="E46" s="49" t="s">
        <v>16</v>
      </c>
      <c r="F46" s="33">
        <v>345</v>
      </c>
      <c r="G46" s="33">
        <v>3184231867.099999</v>
      </c>
      <c r="H46" s="33">
        <v>2118963166.0399885</v>
      </c>
      <c r="I46" s="33">
        <v>2004563019.559999</v>
      </c>
      <c r="J46" s="33">
        <v>112387998.13000004</v>
      </c>
      <c r="K46" s="34">
        <f t="shared" ref="K46:K62" si="13">I46/H46</f>
        <v>0.9460112623412017</v>
      </c>
      <c r="L46" s="36">
        <v>114400144.38999999</v>
      </c>
      <c r="M46" s="30">
        <f t="shared" si="9"/>
        <v>952880702.93001032</v>
      </c>
      <c r="N46" s="40">
        <f>M46-SUM(O46:W46)</f>
        <v>520052707.3500104</v>
      </c>
      <c r="O46" s="40">
        <v>428897172.56999993</v>
      </c>
      <c r="P46" s="33">
        <v>750000</v>
      </c>
      <c r="Q46" s="40">
        <v>750000</v>
      </c>
      <c r="R46" s="40">
        <v>1000000</v>
      </c>
      <c r="S46" s="33">
        <v>1430823.01</v>
      </c>
      <c r="T46" s="33">
        <v>0</v>
      </c>
      <c r="U46" s="33">
        <v>0</v>
      </c>
      <c r="V46" s="33">
        <v>0</v>
      </c>
      <c r="W46" s="33">
        <v>0</v>
      </c>
      <c r="X46" s="17">
        <f>_xlfn.XLOOKUP(D46,'Overdue-1'!D:D,'Overdue-1'!E:E,0)-G46</f>
        <v>0</v>
      </c>
      <c r="Y46" s="17" t="e">
        <f t="shared" ca="1" si="11"/>
        <v>#N/A</v>
      </c>
      <c r="Z46" s="11">
        <v>1.0251998901367188E-5</v>
      </c>
      <c r="AA46" s="16"/>
    </row>
    <row r="47" spans="1:27" s="7" customFormat="1" ht="150" customHeight="1" x14ac:dyDescent="1.25">
      <c r="A47" s="4"/>
      <c r="C47" s="77">
        <v>15</v>
      </c>
      <c r="D47" s="76" t="s">
        <v>178</v>
      </c>
      <c r="E47" s="49" t="s">
        <v>16</v>
      </c>
      <c r="F47" s="33">
        <f>SUM(F48:F54)</f>
        <v>2957</v>
      </c>
      <c r="G47" s="33">
        <f>SUM(G48:G54)</f>
        <v>6987776685.4200001</v>
      </c>
      <c r="H47" s="33">
        <f>SUM(H48:H54)</f>
        <v>3736014218.109992</v>
      </c>
      <c r="I47" s="33">
        <f>SUM(I48:I54)</f>
        <v>3590002271.7599978</v>
      </c>
      <c r="J47" s="33">
        <f>SUM(J48:J54)</f>
        <v>313172768.92999995</v>
      </c>
      <c r="K47" s="34">
        <f t="shared" si="13"/>
        <v>0.9609177219823698</v>
      </c>
      <c r="L47" s="36">
        <f>SUM(L48:L54)</f>
        <v>146011945.82999998</v>
      </c>
      <c r="M47" s="30">
        <f t="shared" si="9"/>
        <v>2938589698.3800082</v>
      </c>
      <c r="N47" s="40">
        <f>M47-SUM(O47:W47)</f>
        <v>2936419781.6300082</v>
      </c>
      <c r="O47" s="33">
        <f t="shared" ref="O47:W47" si="14">SUM(O48:O54)</f>
        <v>2169916.75</v>
      </c>
      <c r="P47" s="33">
        <f t="shared" si="14"/>
        <v>0</v>
      </c>
      <c r="Q47" s="33">
        <f t="shared" si="14"/>
        <v>0</v>
      </c>
      <c r="R47" s="33">
        <f t="shared" si="14"/>
        <v>0</v>
      </c>
      <c r="S47" s="33">
        <f t="shared" si="14"/>
        <v>0</v>
      </c>
      <c r="T47" s="33">
        <f t="shared" si="14"/>
        <v>0</v>
      </c>
      <c r="U47" s="33">
        <f t="shared" si="14"/>
        <v>0</v>
      </c>
      <c r="V47" s="33">
        <f t="shared" si="14"/>
        <v>0</v>
      </c>
      <c r="W47" s="33">
        <f t="shared" si="14"/>
        <v>0</v>
      </c>
      <c r="X47" s="17">
        <f>_xlfn.XLOOKUP(D47,'Overdue-1'!D:D,'Overdue-1'!E:E,0)-G47</f>
        <v>0</v>
      </c>
      <c r="Y47" s="17" t="str">
        <f t="shared" ca="1" si="11"/>
        <v>=SUM(H48:H54)</v>
      </c>
      <c r="Z47" s="11"/>
      <c r="AA47" s="16"/>
    </row>
    <row r="48" spans="1:27" s="7" customFormat="1" ht="150" hidden="1" customHeight="1" outlineLevel="1" x14ac:dyDescent="1.25">
      <c r="A48" s="4"/>
      <c r="C48" s="77"/>
      <c r="D48" s="94" t="s">
        <v>177</v>
      </c>
      <c r="E48" s="49" t="s">
        <v>16</v>
      </c>
      <c r="F48" s="33">
        <v>596</v>
      </c>
      <c r="G48" s="33">
        <v>1437789012.3800011</v>
      </c>
      <c r="H48" s="33">
        <v>796240293.83000207</v>
      </c>
      <c r="I48" s="33">
        <v>762980005.54999983</v>
      </c>
      <c r="J48" s="33">
        <v>58937694.339999974</v>
      </c>
      <c r="K48" s="34">
        <f t="shared" si="13"/>
        <v>0.95822832813444214</v>
      </c>
      <c r="L48" s="36">
        <v>33260288.219999995</v>
      </c>
      <c r="M48" s="30">
        <f t="shared" si="9"/>
        <v>582611024.20999908</v>
      </c>
      <c r="N48" s="40">
        <f>M48-SUM(O48:W48)</f>
        <v>582611024.20999908</v>
      </c>
      <c r="O48" s="33">
        <v>0</v>
      </c>
      <c r="P48" s="33">
        <v>0</v>
      </c>
      <c r="Q48" s="40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17">
        <f>_xlfn.XLOOKUP(D48,'Overdue-1'!D:D,'Overdue-1'!E:E,0)-G48</f>
        <v>0</v>
      </c>
      <c r="Y48" s="17" t="e">
        <f t="shared" ca="1" si="11"/>
        <v>#N/A</v>
      </c>
      <c r="Z48" s="11">
        <v>-2.384185791015625E-6</v>
      </c>
      <c r="AA48" s="16"/>
    </row>
    <row r="49" spans="1:27" s="7" customFormat="1" ht="150" hidden="1" customHeight="1" outlineLevel="1" x14ac:dyDescent="1.25">
      <c r="A49" s="4"/>
      <c r="C49" s="77"/>
      <c r="D49" s="94" t="s">
        <v>176</v>
      </c>
      <c r="E49" s="49" t="s">
        <v>16</v>
      </c>
      <c r="F49" s="33">
        <v>860</v>
      </c>
      <c r="G49" s="33">
        <v>1649643870.8700001</v>
      </c>
      <c r="H49" s="33">
        <v>893626709.47999382</v>
      </c>
      <c r="I49" s="33">
        <v>871301816.70999885</v>
      </c>
      <c r="J49" s="33">
        <v>71956848.750000015</v>
      </c>
      <c r="K49" s="34">
        <f t="shared" si="13"/>
        <v>0.97501765274788399</v>
      </c>
      <c r="L49" s="36">
        <v>22324892.669999979</v>
      </c>
      <c r="M49" s="30">
        <f t="shared" si="9"/>
        <v>684060312.6400063</v>
      </c>
      <c r="N49" s="40">
        <f>M49-SUM(O49:W49)</f>
        <v>684060312.6400063</v>
      </c>
      <c r="O49" s="33">
        <v>0</v>
      </c>
      <c r="P49" s="33">
        <v>0</v>
      </c>
      <c r="Q49" s="40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17">
        <f>_xlfn.XLOOKUP(D49,'Overdue-1'!D:D,'Overdue-1'!E:E,0)-G49</f>
        <v>0</v>
      </c>
      <c r="Y49" s="17" t="e">
        <f t="shared" ca="1" si="11"/>
        <v>#N/A</v>
      </c>
      <c r="Z49" s="11">
        <v>169514.49000477791</v>
      </c>
      <c r="AA49" s="16"/>
    </row>
    <row r="50" spans="1:27" s="7" customFormat="1" ht="150" hidden="1" customHeight="1" outlineLevel="1" x14ac:dyDescent="1.25">
      <c r="A50" s="4"/>
      <c r="C50" s="77"/>
      <c r="D50" s="94" t="s">
        <v>175</v>
      </c>
      <c r="E50" s="49" t="s">
        <v>16</v>
      </c>
      <c r="F50" s="33">
        <v>390</v>
      </c>
      <c r="G50" s="33">
        <v>1020475280.3399996</v>
      </c>
      <c r="H50" s="33">
        <v>545044972.50999868</v>
      </c>
      <c r="I50" s="33">
        <v>518691731.61999989</v>
      </c>
      <c r="J50" s="33">
        <v>47445506.089999981</v>
      </c>
      <c r="K50" s="34">
        <f t="shared" si="13"/>
        <v>0.95164941937059089</v>
      </c>
      <c r="L50" s="36">
        <v>26353240.890000004</v>
      </c>
      <c r="M50" s="30">
        <f t="shared" si="9"/>
        <v>427984801.74000084</v>
      </c>
      <c r="N50" s="40">
        <f>M50-SUM(O50:W50)</f>
        <v>426233899.99000084</v>
      </c>
      <c r="O50" s="33">
        <v>1750901.75</v>
      </c>
      <c r="P50" s="33">
        <v>0</v>
      </c>
      <c r="Q50" s="40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17">
        <f>_xlfn.XLOOKUP(D50,'Overdue-1'!D:D,'Overdue-1'!E:E,0)-G50</f>
        <v>0</v>
      </c>
      <c r="Y50" s="17" t="e">
        <f t="shared" ca="1" si="11"/>
        <v>#N/A</v>
      </c>
      <c r="Z50" s="11">
        <v>1.5497207641601563E-6</v>
      </c>
      <c r="AA50" s="16"/>
    </row>
    <row r="51" spans="1:27" s="7" customFormat="1" ht="150" hidden="1" customHeight="1" outlineLevel="1" x14ac:dyDescent="1.25">
      <c r="A51" s="4"/>
      <c r="C51" s="77"/>
      <c r="D51" s="94" t="s">
        <v>174</v>
      </c>
      <c r="E51" s="49" t="s">
        <v>16</v>
      </c>
      <c r="F51" s="33">
        <v>519</v>
      </c>
      <c r="G51" s="33">
        <v>1066287099.3199998</v>
      </c>
      <c r="H51" s="33">
        <v>580504271.9599967</v>
      </c>
      <c r="I51" s="33">
        <v>563112062.14999962</v>
      </c>
      <c r="J51" s="33">
        <v>40491992.799999982</v>
      </c>
      <c r="K51" s="34">
        <f t="shared" si="13"/>
        <v>0.97003948006915686</v>
      </c>
      <c r="L51" s="36">
        <v>17392209.650000002</v>
      </c>
      <c r="M51" s="30">
        <f t="shared" si="9"/>
        <v>445290834.56000316</v>
      </c>
      <c r="N51" s="40">
        <f>M51</f>
        <v>445290834.56000316</v>
      </c>
      <c r="O51" s="33">
        <v>0</v>
      </c>
      <c r="P51" s="33">
        <v>0</v>
      </c>
      <c r="Q51" s="40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17">
        <f>_xlfn.XLOOKUP(D51,'Overdue-1'!D:D,'Overdue-1'!E:E,0)-G51</f>
        <v>0</v>
      </c>
      <c r="Y51" s="17" t="e">
        <f t="shared" ca="1" si="11"/>
        <v>#N/A</v>
      </c>
      <c r="Z51" s="11">
        <v>3.2186508178710938E-6</v>
      </c>
      <c r="AA51" s="16"/>
    </row>
    <row r="52" spans="1:27" s="7" customFormat="1" ht="150" hidden="1" customHeight="1" outlineLevel="1" x14ac:dyDescent="1.25">
      <c r="A52" s="4"/>
      <c r="C52" s="77"/>
      <c r="D52" s="94" t="s">
        <v>173</v>
      </c>
      <c r="E52" s="49" t="s">
        <v>16</v>
      </c>
      <c r="F52" s="33">
        <v>466</v>
      </c>
      <c r="G52" s="33">
        <v>1165155774.8299992</v>
      </c>
      <c r="H52" s="33">
        <v>624951739.96000111</v>
      </c>
      <c r="I52" s="33">
        <v>595976594.86999953</v>
      </c>
      <c r="J52" s="33">
        <v>58976268.090000004</v>
      </c>
      <c r="K52" s="34">
        <f t="shared" si="13"/>
        <v>0.95363618782490933</v>
      </c>
      <c r="L52" s="36">
        <v>28975144.890000008</v>
      </c>
      <c r="M52" s="30">
        <f t="shared" si="9"/>
        <v>481227766.77999806</v>
      </c>
      <c r="N52" s="40">
        <f>M52-SUM(O52:W52)</f>
        <v>480808751.77999806</v>
      </c>
      <c r="O52" s="33">
        <v>419015</v>
      </c>
      <c r="P52" s="33">
        <v>0</v>
      </c>
      <c r="Q52" s="40">
        <v>0</v>
      </c>
      <c r="R52" s="33">
        <v>0</v>
      </c>
      <c r="S52" s="33">
        <v>0</v>
      </c>
      <c r="T52" s="33">
        <v>0</v>
      </c>
      <c r="U52" s="33">
        <v>0</v>
      </c>
      <c r="V52" s="33">
        <v>0</v>
      </c>
      <c r="W52" s="33">
        <v>0</v>
      </c>
      <c r="X52" s="17">
        <f>_xlfn.XLOOKUP(D52,'Overdue-1'!D:D,'Overdue-1'!E:E,0)-G52</f>
        <v>0</v>
      </c>
      <c r="Y52" s="17" t="e">
        <f t="shared" ca="1" si="11"/>
        <v>#N/A</v>
      </c>
      <c r="Z52" s="11">
        <v>-500256.96000123024</v>
      </c>
      <c r="AA52" s="16"/>
    </row>
    <row r="53" spans="1:27" s="7" customFormat="1" ht="150" hidden="1" customHeight="1" outlineLevel="1" x14ac:dyDescent="1.25">
      <c r="A53" s="4"/>
      <c r="C53" s="77"/>
      <c r="D53" s="94" t="s">
        <v>172</v>
      </c>
      <c r="E53" s="49" t="s">
        <v>16</v>
      </c>
      <c r="F53" s="33">
        <v>114</v>
      </c>
      <c r="G53" s="33">
        <v>562226720.17999995</v>
      </c>
      <c r="H53" s="33">
        <v>243337504.86999983</v>
      </c>
      <c r="I53" s="33">
        <v>232013439.36000004</v>
      </c>
      <c r="J53" s="33">
        <v>34702400.840000004</v>
      </c>
      <c r="K53" s="34">
        <f t="shared" si="13"/>
        <v>0.95346354226797247</v>
      </c>
      <c r="L53" s="36">
        <v>11324065.51</v>
      </c>
      <c r="M53" s="30">
        <f t="shared" si="9"/>
        <v>284186814.47000015</v>
      </c>
      <c r="N53" s="40">
        <f>M53</f>
        <v>284186814.47000015</v>
      </c>
      <c r="O53" s="33">
        <v>0</v>
      </c>
      <c r="P53" s="33">
        <v>0</v>
      </c>
      <c r="Q53" s="40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17">
        <f>_xlfn.XLOOKUP(D53,'Overdue-1'!D:D,'Overdue-1'!E:E,0)-G53</f>
        <v>0</v>
      </c>
      <c r="Y53" s="17" t="e">
        <f t="shared" ca="1" si="11"/>
        <v>#N/A</v>
      </c>
      <c r="Z53" s="11">
        <v>-174552.99999970198</v>
      </c>
      <c r="AA53" s="16"/>
    </row>
    <row r="54" spans="1:27" s="7" customFormat="1" ht="150" hidden="1" customHeight="1" outlineLevel="1" x14ac:dyDescent="1.25">
      <c r="A54" s="4"/>
      <c r="C54" s="77"/>
      <c r="D54" s="94" t="s">
        <v>171</v>
      </c>
      <c r="E54" s="49" t="s">
        <v>16</v>
      </c>
      <c r="F54" s="33">
        <v>12</v>
      </c>
      <c r="G54" s="33">
        <v>86198927.5</v>
      </c>
      <c r="H54" s="33">
        <v>52308725.5</v>
      </c>
      <c r="I54" s="33">
        <v>45926621.5</v>
      </c>
      <c r="J54" s="33">
        <v>662058.02</v>
      </c>
      <c r="K54" s="34">
        <f t="shared" si="13"/>
        <v>0.87799159817036643</v>
      </c>
      <c r="L54" s="36">
        <v>6382104</v>
      </c>
      <c r="M54" s="30">
        <f t="shared" si="9"/>
        <v>33228143.979999997</v>
      </c>
      <c r="N54" s="40">
        <f>M54</f>
        <v>33228143.979999997</v>
      </c>
      <c r="O54" s="33">
        <v>0</v>
      </c>
      <c r="P54" s="33">
        <v>0</v>
      </c>
      <c r="Q54" s="40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17">
        <f>_xlfn.XLOOKUP(D54,'Overdue-1'!D:D,'Overdue-1'!E:E,0)-G54</f>
        <v>0</v>
      </c>
      <c r="Y54" s="17" t="e">
        <f t="shared" ca="1" si="11"/>
        <v>#N/A</v>
      </c>
      <c r="Z54" s="11">
        <v>0</v>
      </c>
      <c r="AA54" s="16"/>
    </row>
    <row r="55" spans="1:27" s="7" customFormat="1" ht="150" customHeight="1" collapsed="1" x14ac:dyDescent="1.25">
      <c r="A55" s="4"/>
      <c r="C55" s="77">
        <v>16</v>
      </c>
      <c r="D55" s="76" t="s">
        <v>170</v>
      </c>
      <c r="E55" s="49" t="s">
        <v>16</v>
      </c>
      <c r="F55" s="33">
        <f>SUM(F56:F61)</f>
        <v>4608</v>
      </c>
      <c r="G55" s="33">
        <f>SUM(G56:G61)</f>
        <v>9390845349.4699955</v>
      </c>
      <c r="H55" s="33">
        <f>SUM(H56:H61)</f>
        <v>4905376235.9299879</v>
      </c>
      <c r="I55" s="33">
        <f>SUM(I56:I61)</f>
        <v>4659049754.3500004</v>
      </c>
      <c r="J55" s="33">
        <f>SUM(J56:J61)</f>
        <v>287677889.77999997</v>
      </c>
      <c r="K55" s="34">
        <f t="shared" si="13"/>
        <v>0.94978438559396505</v>
      </c>
      <c r="L55" s="36">
        <f>SUM(L56:L61)</f>
        <v>246326481.47000006</v>
      </c>
      <c r="M55" s="30">
        <f t="shared" si="9"/>
        <v>4197791223.7600079</v>
      </c>
      <c r="N55" s="33">
        <f t="shared" ref="N55:W55" si="15">SUM(N56:N61)</f>
        <v>858839203.99000907</v>
      </c>
      <c r="O55" s="33">
        <f t="shared" si="15"/>
        <v>3338952019.769999</v>
      </c>
      <c r="P55" s="33">
        <f t="shared" si="15"/>
        <v>0</v>
      </c>
      <c r="Q55" s="33">
        <f t="shared" si="15"/>
        <v>0</v>
      </c>
      <c r="R55" s="33">
        <f t="shared" si="15"/>
        <v>0</v>
      </c>
      <c r="S55" s="33">
        <f t="shared" si="15"/>
        <v>0</v>
      </c>
      <c r="T55" s="33">
        <f t="shared" si="15"/>
        <v>0</v>
      </c>
      <c r="U55" s="33">
        <f t="shared" si="15"/>
        <v>0</v>
      </c>
      <c r="V55" s="33">
        <f t="shared" si="15"/>
        <v>0</v>
      </c>
      <c r="W55" s="33">
        <f t="shared" si="15"/>
        <v>0</v>
      </c>
      <c r="X55" s="17">
        <f>_xlfn.XLOOKUP(D55,'Overdue-1'!D:D,'Overdue-1'!E:E,0)-G55</f>
        <v>0</v>
      </c>
      <c r="Y55" s="17" t="str">
        <f t="shared" ca="1" si="11"/>
        <v>=SUM(H56:H61)</v>
      </c>
      <c r="Z55" s="11"/>
      <c r="AA55" s="16"/>
    </row>
    <row r="56" spans="1:27" s="7" customFormat="1" ht="150" hidden="1" customHeight="1" outlineLevel="1" x14ac:dyDescent="1.25">
      <c r="A56" s="4"/>
      <c r="C56" s="77"/>
      <c r="D56" s="104" t="s">
        <v>169</v>
      </c>
      <c r="E56" s="49" t="s">
        <v>16</v>
      </c>
      <c r="F56" s="33">
        <v>621</v>
      </c>
      <c r="G56" s="33">
        <v>1540354407.8499997</v>
      </c>
      <c r="H56" s="33">
        <v>824217906.84999704</v>
      </c>
      <c r="I56" s="33">
        <v>784697544.91000104</v>
      </c>
      <c r="J56" s="33">
        <v>46412770.439999983</v>
      </c>
      <c r="K56" s="34">
        <f t="shared" si="13"/>
        <v>0.95205107579980242</v>
      </c>
      <c r="L56" s="36">
        <v>39520361.940000005</v>
      </c>
      <c r="M56" s="30">
        <f t="shared" si="9"/>
        <v>669723730.56000268</v>
      </c>
      <c r="N56" s="40">
        <f t="shared" ref="N56:N61" si="16">M56-SUM(O56:W56)</f>
        <v>147818503.11000246</v>
      </c>
      <c r="O56" s="40">
        <v>521905227.45000023</v>
      </c>
      <c r="P56" s="33">
        <v>0</v>
      </c>
      <c r="Q56" s="40">
        <v>0</v>
      </c>
      <c r="R56" s="40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17">
        <f>_xlfn.XLOOKUP(D56,'Overdue-1'!D:D,'Overdue-1'!E:E,0)-G56</f>
        <v>0</v>
      </c>
      <c r="Y56" s="17" t="e">
        <f t="shared" ca="1" si="11"/>
        <v>#N/A</v>
      </c>
      <c r="Z56" s="11">
        <v>1487861.2100030184</v>
      </c>
      <c r="AA56" s="16"/>
    </row>
    <row r="57" spans="1:27" s="7" customFormat="1" ht="150" hidden="1" customHeight="1" outlineLevel="1" x14ac:dyDescent="1.25">
      <c r="A57" s="4"/>
      <c r="C57" s="77"/>
      <c r="D57" s="104" t="s">
        <v>168</v>
      </c>
      <c r="E57" s="49" t="s">
        <v>16</v>
      </c>
      <c r="F57" s="33">
        <v>755</v>
      </c>
      <c r="G57" s="33">
        <v>1367089433.2900009</v>
      </c>
      <c r="H57" s="33">
        <v>848588296.8199985</v>
      </c>
      <c r="I57" s="33">
        <v>808001355.00999928</v>
      </c>
      <c r="J57" s="33">
        <v>33761593.090000018</v>
      </c>
      <c r="K57" s="34">
        <f t="shared" si="13"/>
        <v>0.95217122135422461</v>
      </c>
      <c r="L57" s="36">
        <v>40586941.81000004</v>
      </c>
      <c r="M57" s="30">
        <f t="shared" si="9"/>
        <v>484739543.38000238</v>
      </c>
      <c r="N57" s="40">
        <f t="shared" si="16"/>
        <v>127568489.08000273</v>
      </c>
      <c r="O57" s="40">
        <v>357171054.29999965</v>
      </c>
      <c r="P57" s="33">
        <v>0</v>
      </c>
      <c r="Q57" s="40">
        <v>0</v>
      </c>
      <c r="R57" s="40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17">
        <f>_xlfn.XLOOKUP(D57,'Overdue-1'!D:D,'Overdue-1'!E:E,0)-G57</f>
        <v>0</v>
      </c>
      <c r="Y57" s="17" t="e">
        <f t="shared" ca="1" si="11"/>
        <v>#N/A</v>
      </c>
      <c r="Z57" s="11">
        <v>200366.15000033379</v>
      </c>
      <c r="AA57" s="16"/>
    </row>
    <row r="58" spans="1:27" s="7" customFormat="1" ht="150" hidden="1" customHeight="1" outlineLevel="1" x14ac:dyDescent="1.25">
      <c r="A58" s="4"/>
      <c r="C58" s="77"/>
      <c r="D58" s="104" t="s">
        <v>167</v>
      </c>
      <c r="E58" s="49" t="s">
        <v>16</v>
      </c>
      <c r="F58" s="33">
        <v>759</v>
      </c>
      <c r="G58" s="33">
        <v>1408135850.2399991</v>
      </c>
      <c r="H58" s="33">
        <v>743660045.94999814</v>
      </c>
      <c r="I58" s="33">
        <v>712824490.49999988</v>
      </c>
      <c r="J58" s="33">
        <v>32793622.990000006</v>
      </c>
      <c r="K58" s="34">
        <f t="shared" si="13"/>
        <v>0.95853541464553604</v>
      </c>
      <c r="L58" s="36">
        <v>30835555.449999999</v>
      </c>
      <c r="M58" s="30">
        <f t="shared" si="9"/>
        <v>631682181.30000091</v>
      </c>
      <c r="N58" s="40">
        <f t="shared" si="16"/>
        <v>169733203.580001</v>
      </c>
      <c r="O58" s="40">
        <v>461948977.71999991</v>
      </c>
      <c r="P58" s="33">
        <v>0</v>
      </c>
      <c r="Q58" s="40">
        <v>0</v>
      </c>
      <c r="R58" s="40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17">
        <f>_xlfn.XLOOKUP(D58,'Overdue-1'!D:D,'Overdue-1'!E:E,0)-G58</f>
        <v>0</v>
      </c>
      <c r="Y58" s="17" t="e">
        <f t="shared" ca="1" si="11"/>
        <v>#N/A</v>
      </c>
      <c r="Z58" s="11">
        <v>1.6689300537109375E-6</v>
      </c>
      <c r="AA58" s="16"/>
    </row>
    <row r="59" spans="1:27" s="7" customFormat="1" ht="150" hidden="1" customHeight="1" outlineLevel="1" x14ac:dyDescent="1.25">
      <c r="A59" s="4"/>
      <c r="C59" s="77"/>
      <c r="D59" s="104" t="s">
        <v>166</v>
      </c>
      <c r="E59" s="49" t="s">
        <v>16</v>
      </c>
      <c r="F59" s="33">
        <v>874</v>
      </c>
      <c r="G59" s="33">
        <v>1792831545.7099993</v>
      </c>
      <c r="H59" s="33">
        <v>886951994.98999655</v>
      </c>
      <c r="I59" s="33">
        <v>830359389.26999915</v>
      </c>
      <c r="J59" s="33">
        <v>65494440.919999957</v>
      </c>
      <c r="K59" s="34">
        <f t="shared" si="13"/>
        <v>0.93619428555359896</v>
      </c>
      <c r="L59" s="36">
        <v>56592605.720000014</v>
      </c>
      <c r="M59" s="30">
        <f t="shared" si="9"/>
        <v>840385109.80000281</v>
      </c>
      <c r="N59" s="40">
        <f t="shared" si="16"/>
        <v>150477196.91000259</v>
      </c>
      <c r="O59" s="40">
        <v>689907912.89000022</v>
      </c>
      <c r="P59" s="33">
        <v>0</v>
      </c>
      <c r="Q59" s="40">
        <v>0</v>
      </c>
      <c r="R59" s="40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17">
        <f>_xlfn.XLOOKUP(D59,'Overdue-1'!D:D,'Overdue-1'!E:E,0)-G59</f>
        <v>0</v>
      </c>
      <c r="Y59" s="17" t="e">
        <f t="shared" ca="1" si="11"/>
        <v>#N/A</v>
      </c>
      <c r="Z59" s="11">
        <v>390211.87000226974</v>
      </c>
      <c r="AA59" s="16"/>
    </row>
    <row r="60" spans="1:27" s="7" customFormat="1" ht="150" hidden="1" customHeight="1" outlineLevel="1" x14ac:dyDescent="1.25">
      <c r="A60" s="4"/>
      <c r="C60" s="77"/>
      <c r="D60" s="104" t="s">
        <v>165</v>
      </c>
      <c r="E60" s="49" t="s">
        <v>16</v>
      </c>
      <c r="F60" s="33">
        <v>723</v>
      </c>
      <c r="G60" s="33">
        <v>1468606439.3999984</v>
      </c>
      <c r="H60" s="33">
        <v>759895185.37000251</v>
      </c>
      <c r="I60" s="33">
        <v>732896915.64000058</v>
      </c>
      <c r="J60" s="33">
        <v>57351811.219999999</v>
      </c>
      <c r="K60" s="34">
        <f t="shared" si="13"/>
        <v>0.96447106094394308</v>
      </c>
      <c r="L60" s="36">
        <v>26998269.660000004</v>
      </c>
      <c r="M60" s="30">
        <f t="shared" si="9"/>
        <v>651359442.80999589</v>
      </c>
      <c r="N60" s="40">
        <f t="shared" si="16"/>
        <v>129126965.87999648</v>
      </c>
      <c r="O60" s="40">
        <v>522232476.92999941</v>
      </c>
      <c r="P60" s="33">
        <v>0</v>
      </c>
      <c r="Q60" s="40">
        <v>0</v>
      </c>
      <c r="R60" s="40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17">
        <f>_xlfn.XLOOKUP(D60,'Overdue-1'!D:D,'Overdue-1'!E:E,0)-G60</f>
        <v>0</v>
      </c>
      <c r="Y60" s="17" t="e">
        <f t="shared" ca="1" si="11"/>
        <v>#N/A</v>
      </c>
      <c r="Z60" s="11">
        <v>340530.57999742031</v>
      </c>
      <c r="AA60" s="16"/>
    </row>
    <row r="61" spans="1:27" s="7" customFormat="1" ht="150" hidden="1" customHeight="1" outlineLevel="1" x14ac:dyDescent="1.25">
      <c r="A61" s="4"/>
      <c r="C61" s="77"/>
      <c r="D61" s="104" t="s">
        <v>164</v>
      </c>
      <c r="E61" s="49" t="s">
        <v>16</v>
      </c>
      <c r="F61" s="33">
        <v>876</v>
      </c>
      <c r="G61" s="33">
        <v>1813827672.9799988</v>
      </c>
      <c r="H61" s="33">
        <v>842062805.94999528</v>
      </c>
      <c r="I61" s="33">
        <v>790270059.0200007</v>
      </c>
      <c r="J61" s="33">
        <v>51863651.120000012</v>
      </c>
      <c r="K61" s="34">
        <f t="shared" si="13"/>
        <v>0.93849301196534474</v>
      </c>
      <c r="L61" s="36">
        <v>51792746.889999993</v>
      </c>
      <c r="M61" s="30">
        <f t="shared" si="9"/>
        <v>919901215.91000354</v>
      </c>
      <c r="N61" s="40">
        <f t="shared" si="16"/>
        <v>134114845.43000388</v>
      </c>
      <c r="O61" s="40">
        <v>785786370.47999966</v>
      </c>
      <c r="P61" s="33">
        <v>0</v>
      </c>
      <c r="Q61" s="40">
        <v>0</v>
      </c>
      <c r="R61" s="40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17">
        <f>_xlfn.XLOOKUP(D61,'Overdue-1'!D:D,'Overdue-1'!E:E,0)-G61</f>
        <v>0</v>
      </c>
      <c r="Y61" s="17" t="e">
        <f t="shared" ca="1" si="11"/>
        <v>#N/A</v>
      </c>
      <c r="Z61" s="11">
        <v>203232.70000457764</v>
      </c>
      <c r="AA61" s="16"/>
    </row>
    <row r="62" spans="1:27" s="7" customFormat="1" ht="150" customHeight="1" collapsed="1" x14ac:dyDescent="1.25">
      <c r="A62" s="4"/>
      <c r="C62" s="77">
        <v>17</v>
      </c>
      <c r="D62" s="76" t="s">
        <v>163</v>
      </c>
      <c r="E62" s="49" t="s">
        <v>159</v>
      </c>
      <c r="F62" s="33">
        <f>SUM(F63:F65)</f>
        <v>200</v>
      </c>
      <c r="G62" s="33">
        <f>SUM(G63:G65)</f>
        <v>1082691659.5900002</v>
      </c>
      <c r="H62" s="33">
        <f>SUM(H63:H65)</f>
        <v>1082691715.1800001</v>
      </c>
      <c r="I62" s="33">
        <f>SUM(I63:I65)</f>
        <v>1082688863.6999998</v>
      </c>
      <c r="J62" s="33">
        <f>SUM(J63:J65)</f>
        <v>0.38</v>
      </c>
      <c r="K62" s="34">
        <f t="shared" si="13"/>
        <v>0.99999736630477509</v>
      </c>
      <c r="L62" s="36">
        <f>SUM(L63:L65)</f>
        <v>2851.1000000000004</v>
      </c>
      <c r="M62" s="30">
        <f t="shared" si="9"/>
        <v>0</v>
      </c>
      <c r="N62" s="33">
        <f t="shared" ref="N62:W62" si="17">SUM(N63:N65)</f>
        <v>0</v>
      </c>
      <c r="O62" s="33">
        <f t="shared" si="17"/>
        <v>0</v>
      </c>
      <c r="P62" s="33">
        <f t="shared" si="17"/>
        <v>0</v>
      </c>
      <c r="Q62" s="33">
        <f t="shared" si="17"/>
        <v>0</v>
      </c>
      <c r="R62" s="33">
        <f t="shared" si="17"/>
        <v>0</v>
      </c>
      <c r="S62" s="33">
        <f t="shared" si="17"/>
        <v>0</v>
      </c>
      <c r="T62" s="33">
        <f t="shared" si="17"/>
        <v>0</v>
      </c>
      <c r="U62" s="33">
        <f t="shared" si="17"/>
        <v>0</v>
      </c>
      <c r="V62" s="33">
        <f t="shared" si="17"/>
        <v>0</v>
      </c>
      <c r="W62" s="33">
        <f t="shared" si="17"/>
        <v>0</v>
      </c>
      <c r="X62" s="17">
        <f>_xlfn.XLOOKUP(D62,'Overdue-1'!D:D,'Overdue-1'!E:E,0)-G62</f>
        <v>0</v>
      </c>
      <c r="Y62" s="17" t="str">
        <f t="shared" ca="1" si="11"/>
        <v>=SUM(H63:H65)</v>
      </c>
      <c r="Z62" s="11"/>
      <c r="AA62" s="16"/>
    </row>
    <row r="63" spans="1:27" s="7" customFormat="1" ht="150" hidden="1" customHeight="1" outlineLevel="1" x14ac:dyDescent="1.25">
      <c r="A63" s="4"/>
      <c r="C63" s="77"/>
      <c r="D63" s="78" t="s">
        <v>162</v>
      </c>
      <c r="E63" s="43" t="s">
        <v>159</v>
      </c>
      <c r="F63" s="40">
        <v>103</v>
      </c>
      <c r="G63" s="40">
        <v>469051097.04999995</v>
      </c>
      <c r="H63" s="40">
        <v>469051152.64000028</v>
      </c>
      <c r="I63" s="40">
        <v>469048976.19999987</v>
      </c>
      <c r="J63" s="40">
        <v>0.2</v>
      </c>
      <c r="K63" s="42">
        <f>IFERROR(I63/H63,"-")</f>
        <v>0.99999535990906718</v>
      </c>
      <c r="L63" s="36">
        <v>2176.2400000000002</v>
      </c>
      <c r="M63" s="30">
        <f t="shared" ref="M63:M94" si="18">MAX(G63-(H63+J63),0)</f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17">
        <f>_xlfn.XLOOKUP(D63,'Overdue-1'!D:D,'Overdue-1'!E:E,0)-G63</f>
        <v>0</v>
      </c>
      <c r="Y63" s="17" t="e">
        <f t="shared" ca="1" si="11"/>
        <v>#N/A</v>
      </c>
      <c r="Z63" s="11">
        <v>0</v>
      </c>
      <c r="AA63" s="16"/>
    </row>
    <row r="64" spans="1:27" s="7" customFormat="1" ht="150" hidden="1" customHeight="1" outlineLevel="1" x14ac:dyDescent="1.25">
      <c r="A64" s="4"/>
      <c r="C64" s="77"/>
      <c r="D64" s="78" t="s">
        <v>161</v>
      </c>
      <c r="E64" s="43" t="s">
        <v>159</v>
      </c>
      <c r="F64" s="40">
        <v>71</v>
      </c>
      <c r="G64" s="40">
        <v>324150738.41000003</v>
      </c>
      <c r="H64" s="40">
        <v>324150738.40999997</v>
      </c>
      <c r="I64" s="40">
        <v>324150594.84999996</v>
      </c>
      <c r="J64" s="40">
        <v>0.18</v>
      </c>
      <c r="K64" s="42">
        <f>I64/H64</f>
        <v>0.99999955711962685</v>
      </c>
      <c r="L64" s="36">
        <v>143.37999999999997</v>
      </c>
      <c r="M64" s="30">
        <f t="shared" si="18"/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17">
        <f>_xlfn.XLOOKUP(D64,'Overdue-1'!D:D,'Overdue-1'!E:E,0)-G64</f>
        <v>0</v>
      </c>
      <c r="Y64" s="17" t="e">
        <f t="shared" ca="1" si="11"/>
        <v>#N/A</v>
      </c>
      <c r="Z64" s="11">
        <v>0</v>
      </c>
      <c r="AA64" s="16"/>
    </row>
    <row r="65" spans="1:27" s="7" customFormat="1" ht="150" hidden="1" customHeight="1" outlineLevel="1" x14ac:dyDescent="1.25">
      <c r="A65" s="4"/>
      <c r="C65" s="77"/>
      <c r="D65" s="78" t="s">
        <v>160</v>
      </c>
      <c r="E65" s="43" t="s">
        <v>159</v>
      </c>
      <c r="F65" s="40">
        <v>26</v>
      </c>
      <c r="G65" s="40">
        <v>289489824.13</v>
      </c>
      <c r="H65" s="40">
        <v>289489824.12999994</v>
      </c>
      <c r="I65" s="40">
        <v>289489292.64999998</v>
      </c>
      <c r="J65" s="40">
        <v>0</v>
      </c>
      <c r="K65" s="42">
        <f>I65/H65</f>
        <v>0.99999816408054565</v>
      </c>
      <c r="L65" s="36">
        <v>531.4799999999999</v>
      </c>
      <c r="M65" s="30">
        <f t="shared" si="18"/>
        <v>5.9604644775390625E-8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17">
        <f>_xlfn.XLOOKUP(D65,'Overdue-1'!D:D,'Overdue-1'!E:E,0)-G65</f>
        <v>0</v>
      </c>
      <c r="Y65" s="17" t="e">
        <f t="shared" ca="1" si="11"/>
        <v>#N/A</v>
      </c>
      <c r="Z65" s="11">
        <v>0</v>
      </c>
      <c r="AA65" s="16"/>
    </row>
    <row r="66" spans="1:27" s="7" customFormat="1" ht="150" customHeight="1" collapsed="1" x14ac:dyDescent="1.25">
      <c r="A66" s="4"/>
      <c r="C66" s="77">
        <v>18</v>
      </c>
      <c r="D66" s="76" t="s">
        <v>158</v>
      </c>
      <c r="E66" s="49" t="s">
        <v>16</v>
      </c>
      <c r="F66" s="33">
        <f>SUM(F67:F74)</f>
        <v>2906</v>
      </c>
      <c r="G66" s="33">
        <f>SUM(G67:G74)</f>
        <v>3738518271.7600002</v>
      </c>
      <c r="H66" s="33">
        <f>SUM(H67:H74)</f>
        <v>1582324083.3500047</v>
      </c>
      <c r="I66" s="33">
        <f>SUM(I67:I74)</f>
        <v>1507701123.5200002</v>
      </c>
      <c r="J66" s="33">
        <f>SUM(J67:J74)</f>
        <v>82998338.939999983</v>
      </c>
      <c r="K66" s="34">
        <f t="shared" ref="K66:K74" si="19">IFERROR(I66/H66,0)</f>
        <v>0.95283964858070225</v>
      </c>
      <c r="L66" s="36">
        <f>SUM(L67:L74)</f>
        <v>74622959.759999961</v>
      </c>
      <c r="M66" s="30">
        <f t="shared" si="18"/>
        <v>2073195849.4699955</v>
      </c>
      <c r="N66" s="40">
        <f t="shared" ref="N66:W66" si="20">SUM(N67:N74)</f>
        <v>364122517.84999478</v>
      </c>
      <c r="O66" s="33">
        <f t="shared" si="20"/>
        <v>1708716279.6900005</v>
      </c>
      <c r="P66" s="33">
        <f t="shared" si="20"/>
        <v>357051.93</v>
      </c>
      <c r="Q66" s="40">
        <f t="shared" si="20"/>
        <v>0</v>
      </c>
      <c r="R66" s="33">
        <f t="shared" si="20"/>
        <v>0</v>
      </c>
      <c r="S66" s="33">
        <f t="shared" si="20"/>
        <v>0</v>
      </c>
      <c r="T66" s="33">
        <f t="shared" si="20"/>
        <v>0</v>
      </c>
      <c r="U66" s="33">
        <f t="shared" si="20"/>
        <v>0</v>
      </c>
      <c r="V66" s="33">
        <f t="shared" si="20"/>
        <v>0</v>
      </c>
      <c r="W66" s="33">
        <f t="shared" si="20"/>
        <v>0</v>
      </c>
      <c r="X66" s="17">
        <f>_xlfn.XLOOKUP(D66,'Overdue-1'!D:D,'Overdue-1'!E:E,0)-G66</f>
        <v>0</v>
      </c>
      <c r="Y66" s="17" t="str">
        <f t="shared" ca="1" si="11"/>
        <v>=SUM(H67:H74)</v>
      </c>
      <c r="Z66" s="11"/>
      <c r="AA66" s="16"/>
    </row>
    <row r="67" spans="1:27" s="7" customFormat="1" ht="150" hidden="1" customHeight="1" outlineLevel="1" x14ac:dyDescent="1.25">
      <c r="A67" s="4"/>
      <c r="C67" s="77"/>
      <c r="D67" s="94" t="s">
        <v>157</v>
      </c>
      <c r="E67" s="49" t="s">
        <v>16</v>
      </c>
      <c r="F67" s="33">
        <v>621</v>
      </c>
      <c r="G67" s="33">
        <v>732242701.68999994</v>
      </c>
      <c r="H67" s="33">
        <v>379088560.84000438</v>
      </c>
      <c r="I67" s="33">
        <v>357972786.68999982</v>
      </c>
      <c r="J67" s="33">
        <v>12986703.869999994</v>
      </c>
      <c r="K67" s="34">
        <f t="shared" si="19"/>
        <v>0.94429857207187917</v>
      </c>
      <c r="L67" s="36">
        <v>21115774.149999999</v>
      </c>
      <c r="M67" s="30">
        <f t="shared" si="18"/>
        <v>340167436.97999555</v>
      </c>
      <c r="N67" s="40">
        <f t="shared" ref="N67:N82" si="21">M67-SUM(O67:W67)</f>
        <v>68396092.549995124</v>
      </c>
      <c r="O67" s="33">
        <v>271771344.43000042</v>
      </c>
      <c r="P67" s="33">
        <v>0</v>
      </c>
      <c r="Q67" s="40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17">
        <f>_xlfn.XLOOKUP(D67,'Overdue-1'!D:D,'Overdue-1'!E:E,0)-G67</f>
        <v>0</v>
      </c>
      <c r="Y67" s="17" t="e">
        <f t="shared" ca="1" si="11"/>
        <v>#N/A</v>
      </c>
      <c r="Z67" s="11">
        <v>-3.9339065551757813E-6</v>
      </c>
      <c r="AA67" s="16"/>
    </row>
    <row r="68" spans="1:27" s="7" customFormat="1" ht="150" hidden="1" customHeight="1" outlineLevel="1" x14ac:dyDescent="1.25">
      <c r="A68" s="4"/>
      <c r="C68" s="77"/>
      <c r="D68" s="94" t="s">
        <v>156</v>
      </c>
      <c r="E68" s="49" t="s">
        <v>16</v>
      </c>
      <c r="F68" s="33">
        <v>632</v>
      </c>
      <c r="G68" s="33">
        <v>750979306.7300005</v>
      </c>
      <c r="H68" s="33">
        <v>330182519.46000069</v>
      </c>
      <c r="I68" s="33">
        <v>313825041.03999978</v>
      </c>
      <c r="J68" s="33">
        <v>17075733.02999999</v>
      </c>
      <c r="K68" s="34">
        <f t="shared" si="19"/>
        <v>0.95045928401432977</v>
      </c>
      <c r="L68" s="36">
        <v>16357478.419999996</v>
      </c>
      <c r="M68" s="30">
        <f t="shared" si="18"/>
        <v>403721054.23999983</v>
      </c>
      <c r="N68" s="40">
        <f t="shared" si="21"/>
        <v>69930459.350000143</v>
      </c>
      <c r="O68" s="33">
        <v>333790594.88999969</v>
      </c>
      <c r="P68" s="33">
        <v>0</v>
      </c>
      <c r="Q68" s="40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17">
        <f>_xlfn.XLOOKUP(D68,'Overdue-1'!D:D,'Overdue-1'!E:E,0)-G68</f>
        <v>0</v>
      </c>
      <c r="Y68" s="17" t="e">
        <f t="shared" ref="Y68:Y99" ca="1" si="22">_xlfn.FORMULATEXT(H68)</f>
        <v>#N/A</v>
      </c>
      <c r="Z68" s="11">
        <v>102476.91999894381</v>
      </c>
      <c r="AA68" s="16"/>
    </row>
    <row r="69" spans="1:27" s="7" customFormat="1" ht="150" hidden="1" customHeight="1" outlineLevel="1" x14ac:dyDescent="1.25">
      <c r="A69" s="4"/>
      <c r="C69" s="77"/>
      <c r="D69" s="94" t="s">
        <v>155</v>
      </c>
      <c r="E69" s="49" t="s">
        <v>16</v>
      </c>
      <c r="F69" s="33">
        <v>184</v>
      </c>
      <c r="G69" s="33">
        <v>266342833.88000008</v>
      </c>
      <c r="H69" s="33">
        <v>83851843.330000073</v>
      </c>
      <c r="I69" s="33">
        <v>80472263.659999952</v>
      </c>
      <c r="J69" s="33">
        <v>7763700.129999999</v>
      </c>
      <c r="K69" s="34">
        <f t="shared" si="19"/>
        <v>0.95969582139417331</v>
      </c>
      <c r="L69" s="36">
        <v>3379579.6700000004</v>
      </c>
      <c r="M69" s="30">
        <f t="shared" si="18"/>
        <v>174727290.42000002</v>
      </c>
      <c r="N69" s="40">
        <f t="shared" si="21"/>
        <v>28830394.459999949</v>
      </c>
      <c r="O69" s="33">
        <v>145896895.96000007</v>
      </c>
      <c r="P69" s="33">
        <v>0</v>
      </c>
      <c r="Q69" s="40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17">
        <f>_xlfn.XLOOKUP(D69,'Overdue-1'!D:D,'Overdue-1'!E:E,0)-G69</f>
        <v>0</v>
      </c>
      <c r="Y69" s="17" t="e">
        <f t="shared" ca="1" si="22"/>
        <v>#N/A</v>
      </c>
      <c r="Z69" s="11">
        <v>198123.08999988437</v>
      </c>
      <c r="AA69" s="16"/>
    </row>
    <row r="70" spans="1:27" s="7" customFormat="1" ht="150" hidden="1" customHeight="1" outlineLevel="1" x14ac:dyDescent="1.25">
      <c r="A70" s="4"/>
      <c r="C70" s="77"/>
      <c r="D70" s="94" t="s">
        <v>154</v>
      </c>
      <c r="E70" s="49" t="s">
        <v>16</v>
      </c>
      <c r="F70" s="33">
        <v>237</v>
      </c>
      <c r="G70" s="33">
        <v>331848722.86999995</v>
      </c>
      <c r="H70" s="33">
        <v>101253982.25999998</v>
      </c>
      <c r="I70" s="33">
        <v>98350674.440000072</v>
      </c>
      <c r="J70" s="33">
        <v>7843520</v>
      </c>
      <c r="K70" s="34">
        <f t="shared" si="19"/>
        <v>0.97132648262124854</v>
      </c>
      <c r="L70" s="36">
        <v>2903307.82</v>
      </c>
      <c r="M70" s="30">
        <f t="shared" si="18"/>
        <v>222751220.60999995</v>
      </c>
      <c r="N70" s="40">
        <f t="shared" si="21"/>
        <v>32712001.50000003</v>
      </c>
      <c r="O70" s="33">
        <v>190039219.10999992</v>
      </c>
      <c r="P70" s="33">
        <v>0</v>
      </c>
      <c r="Q70" s="40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17">
        <f>_xlfn.XLOOKUP(D70,'Overdue-1'!D:D,'Overdue-1'!E:E,0)-G70</f>
        <v>0</v>
      </c>
      <c r="Y70" s="17" t="e">
        <f t="shared" ca="1" si="22"/>
        <v>#N/A</v>
      </c>
      <c r="Z70" s="11">
        <v>0</v>
      </c>
      <c r="AA70" s="16"/>
    </row>
    <row r="71" spans="1:27" s="7" customFormat="1" ht="150" hidden="1" customHeight="1" outlineLevel="1" x14ac:dyDescent="1.25">
      <c r="A71" s="4"/>
      <c r="C71" s="77"/>
      <c r="D71" s="94" t="s">
        <v>153</v>
      </c>
      <c r="E71" s="49" t="s">
        <v>16</v>
      </c>
      <c r="F71" s="33">
        <v>761</v>
      </c>
      <c r="G71" s="33">
        <v>913478656.37999904</v>
      </c>
      <c r="H71" s="33">
        <v>437884662.62999958</v>
      </c>
      <c r="I71" s="33">
        <v>415154034.83000046</v>
      </c>
      <c r="J71" s="33">
        <v>16644972.849999998</v>
      </c>
      <c r="K71" s="34">
        <f t="shared" si="19"/>
        <v>0.94808992015505722</v>
      </c>
      <c r="L71" s="36">
        <v>22730627.799999975</v>
      </c>
      <c r="M71" s="30">
        <f t="shared" si="18"/>
        <v>458949020.89999944</v>
      </c>
      <c r="N71" s="40">
        <f t="shared" si="21"/>
        <v>85525724.799999177</v>
      </c>
      <c r="O71" s="33">
        <v>373066244.17000026</v>
      </c>
      <c r="P71" s="33">
        <v>357051.93</v>
      </c>
      <c r="Q71" s="40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17">
        <f>_xlfn.XLOOKUP(D71,'Overdue-1'!D:D,'Overdue-1'!E:E,0)-G71</f>
        <v>0</v>
      </c>
      <c r="Y71" s="17" t="e">
        <f t="shared" ca="1" si="22"/>
        <v>#N/A</v>
      </c>
      <c r="Z71" s="11">
        <v>426573.07000100613</v>
      </c>
      <c r="AA71" s="16"/>
    </row>
    <row r="72" spans="1:27" s="7" customFormat="1" ht="150" hidden="1" customHeight="1" outlineLevel="1" x14ac:dyDescent="1.25">
      <c r="A72" s="4"/>
      <c r="C72" s="77"/>
      <c r="D72" s="94" t="s">
        <v>152</v>
      </c>
      <c r="E72" s="49" t="s">
        <v>16</v>
      </c>
      <c r="F72" s="33">
        <v>238</v>
      </c>
      <c r="G72" s="33">
        <v>335904063.08000004</v>
      </c>
      <c r="H72" s="33">
        <v>114446912.95999986</v>
      </c>
      <c r="I72" s="33">
        <v>109872092.58000001</v>
      </c>
      <c r="J72" s="33">
        <v>11871682.410000002</v>
      </c>
      <c r="K72" s="34">
        <f t="shared" si="19"/>
        <v>0.96002670354595954</v>
      </c>
      <c r="L72" s="36">
        <v>4574820.3800000008</v>
      </c>
      <c r="M72" s="30">
        <f t="shared" si="18"/>
        <v>209585467.71000019</v>
      </c>
      <c r="N72" s="40">
        <f t="shared" si="21"/>
        <v>33984646.660000086</v>
      </c>
      <c r="O72" s="33">
        <v>175600821.0500001</v>
      </c>
      <c r="P72" s="33">
        <v>0</v>
      </c>
      <c r="Q72" s="40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17">
        <f>_xlfn.XLOOKUP(D72,'Overdue-1'!D:D,'Overdue-1'!E:E,0)-G72</f>
        <v>0</v>
      </c>
      <c r="Y72" s="17" t="e">
        <f t="shared" ca="1" si="22"/>
        <v>#N/A</v>
      </c>
      <c r="Z72" s="11">
        <v>395997.50000019372</v>
      </c>
      <c r="AA72" s="16"/>
    </row>
    <row r="73" spans="1:27" s="7" customFormat="1" ht="150" hidden="1" customHeight="1" outlineLevel="1" x14ac:dyDescent="1.25">
      <c r="A73" s="4"/>
      <c r="C73" s="77"/>
      <c r="D73" s="94" t="s">
        <v>151</v>
      </c>
      <c r="E73" s="49" t="s">
        <v>16</v>
      </c>
      <c r="F73" s="33">
        <v>221</v>
      </c>
      <c r="G73" s="33">
        <v>303141987.13000035</v>
      </c>
      <c r="H73" s="33">
        <v>110019604.87000006</v>
      </c>
      <c r="I73" s="33">
        <v>106749138.38000001</v>
      </c>
      <c r="J73" s="33">
        <v>8213276.389999995</v>
      </c>
      <c r="K73" s="34">
        <f t="shared" si="19"/>
        <v>0.97027378444174139</v>
      </c>
      <c r="L73" s="36">
        <v>3270466.4200000004</v>
      </c>
      <c r="M73" s="30">
        <f t="shared" si="18"/>
        <v>184909105.8700003</v>
      </c>
      <c r="N73" s="40">
        <f t="shared" si="21"/>
        <v>28955449.29000029</v>
      </c>
      <c r="O73" s="33">
        <v>155953656.58000001</v>
      </c>
      <c r="P73" s="33">
        <v>0</v>
      </c>
      <c r="Q73" s="40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17">
        <f>_xlfn.XLOOKUP(D73,'Overdue-1'!D:D,'Overdue-1'!E:E,0)-G73</f>
        <v>0</v>
      </c>
      <c r="Y73" s="17" t="e">
        <f t="shared" ca="1" si="22"/>
        <v>#N/A</v>
      </c>
      <c r="Z73" s="11">
        <v>0</v>
      </c>
      <c r="AA73" s="16"/>
    </row>
    <row r="74" spans="1:27" s="7" customFormat="1" ht="150" hidden="1" customHeight="1" outlineLevel="1" x14ac:dyDescent="1.25">
      <c r="A74" s="4"/>
      <c r="C74" s="77"/>
      <c r="D74" s="94" t="s">
        <v>150</v>
      </c>
      <c r="E74" s="49" t="s">
        <v>16</v>
      </c>
      <c r="F74" s="33">
        <v>12</v>
      </c>
      <c r="G74" s="33">
        <v>104580000</v>
      </c>
      <c r="H74" s="33">
        <v>25595997</v>
      </c>
      <c r="I74" s="33">
        <v>25305091.899999999</v>
      </c>
      <c r="J74" s="33">
        <v>598750.26</v>
      </c>
      <c r="K74" s="34">
        <f t="shared" si="19"/>
        <v>0.9886347423778804</v>
      </c>
      <c r="L74" s="36">
        <v>290905.09999999998</v>
      </c>
      <c r="M74" s="30">
        <f t="shared" si="18"/>
        <v>78385252.739999995</v>
      </c>
      <c r="N74" s="40">
        <f t="shared" si="21"/>
        <v>15787749.239999995</v>
      </c>
      <c r="O74" s="33">
        <v>62597503.5</v>
      </c>
      <c r="P74" s="33">
        <v>0</v>
      </c>
      <c r="Q74" s="40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17">
        <f>_xlfn.XLOOKUP(D74,'Overdue-1'!D:D,'Overdue-1'!E:E,0)-G74</f>
        <v>0</v>
      </c>
      <c r="Y74" s="17" t="e">
        <f t="shared" ca="1" si="22"/>
        <v>#N/A</v>
      </c>
      <c r="Z74" s="11">
        <v>0</v>
      </c>
      <c r="AA74" s="16"/>
    </row>
    <row r="75" spans="1:27" s="7" customFormat="1" ht="150" customHeight="1" collapsed="1" x14ac:dyDescent="1.25">
      <c r="A75" s="4"/>
      <c r="C75" s="77">
        <v>19</v>
      </c>
      <c r="D75" s="76" t="s">
        <v>149</v>
      </c>
      <c r="E75" s="49" t="s">
        <v>16</v>
      </c>
      <c r="F75" s="33">
        <f>SUM(F76:F78)</f>
        <v>1445</v>
      </c>
      <c r="G75" s="33">
        <f>SUM(G76:G78)</f>
        <v>3839886319.8000002</v>
      </c>
      <c r="H75" s="33">
        <f>SUM(H76:H78)</f>
        <v>1045588601.7500001</v>
      </c>
      <c r="I75" s="33">
        <f>SUM(I76:I78)</f>
        <v>1005409411.4799995</v>
      </c>
      <c r="J75" s="33">
        <f>SUM(J76:J78)</f>
        <v>150309394.14999992</v>
      </c>
      <c r="K75" s="34">
        <f>I75/H75</f>
        <v>0.96157265849804341</v>
      </c>
      <c r="L75" s="36">
        <f>SUM(L76:L78)</f>
        <v>40179190.149999999</v>
      </c>
      <c r="M75" s="30">
        <f t="shared" si="18"/>
        <v>2643988323.9000001</v>
      </c>
      <c r="N75" s="40">
        <f t="shared" si="21"/>
        <v>331592429.57999897</v>
      </c>
      <c r="O75" s="33">
        <f t="shared" ref="O75:W75" si="23">SUM(O76:O78)</f>
        <v>552559356.07000017</v>
      </c>
      <c r="P75" s="33">
        <f t="shared" si="23"/>
        <v>1759836538.250001</v>
      </c>
      <c r="Q75" s="33">
        <f t="shared" si="23"/>
        <v>0</v>
      </c>
      <c r="R75" s="33">
        <f t="shared" si="23"/>
        <v>0</v>
      </c>
      <c r="S75" s="33">
        <f t="shared" si="23"/>
        <v>0</v>
      </c>
      <c r="T75" s="33">
        <f t="shared" si="23"/>
        <v>0</v>
      </c>
      <c r="U75" s="33">
        <f t="shared" si="23"/>
        <v>0</v>
      </c>
      <c r="V75" s="33">
        <f t="shared" si="23"/>
        <v>0</v>
      </c>
      <c r="W75" s="33">
        <f t="shared" si="23"/>
        <v>0</v>
      </c>
      <c r="X75" s="17">
        <f>_xlfn.XLOOKUP(D75,'Overdue-1'!D:D,'Overdue-1'!E:E,0)-G75</f>
        <v>0</v>
      </c>
      <c r="Y75" s="17" t="str">
        <f t="shared" ca="1" si="22"/>
        <v>=SUM(H76:H78)</v>
      </c>
      <c r="Z75" s="11"/>
      <c r="AA75" s="16"/>
    </row>
    <row r="76" spans="1:27" s="7" customFormat="1" ht="150" hidden="1" customHeight="1" outlineLevel="1" x14ac:dyDescent="1.25">
      <c r="A76" s="4"/>
      <c r="C76" s="77"/>
      <c r="D76" s="94" t="s">
        <v>148</v>
      </c>
      <c r="E76" s="49" t="s">
        <v>16</v>
      </c>
      <c r="F76" s="33">
        <v>478</v>
      </c>
      <c r="G76" s="33">
        <v>1204568671.5399995</v>
      </c>
      <c r="H76" s="33">
        <v>324248300.53999984</v>
      </c>
      <c r="I76" s="33">
        <v>313302488.40999979</v>
      </c>
      <c r="J76" s="33">
        <v>67276427.449999988</v>
      </c>
      <c r="K76" s="34">
        <f t="shared" ref="K76:K90" si="24">IFERROR(I76/H76,0)</f>
        <v>0.9662424996159702</v>
      </c>
      <c r="L76" s="36">
        <v>10945812.010000002</v>
      </c>
      <c r="M76" s="30">
        <f t="shared" si="18"/>
        <v>813043943.54999971</v>
      </c>
      <c r="N76" s="40">
        <f t="shared" si="21"/>
        <v>122913193.43999946</v>
      </c>
      <c r="O76" s="33">
        <v>150972360.40000007</v>
      </c>
      <c r="P76" s="33">
        <v>539158389.71000016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17">
        <f>_xlfn.XLOOKUP(D76,'Overdue-1'!D:D,'Overdue-1'!E:E,0)-G76</f>
        <v>0</v>
      </c>
      <c r="Y76" s="17" t="e">
        <f t="shared" ca="1" si="22"/>
        <v>#N/A</v>
      </c>
      <c r="Z76" s="11">
        <v>0</v>
      </c>
      <c r="AA76" s="16"/>
    </row>
    <row r="77" spans="1:27" s="7" customFormat="1" ht="150" hidden="1" customHeight="1" outlineLevel="1" x14ac:dyDescent="1.25">
      <c r="A77" s="4"/>
      <c r="C77" s="77"/>
      <c r="D77" s="94" t="s">
        <v>147</v>
      </c>
      <c r="E77" s="49" t="s">
        <v>16</v>
      </c>
      <c r="F77" s="33">
        <v>373</v>
      </c>
      <c r="G77" s="33">
        <v>934429390.42000055</v>
      </c>
      <c r="H77" s="33">
        <v>255367785.73999977</v>
      </c>
      <c r="I77" s="33">
        <v>248328378.34999999</v>
      </c>
      <c r="J77" s="33">
        <v>36450225.639999986</v>
      </c>
      <c r="K77" s="34">
        <f t="shared" si="24"/>
        <v>0.9724342388386964</v>
      </c>
      <c r="L77" s="36">
        <v>7039407.3900000006</v>
      </c>
      <c r="M77" s="30">
        <f t="shared" si="18"/>
        <v>642611379.0400008</v>
      </c>
      <c r="N77" s="40">
        <f t="shared" si="21"/>
        <v>76218885.460001111</v>
      </c>
      <c r="O77" s="33">
        <v>133485741.80999988</v>
      </c>
      <c r="P77" s="33">
        <v>432906751.76999986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17">
        <f>_xlfn.XLOOKUP(D77,'Overdue-1'!D:D,'Overdue-1'!E:E,0)-G77</f>
        <v>0</v>
      </c>
      <c r="Y77" s="17" t="e">
        <f t="shared" ca="1" si="22"/>
        <v>#N/A</v>
      </c>
      <c r="Z77" s="11">
        <v>0</v>
      </c>
      <c r="AA77" s="16"/>
    </row>
    <row r="78" spans="1:27" s="7" customFormat="1" ht="150" hidden="1" customHeight="1" outlineLevel="1" x14ac:dyDescent="1.25">
      <c r="A78" s="4"/>
      <c r="C78" s="77"/>
      <c r="D78" s="94" t="s">
        <v>146</v>
      </c>
      <c r="E78" s="49" t="s">
        <v>16</v>
      </c>
      <c r="F78" s="33">
        <v>594</v>
      </c>
      <c r="G78" s="33">
        <v>1700888257.8400002</v>
      </c>
      <c r="H78" s="33">
        <v>465972515.47000051</v>
      </c>
      <c r="I78" s="33">
        <v>443778544.71999985</v>
      </c>
      <c r="J78" s="33">
        <v>46582741.059999958</v>
      </c>
      <c r="K78" s="34">
        <f t="shared" si="24"/>
        <v>0.95237064416210293</v>
      </c>
      <c r="L78" s="36">
        <v>22193970.749999996</v>
      </c>
      <c r="M78" s="30">
        <f t="shared" si="18"/>
        <v>1188333001.3099997</v>
      </c>
      <c r="N78" s="40">
        <f t="shared" si="21"/>
        <v>132460350.6799984</v>
      </c>
      <c r="O78" s="33">
        <v>268101253.86000019</v>
      </c>
      <c r="P78" s="33">
        <v>787771396.77000105</v>
      </c>
      <c r="Q78" s="33">
        <v>0</v>
      </c>
      <c r="R78" s="33">
        <v>0</v>
      </c>
      <c r="S78" s="33">
        <v>0</v>
      </c>
      <c r="T78" s="33">
        <v>0</v>
      </c>
      <c r="U78" s="33">
        <v>0</v>
      </c>
      <c r="V78" s="33">
        <v>0</v>
      </c>
      <c r="W78" s="33">
        <v>0</v>
      </c>
      <c r="X78" s="17">
        <f>_xlfn.XLOOKUP(D78,'Overdue-1'!D:D,'Overdue-1'!E:E,0)-G78</f>
        <v>0</v>
      </c>
      <c r="Y78" s="17" t="e">
        <f t="shared" ca="1" si="22"/>
        <v>#N/A</v>
      </c>
      <c r="Z78" s="11">
        <v>665924.75</v>
      </c>
      <c r="AA78" s="16"/>
    </row>
    <row r="79" spans="1:27" s="7" customFormat="1" ht="150" customHeight="1" collapsed="1" x14ac:dyDescent="1.25">
      <c r="A79" s="4"/>
      <c r="C79" s="77">
        <v>20</v>
      </c>
      <c r="D79" s="76" t="s">
        <v>145</v>
      </c>
      <c r="E79" s="49" t="s">
        <v>16</v>
      </c>
      <c r="F79" s="33">
        <f>SUM(F80:F83)</f>
        <v>175</v>
      </c>
      <c r="G79" s="33">
        <f>SUM(G80:G83)</f>
        <v>2576602179.7700005</v>
      </c>
      <c r="H79" s="33">
        <f>SUM(H80:H83)</f>
        <v>756395215.1499989</v>
      </c>
      <c r="I79" s="33">
        <f>SUM(I80:I83)</f>
        <v>681960575.27999997</v>
      </c>
      <c r="J79" s="33">
        <f>SUM(J80:J83)</f>
        <v>49385303.180000007</v>
      </c>
      <c r="K79" s="34">
        <f t="shared" si="24"/>
        <v>0.90159292605356056</v>
      </c>
      <c r="L79" s="36">
        <f>SUM(L80:L83)</f>
        <v>74434639.870000005</v>
      </c>
      <c r="M79" s="30">
        <f t="shared" si="18"/>
        <v>1770821661.4400015</v>
      </c>
      <c r="N79" s="40">
        <f t="shared" si="21"/>
        <v>265014038.25000167</v>
      </c>
      <c r="O79" s="40">
        <f t="shared" ref="O79:W79" si="25">SUM(O80:O83)</f>
        <v>632109373.8499999</v>
      </c>
      <c r="P79" s="33">
        <f t="shared" si="25"/>
        <v>866778492.53999996</v>
      </c>
      <c r="Q79" s="33">
        <f t="shared" si="25"/>
        <v>6919756.7999999998</v>
      </c>
      <c r="R79" s="40">
        <f t="shared" si="25"/>
        <v>0</v>
      </c>
      <c r="S79" s="33">
        <f t="shared" si="25"/>
        <v>0</v>
      </c>
      <c r="T79" s="33">
        <f t="shared" si="25"/>
        <v>0</v>
      </c>
      <c r="U79" s="33">
        <f t="shared" si="25"/>
        <v>0</v>
      </c>
      <c r="V79" s="33">
        <f t="shared" si="25"/>
        <v>0</v>
      </c>
      <c r="W79" s="33">
        <f t="shared" si="25"/>
        <v>0</v>
      </c>
      <c r="X79" s="17">
        <f>_xlfn.XLOOKUP(D79,'Overdue-1'!D:D,'Overdue-1'!E:E,0)-G79</f>
        <v>0</v>
      </c>
      <c r="Y79" s="17" t="str">
        <f t="shared" ca="1" si="22"/>
        <v>=SUM(H80:H83)</v>
      </c>
      <c r="Z79" s="11"/>
      <c r="AA79" s="16"/>
    </row>
    <row r="80" spans="1:27" s="7" customFormat="1" ht="150" hidden="1" customHeight="1" outlineLevel="1" x14ac:dyDescent="1.25">
      <c r="A80" s="4"/>
      <c r="C80" s="77"/>
      <c r="D80" s="94" t="s">
        <v>144</v>
      </c>
      <c r="E80" s="49" t="s">
        <v>16</v>
      </c>
      <c r="F80" s="33">
        <v>137</v>
      </c>
      <c r="G80" s="33">
        <v>1849700766.1800001</v>
      </c>
      <c r="H80" s="33">
        <v>557175564.50999892</v>
      </c>
      <c r="I80" s="33">
        <v>504545324.44000006</v>
      </c>
      <c r="J80" s="33">
        <v>25258580.270000003</v>
      </c>
      <c r="K80" s="34">
        <f t="shared" si="24"/>
        <v>0.90554101180606539</v>
      </c>
      <c r="L80" s="36">
        <v>52630240.069999993</v>
      </c>
      <c r="M80" s="30">
        <f t="shared" si="18"/>
        <v>1267266621.400001</v>
      </c>
      <c r="N80" s="40">
        <f t="shared" si="21"/>
        <v>190993757.16000128</v>
      </c>
      <c r="O80" s="40">
        <v>540370187.89999986</v>
      </c>
      <c r="P80" s="33">
        <v>528982919.54000002</v>
      </c>
      <c r="Q80" s="33">
        <v>6919756.7999999998</v>
      </c>
      <c r="R80" s="40">
        <v>0</v>
      </c>
      <c r="S80" s="33">
        <v>0</v>
      </c>
      <c r="T80" s="33">
        <v>0</v>
      </c>
      <c r="U80" s="33">
        <v>0</v>
      </c>
      <c r="V80" s="33">
        <v>0</v>
      </c>
      <c r="W80" s="33">
        <v>0</v>
      </c>
      <c r="X80" s="17">
        <f>_xlfn.XLOOKUP(D80,'Overdue-1'!D:D,'Overdue-1'!E:E,0)-G80</f>
        <v>0</v>
      </c>
      <c r="Y80" s="17" t="e">
        <f t="shared" ca="1" si="22"/>
        <v>#N/A</v>
      </c>
      <c r="Z80" s="11">
        <v>1.3113021850585938E-6</v>
      </c>
      <c r="AA80" s="16"/>
    </row>
    <row r="81" spans="1:27" s="7" customFormat="1" ht="150" hidden="1" customHeight="1" outlineLevel="2" x14ac:dyDescent="1.25">
      <c r="A81" s="4"/>
      <c r="C81" s="77"/>
      <c r="D81" s="102" t="s">
        <v>143</v>
      </c>
      <c r="E81" s="49" t="s">
        <v>16</v>
      </c>
      <c r="F81" s="33">
        <v>23</v>
      </c>
      <c r="G81" s="33">
        <v>408560860.88999999</v>
      </c>
      <c r="H81" s="33">
        <v>105301636.58999993</v>
      </c>
      <c r="I81" s="33">
        <v>92337579.919999987</v>
      </c>
      <c r="J81" s="33">
        <v>11313254.830000002</v>
      </c>
      <c r="K81" s="34">
        <f t="shared" si="24"/>
        <v>0.87688646549268268</v>
      </c>
      <c r="L81" s="36">
        <v>12964056.67</v>
      </c>
      <c r="M81" s="30">
        <f t="shared" si="18"/>
        <v>291945969.47000003</v>
      </c>
      <c r="N81" s="40">
        <f t="shared" si="21"/>
        <v>44150327.02000007</v>
      </c>
      <c r="O81" s="40">
        <v>48947930.940000005</v>
      </c>
      <c r="P81" s="33">
        <v>198847711.50999996</v>
      </c>
      <c r="Q81" s="33">
        <v>0</v>
      </c>
      <c r="R81" s="40">
        <v>0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17">
        <f>_xlfn.XLOOKUP(D81,'Overdue-1'!D:D,'Overdue-1'!E:E,0)-G81</f>
        <v>0</v>
      </c>
      <c r="Y81" s="17" t="e">
        <f t="shared" ca="1" si="22"/>
        <v>#N/A</v>
      </c>
      <c r="Z81" s="11">
        <v>0</v>
      </c>
      <c r="AA81" s="16"/>
    </row>
    <row r="82" spans="1:27" s="7" customFormat="1" ht="150" hidden="1" customHeight="1" outlineLevel="2" x14ac:dyDescent="1.25">
      <c r="A82" s="4"/>
      <c r="C82" s="77"/>
      <c r="D82" s="102" t="s">
        <v>142</v>
      </c>
      <c r="E82" s="49" t="s">
        <v>16</v>
      </c>
      <c r="F82" s="33">
        <v>15</v>
      </c>
      <c r="G82" s="33">
        <v>318340552.70000005</v>
      </c>
      <c r="H82" s="33">
        <v>93918014.050000012</v>
      </c>
      <c r="I82" s="33">
        <v>85077670.919999987</v>
      </c>
      <c r="J82" s="33">
        <v>12813468.08</v>
      </c>
      <c r="K82" s="34">
        <f t="shared" si="24"/>
        <v>0.90587169863607198</v>
      </c>
      <c r="L82" s="36">
        <v>8840343.1300000027</v>
      </c>
      <c r="M82" s="30">
        <f t="shared" si="18"/>
        <v>211609070.57000005</v>
      </c>
      <c r="N82" s="40">
        <f t="shared" si="21"/>
        <v>29869954.070000082</v>
      </c>
      <c r="O82" s="40">
        <v>42791255.00999999</v>
      </c>
      <c r="P82" s="33">
        <v>138947861.48999998</v>
      </c>
      <c r="Q82" s="33">
        <v>0</v>
      </c>
      <c r="R82" s="40">
        <v>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17">
        <f>_xlfn.XLOOKUP(D82,'Overdue-1'!D:D,'Overdue-1'!E:E,0)-G82</f>
        <v>0</v>
      </c>
      <c r="Y82" s="17" t="e">
        <f t="shared" ca="1" si="22"/>
        <v>#N/A</v>
      </c>
      <c r="Z82" s="11">
        <v>0</v>
      </c>
      <c r="AA82" s="16"/>
    </row>
    <row r="83" spans="1:27" s="7" customFormat="1" ht="150" hidden="1" customHeight="1" outlineLevel="1" collapsed="1" x14ac:dyDescent="1.25">
      <c r="A83" s="4"/>
      <c r="C83" s="77"/>
      <c r="D83" s="94" t="s">
        <v>141</v>
      </c>
      <c r="E83" s="49" t="s">
        <v>16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4">
        <f t="shared" si="24"/>
        <v>0</v>
      </c>
      <c r="L83" s="36">
        <v>0</v>
      </c>
      <c r="M83" s="30">
        <f t="shared" si="18"/>
        <v>0</v>
      </c>
      <c r="N83" s="40">
        <v>0</v>
      </c>
      <c r="O83" s="40">
        <v>0</v>
      </c>
      <c r="P83" s="33">
        <v>0</v>
      </c>
      <c r="Q83" s="33">
        <v>0</v>
      </c>
      <c r="R83" s="40">
        <v>0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17">
        <f>_xlfn.XLOOKUP(D83,'Overdue-1'!D:D,'Overdue-1'!E:E,0)-G83</f>
        <v>0</v>
      </c>
      <c r="Y83" s="17" t="e">
        <f t="shared" ca="1" si="22"/>
        <v>#N/A</v>
      </c>
      <c r="Z83" s="11">
        <v>0</v>
      </c>
      <c r="AA83" s="16"/>
    </row>
    <row r="84" spans="1:27" s="7" customFormat="1" ht="150" customHeight="1" collapsed="1" x14ac:dyDescent="1.25">
      <c r="A84" s="4"/>
      <c r="C84" s="77">
        <v>1</v>
      </c>
      <c r="D84" s="79" t="s">
        <v>140</v>
      </c>
      <c r="E84" s="49" t="s">
        <v>16</v>
      </c>
      <c r="F84" s="33">
        <v>221</v>
      </c>
      <c r="G84" s="33">
        <v>1954312376.55</v>
      </c>
      <c r="H84" s="33">
        <v>768457079.78999925</v>
      </c>
      <c r="I84" s="33">
        <v>701877883.23999989</v>
      </c>
      <c r="J84" s="33">
        <v>59776025.799999997</v>
      </c>
      <c r="K84" s="34">
        <f t="shared" si="24"/>
        <v>0.91335990219753871</v>
      </c>
      <c r="L84" s="36">
        <v>66579196.550000019</v>
      </c>
      <c r="M84" s="30">
        <f t="shared" si="18"/>
        <v>1126079270.9600008</v>
      </c>
      <c r="N84" s="40">
        <f>M84-SUM(O84:W84)</f>
        <v>227945653.66000068</v>
      </c>
      <c r="O84" s="40">
        <v>898133617.30000007</v>
      </c>
      <c r="P84" s="33">
        <v>0</v>
      </c>
      <c r="Q84" s="33">
        <v>0</v>
      </c>
      <c r="R84" s="40">
        <v>0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17">
        <f>_xlfn.XLOOKUP(D84,'Overdue-1'!D:D,'Overdue-1'!E:E,0)-G84</f>
        <v>0</v>
      </c>
      <c r="Y84" s="17" t="e">
        <f t="shared" ca="1" si="22"/>
        <v>#N/A</v>
      </c>
      <c r="Z84" s="11">
        <v>0</v>
      </c>
      <c r="AA84" s="16"/>
    </row>
    <row r="85" spans="1:27" s="7" customFormat="1" ht="150" customHeight="1" x14ac:dyDescent="1.25">
      <c r="A85" s="4"/>
      <c r="C85" s="77">
        <v>21</v>
      </c>
      <c r="D85" s="79" t="s">
        <v>139</v>
      </c>
      <c r="E85" s="49" t="s">
        <v>16</v>
      </c>
      <c r="F85" s="33">
        <v>27</v>
      </c>
      <c r="G85" s="33">
        <v>294914060</v>
      </c>
      <c r="H85" s="33">
        <v>57991284</v>
      </c>
      <c r="I85" s="33">
        <v>50210980</v>
      </c>
      <c r="J85" s="33">
        <v>9851943.7400000002</v>
      </c>
      <c r="K85" s="34">
        <f t="shared" si="24"/>
        <v>0.86583666607554333</v>
      </c>
      <c r="L85" s="36">
        <v>7780304</v>
      </c>
      <c r="M85" s="30">
        <f t="shared" si="18"/>
        <v>227070832.25999999</v>
      </c>
      <c r="N85" s="40">
        <f>M85-SUM(O85:W85)</f>
        <v>41969799.75</v>
      </c>
      <c r="O85" s="40">
        <v>64002876.509999998</v>
      </c>
      <c r="P85" s="33">
        <v>121098156</v>
      </c>
      <c r="Q85" s="33">
        <v>0</v>
      </c>
      <c r="R85" s="40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17">
        <f>_xlfn.XLOOKUP(D85,'Overdue-1'!D:D,'Overdue-1'!E:E,0)-G85</f>
        <v>0</v>
      </c>
      <c r="Y85" s="17" t="e">
        <f t="shared" ca="1" si="22"/>
        <v>#N/A</v>
      </c>
      <c r="Z85" s="11">
        <v>0</v>
      </c>
      <c r="AA85" s="16"/>
    </row>
    <row r="86" spans="1:27" s="7" customFormat="1" ht="150" customHeight="1" x14ac:dyDescent="1.25">
      <c r="A86" s="4"/>
      <c r="C86" s="77">
        <v>22</v>
      </c>
      <c r="D86" s="76" t="s">
        <v>138</v>
      </c>
      <c r="E86" s="49" t="s">
        <v>16</v>
      </c>
      <c r="F86" s="33">
        <f>SUM(F87:F90)</f>
        <v>2128</v>
      </c>
      <c r="G86" s="33">
        <f>SUM(G87:G90)</f>
        <v>2655913536.2199993</v>
      </c>
      <c r="H86" s="33">
        <f>SUM(H87:H90)</f>
        <v>843400732.57999992</v>
      </c>
      <c r="I86" s="33">
        <f>SUM(I87:I90)</f>
        <v>802824204.00999975</v>
      </c>
      <c r="J86" s="33">
        <f>SUM(J87:J90)</f>
        <v>52176492.309999995</v>
      </c>
      <c r="K86" s="34">
        <f t="shared" si="24"/>
        <v>0.95188938424813219</v>
      </c>
      <c r="L86" s="36">
        <f>SUM(L87:L90)</f>
        <v>40576528.490000002</v>
      </c>
      <c r="M86" s="30">
        <f t="shared" si="18"/>
        <v>1760336311.3299994</v>
      </c>
      <c r="N86" s="40">
        <f>M86</f>
        <v>1760336311.3299994</v>
      </c>
      <c r="O86" s="40">
        <v>0</v>
      </c>
      <c r="P86" s="33">
        <v>0</v>
      </c>
      <c r="Q86" s="33">
        <v>0</v>
      </c>
      <c r="R86" s="40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17">
        <f>_xlfn.XLOOKUP(D86,'Overdue-1'!D:D,'Overdue-1'!E:E,0)-G86</f>
        <v>0</v>
      </c>
      <c r="Y86" s="17" t="str">
        <f t="shared" ca="1" si="22"/>
        <v>=SUM(H87:H90)</v>
      </c>
      <c r="Z86" s="11"/>
      <c r="AA86" s="16"/>
    </row>
    <row r="87" spans="1:27" s="7" customFormat="1" ht="150" hidden="1" customHeight="1" outlineLevel="1" x14ac:dyDescent="1.25">
      <c r="A87" s="4"/>
      <c r="C87" s="77"/>
      <c r="D87" s="94" t="s">
        <v>137</v>
      </c>
      <c r="E87" s="49" t="s">
        <v>16</v>
      </c>
      <c r="F87" s="33">
        <v>727</v>
      </c>
      <c r="G87" s="33">
        <v>872847820.75999939</v>
      </c>
      <c r="H87" s="33">
        <v>306736410.64999938</v>
      </c>
      <c r="I87" s="33">
        <v>292047027.54999977</v>
      </c>
      <c r="J87" s="33">
        <v>18155469.450000003</v>
      </c>
      <c r="K87" s="34">
        <f t="shared" si="24"/>
        <v>0.95211072898430416</v>
      </c>
      <c r="L87" s="36">
        <v>14689383.100000003</v>
      </c>
      <c r="M87" s="30">
        <f t="shared" si="18"/>
        <v>547955940.66000009</v>
      </c>
      <c r="N87" s="40">
        <f>M87-SUM(O87:W87)</f>
        <v>94128157.600000083</v>
      </c>
      <c r="O87" s="40">
        <v>453827783.06</v>
      </c>
      <c r="P87" s="33">
        <v>0</v>
      </c>
      <c r="Q87" s="33">
        <v>0</v>
      </c>
      <c r="R87" s="40">
        <v>0</v>
      </c>
      <c r="S87" s="33">
        <v>0</v>
      </c>
      <c r="T87" s="33">
        <v>0</v>
      </c>
      <c r="U87" s="33">
        <v>0</v>
      </c>
      <c r="V87" s="33">
        <v>0</v>
      </c>
      <c r="W87" s="33">
        <v>0</v>
      </c>
      <c r="X87" s="17">
        <f>_xlfn.XLOOKUP(D87,'Overdue-1'!D:D,'Overdue-1'!E:E,0)-G87</f>
        <v>0</v>
      </c>
      <c r="Y87" s="17" t="e">
        <f t="shared" ca="1" si="22"/>
        <v>#N/A</v>
      </c>
      <c r="Z87" s="11">
        <v>230093.85000044107</v>
      </c>
      <c r="AA87" s="16"/>
    </row>
    <row r="88" spans="1:27" s="7" customFormat="1" ht="150" hidden="1" customHeight="1" outlineLevel="1" x14ac:dyDescent="1.25">
      <c r="A88" s="4"/>
      <c r="C88" s="77"/>
      <c r="D88" s="94" t="s">
        <v>136</v>
      </c>
      <c r="E88" s="49" t="s">
        <v>16</v>
      </c>
      <c r="F88" s="33">
        <v>604</v>
      </c>
      <c r="G88" s="33">
        <v>752157920.16000009</v>
      </c>
      <c r="H88" s="33">
        <v>227399445.8400006</v>
      </c>
      <c r="I88" s="33">
        <v>217912823.7100001</v>
      </c>
      <c r="J88" s="33">
        <v>16447481.040000001</v>
      </c>
      <c r="K88" s="34">
        <f t="shared" si="24"/>
        <v>0.95828212291829706</v>
      </c>
      <c r="L88" s="36">
        <v>9486622.0499999989</v>
      </c>
      <c r="M88" s="30">
        <f t="shared" si="18"/>
        <v>508310993.27999949</v>
      </c>
      <c r="N88" s="40">
        <f>M88-SUM(O88:W88)</f>
        <v>74470539.549999177</v>
      </c>
      <c r="O88" s="40">
        <v>433840453.73000032</v>
      </c>
      <c r="P88" s="33">
        <v>0</v>
      </c>
      <c r="Q88" s="33">
        <v>0</v>
      </c>
      <c r="R88" s="40">
        <v>0</v>
      </c>
      <c r="S88" s="33">
        <v>0</v>
      </c>
      <c r="T88" s="33">
        <v>0</v>
      </c>
      <c r="U88" s="33">
        <v>0</v>
      </c>
      <c r="V88" s="33">
        <v>0</v>
      </c>
      <c r="W88" s="33">
        <v>0</v>
      </c>
      <c r="X88" s="17">
        <f>_xlfn.XLOOKUP(D88,'Overdue-1'!D:D,'Overdue-1'!E:E,0)-G88</f>
        <v>0</v>
      </c>
      <c r="Y88" s="17" t="e">
        <f t="shared" ca="1" si="22"/>
        <v>#N/A</v>
      </c>
      <c r="Z88" s="11">
        <v>117678.66999918222</v>
      </c>
      <c r="AA88" s="16"/>
    </row>
    <row r="89" spans="1:27" s="7" customFormat="1" ht="150" hidden="1" customHeight="1" outlineLevel="1" x14ac:dyDescent="1.25">
      <c r="A89" s="4"/>
      <c r="C89" s="77"/>
      <c r="D89" s="94" t="s">
        <v>135</v>
      </c>
      <c r="E89" s="49" t="s">
        <v>16</v>
      </c>
      <c r="F89" s="33">
        <v>491</v>
      </c>
      <c r="G89" s="33">
        <v>588273562.0200001</v>
      </c>
      <c r="H89" s="33">
        <v>173728307.50000012</v>
      </c>
      <c r="I89" s="33">
        <v>166835480.58999985</v>
      </c>
      <c r="J89" s="33">
        <v>7709442.9399999967</v>
      </c>
      <c r="K89" s="34">
        <f t="shared" si="24"/>
        <v>0.96032410026212767</v>
      </c>
      <c r="L89" s="36">
        <v>6892826.910000002</v>
      </c>
      <c r="M89" s="30">
        <f t="shared" si="18"/>
        <v>406835811.57999998</v>
      </c>
      <c r="N89" s="40">
        <f>M89-SUM(O89:W89)</f>
        <v>57813038.779999971</v>
      </c>
      <c r="O89" s="40">
        <v>349022772.80000001</v>
      </c>
      <c r="P89" s="33">
        <v>0</v>
      </c>
      <c r="Q89" s="33">
        <v>0</v>
      </c>
      <c r="R89" s="40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17">
        <f>_xlfn.XLOOKUP(D89,'Overdue-1'!D:D,'Overdue-1'!E:E,0)-G89</f>
        <v>0</v>
      </c>
      <c r="Y89" s="17" t="e">
        <f t="shared" ca="1" si="22"/>
        <v>#N/A</v>
      </c>
      <c r="Z89" s="11">
        <v>555014.77999979258</v>
      </c>
      <c r="AA89" s="16"/>
    </row>
    <row r="90" spans="1:27" s="7" customFormat="1" ht="150" hidden="1" customHeight="1" outlineLevel="1" x14ac:dyDescent="1.25">
      <c r="A90" s="4"/>
      <c r="C90" s="77"/>
      <c r="D90" s="94" t="s">
        <v>134</v>
      </c>
      <c r="E90" s="49" t="s">
        <v>16</v>
      </c>
      <c r="F90" s="33">
        <v>306</v>
      </c>
      <c r="G90" s="33">
        <v>442634233.27999991</v>
      </c>
      <c r="H90" s="33">
        <v>135536568.58999974</v>
      </c>
      <c r="I90" s="33">
        <v>126028872.16000004</v>
      </c>
      <c r="J90" s="33">
        <v>9864098.8799999971</v>
      </c>
      <c r="K90" s="34">
        <f t="shared" si="24"/>
        <v>0.92985143028992689</v>
      </c>
      <c r="L90" s="36">
        <v>9507696.4299999978</v>
      </c>
      <c r="M90" s="30">
        <f t="shared" si="18"/>
        <v>297233565.81000018</v>
      </c>
      <c r="N90" s="40">
        <f>M90-SUM(O90:W90)</f>
        <v>45342048.770000488</v>
      </c>
      <c r="O90" s="40">
        <v>251891517.03999969</v>
      </c>
      <c r="P90" s="33">
        <v>0</v>
      </c>
      <c r="Q90" s="33">
        <v>0</v>
      </c>
      <c r="R90" s="40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17">
        <f>_xlfn.XLOOKUP(D90,'Overdue-1'!D:D,'Overdue-1'!E:E,0)-G90</f>
        <v>0</v>
      </c>
      <c r="Y90" s="17" t="e">
        <f t="shared" ca="1" si="22"/>
        <v>#N/A</v>
      </c>
      <c r="Z90" s="11">
        <v>3.2782554626464844E-7</v>
      </c>
      <c r="AA90" s="16"/>
    </row>
    <row r="91" spans="1:27" s="7" customFormat="1" ht="150" customHeight="1" collapsed="1" x14ac:dyDescent="1.25">
      <c r="A91" s="4"/>
      <c r="C91" s="77">
        <v>23</v>
      </c>
      <c r="D91" s="76" t="s">
        <v>133</v>
      </c>
      <c r="E91" s="49" t="s">
        <v>16</v>
      </c>
      <c r="F91" s="33">
        <v>258</v>
      </c>
      <c r="G91" s="33">
        <v>948166135.37000036</v>
      </c>
      <c r="H91" s="33">
        <v>242744868.43000039</v>
      </c>
      <c r="I91" s="33">
        <v>223599095.42999998</v>
      </c>
      <c r="J91" s="33">
        <v>19307987.160000004</v>
      </c>
      <c r="K91" s="34">
        <f>I91/H91</f>
        <v>0.92112800108266168</v>
      </c>
      <c r="L91" s="36">
        <v>19145773</v>
      </c>
      <c r="M91" s="30">
        <f t="shared" si="18"/>
        <v>686113279.77999997</v>
      </c>
      <c r="N91" s="40">
        <f>M91-SUM(O91:W91)</f>
        <v>81920610.740000367</v>
      </c>
      <c r="O91" s="33">
        <v>157365938.28999999</v>
      </c>
      <c r="P91" s="33">
        <v>444895904.74999958</v>
      </c>
      <c r="Q91" s="40">
        <v>1930826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17">
        <f>_xlfn.XLOOKUP(D91,'Overdue-1'!D:D,'Overdue-1'!E:E,0)-G91</f>
        <v>0</v>
      </c>
      <c r="Y91" s="17" t="e">
        <f t="shared" ca="1" si="22"/>
        <v>#N/A</v>
      </c>
      <c r="Z91" s="11">
        <v>-5.0663948059082031E-7</v>
      </c>
      <c r="AA91" s="16"/>
    </row>
    <row r="92" spans="1:27" s="7" customFormat="1" ht="150" customHeight="1" x14ac:dyDescent="1.25">
      <c r="A92" s="4"/>
      <c r="C92" s="77">
        <v>24</v>
      </c>
      <c r="D92" s="76" t="s">
        <v>132</v>
      </c>
      <c r="E92" s="49" t="s">
        <v>16</v>
      </c>
      <c r="F92" s="33">
        <f>SUM(F93:F96)</f>
        <v>2068</v>
      </c>
      <c r="G92" s="33">
        <f>SUM(G93:G96)</f>
        <v>4707104548.2700014</v>
      </c>
      <c r="H92" s="33">
        <f>SUM(H93:H96)</f>
        <v>1201503819.1500008</v>
      </c>
      <c r="I92" s="33">
        <f>SUM(I93:I96)</f>
        <v>1110390649.8599992</v>
      </c>
      <c r="J92" s="33">
        <f>SUM(J93:J96)</f>
        <v>85541920.189999968</v>
      </c>
      <c r="K92" s="34">
        <f t="shared" ref="K92:K123" si="26">IFERROR(I92/H92,0)</f>
        <v>0.92416739103296464</v>
      </c>
      <c r="L92" s="36">
        <f>SUM(L93:L96)</f>
        <v>91113169.230000049</v>
      </c>
      <c r="M92" s="30">
        <f t="shared" si="18"/>
        <v>3420058808.9300003</v>
      </c>
      <c r="N92" s="33">
        <f t="shared" ref="N92:W92" si="27">SUM(N93:N96)</f>
        <v>225615022.57000291</v>
      </c>
      <c r="O92" s="40">
        <f t="shared" si="27"/>
        <v>449963200.78999954</v>
      </c>
      <c r="P92" s="33">
        <f t="shared" si="27"/>
        <v>699059119.08999979</v>
      </c>
      <c r="Q92" s="33">
        <f t="shared" si="27"/>
        <v>1664465059.809999</v>
      </c>
      <c r="R92" s="40">
        <f t="shared" si="27"/>
        <v>380956406.66999984</v>
      </c>
      <c r="S92" s="33">
        <f t="shared" si="27"/>
        <v>0</v>
      </c>
      <c r="T92" s="33">
        <f t="shared" si="27"/>
        <v>0</v>
      </c>
      <c r="U92" s="33">
        <f t="shared" si="27"/>
        <v>0</v>
      </c>
      <c r="V92" s="33">
        <f t="shared" si="27"/>
        <v>0</v>
      </c>
      <c r="W92" s="33">
        <f t="shared" si="27"/>
        <v>0</v>
      </c>
      <c r="X92" s="17">
        <f>_xlfn.XLOOKUP(D92,'Overdue-1'!D:D,'Overdue-1'!E:E,0)-G92</f>
        <v>0</v>
      </c>
      <c r="Y92" s="17" t="str">
        <f t="shared" ca="1" si="22"/>
        <v>=SUM(H93:H96)</v>
      </c>
      <c r="Z92" s="11"/>
      <c r="AA92" s="16"/>
    </row>
    <row r="93" spans="1:27" s="7" customFormat="1" ht="150" hidden="1" customHeight="1" outlineLevel="1" x14ac:dyDescent="1.25">
      <c r="A93" s="4"/>
      <c r="C93" s="77"/>
      <c r="D93" s="94" t="s">
        <v>131</v>
      </c>
      <c r="E93" s="49" t="s">
        <v>16</v>
      </c>
      <c r="F93" s="33">
        <v>653</v>
      </c>
      <c r="G93" s="33">
        <v>1368413533.6900022</v>
      </c>
      <c r="H93" s="33">
        <v>398485949.59000134</v>
      </c>
      <c r="I93" s="33">
        <v>381136194.98999941</v>
      </c>
      <c r="J93" s="33">
        <v>25459825.039999984</v>
      </c>
      <c r="K93" s="34">
        <f t="shared" si="26"/>
        <v>0.95646081218709733</v>
      </c>
      <c r="L93" s="36">
        <v>17349754.600000005</v>
      </c>
      <c r="M93" s="30">
        <f t="shared" si="18"/>
        <v>944467759.0600009</v>
      </c>
      <c r="N93" s="40">
        <f t="shared" ref="N93:N102" si="28">M93-SUM(O93:W93)</f>
        <v>77748723.380001783</v>
      </c>
      <c r="O93" s="40">
        <v>132496277.25999966</v>
      </c>
      <c r="P93" s="33">
        <v>184889622.82999995</v>
      </c>
      <c r="Q93" s="33">
        <v>549333135.58999944</v>
      </c>
      <c r="R93" s="40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17">
        <f>_xlfn.XLOOKUP(D93,'Overdue-1'!D:D,'Overdue-1'!E:E,0)-G93</f>
        <v>0</v>
      </c>
      <c r="Y93" s="17" t="e">
        <f t="shared" ca="1" si="22"/>
        <v>#N/A</v>
      </c>
      <c r="Z93" s="11">
        <v>589402.0499985218</v>
      </c>
      <c r="AA93" s="16"/>
    </row>
    <row r="94" spans="1:27" s="7" customFormat="1" ht="150" hidden="1" customHeight="1" outlineLevel="1" x14ac:dyDescent="1.25">
      <c r="A94" s="4"/>
      <c r="C94" s="77"/>
      <c r="D94" s="94" t="s">
        <v>130</v>
      </c>
      <c r="E94" s="49" t="s">
        <v>16</v>
      </c>
      <c r="F94" s="33">
        <v>446</v>
      </c>
      <c r="G94" s="33">
        <v>943836669.27999902</v>
      </c>
      <c r="H94" s="33">
        <v>258471428.14999917</v>
      </c>
      <c r="I94" s="33">
        <v>238303679.15999991</v>
      </c>
      <c r="J94" s="33">
        <v>29859692.299999993</v>
      </c>
      <c r="K94" s="34">
        <f t="shared" si="26"/>
        <v>0.92197300438834084</v>
      </c>
      <c r="L94" s="36">
        <v>20167748.99000001</v>
      </c>
      <c r="M94" s="30">
        <f t="shared" si="18"/>
        <v>655505548.82999992</v>
      </c>
      <c r="N94" s="40">
        <f t="shared" si="28"/>
        <v>18846876.860000134</v>
      </c>
      <c r="O94" s="40">
        <v>86011781.670000002</v>
      </c>
      <c r="P94" s="33">
        <v>175774532.53999987</v>
      </c>
      <c r="Q94" s="33">
        <v>374872357.75999993</v>
      </c>
      <c r="R94" s="40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17">
        <f>_xlfn.XLOOKUP(D94,'Overdue-1'!D:D,'Overdue-1'!E:E,0)-G94</f>
        <v>0</v>
      </c>
      <c r="Y94" s="17" t="e">
        <f t="shared" ca="1" si="22"/>
        <v>#N/A</v>
      </c>
      <c r="Z94" s="11">
        <v>3.5762786865234375E-7</v>
      </c>
      <c r="AA94" s="16"/>
    </row>
    <row r="95" spans="1:27" s="7" customFormat="1" ht="150" hidden="1" customHeight="1" outlineLevel="1" x14ac:dyDescent="1.25">
      <c r="A95" s="4"/>
      <c r="C95" s="77"/>
      <c r="D95" s="94" t="s">
        <v>129</v>
      </c>
      <c r="E95" s="49" t="s">
        <v>16</v>
      </c>
      <c r="F95" s="33">
        <v>560</v>
      </c>
      <c r="G95" s="33">
        <v>1486271076.660001</v>
      </c>
      <c r="H95" s="33">
        <v>376678878.78000033</v>
      </c>
      <c r="I95" s="33">
        <v>335092426.60999995</v>
      </c>
      <c r="J95" s="33">
        <v>23472938.319999993</v>
      </c>
      <c r="K95" s="34">
        <f t="shared" si="26"/>
        <v>0.88959706924717441</v>
      </c>
      <c r="L95" s="36">
        <v>41586452.110000022</v>
      </c>
      <c r="M95" s="30">
        <f t="shared" ref="M95:M102" si="29">MAX(G95-(H95+J95),0)</f>
        <v>1086119259.5600007</v>
      </c>
      <c r="N95" s="40">
        <f t="shared" si="28"/>
        <v>63750006.060001612</v>
      </c>
      <c r="O95" s="40">
        <v>136902917.41999984</v>
      </c>
      <c r="P95" s="33">
        <v>246964678.73999983</v>
      </c>
      <c r="Q95" s="33">
        <v>638501657.33999944</v>
      </c>
      <c r="R95" s="40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17">
        <f>_xlfn.XLOOKUP(D95,'Overdue-1'!D:D,'Overdue-1'!E:E,0)-G95</f>
        <v>0</v>
      </c>
      <c r="Y95" s="17" t="e">
        <f t="shared" ca="1" si="22"/>
        <v>#N/A</v>
      </c>
      <c r="Z95" s="11">
        <v>1605393.8699991107</v>
      </c>
      <c r="AA95" s="16"/>
    </row>
    <row r="96" spans="1:27" s="7" customFormat="1" ht="150" hidden="1" customHeight="1" outlineLevel="1" x14ac:dyDescent="1.25">
      <c r="A96" s="4"/>
      <c r="C96" s="77"/>
      <c r="D96" s="94" t="s">
        <v>128</v>
      </c>
      <c r="E96" s="49" t="s">
        <v>16</v>
      </c>
      <c r="F96" s="33">
        <v>409</v>
      </c>
      <c r="G96" s="33">
        <v>908583268.63999951</v>
      </c>
      <c r="H96" s="33">
        <v>167867562.63000005</v>
      </c>
      <c r="I96" s="33">
        <v>155858349.09999996</v>
      </c>
      <c r="J96" s="33">
        <v>6749464.5299999975</v>
      </c>
      <c r="K96" s="34">
        <f t="shared" si="26"/>
        <v>0.92846019003403402</v>
      </c>
      <c r="L96" s="36">
        <v>12009213.530000001</v>
      </c>
      <c r="M96" s="30">
        <f t="shared" si="29"/>
        <v>733966241.47999942</v>
      </c>
      <c r="N96" s="40">
        <f t="shared" si="28"/>
        <v>65269416.269999385</v>
      </c>
      <c r="O96" s="40">
        <v>94552224.440000072</v>
      </c>
      <c r="P96" s="33">
        <v>91430284.980000138</v>
      </c>
      <c r="Q96" s="33">
        <v>101757909.12000005</v>
      </c>
      <c r="R96" s="40">
        <v>380956406.66999984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17">
        <f>_xlfn.XLOOKUP(D96,'Overdue-1'!D:D,'Overdue-1'!E:E,0)-G96</f>
        <v>0</v>
      </c>
      <c r="Y96" s="17" t="e">
        <f t="shared" ca="1" si="22"/>
        <v>#N/A</v>
      </c>
      <c r="Z96" s="11">
        <v>0</v>
      </c>
      <c r="AA96" s="16"/>
    </row>
    <row r="97" spans="1:27" s="7" customFormat="1" ht="150" customHeight="1" collapsed="1" x14ac:dyDescent="1.25">
      <c r="A97" s="4"/>
      <c r="C97" s="77">
        <v>25</v>
      </c>
      <c r="D97" s="79" t="s">
        <v>127</v>
      </c>
      <c r="E97" s="49" t="s">
        <v>16</v>
      </c>
      <c r="F97" s="33">
        <f>SUM(F98:F100)</f>
        <v>708</v>
      </c>
      <c r="G97" s="33">
        <f>SUM(G98:G100)</f>
        <v>1000236910.3999999</v>
      </c>
      <c r="H97" s="33">
        <f>SUM(H98:H100)</f>
        <v>278916052.25000012</v>
      </c>
      <c r="I97" s="33">
        <f>SUM(I98:I100)</f>
        <v>262910344.92999995</v>
      </c>
      <c r="J97" s="33">
        <f>SUM(J98:J100)</f>
        <v>28797548.059999991</v>
      </c>
      <c r="K97" s="34">
        <f t="shared" si="26"/>
        <v>0.94261460682924836</v>
      </c>
      <c r="L97" s="36">
        <f>SUM(L98:L100)</f>
        <v>16005707.289999999</v>
      </c>
      <c r="M97" s="30">
        <f t="shared" si="29"/>
        <v>692523310.08999968</v>
      </c>
      <c r="N97" s="40">
        <f t="shared" si="28"/>
        <v>129748476.5599997</v>
      </c>
      <c r="O97" s="33">
        <f t="shared" ref="O97:W97" si="30">SUM(O98:O100)</f>
        <v>136318732.25000003</v>
      </c>
      <c r="P97" s="33">
        <f t="shared" si="30"/>
        <v>426456101.27999997</v>
      </c>
      <c r="Q97" s="33">
        <f t="shared" si="30"/>
        <v>0</v>
      </c>
      <c r="R97" s="33">
        <f t="shared" si="30"/>
        <v>0</v>
      </c>
      <c r="S97" s="33">
        <f t="shared" si="30"/>
        <v>0</v>
      </c>
      <c r="T97" s="33">
        <f t="shared" si="30"/>
        <v>0</v>
      </c>
      <c r="U97" s="33">
        <f t="shared" si="30"/>
        <v>0</v>
      </c>
      <c r="V97" s="33">
        <f t="shared" si="30"/>
        <v>0</v>
      </c>
      <c r="W97" s="33">
        <f t="shared" si="30"/>
        <v>0</v>
      </c>
      <c r="X97" s="17">
        <f>_xlfn.XLOOKUP(D97,'Overdue-1'!D:D,'Overdue-1'!E:E,0)-G97</f>
        <v>-1000236910.3999999</v>
      </c>
      <c r="Y97" s="17" t="str">
        <f t="shared" ca="1" si="22"/>
        <v>=SUM(H98:H100)</v>
      </c>
      <c r="Z97" s="11"/>
      <c r="AA97" s="16"/>
    </row>
    <row r="98" spans="1:27" s="7" customFormat="1" ht="150" hidden="1" customHeight="1" outlineLevel="1" x14ac:dyDescent="1.25">
      <c r="A98" s="4"/>
      <c r="C98" s="77"/>
      <c r="D98" s="96" t="s">
        <v>126</v>
      </c>
      <c r="E98" s="49" t="s">
        <v>16</v>
      </c>
      <c r="F98" s="33">
        <v>305</v>
      </c>
      <c r="G98" s="33">
        <v>432495610.51000011</v>
      </c>
      <c r="H98" s="33">
        <v>117738816.98000003</v>
      </c>
      <c r="I98" s="33">
        <v>111460705.22999994</v>
      </c>
      <c r="J98" s="33">
        <v>17410617.129999992</v>
      </c>
      <c r="K98" s="34">
        <f t="shared" si="26"/>
        <v>0.94667763859843657</v>
      </c>
      <c r="L98" s="36">
        <v>6278111.7200000007</v>
      </c>
      <c r="M98" s="30">
        <f t="shared" si="29"/>
        <v>297346176.4000001</v>
      </c>
      <c r="N98" s="40">
        <f t="shared" si="28"/>
        <v>53733959.850000173</v>
      </c>
      <c r="O98" s="33">
        <v>58853132.390000023</v>
      </c>
      <c r="P98" s="33">
        <v>184759084.15999991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17">
        <f>_xlfn.XLOOKUP(D98,'Overdue-1'!D:D,'Overdue-1'!E:E,0)-G98</f>
        <v>0</v>
      </c>
      <c r="Y98" s="17" t="e">
        <f t="shared" ca="1" si="22"/>
        <v>#N/A</v>
      </c>
      <c r="Z98" s="11">
        <v>835700.20999990404</v>
      </c>
      <c r="AA98" s="16"/>
    </row>
    <row r="99" spans="1:27" s="7" customFormat="1" ht="150" hidden="1" customHeight="1" outlineLevel="1" x14ac:dyDescent="1.25">
      <c r="A99" s="4"/>
      <c r="C99" s="77"/>
      <c r="D99" s="78" t="s">
        <v>125</v>
      </c>
      <c r="E99" s="49" t="s">
        <v>16</v>
      </c>
      <c r="F99" s="33">
        <v>216</v>
      </c>
      <c r="G99" s="33">
        <v>301629919.64999968</v>
      </c>
      <c r="H99" s="33">
        <v>82270210.280000076</v>
      </c>
      <c r="I99" s="33">
        <v>78228180.019999981</v>
      </c>
      <c r="J99" s="33">
        <v>6266361.2000000011</v>
      </c>
      <c r="K99" s="34">
        <f t="shared" si="26"/>
        <v>0.95086884734774146</v>
      </c>
      <c r="L99" s="36">
        <v>4042030.26</v>
      </c>
      <c r="M99" s="30">
        <f t="shared" si="29"/>
        <v>213093348.1699996</v>
      </c>
      <c r="N99" s="40">
        <f t="shared" si="28"/>
        <v>39185501.739999473</v>
      </c>
      <c r="O99" s="33">
        <v>43208141.860000014</v>
      </c>
      <c r="P99" s="33">
        <v>130699704.5700001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17">
        <f>_xlfn.XLOOKUP(D99,'Overdue-1'!D:D,'Overdue-1'!E:E,0)-G99</f>
        <v>0</v>
      </c>
      <c r="Y99" s="17" t="e">
        <f t="shared" ca="1" si="22"/>
        <v>#N/A</v>
      </c>
      <c r="Z99" s="11">
        <v>1030280.7899998724</v>
      </c>
      <c r="AA99" s="16"/>
    </row>
    <row r="100" spans="1:27" s="7" customFormat="1" ht="150" hidden="1" customHeight="1" outlineLevel="1" x14ac:dyDescent="1.25">
      <c r="A100" s="4"/>
      <c r="C100" s="77"/>
      <c r="D100" s="78" t="s">
        <v>124</v>
      </c>
      <c r="E100" s="49" t="s">
        <v>16</v>
      </c>
      <c r="F100" s="33">
        <v>187</v>
      </c>
      <c r="G100" s="33">
        <v>266111380.24000001</v>
      </c>
      <c r="H100" s="33">
        <v>78907024.99000001</v>
      </c>
      <c r="I100" s="33">
        <v>73221459.680000007</v>
      </c>
      <c r="J100" s="33">
        <v>5120569.7300000014</v>
      </c>
      <c r="K100" s="34">
        <f t="shared" si="26"/>
        <v>0.92794601861215098</v>
      </c>
      <c r="L100" s="36">
        <v>5685565.3099999996</v>
      </c>
      <c r="M100" s="30">
        <f t="shared" si="29"/>
        <v>182083785.51999998</v>
      </c>
      <c r="N100" s="40">
        <f t="shared" si="28"/>
        <v>36829014.969999999</v>
      </c>
      <c r="O100" s="33">
        <v>34257458.000000007</v>
      </c>
      <c r="P100" s="33">
        <v>110997312.54999997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17">
        <f>_xlfn.XLOOKUP(D100,'Overdue-1'!D:D,'Overdue-1'!E:E,0)-G100</f>
        <v>0</v>
      </c>
      <c r="Y100" s="17" t="e">
        <f t="shared" ref="Y100:Y131" ca="1" si="31">_xlfn.FORMULATEXT(H100)</f>
        <v>#N/A</v>
      </c>
      <c r="Z100" s="11">
        <v>1394259.3299999982</v>
      </c>
      <c r="AA100" s="16"/>
    </row>
    <row r="101" spans="1:27" s="7" customFormat="1" ht="150" customHeight="1" collapsed="1" x14ac:dyDescent="1.25">
      <c r="A101" s="4"/>
      <c r="C101" s="77">
        <v>26</v>
      </c>
      <c r="D101" s="79" t="s">
        <v>123</v>
      </c>
      <c r="E101" s="49" t="s">
        <v>16</v>
      </c>
      <c r="F101" s="33">
        <v>672</v>
      </c>
      <c r="G101" s="33">
        <v>1599366651.0000005</v>
      </c>
      <c r="H101" s="33">
        <v>315579971.6600005</v>
      </c>
      <c r="I101" s="33">
        <v>309757309.13999975</v>
      </c>
      <c r="J101" s="33">
        <v>47734481.490000054</v>
      </c>
      <c r="K101" s="34">
        <f t="shared" si="26"/>
        <v>0.98154932808513595</v>
      </c>
      <c r="L101" s="36">
        <v>5822662.3200000003</v>
      </c>
      <c r="M101" s="30">
        <f t="shared" si="29"/>
        <v>1236052197.8499999</v>
      </c>
      <c r="N101" s="40">
        <f t="shared" si="28"/>
        <v>133071202.69000101</v>
      </c>
      <c r="O101" s="33">
        <v>154417417.26999974</v>
      </c>
      <c r="P101" s="33">
        <v>254592072.25000003</v>
      </c>
      <c r="Q101" s="33">
        <v>693971505.63999903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17">
        <f>_xlfn.XLOOKUP(D101,'Overdue-1'!D:D,'Overdue-1'!E:E,0)-G101</f>
        <v>0</v>
      </c>
      <c r="Y101" s="17" t="e">
        <f t="shared" ca="1" si="31"/>
        <v>#N/A</v>
      </c>
      <c r="Z101" s="11">
        <v>1527931.2999989986</v>
      </c>
      <c r="AA101" s="16"/>
    </row>
    <row r="102" spans="1:27" s="7" customFormat="1" ht="150" customHeight="1" x14ac:dyDescent="1.25">
      <c r="A102" s="4"/>
      <c r="C102" s="77">
        <v>27</v>
      </c>
      <c r="D102" s="79" t="s">
        <v>122</v>
      </c>
      <c r="E102" s="49" t="s">
        <v>16</v>
      </c>
      <c r="F102" s="33">
        <v>368</v>
      </c>
      <c r="G102" s="33">
        <v>815006748.8999995</v>
      </c>
      <c r="H102" s="33">
        <v>162408311.98000008</v>
      </c>
      <c r="I102" s="33">
        <v>159823019.47000015</v>
      </c>
      <c r="J102" s="33">
        <v>9155167.0500000026</v>
      </c>
      <c r="K102" s="34">
        <f t="shared" si="26"/>
        <v>0.98408152588693676</v>
      </c>
      <c r="L102" s="36">
        <v>2585292.5100000002</v>
      </c>
      <c r="M102" s="30">
        <f t="shared" si="29"/>
        <v>643443269.86999941</v>
      </c>
      <c r="N102" s="40">
        <f t="shared" si="28"/>
        <v>72696838.599998951</v>
      </c>
      <c r="O102" s="33">
        <v>79684748.500000015</v>
      </c>
      <c r="P102" s="33">
        <v>127979495.55000024</v>
      </c>
      <c r="Q102" s="33">
        <v>363082187.22000021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17">
        <f>_xlfn.XLOOKUP(D102,'Overdue-1'!D:D,'Overdue-1'!E:E,0)-G102</f>
        <v>0</v>
      </c>
      <c r="Y102" s="17" t="e">
        <f t="shared" ca="1" si="31"/>
        <v>#N/A</v>
      </c>
      <c r="Z102" s="11">
        <v>355794.96000006795</v>
      </c>
      <c r="AA102" s="16"/>
    </row>
    <row r="103" spans="1:27" s="7" customFormat="1" ht="150" customHeight="1" thickBot="1" x14ac:dyDescent="1.3">
      <c r="A103" s="4"/>
      <c r="C103" s="77">
        <v>28</v>
      </c>
      <c r="D103" s="79" t="s">
        <v>121</v>
      </c>
      <c r="E103" s="49" t="s">
        <v>16</v>
      </c>
      <c r="F103" s="33">
        <f>SUM(F104,F109,F114,F119,F124,F129,F134,F139,F144)</f>
        <v>3423</v>
      </c>
      <c r="G103" s="33">
        <f>SUM(G104,G109,G114,G119,G124,G129,G134,G139,G144)</f>
        <v>6111875456.7699995</v>
      </c>
      <c r="H103" s="33">
        <f>SUM(H104,H109,H114,H119,H124,H129,H134,H139,H144)</f>
        <v>2297616634.4300003</v>
      </c>
      <c r="I103" s="33">
        <f>SUM(I104,I109,I114,I119,I124,I129,I134,I139,I144)</f>
        <v>2192217726.75</v>
      </c>
      <c r="J103" s="33">
        <f>SUM(J104,J109,J114,J119,J124,J129,J134,J139,J144)</f>
        <v>148563911.60000002</v>
      </c>
      <c r="K103" s="34">
        <f t="shared" si="26"/>
        <v>0.95412685210378967</v>
      </c>
      <c r="L103" s="36">
        <f t="shared" ref="L103:W103" si="32">SUM(L104,L109,L114,L119,L124,L129,L134,L139,L144)</f>
        <v>105491297.08000001</v>
      </c>
      <c r="M103" s="30">
        <f t="shared" si="32"/>
        <v>3665694910.7399993</v>
      </c>
      <c r="N103" s="33">
        <f t="shared" si="32"/>
        <v>706203550.33999908</v>
      </c>
      <c r="O103" s="40">
        <f t="shared" si="32"/>
        <v>1123206432.1900005</v>
      </c>
      <c r="P103" s="33">
        <f t="shared" si="32"/>
        <v>1351594632</v>
      </c>
      <c r="Q103" s="33">
        <f t="shared" si="32"/>
        <v>447289209.63999999</v>
      </c>
      <c r="R103" s="40">
        <f t="shared" si="32"/>
        <v>37401086.57</v>
      </c>
      <c r="S103" s="33">
        <f t="shared" si="32"/>
        <v>0</v>
      </c>
      <c r="T103" s="33">
        <f t="shared" si="32"/>
        <v>0</v>
      </c>
      <c r="U103" s="33">
        <f t="shared" si="32"/>
        <v>0</v>
      </c>
      <c r="V103" s="33">
        <f t="shared" si="32"/>
        <v>0</v>
      </c>
      <c r="W103" s="33">
        <f t="shared" si="32"/>
        <v>0</v>
      </c>
      <c r="X103" s="17">
        <f>_xlfn.XLOOKUP(D103,'Overdue-1'!D:D,'Overdue-1'!E:E,0)-G103</f>
        <v>0</v>
      </c>
      <c r="Y103" s="17" t="str">
        <f t="shared" ca="1" si="31"/>
        <v>=SUM(H104,H109,H114,H119,H124,H129,H134,H139,H144)</v>
      </c>
      <c r="Z103" s="11"/>
      <c r="AA103" s="16"/>
    </row>
    <row r="104" spans="1:27" s="7" customFormat="1" ht="150" hidden="1" customHeight="1" outlineLevel="1" x14ac:dyDescent="1.25">
      <c r="A104" s="4"/>
      <c r="C104" s="77"/>
      <c r="D104" s="99" t="s">
        <v>120</v>
      </c>
      <c r="E104" s="49" t="s">
        <v>16</v>
      </c>
      <c r="F104" s="33">
        <f>SUM(F105:F108)</f>
        <v>527</v>
      </c>
      <c r="G104" s="33">
        <f>SUM(G105:G108)</f>
        <v>851990943.81999958</v>
      </c>
      <c r="H104" s="33">
        <f>SUM(H105:H108)</f>
        <v>389768741.93000019</v>
      </c>
      <c r="I104" s="33">
        <f>SUM(I105:I108)</f>
        <v>374607675.94000012</v>
      </c>
      <c r="J104" s="33">
        <f>SUM(J105:J108)</f>
        <v>13696896.129999999</v>
      </c>
      <c r="K104" s="34">
        <f t="shared" si="26"/>
        <v>0.96110240673757541</v>
      </c>
      <c r="L104" s="36">
        <f t="shared" ref="L104:W104" si="33">SUM(L105:L108)</f>
        <v>15161065.989999998</v>
      </c>
      <c r="M104" s="30">
        <f t="shared" si="33"/>
        <v>448525305.75999939</v>
      </c>
      <c r="N104" s="33">
        <f t="shared" si="33"/>
        <v>87772944.179999322</v>
      </c>
      <c r="O104" s="40">
        <f t="shared" si="33"/>
        <v>360752361.58000004</v>
      </c>
      <c r="P104" s="33">
        <f t="shared" si="33"/>
        <v>0</v>
      </c>
      <c r="Q104" s="33">
        <f t="shared" si="33"/>
        <v>0</v>
      </c>
      <c r="R104" s="40">
        <f t="shared" si="33"/>
        <v>0</v>
      </c>
      <c r="S104" s="33">
        <f t="shared" si="33"/>
        <v>0</v>
      </c>
      <c r="T104" s="33">
        <f t="shared" si="33"/>
        <v>0</v>
      </c>
      <c r="U104" s="33">
        <f t="shared" si="33"/>
        <v>0</v>
      </c>
      <c r="V104" s="33">
        <f t="shared" si="33"/>
        <v>0</v>
      </c>
      <c r="W104" s="33">
        <f t="shared" si="33"/>
        <v>0</v>
      </c>
      <c r="X104" s="17">
        <f>_xlfn.XLOOKUP(D104,'Overdue-1'!D:D,'Overdue-1'!E:E,0)-G104</f>
        <v>-851990943.81999958</v>
      </c>
      <c r="Y104" s="17" t="str">
        <f t="shared" ca="1" si="31"/>
        <v>=SUM(H105:H108)</v>
      </c>
      <c r="Z104" s="11"/>
      <c r="AA104" s="16"/>
    </row>
    <row r="105" spans="1:27" s="7" customFormat="1" ht="150" hidden="1" customHeight="1" outlineLevel="2" x14ac:dyDescent="1.25">
      <c r="A105" s="4"/>
      <c r="C105" s="77"/>
      <c r="D105" s="103" t="s">
        <v>119</v>
      </c>
      <c r="E105" s="49" t="s">
        <v>16</v>
      </c>
      <c r="F105" s="33">
        <v>113</v>
      </c>
      <c r="G105" s="33">
        <v>170716643.01999995</v>
      </c>
      <c r="H105" s="33">
        <v>77822635.330000117</v>
      </c>
      <c r="I105" s="33">
        <v>74900557.380000025</v>
      </c>
      <c r="J105" s="33">
        <v>1929415.8199999998</v>
      </c>
      <c r="K105" s="34">
        <f t="shared" si="26"/>
        <v>0.96245208174190866</v>
      </c>
      <c r="L105" s="36">
        <v>2922077.95</v>
      </c>
      <c r="M105" s="30">
        <f t="shared" ref="M105:M138" si="34">MAX(G105-(H105+J105),0)</f>
        <v>90964591.869999841</v>
      </c>
      <c r="N105" s="40">
        <f t="shared" ref="N105:N138" si="35">M105-SUM(O105:W105)</f>
        <v>18811683.489999831</v>
      </c>
      <c r="O105" s="40">
        <v>72152908.38000001</v>
      </c>
      <c r="P105" s="33">
        <v>0</v>
      </c>
      <c r="Q105" s="33">
        <v>0</v>
      </c>
      <c r="R105" s="40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17">
        <f>_xlfn.XLOOKUP(D105,'Overdue-1'!D:D,'Overdue-1'!E:E,0)-G105</f>
        <v>0</v>
      </c>
      <c r="Y105" s="17" t="e">
        <f t="shared" ca="1" si="31"/>
        <v>#N/A</v>
      </c>
      <c r="Z105" s="11">
        <v>353167.65999990702</v>
      </c>
      <c r="AA105" s="16"/>
    </row>
    <row r="106" spans="1:27" s="7" customFormat="1" ht="150" hidden="1" customHeight="1" outlineLevel="2" x14ac:dyDescent="1.25">
      <c r="A106" s="4"/>
      <c r="C106" s="77"/>
      <c r="D106" s="103" t="s">
        <v>118</v>
      </c>
      <c r="E106" s="49" t="s">
        <v>16</v>
      </c>
      <c r="F106" s="33">
        <v>281</v>
      </c>
      <c r="G106" s="33">
        <v>406691809.55999959</v>
      </c>
      <c r="H106" s="33">
        <v>187198845.75999978</v>
      </c>
      <c r="I106" s="33">
        <v>179308748.24000004</v>
      </c>
      <c r="J106" s="33">
        <v>4535574.1499999994</v>
      </c>
      <c r="K106" s="34">
        <f t="shared" si="26"/>
        <v>0.95785178328441556</v>
      </c>
      <c r="L106" s="36">
        <v>7890097.5199999996</v>
      </c>
      <c r="M106" s="30">
        <f t="shared" si="34"/>
        <v>214957389.6499998</v>
      </c>
      <c r="N106" s="40">
        <f t="shared" si="35"/>
        <v>40717952.579999715</v>
      </c>
      <c r="O106" s="40">
        <v>174239437.07000008</v>
      </c>
      <c r="P106" s="33">
        <v>0</v>
      </c>
      <c r="Q106" s="33">
        <v>0</v>
      </c>
      <c r="R106" s="40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17">
        <f>_xlfn.XLOOKUP(D106,'Overdue-1'!D:D,'Overdue-1'!E:E,0)-G106</f>
        <v>0</v>
      </c>
      <c r="Y106" s="17" t="e">
        <f t="shared" ca="1" si="31"/>
        <v>#N/A</v>
      </c>
      <c r="Z106" s="11">
        <v>3.8743019104003906E-7</v>
      </c>
      <c r="AA106" s="16"/>
    </row>
    <row r="107" spans="1:27" s="7" customFormat="1" ht="150" hidden="1" customHeight="1" outlineLevel="2" x14ac:dyDescent="1.25">
      <c r="A107" s="4"/>
      <c r="C107" s="77"/>
      <c r="D107" s="103" t="s">
        <v>117</v>
      </c>
      <c r="E107" s="49" t="s">
        <v>16</v>
      </c>
      <c r="F107" s="33">
        <v>109</v>
      </c>
      <c r="G107" s="33">
        <v>173058462.76000002</v>
      </c>
      <c r="H107" s="33">
        <v>78637602.500000224</v>
      </c>
      <c r="I107" s="33">
        <v>75648736.50000003</v>
      </c>
      <c r="J107" s="33">
        <v>3575929.5300000007</v>
      </c>
      <c r="K107" s="34">
        <f t="shared" si="26"/>
        <v>0.96199189821434106</v>
      </c>
      <c r="L107" s="36">
        <v>2988866</v>
      </c>
      <c r="M107" s="30">
        <f t="shared" si="34"/>
        <v>90844930.729999796</v>
      </c>
      <c r="N107" s="40">
        <f t="shared" si="35"/>
        <v>18186741.879999802</v>
      </c>
      <c r="O107" s="40">
        <v>72658188.849999994</v>
      </c>
      <c r="P107" s="33">
        <v>0</v>
      </c>
      <c r="Q107" s="33">
        <v>0</v>
      </c>
      <c r="R107" s="40">
        <v>0</v>
      </c>
      <c r="S107" s="33">
        <v>0</v>
      </c>
      <c r="T107" s="33">
        <v>0</v>
      </c>
      <c r="U107" s="33">
        <v>0</v>
      </c>
      <c r="V107" s="33">
        <v>0</v>
      </c>
      <c r="W107" s="33">
        <v>0</v>
      </c>
      <c r="X107" s="17">
        <f>_xlfn.XLOOKUP(D107,'Overdue-1'!D:D,'Overdue-1'!E:E,0)-G107</f>
        <v>0</v>
      </c>
      <c r="Y107" s="17" t="e">
        <f t="shared" ca="1" si="31"/>
        <v>#N/A</v>
      </c>
      <c r="Z107" s="11">
        <v>-2.2351741790771484E-7</v>
      </c>
      <c r="AA107" s="16"/>
    </row>
    <row r="108" spans="1:27" s="7" customFormat="1" ht="150" hidden="1" customHeight="1" outlineLevel="2" x14ac:dyDescent="1.25">
      <c r="A108" s="4"/>
      <c r="C108" s="77"/>
      <c r="D108" s="103" t="s">
        <v>116</v>
      </c>
      <c r="E108" s="49" t="s">
        <v>16</v>
      </c>
      <c r="F108" s="33">
        <v>24</v>
      </c>
      <c r="G108" s="33">
        <v>101524028.48000002</v>
      </c>
      <c r="H108" s="33">
        <v>46109658.340000048</v>
      </c>
      <c r="I108" s="33">
        <v>44749633.82</v>
      </c>
      <c r="J108" s="33">
        <v>3655976.63</v>
      </c>
      <c r="K108" s="34">
        <f t="shared" si="26"/>
        <v>0.97050456305766575</v>
      </c>
      <c r="L108" s="36">
        <v>1360024.52</v>
      </c>
      <c r="M108" s="30">
        <f t="shared" si="34"/>
        <v>51758393.509999968</v>
      </c>
      <c r="N108" s="40">
        <f t="shared" si="35"/>
        <v>10056566.229999974</v>
      </c>
      <c r="O108" s="40">
        <v>41701827.279999994</v>
      </c>
      <c r="P108" s="33">
        <v>0</v>
      </c>
      <c r="Q108" s="33">
        <v>0</v>
      </c>
      <c r="R108" s="40">
        <v>0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17">
        <f>_xlfn.XLOOKUP(D108,'Overdue-1'!D:D,'Overdue-1'!E:E,0)-G108</f>
        <v>0</v>
      </c>
      <c r="Y108" s="17" t="e">
        <f t="shared" ca="1" si="31"/>
        <v>#N/A</v>
      </c>
      <c r="Z108" s="11">
        <v>0</v>
      </c>
      <c r="AA108" s="16"/>
    </row>
    <row r="109" spans="1:27" s="7" customFormat="1" ht="150" hidden="1" customHeight="1" outlineLevel="1" collapsed="1" x14ac:dyDescent="1.25">
      <c r="A109" s="4"/>
      <c r="C109" s="77"/>
      <c r="D109" s="78" t="s">
        <v>115</v>
      </c>
      <c r="E109" s="49" t="s">
        <v>16</v>
      </c>
      <c r="F109" s="33">
        <f>SUM(F110:F113)</f>
        <v>569</v>
      </c>
      <c r="G109" s="33">
        <f>SUM(G110:G113)</f>
        <v>904102269.01999962</v>
      </c>
      <c r="H109" s="33">
        <f>SUM(H110:H113)</f>
        <v>391734953.66000044</v>
      </c>
      <c r="I109" s="33">
        <f>SUM(I110:I113)</f>
        <v>370293483.80000007</v>
      </c>
      <c r="J109" s="33">
        <f>SUM(J110:J113)</f>
        <v>20594348.380000003</v>
      </c>
      <c r="K109" s="34">
        <f t="shared" si="26"/>
        <v>0.94526536460514543</v>
      </c>
      <c r="L109" s="36">
        <f>SUM(L110:L113)</f>
        <v>21441469.860000007</v>
      </c>
      <c r="M109" s="30">
        <f t="shared" si="34"/>
        <v>491772966.97999918</v>
      </c>
      <c r="N109" s="40">
        <f t="shared" si="35"/>
        <v>96649185.919998944</v>
      </c>
      <c r="O109" s="40">
        <f t="shared" ref="O109:W109" si="36">SUM(O110:O113)</f>
        <v>395123781.06000024</v>
      </c>
      <c r="P109" s="33">
        <f t="shared" si="36"/>
        <v>0</v>
      </c>
      <c r="Q109" s="33">
        <f t="shared" si="36"/>
        <v>0</v>
      </c>
      <c r="R109" s="40">
        <f t="shared" si="36"/>
        <v>0</v>
      </c>
      <c r="S109" s="33">
        <f t="shared" si="36"/>
        <v>0</v>
      </c>
      <c r="T109" s="33">
        <f t="shared" si="36"/>
        <v>0</v>
      </c>
      <c r="U109" s="33">
        <f t="shared" si="36"/>
        <v>0</v>
      </c>
      <c r="V109" s="33">
        <f t="shared" si="36"/>
        <v>0</v>
      </c>
      <c r="W109" s="33">
        <f t="shared" si="36"/>
        <v>0</v>
      </c>
      <c r="X109" s="17">
        <f>_xlfn.XLOOKUP(D109,'Overdue-1'!D:D,'Overdue-1'!E:E,0)-G109</f>
        <v>-904102269.01999962</v>
      </c>
      <c r="Y109" s="17" t="str">
        <f t="shared" ca="1" si="31"/>
        <v>=SUM(H110:H113)</v>
      </c>
      <c r="Z109" s="11"/>
      <c r="AA109" s="16"/>
    </row>
    <row r="110" spans="1:27" s="7" customFormat="1" ht="150" hidden="1" customHeight="1" outlineLevel="2" x14ac:dyDescent="1.25">
      <c r="A110" s="4"/>
      <c r="C110" s="77"/>
      <c r="D110" s="98" t="s">
        <v>114</v>
      </c>
      <c r="E110" s="49" t="s">
        <v>16</v>
      </c>
      <c r="F110" s="33">
        <v>116</v>
      </c>
      <c r="G110" s="33">
        <v>179682374.32000008</v>
      </c>
      <c r="H110" s="33">
        <v>72327716.710000038</v>
      </c>
      <c r="I110" s="33">
        <v>69967058.99000001</v>
      </c>
      <c r="J110" s="33">
        <v>6384912.3500000034</v>
      </c>
      <c r="K110" s="34">
        <f t="shared" si="26"/>
        <v>0.96736164464495467</v>
      </c>
      <c r="L110" s="36">
        <v>2360657.7199999997</v>
      </c>
      <c r="M110" s="30">
        <f t="shared" si="34"/>
        <v>100969745.26000004</v>
      </c>
      <c r="N110" s="40">
        <f t="shared" si="35"/>
        <v>20010002.770000011</v>
      </c>
      <c r="O110" s="40">
        <v>80959742.490000024</v>
      </c>
      <c r="P110" s="33">
        <v>0</v>
      </c>
      <c r="Q110" s="33">
        <v>0</v>
      </c>
      <c r="R110" s="40">
        <v>0</v>
      </c>
      <c r="S110" s="33">
        <v>0</v>
      </c>
      <c r="T110" s="33">
        <v>0</v>
      </c>
      <c r="U110" s="33">
        <v>0</v>
      </c>
      <c r="V110" s="33">
        <v>0</v>
      </c>
      <c r="W110" s="33">
        <v>0</v>
      </c>
      <c r="X110" s="17">
        <f>_xlfn.XLOOKUP(D110,'Overdue-1'!D:D,'Overdue-1'!E:E,0)-G110</f>
        <v>0</v>
      </c>
      <c r="Y110" s="17" t="e">
        <f t="shared" ca="1" si="31"/>
        <v>#N/A</v>
      </c>
      <c r="Z110" s="11">
        <v>0</v>
      </c>
      <c r="AA110" s="16"/>
    </row>
    <row r="111" spans="1:27" s="7" customFormat="1" ht="150" hidden="1" customHeight="1" outlineLevel="2" x14ac:dyDescent="1.25">
      <c r="A111" s="4"/>
      <c r="C111" s="77"/>
      <c r="D111" s="98" t="s">
        <v>113</v>
      </c>
      <c r="E111" s="49" t="s">
        <v>16</v>
      </c>
      <c r="F111" s="33">
        <v>311</v>
      </c>
      <c r="G111" s="33">
        <v>447949529.65999949</v>
      </c>
      <c r="H111" s="33">
        <v>201561126.69000044</v>
      </c>
      <c r="I111" s="33">
        <v>191170320.72000009</v>
      </c>
      <c r="J111" s="33">
        <v>8429377.5600000005</v>
      </c>
      <c r="K111" s="34">
        <f t="shared" si="26"/>
        <v>0.94844836332959515</v>
      </c>
      <c r="L111" s="36">
        <v>10390805.970000004</v>
      </c>
      <c r="M111" s="30">
        <f t="shared" si="34"/>
        <v>237959025.40999904</v>
      </c>
      <c r="N111" s="40">
        <f t="shared" si="35"/>
        <v>49727490.449998826</v>
      </c>
      <c r="O111" s="40">
        <v>188231534.96000022</v>
      </c>
      <c r="P111" s="33">
        <v>0</v>
      </c>
      <c r="Q111" s="33">
        <v>0</v>
      </c>
      <c r="R111" s="40">
        <v>0</v>
      </c>
      <c r="S111" s="33">
        <v>0</v>
      </c>
      <c r="T111" s="33">
        <v>0</v>
      </c>
      <c r="U111" s="33">
        <v>0</v>
      </c>
      <c r="V111" s="33">
        <v>0</v>
      </c>
      <c r="W111" s="33">
        <v>0</v>
      </c>
      <c r="X111" s="17">
        <f>_xlfn.XLOOKUP(D111,'Overdue-1'!D:D,'Overdue-1'!E:E,0)-G111</f>
        <v>0</v>
      </c>
      <c r="Y111" s="17" t="e">
        <f t="shared" ca="1" si="31"/>
        <v>#N/A</v>
      </c>
      <c r="Z111" s="11">
        <v>167895.59999981523</v>
      </c>
      <c r="AA111" s="16"/>
    </row>
    <row r="112" spans="1:27" s="7" customFormat="1" ht="150" hidden="1" customHeight="1" outlineLevel="2" x14ac:dyDescent="1.25">
      <c r="A112" s="4"/>
      <c r="C112" s="77"/>
      <c r="D112" s="98" t="s">
        <v>112</v>
      </c>
      <c r="E112" s="49" t="s">
        <v>16</v>
      </c>
      <c r="F112" s="33">
        <v>116</v>
      </c>
      <c r="G112" s="33">
        <v>189209765.97</v>
      </c>
      <c r="H112" s="33">
        <v>81575394.610000029</v>
      </c>
      <c r="I112" s="33">
        <v>75503179.379999995</v>
      </c>
      <c r="J112" s="33">
        <v>4921086.6499999985</v>
      </c>
      <c r="K112" s="34">
        <f t="shared" si="26"/>
        <v>0.9255631522344403</v>
      </c>
      <c r="L112" s="36">
        <v>6072215.2300000042</v>
      </c>
      <c r="M112" s="30">
        <f t="shared" si="34"/>
        <v>102713284.70999998</v>
      </c>
      <c r="N112" s="40">
        <f t="shared" si="35"/>
        <v>18442865.059999928</v>
      </c>
      <c r="O112" s="40">
        <v>84270419.650000051</v>
      </c>
      <c r="P112" s="33">
        <v>0</v>
      </c>
      <c r="Q112" s="33">
        <v>0</v>
      </c>
      <c r="R112" s="40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17">
        <f>_xlfn.XLOOKUP(D112,'Overdue-1'!D:D,'Overdue-1'!E:E,0)-G112</f>
        <v>0</v>
      </c>
      <c r="Y112" s="17" t="e">
        <f t="shared" ca="1" si="31"/>
        <v>#N/A</v>
      </c>
      <c r="Z112" s="11">
        <v>0</v>
      </c>
      <c r="AA112" s="16"/>
    </row>
    <row r="113" spans="1:27" s="7" customFormat="1" ht="150" hidden="1" customHeight="1" outlineLevel="2" x14ac:dyDescent="1.25">
      <c r="A113" s="4"/>
      <c r="C113" s="77"/>
      <c r="D113" s="98" t="s">
        <v>111</v>
      </c>
      <c r="E113" s="49" t="s">
        <v>16</v>
      </c>
      <c r="F113" s="33">
        <v>26</v>
      </c>
      <c r="G113" s="33">
        <v>87260599.070000023</v>
      </c>
      <c r="H113" s="33">
        <v>36270715.649999984</v>
      </c>
      <c r="I113" s="33">
        <v>33652924.710000008</v>
      </c>
      <c r="J113" s="33">
        <v>858971.82</v>
      </c>
      <c r="K113" s="34">
        <f t="shared" si="26"/>
        <v>0.92782632233505502</v>
      </c>
      <c r="L113" s="36">
        <v>2617790.9399999995</v>
      </c>
      <c r="M113" s="30">
        <f t="shared" si="34"/>
        <v>50130911.600000039</v>
      </c>
      <c r="N113" s="40">
        <f t="shared" si="35"/>
        <v>8468827.6400000378</v>
      </c>
      <c r="O113" s="40">
        <v>41662083.960000001</v>
      </c>
      <c r="P113" s="33">
        <v>0</v>
      </c>
      <c r="Q113" s="33">
        <v>0</v>
      </c>
      <c r="R113" s="40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17">
        <f>_xlfn.XLOOKUP(D113,'Overdue-1'!D:D,'Overdue-1'!E:E,0)-G113</f>
        <v>0</v>
      </c>
      <c r="Y113" s="17" t="e">
        <f t="shared" ca="1" si="31"/>
        <v>#N/A</v>
      </c>
      <c r="Z113" s="11">
        <v>0</v>
      </c>
      <c r="AA113" s="16"/>
    </row>
    <row r="114" spans="1:27" s="7" customFormat="1" ht="150" hidden="1" customHeight="1" outlineLevel="1" collapsed="1" x14ac:dyDescent="1.25">
      <c r="A114" s="4"/>
      <c r="C114" s="77"/>
      <c r="D114" s="78" t="s">
        <v>110</v>
      </c>
      <c r="E114" s="49" t="s">
        <v>16</v>
      </c>
      <c r="F114" s="33">
        <f>SUM(F115:F118)</f>
        <v>566</v>
      </c>
      <c r="G114" s="33">
        <f>SUM(G115:G118)</f>
        <v>966190532.11000001</v>
      </c>
      <c r="H114" s="33">
        <f>SUM(H115:H118)</f>
        <v>402947841.77999967</v>
      </c>
      <c r="I114" s="33">
        <f>SUM(I115:I118)</f>
        <v>379505888.16999984</v>
      </c>
      <c r="J114" s="33">
        <f>SUM(J115:J118)</f>
        <v>24496253.770000007</v>
      </c>
      <c r="K114" s="34">
        <f t="shared" si="26"/>
        <v>0.94182385118022638</v>
      </c>
      <c r="L114" s="36">
        <f>SUM(L115:L118)</f>
        <v>23441953.610000007</v>
      </c>
      <c r="M114" s="30">
        <f t="shared" si="34"/>
        <v>538746436.56000042</v>
      </c>
      <c r="N114" s="40">
        <f t="shared" si="35"/>
        <v>105459561.50000024</v>
      </c>
      <c r="O114" s="40">
        <f t="shared" ref="O114:W114" si="37">SUM(O115:O118)</f>
        <v>55855176.960000008</v>
      </c>
      <c r="P114" s="33">
        <f t="shared" si="37"/>
        <v>377431698.10000014</v>
      </c>
      <c r="Q114" s="33">
        <f t="shared" si="37"/>
        <v>0</v>
      </c>
      <c r="R114" s="40">
        <f t="shared" si="37"/>
        <v>0</v>
      </c>
      <c r="S114" s="33">
        <f t="shared" si="37"/>
        <v>0</v>
      </c>
      <c r="T114" s="33">
        <f t="shared" si="37"/>
        <v>0</v>
      </c>
      <c r="U114" s="33">
        <f t="shared" si="37"/>
        <v>0</v>
      </c>
      <c r="V114" s="33">
        <f t="shared" si="37"/>
        <v>0</v>
      </c>
      <c r="W114" s="33">
        <f t="shared" si="37"/>
        <v>0</v>
      </c>
      <c r="X114" s="17">
        <f>_xlfn.XLOOKUP(D114,'Overdue-1'!D:D,'Overdue-1'!E:E,0)-G114</f>
        <v>-966190532.11000001</v>
      </c>
      <c r="Y114" s="17" t="str">
        <f t="shared" ca="1" si="31"/>
        <v>=SUM(H115:H118)</v>
      </c>
      <c r="Z114" s="11"/>
      <c r="AA114" s="16"/>
    </row>
    <row r="115" spans="1:27" s="7" customFormat="1" ht="150" hidden="1" customHeight="1" outlineLevel="2" x14ac:dyDescent="1.25">
      <c r="A115" s="4"/>
      <c r="C115" s="77"/>
      <c r="D115" s="98" t="s">
        <v>109</v>
      </c>
      <c r="E115" s="49" t="s">
        <v>16</v>
      </c>
      <c r="F115" s="33">
        <v>115</v>
      </c>
      <c r="G115" s="33">
        <v>186078654.75</v>
      </c>
      <c r="H115" s="33">
        <v>75568932.190000042</v>
      </c>
      <c r="I115" s="33">
        <v>70157493.609999999</v>
      </c>
      <c r="J115" s="33">
        <v>4858485.6500000032</v>
      </c>
      <c r="K115" s="34">
        <f t="shared" si="26"/>
        <v>0.9283906967694836</v>
      </c>
      <c r="L115" s="36">
        <v>5411438.580000001</v>
      </c>
      <c r="M115" s="30">
        <f t="shared" si="34"/>
        <v>105651236.90999995</v>
      </c>
      <c r="N115" s="40">
        <f t="shared" si="35"/>
        <v>19856034.230000004</v>
      </c>
      <c r="O115" s="40">
        <v>13854548.959999999</v>
      </c>
      <c r="P115" s="33">
        <v>71940653.719999954</v>
      </c>
      <c r="Q115" s="33">
        <v>0</v>
      </c>
      <c r="R115" s="40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17">
        <f>_xlfn.XLOOKUP(D115,'Overdue-1'!D:D,'Overdue-1'!E:E,0)-G115</f>
        <v>0</v>
      </c>
      <c r="Y115" s="17" t="e">
        <f t="shared" ca="1" si="31"/>
        <v>#N/A</v>
      </c>
      <c r="Z115" s="11">
        <v>265890.62999996543</v>
      </c>
      <c r="AA115" s="16"/>
    </row>
    <row r="116" spans="1:27" s="7" customFormat="1" ht="150" hidden="1" customHeight="1" outlineLevel="2" x14ac:dyDescent="1.25">
      <c r="A116" s="4"/>
      <c r="C116" s="77"/>
      <c r="D116" s="98" t="s">
        <v>108</v>
      </c>
      <c r="E116" s="49" t="s">
        <v>16</v>
      </c>
      <c r="F116" s="33">
        <v>311</v>
      </c>
      <c r="G116" s="33">
        <v>473235445.00999999</v>
      </c>
      <c r="H116" s="33">
        <v>207732705.86999968</v>
      </c>
      <c r="I116" s="33">
        <v>195864041.14999986</v>
      </c>
      <c r="J116" s="33">
        <v>13530319.850000005</v>
      </c>
      <c r="K116" s="34">
        <f t="shared" si="26"/>
        <v>0.94286569045402369</v>
      </c>
      <c r="L116" s="36">
        <v>11868664.720000003</v>
      </c>
      <c r="M116" s="30">
        <f t="shared" si="34"/>
        <v>251972419.29000032</v>
      </c>
      <c r="N116" s="40">
        <f t="shared" si="35"/>
        <v>49171235.650000155</v>
      </c>
      <c r="O116" s="40">
        <v>18624187.500000011</v>
      </c>
      <c r="P116" s="33">
        <v>184176996.14000016</v>
      </c>
      <c r="Q116" s="33">
        <v>0</v>
      </c>
      <c r="R116" s="40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17">
        <f>_xlfn.XLOOKUP(D116,'Overdue-1'!D:D,'Overdue-1'!E:E,0)-G116</f>
        <v>0</v>
      </c>
      <c r="Y116" s="17" t="e">
        <f t="shared" ca="1" si="31"/>
        <v>#N/A</v>
      </c>
      <c r="Z116" s="11">
        <v>114551.89999997616</v>
      </c>
      <c r="AA116" s="16"/>
    </row>
    <row r="117" spans="1:27" s="7" customFormat="1" ht="150" hidden="1" customHeight="1" outlineLevel="2" x14ac:dyDescent="1.25">
      <c r="A117" s="4"/>
      <c r="C117" s="77"/>
      <c r="D117" s="98" t="s">
        <v>107</v>
      </c>
      <c r="E117" s="49" t="s">
        <v>16</v>
      </c>
      <c r="F117" s="33">
        <v>114</v>
      </c>
      <c r="G117" s="33">
        <v>195265056.10000002</v>
      </c>
      <c r="H117" s="33">
        <v>78472159.149999991</v>
      </c>
      <c r="I117" s="33">
        <v>74471808.770000011</v>
      </c>
      <c r="J117" s="33">
        <v>4610959.2399999993</v>
      </c>
      <c r="K117" s="34">
        <f t="shared" si="26"/>
        <v>0.94902204267945156</v>
      </c>
      <c r="L117" s="36">
        <v>4000350.3800000008</v>
      </c>
      <c r="M117" s="30">
        <f t="shared" si="34"/>
        <v>112181937.71000004</v>
      </c>
      <c r="N117" s="40">
        <f t="shared" si="35"/>
        <v>22080394.180000037</v>
      </c>
      <c r="O117" s="40">
        <v>13394811.559999999</v>
      </c>
      <c r="P117" s="33">
        <v>76706731.969999999</v>
      </c>
      <c r="Q117" s="33">
        <v>0</v>
      </c>
      <c r="R117" s="40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17">
        <f>_xlfn.XLOOKUP(D117,'Overdue-1'!D:D,'Overdue-1'!E:E,0)-G117</f>
        <v>0</v>
      </c>
      <c r="Y117" s="17" t="e">
        <f t="shared" ca="1" si="31"/>
        <v>#N/A</v>
      </c>
      <c r="Z117" s="11">
        <v>251553.73000001907</v>
      </c>
      <c r="AA117" s="16"/>
    </row>
    <row r="118" spans="1:27" s="7" customFormat="1" ht="150" hidden="1" customHeight="1" outlineLevel="2" x14ac:dyDescent="1.25">
      <c r="A118" s="4"/>
      <c r="C118" s="77"/>
      <c r="D118" s="98" t="s">
        <v>106</v>
      </c>
      <c r="E118" s="49" t="s">
        <v>16</v>
      </c>
      <c r="F118" s="33">
        <v>26</v>
      </c>
      <c r="G118" s="33">
        <v>111611376.25</v>
      </c>
      <c r="H118" s="33">
        <v>41174044.570000008</v>
      </c>
      <c r="I118" s="33">
        <v>39012544.640000008</v>
      </c>
      <c r="J118" s="33">
        <v>1496489.03</v>
      </c>
      <c r="K118" s="34">
        <f t="shared" si="26"/>
        <v>0.94750333729480396</v>
      </c>
      <c r="L118" s="36">
        <v>2161499.9300000002</v>
      </c>
      <c r="M118" s="30">
        <f t="shared" si="34"/>
        <v>68940842.649999991</v>
      </c>
      <c r="N118" s="40">
        <f t="shared" si="35"/>
        <v>14351897.439999998</v>
      </c>
      <c r="O118" s="40">
        <v>9981628.9400000013</v>
      </c>
      <c r="P118" s="33">
        <v>44607316.269999996</v>
      </c>
      <c r="Q118" s="33">
        <v>0</v>
      </c>
      <c r="R118" s="40">
        <v>0</v>
      </c>
      <c r="S118" s="33">
        <v>0</v>
      </c>
      <c r="T118" s="33">
        <v>0</v>
      </c>
      <c r="U118" s="33">
        <v>0</v>
      </c>
      <c r="V118" s="33">
        <v>0</v>
      </c>
      <c r="W118" s="33">
        <v>0</v>
      </c>
      <c r="X118" s="17">
        <f>_xlfn.XLOOKUP(D118,'Overdue-1'!D:D,'Overdue-1'!E:E,0)-G118</f>
        <v>0</v>
      </c>
      <c r="Y118" s="17" t="e">
        <f t="shared" ca="1" si="31"/>
        <v>#N/A</v>
      </c>
      <c r="Z118" s="11">
        <v>0</v>
      </c>
      <c r="AA118" s="16"/>
    </row>
    <row r="119" spans="1:27" s="7" customFormat="1" ht="150" hidden="1" customHeight="1" outlineLevel="1" collapsed="1" x14ac:dyDescent="1.25">
      <c r="A119" s="4"/>
      <c r="C119" s="77"/>
      <c r="D119" s="78" t="s">
        <v>105</v>
      </c>
      <c r="E119" s="49" t="s">
        <v>16</v>
      </c>
      <c r="F119" s="33">
        <f>SUM(F120:F123)</f>
        <v>557</v>
      </c>
      <c r="G119" s="33">
        <f>SUM(G120:G123)</f>
        <v>943131762.30000019</v>
      </c>
      <c r="H119" s="33">
        <f>SUM(H120:H123)</f>
        <v>350053797.44999993</v>
      </c>
      <c r="I119" s="33">
        <f>SUM(I120:I123)</f>
        <v>342723147.4799999</v>
      </c>
      <c r="J119" s="33">
        <f>SUM(J120:J123)</f>
        <v>24327292.339999996</v>
      </c>
      <c r="K119" s="34">
        <f t="shared" si="26"/>
        <v>0.97905850465442501</v>
      </c>
      <c r="L119" s="36">
        <f>SUM(L120:L123)</f>
        <v>7330649.9700000007</v>
      </c>
      <c r="M119" s="30">
        <f t="shared" si="34"/>
        <v>568750672.51000023</v>
      </c>
      <c r="N119" s="40">
        <f t="shared" si="35"/>
        <v>131703711.93000031</v>
      </c>
      <c r="O119" s="40">
        <f t="shared" ref="O119:W119" si="38">SUM(O120:O123)</f>
        <v>54904434.460000001</v>
      </c>
      <c r="P119" s="33">
        <f t="shared" si="38"/>
        <v>382142526.11999995</v>
      </c>
      <c r="Q119" s="33">
        <f t="shared" si="38"/>
        <v>0</v>
      </c>
      <c r="R119" s="40">
        <f t="shared" si="38"/>
        <v>0</v>
      </c>
      <c r="S119" s="33">
        <f t="shared" si="38"/>
        <v>0</v>
      </c>
      <c r="T119" s="33">
        <f t="shared" si="38"/>
        <v>0</v>
      </c>
      <c r="U119" s="33">
        <f t="shared" si="38"/>
        <v>0</v>
      </c>
      <c r="V119" s="33">
        <f t="shared" si="38"/>
        <v>0</v>
      </c>
      <c r="W119" s="33">
        <f t="shared" si="38"/>
        <v>0</v>
      </c>
      <c r="X119" s="17">
        <f>_xlfn.XLOOKUP(D119,'Overdue-1'!D:D,'Overdue-1'!E:E,0)-G119</f>
        <v>-943131762.30000019</v>
      </c>
      <c r="Y119" s="17" t="str">
        <f t="shared" ca="1" si="31"/>
        <v>=SUM(H120:H123)</v>
      </c>
      <c r="Z119" s="11"/>
      <c r="AA119" s="16"/>
    </row>
    <row r="120" spans="1:27" s="7" customFormat="1" ht="150" hidden="1" customHeight="1" outlineLevel="2" x14ac:dyDescent="1.25">
      <c r="A120" s="4"/>
      <c r="C120" s="77"/>
      <c r="D120" s="98" t="s">
        <v>104</v>
      </c>
      <c r="E120" s="49" t="s">
        <v>16</v>
      </c>
      <c r="F120" s="33">
        <v>110</v>
      </c>
      <c r="G120" s="33">
        <v>181742042.34999999</v>
      </c>
      <c r="H120" s="33">
        <v>67445258.920000106</v>
      </c>
      <c r="I120" s="33">
        <v>66529391.869999997</v>
      </c>
      <c r="J120" s="33">
        <v>2980704.68</v>
      </c>
      <c r="K120" s="34">
        <f t="shared" si="26"/>
        <v>0.98642058664069387</v>
      </c>
      <c r="L120" s="36">
        <v>915867.05</v>
      </c>
      <c r="M120" s="30">
        <f t="shared" si="34"/>
        <v>111316078.74999988</v>
      </c>
      <c r="N120" s="40">
        <f t="shared" si="35"/>
        <v>24896144.489999905</v>
      </c>
      <c r="O120" s="40">
        <v>12946327.01</v>
      </c>
      <c r="P120" s="33">
        <v>73473607.24999997</v>
      </c>
      <c r="Q120" s="33">
        <v>0</v>
      </c>
      <c r="R120" s="40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17">
        <f>_xlfn.XLOOKUP(D120,'Overdue-1'!D:D,'Overdue-1'!E:E,0)-G120</f>
        <v>0</v>
      </c>
      <c r="Y120" s="17" t="e">
        <f t="shared" ca="1" si="31"/>
        <v>#N/A</v>
      </c>
      <c r="Z120" s="11">
        <v>0</v>
      </c>
      <c r="AA120" s="16"/>
    </row>
    <row r="121" spans="1:27" s="7" customFormat="1" ht="150" hidden="1" customHeight="1" outlineLevel="2" x14ac:dyDescent="1.25">
      <c r="A121" s="4"/>
      <c r="C121" s="77"/>
      <c r="D121" s="98" t="s">
        <v>103</v>
      </c>
      <c r="E121" s="49" t="s">
        <v>16</v>
      </c>
      <c r="F121" s="33">
        <v>308</v>
      </c>
      <c r="G121" s="33">
        <v>470711136.28000015</v>
      </c>
      <c r="H121" s="33">
        <v>177451329.09999993</v>
      </c>
      <c r="I121" s="33">
        <v>173156837.50999993</v>
      </c>
      <c r="J121" s="33">
        <v>12937618.359999999</v>
      </c>
      <c r="K121" s="34">
        <f t="shared" si="26"/>
        <v>0.97579904522676242</v>
      </c>
      <c r="L121" s="36">
        <v>4294491.5900000017</v>
      </c>
      <c r="M121" s="30">
        <f t="shared" si="34"/>
        <v>280322188.82000023</v>
      </c>
      <c r="N121" s="40">
        <f t="shared" si="35"/>
        <v>67809276.890000284</v>
      </c>
      <c r="O121" s="40">
        <v>24371554.730000004</v>
      </c>
      <c r="P121" s="33">
        <v>188141357.19999996</v>
      </c>
      <c r="Q121" s="33">
        <v>0</v>
      </c>
      <c r="R121" s="40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17">
        <f>_xlfn.XLOOKUP(D121,'Overdue-1'!D:D,'Overdue-1'!E:E,0)-G121</f>
        <v>0</v>
      </c>
      <c r="Y121" s="17" t="e">
        <f t="shared" ca="1" si="31"/>
        <v>#N/A</v>
      </c>
      <c r="Z121" s="11">
        <v>0</v>
      </c>
      <c r="AA121" s="16"/>
    </row>
    <row r="122" spans="1:27" s="7" customFormat="1" ht="150" hidden="1" customHeight="1" outlineLevel="2" x14ac:dyDescent="1.25">
      <c r="A122" s="4"/>
      <c r="C122" s="77"/>
      <c r="D122" s="98" t="s">
        <v>102</v>
      </c>
      <c r="E122" s="49" t="s">
        <v>16</v>
      </c>
      <c r="F122" s="33">
        <v>114</v>
      </c>
      <c r="G122" s="33">
        <v>201490444.67000002</v>
      </c>
      <c r="H122" s="33">
        <v>73728897.019999921</v>
      </c>
      <c r="I122" s="33">
        <v>71827425.580000013</v>
      </c>
      <c r="J122" s="33">
        <v>6775656.7599999988</v>
      </c>
      <c r="K122" s="34">
        <f t="shared" si="26"/>
        <v>0.97420995678961386</v>
      </c>
      <c r="L122" s="36">
        <v>1901471.4399999997</v>
      </c>
      <c r="M122" s="30">
        <f t="shared" si="34"/>
        <v>120985890.89000009</v>
      </c>
      <c r="N122" s="40">
        <f t="shared" si="35"/>
        <v>27832509.02000007</v>
      </c>
      <c r="O122" s="40">
        <v>11113349.710000003</v>
      </c>
      <c r="P122" s="33">
        <v>82040032.160000011</v>
      </c>
      <c r="Q122" s="33">
        <v>0</v>
      </c>
      <c r="R122" s="40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17">
        <f>_xlfn.XLOOKUP(D122,'Overdue-1'!D:D,'Overdue-1'!E:E,0)-G122</f>
        <v>0</v>
      </c>
      <c r="Y122" s="17" t="e">
        <f t="shared" ca="1" si="31"/>
        <v>#N/A</v>
      </c>
      <c r="Z122" s="11">
        <v>0</v>
      </c>
      <c r="AA122" s="16"/>
    </row>
    <row r="123" spans="1:27" s="7" customFormat="1" ht="150" hidden="1" customHeight="1" outlineLevel="2" x14ac:dyDescent="1.25">
      <c r="A123" s="4"/>
      <c r="C123" s="77"/>
      <c r="D123" s="98" t="s">
        <v>101</v>
      </c>
      <c r="E123" s="49" t="s">
        <v>16</v>
      </c>
      <c r="F123" s="33">
        <v>25</v>
      </c>
      <c r="G123" s="33">
        <v>89188139</v>
      </c>
      <c r="H123" s="33">
        <v>31428312.409999993</v>
      </c>
      <c r="I123" s="33">
        <v>31209492.520000003</v>
      </c>
      <c r="J123" s="33">
        <v>1633312.54</v>
      </c>
      <c r="K123" s="34">
        <f t="shared" si="26"/>
        <v>0.99303749157303256</v>
      </c>
      <c r="L123" s="36">
        <v>218819.88999999998</v>
      </c>
      <c r="M123" s="30">
        <f t="shared" si="34"/>
        <v>56126514.050000012</v>
      </c>
      <c r="N123" s="40">
        <f t="shared" si="35"/>
        <v>11165781.530000009</v>
      </c>
      <c r="O123" s="40">
        <v>6473203.0100000007</v>
      </c>
      <c r="P123" s="33">
        <v>38487529.510000005</v>
      </c>
      <c r="Q123" s="33">
        <v>0</v>
      </c>
      <c r="R123" s="40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17">
        <f>_xlfn.XLOOKUP(D123,'Overdue-1'!D:D,'Overdue-1'!E:E,0)-G123</f>
        <v>0</v>
      </c>
      <c r="Y123" s="17" t="e">
        <f t="shared" ca="1" si="31"/>
        <v>#N/A</v>
      </c>
      <c r="Z123" s="11">
        <v>0</v>
      </c>
      <c r="AA123" s="16"/>
    </row>
    <row r="124" spans="1:27" s="7" customFormat="1" ht="150" hidden="1" customHeight="1" outlineLevel="1" collapsed="1" x14ac:dyDescent="1.25">
      <c r="A124" s="4"/>
      <c r="C124" s="77"/>
      <c r="D124" s="78" t="s">
        <v>100</v>
      </c>
      <c r="E124" s="49" t="s">
        <v>16</v>
      </c>
      <c r="F124" s="33">
        <f>SUM(F125:F128)</f>
        <v>337</v>
      </c>
      <c r="G124" s="33">
        <f>SUM(G125:G128)</f>
        <v>674033743.32000005</v>
      </c>
      <c r="H124" s="33">
        <f>SUM(H125:H128)</f>
        <v>236827590.83999991</v>
      </c>
      <c r="I124" s="33">
        <f>SUM(I125:I128)</f>
        <v>229449199.20999998</v>
      </c>
      <c r="J124" s="33">
        <f>SUM(J125:J128)</f>
        <v>23251185.530000005</v>
      </c>
      <c r="K124" s="34">
        <f t="shared" ref="K124:K143" si="39">IFERROR(I124/H124,0)</f>
        <v>0.96884488161269711</v>
      </c>
      <c r="L124" s="36">
        <f>SUM(L125:L128)</f>
        <v>7378391.6299999999</v>
      </c>
      <c r="M124" s="30">
        <f t="shared" si="34"/>
        <v>413954966.95000017</v>
      </c>
      <c r="N124" s="40">
        <f t="shared" si="35"/>
        <v>86742753.730000257</v>
      </c>
      <c r="O124" s="33">
        <f t="shared" ref="O124:W124" si="40">SUM(O125:O128)</f>
        <v>51822765.530000009</v>
      </c>
      <c r="P124" s="33">
        <f t="shared" si="40"/>
        <v>275389447.68999988</v>
      </c>
      <c r="Q124" s="40">
        <f t="shared" si="40"/>
        <v>0</v>
      </c>
      <c r="R124" s="33">
        <f t="shared" si="40"/>
        <v>0</v>
      </c>
      <c r="S124" s="33">
        <f t="shared" si="40"/>
        <v>0</v>
      </c>
      <c r="T124" s="33">
        <f t="shared" si="40"/>
        <v>0</v>
      </c>
      <c r="U124" s="33">
        <f t="shared" si="40"/>
        <v>0</v>
      </c>
      <c r="V124" s="33">
        <f t="shared" si="40"/>
        <v>0</v>
      </c>
      <c r="W124" s="33">
        <f t="shared" si="40"/>
        <v>0</v>
      </c>
      <c r="X124" s="17">
        <f>_xlfn.XLOOKUP(D124,'Overdue-1'!D:D,'Overdue-1'!E:E,0)-G124</f>
        <v>-674033743.32000005</v>
      </c>
      <c r="Y124" s="17" t="str">
        <f t="shared" ca="1" si="31"/>
        <v>=SUM(H125:H128)</v>
      </c>
      <c r="Z124" s="11"/>
      <c r="AA124" s="16"/>
    </row>
    <row r="125" spans="1:27" s="7" customFormat="1" ht="150" hidden="1" customHeight="1" outlineLevel="2" x14ac:dyDescent="1.25">
      <c r="A125" s="4"/>
      <c r="C125" s="77"/>
      <c r="D125" s="98" t="s">
        <v>99</v>
      </c>
      <c r="E125" s="49" t="s">
        <v>16</v>
      </c>
      <c r="F125" s="33">
        <v>109</v>
      </c>
      <c r="G125" s="33">
        <v>214412498.4300001</v>
      </c>
      <c r="H125" s="33">
        <v>72666188.329999954</v>
      </c>
      <c r="I125" s="33">
        <v>70179506.779999971</v>
      </c>
      <c r="J125" s="33">
        <v>3589538.0800000005</v>
      </c>
      <c r="K125" s="34">
        <f t="shared" si="39"/>
        <v>0.96577938643613481</v>
      </c>
      <c r="L125" s="36">
        <v>2486681.5500000003</v>
      </c>
      <c r="M125" s="30">
        <f t="shared" si="34"/>
        <v>138156772.02000016</v>
      </c>
      <c r="N125" s="40">
        <f t="shared" si="35"/>
        <v>27868445.210000247</v>
      </c>
      <c r="O125" s="40">
        <v>18143834.099999998</v>
      </c>
      <c r="P125" s="33">
        <v>92144492.709999919</v>
      </c>
      <c r="Q125" s="33">
        <v>0</v>
      </c>
      <c r="R125" s="40">
        <v>0</v>
      </c>
      <c r="S125" s="33">
        <v>0</v>
      </c>
      <c r="T125" s="33">
        <v>0</v>
      </c>
      <c r="U125" s="33">
        <v>0</v>
      </c>
      <c r="V125" s="33">
        <v>0</v>
      </c>
      <c r="W125" s="33">
        <v>0</v>
      </c>
      <c r="X125" s="17">
        <f>_xlfn.XLOOKUP(D125,'Overdue-1'!D:D,'Overdue-1'!E:E,0)-G125</f>
        <v>0</v>
      </c>
      <c r="Y125" s="17" t="e">
        <f t="shared" ca="1" si="31"/>
        <v>#N/A</v>
      </c>
      <c r="Z125" s="11">
        <v>193480.74000005424</v>
      </c>
      <c r="AA125" s="16"/>
    </row>
    <row r="126" spans="1:27" s="7" customFormat="1" ht="150" hidden="1" customHeight="1" outlineLevel="2" x14ac:dyDescent="1.25">
      <c r="A126" s="4"/>
      <c r="C126" s="77"/>
      <c r="D126" s="98" t="s">
        <v>98</v>
      </c>
      <c r="E126" s="49" t="s">
        <v>16</v>
      </c>
      <c r="F126" s="33">
        <v>61</v>
      </c>
      <c r="G126" s="33">
        <v>121459172.51999998</v>
      </c>
      <c r="H126" s="33">
        <v>41261658.699999981</v>
      </c>
      <c r="I126" s="33">
        <v>40338141.430000015</v>
      </c>
      <c r="J126" s="33">
        <v>3366734.4799999991</v>
      </c>
      <c r="K126" s="34">
        <f t="shared" si="39"/>
        <v>0.9776180284773679</v>
      </c>
      <c r="L126" s="36">
        <v>923517.2699999999</v>
      </c>
      <c r="M126" s="30">
        <f t="shared" si="34"/>
        <v>76830779.340000004</v>
      </c>
      <c r="N126" s="40">
        <f t="shared" si="35"/>
        <v>16084070.220000006</v>
      </c>
      <c r="O126" s="40">
        <v>9691025.5800000001</v>
      </c>
      <c r="P126" s="33">
        <v>51055683.539999999</v>
      </c>
      <c r="Q126" s="33">
        <v>0</v>
      </c>
      <c r="R126" s="40">
        <v>0</v>
      </c>
      <c r="S126" s="33">
        <v>0</v>
      </c>
      <c r="T126" s="33">
        <v>0</v>
      </c>
      <c r="U126" s="33">
        <v>0</v>
      </c>
      <c r="V126" s="33">
        <v>0</v>
      </c>
      <c r="W126" s="33">
        <v>0</v>
      </c>
      <c r="X126" s="17">
        <f>_xlfn.XLOOKUP(D126,'Overdue-1'!D:D,'Overdue-1'!E:E,0)-G126</f>
        <v>0</v>
      </c>
      <c r="Y126" s="17" t="e">
        <f t="shared" ca="1" si="31"/>
        <v>#N/A</v>
      </c>
      <c r="Z126" s="11">
        <v>0</v>
      </c>
      <c r="AA126" s="16"/>
    </row>
    <row r="127" spans="1:27" s="7" customFormat="1" ht="150" hidden="1" customHeight="1" outlineLevel="2" x14ac:dyDescent="1.25">
      <c r="A127" s="4"/>
      <c r="C127" s="77"/>
      <c r="D127" s="98" t="s">
        <v>97</v>
      </c>
      <c r="E127" s="49" t="s">
        <v>16</v>
      </c>
      <c r="F127" s="33">
        <v>60</v>
      </c>
      <c r="G127" s="33">
        <v>119708422.34</v>
      </c>
      <c r="H127" s="33">
        <v>41476719.639999978</v>
      </c>
      <c r="I127" s="33">
        <v>40014394.380000003</v>
      </c>
      <c r="J127" s="33">
        <v>5442665.450000002</v>
      </c>
      <c r="K127" s="34">
        <f t="shared" si="39"/>
        <v>0.96474346880147877</v>
      </c>
      <c r="L127" s="36">
        <v>1462325.26</v>
      </c>
      <c r="M127" s="30">
        <f t="shared" si="34"/>
        <v>72789037.25000003</v>
      </c>
      <c r="N127" s="40">
        <f t="shared" si="35"/>
        <v>15100098.340000018</v>
      </c>
      <c r="O127" s="40">
        <v>10241793.060000002</v>
      </c>
      <c r="P127" s="33">
        <v>47447145.850000009</v>
      </c>
      <c r="Q127" s="33">
        <v>0</v>
      </c>
      <c r="R127" s="40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0</v>
      </c>
      <c r="X127" s="17">
        <f>_xlfn.XLOOKUP(D127,'Overdue-1'!D:D,'Overdue-1'!E:E,0)-G127</f>
        <v>0</v>
      </c>
      <c r="Y127" s="17" t="e">
        <f t="shared" ca="1" si="31"/>
        <v>#N/A</v>
      </c>
      <c r="Z127" s="11">
        <v>0</v>
      </c>
      <c r="AA127" s="16"/>
    </row>
    <row r="128" spans="1:27" s="7" customFormat="1" ht="150" hidden="1" customHeight="1" outlineLevel="2" x14ac:dyDescent="1.25">
      <c r="A128" s="4"/>
      <c r="C128" s="77"/>
      <c r="D128" s="98" t="s">
        <v>96</v>
      </c>
      <c r="E128" s="49" t="s">
        <v>16</v>
      </c>
      <c r="F128" s="33">
        <v>107</v>
      </c>
      <c r="G128" s="33">
        <v>218453650.02999997</v>
      </c>
      <c r="H128" s="33">
        <v>81423024.169999987</v>
      </c>
      <c r="I128" s="33">
        <v>78917156.61999999</v>
      </c>
      <c r="J128" s="33">
        <v>10852247.520000003</v>
      </c>
      <c r="K128" s="34">
        <f t="shared" si="39"/>
        <v>0.96922409139743948</v>
      </c>
      <c r="L128" s="36">
        <v>2505867.5499999998</v>
      </c>
      <c r="M128" s="30">
        <f t="shared" si="34"/>
        <v>126178378.33999997</v>
      </c>
      <c r="N128" s="40">
        <f t="shared" si="35"/>
        <v>27690139.959999979</v>
      </c>
      <c r="O128" s="40">
        <v>13746112.790000005</v>
      </c>
      <c r="P128" s="33">
        <v>84742125.589999989</v>
      </c>
      <c r="Q128" s="33">
        <v>0</v>
      </c>
      <c r="R128" s="40">
        <v>0</v>
      </c>
      <c r="S128" s="33">
        <v>0</v>
      </c>
      <c r="T128" s="33">
        <v>0</v>
      </c>
      <c r="U128" s="33">
        <v>0</v>
      </c>
      <c r="V128" s="33">
        <v>0</v>
      </c>
      <c r="W128" s="33">
        <v>0</v>
      </c>
      <c r="X128" s="17">
        <f>_xlfn.XLOOKUP(D128,'Overdue-1'!D:D,'Overdue-1'!E:E,0)-G128</f>
        <v>0</v>
      </c>
      <c r="Y128" s="17" t="e">
        <f t="shared" ca="1" si="31"/>
        <v>#N/A</v>
      </c>
      <c r="Z128" s="11">
        <v>0</v>
      </c>
      <c r="AA128" s="16"/>
    </row>
    <row r="129" spans="1:27" s="7" customFormat="1" ht="150" hidden="1" customHeight="1" outlineLevel="1" collapsed="1" x14ac:dyDescent="1.25">
      <c r="A129" s="4"/>
      <c r="C129" s="77"/>
      <c r="D129" s="78" t="s">
        <v>95</v>
      </c>
      <c r="E129" s="49" t="s">
        <v>16</v>
      </c>
      <c r="F129" s="33">
        <f>SUM(F130:F133)</f>
        <v>331</v>
      </c>
      <c r="G129" s="33">
        <f>SUM(G130:G133)</f>
        <v>667686855.18000007</v>
      </c>
      <c r="H129" s="33">
        <f>SUM(H130:H133)</f>
        <v>225491062.34000003</v>
      </c>
      <c r="I129" s="33">
        <f>SUM(I130:I133)</f>
        <v>214512776.35999998</v>
      </c>
      <c r="J129" s="33">
        <f>SUM(J130:J133)</f>
        <v>22295532.890000001</v>
      </c>
      <c r="K129" s="34">
        <f t="shared" si="39"/>
        <v>0.95131387529920475</v>
      </c>
      <c r="L129" s="36">
        <f>SUM(L130:L133)</f>
        <v>11070675.380000001</v>
      </c>
      <c r="M129" s="30">
        <f t="shared" si="34"/>
        <v>419900259.95000005</v>
      </c>
      <c r="N129" s="40">
        <f t="shared" si="35"/>
        <v>71733501.860000014</v>
      </c>
      <c r="O129" s="33">
        <f t="shared" ref="O129:W129" si="41">SUM(O130:O133)</f>
        <v>68752285.549999997</v>
      </c>
      <c r="P129" s="33">
        <f t="shared" si="41"/>
        <v>279414472.54000002</v>
      </c>
      <c r="Q129" s="33">
        <f t="shared" si="41"/>
        <v>0</v>
      </c>
      <c r="R129" s="33">
        <f t="shared" si="41"/>
        <v>0</v>
      </c>
      <c r="S129" s="33">
        <f t="shared" si="41"/>
        <v>0</v>
      </c>
      <c r="T129" s="33">
        <f t="shared" si="41"/>
        <v>0</v>
      </c>
      <c r="U129" s="33">
        <f t="shared" si="41"/>
        <v>0</v>
      </c>
      <c r="V129" s="33">
        <f t="shared" si="41"/>
        <v>0</v>
      </c>
      <c r="W129" s="33">
        <f t="shared" si="41"/>
        <v>0</v>
      </c>
      <c r="X129" s="17">
        <f>_xlfn.XLOOKUP(D129,'Overdue-1'!D:D,'Overdue-1'!E:E,0)-G129</f>
        <v>-667686855.18000007</v>
      </c>
      <c r="Y129" s="17" t="str">
        <f t="shared" ca="1" si="31"/>
        <v>=SUM(H130:H133)</v>
      </c>
      <c r="Z129" s="11"/>
      <c r="AA129" s="16"/>
    </row>
    <row r="130" spans="1:27" s="7" customFormat="1" ht="150" hidden="1" customHeight="1" outlineLevel="2" x14ac:dyDescent="1.25">
      <c r="A130" s="4"/>
      <c r="C130" s="77"/>
      <c r="D130" s="98" t="s">
        <v>94</v>
      </c>
      <c r="E130" s="49" t="s">
        <v>16</v>
      </c>
      <c r="F130" s="33">
        <v>104</v>
      </c>
      <c r="G130" s="33">
        <v>207226554.46000004</v>
      </c>
      <c r="H130" s="33">
        <v>72066632.439999983</v>
      </c>
      <c r="I130" s="33">
        <v>68844865.349999979</v>
      </c>
      <c r="J130" s="33">
        <v>2920284.68</v>
      </c>
      <c r="K130" s="34">
        <f t="shared" si="39"/>
        <v>0.95529460749144446</v>
      </c>
      <c r="L130" s="36">
        <v>3221767.0900000008</v>
      </c>
      <c r="M130" s="30">
        <f t="shared" si="34"/>
        <v>132239637.34000005</v>
      </c>
      <c r="N130" s="40">
        <f t="shared" si="35"/>
        <v>23079509.340000078</v>
      </c>
      <c r="O130" s="40">
        <v>22143983.549999993</v>
      </c>
      <c r="P130" s="33">
        <v>87016144.449999973</v>
      </c>
      <c r="Q130" s="33">
        <v>0</v>
      </c>
      <c r="R130" s="40">
        <v>0</v>
      </c>
      <c r="S130" s="33">
        <v>0</v>
      </c>
      <c r="T130" s="33">
        <v>0</v>
      </c>
      <c r="U130" s="33">
        <v>0</v>
      </c>
      <c r="V130" s="33">
        <v>0</v>
      </c>
      <c r="W130" s="33">
        <v>0</v>
      </c>
      <c r="X130" s="17">
        <f>_xlfn.XLOOKUP(D130,'Overdue-1'!D:D,'Overdue-1'!E:E,0)-G130</f>
        <v>0</v>
      </c>
      <c r="Y130" s="17" t="e">
        <f t="shared" ca="1" si="31"/>
        <v>#N/A</v>
      </c>
      <c r="Z130" s="11">
        <v>0</v>
      </c>
      <c r="AA130" s="16"/>
    </row>
    <row r="131" spans="1:27" s="7" customFormat="1" ht="150" hidden="1" customHeight="1" outlineLevel="2" x14ac:dyDescent="1.25">
      <c r="A131" s="4"/>
      <c r="C131" s="77"/>
      <c r="D131" s="98" t="s">
        <v>93</v>
      </c>
      <c r="E131" s="49" t="s">
        <v>16</v>
      </c>
      <c r="F131" s="33">
        <v>63</v>
      </c>
      <c r="G131" s="33">
        <v>127611774.5</v>
      </c>
      <c r="H131" s="33">
        <v>43367893.540000014</v>
      </c>
      <c r="I131" s="33">
        <v>41894222.710000008</v>
      </c>
      <c r="J131" s="33">
        <v>5869249.4500000002</v>
      </c>
      <c r="K131" s="34">
        <f t="shared" si="39"/>
        <v>0.96601931268253138</v>
      </c>
      <c r="L131" s="36">
        <v>1473670.83</v>
      </c>
      <c r="M131" s="30">
        <f t="shared" si="34"/>
        <v>78374631.50999999</v>
      </c>
      <c r="N131" s="40">
        <f t="shared" si="35"/>
        <v>13005346.709999971</v>
      </c>
      <c r="O131" s="40">
        <v>12159905.770000001</v>
      </c>
      <c r="P131" s="33">
        <v>53209379.030000016</v>
      </c>
      <c r="Q131" s="33">
        <v>0</v>
      </c>
      <c r="R131" s="40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17">
        <f>_xlfn.XLOOKUP(D131,'Overdue-1'!D:D,'Overdue-1'!E:E,0)-G131</f>
        <v>0</v>
      </c>
      <c r="Y131" s="17" t="e">
        <f t="shared" ca="1" si="31"/>
        <v>#N/A</v>
      </c>
      <c r="Z131" s="11">
        <v>0</v>
      </c>
      <c r="AA131" s="16"/>
    </row>
    <row r="132" spans="1:27" s="7" customFormat="1" ht="150" hidden="1" customHeight="1" outlineLevel="2" x14ac:dyDescent="1.25">
      <c r="A132" s="4"/>
      <c r="C132" s="77"/>
      <c r="D132" s="98" t="s">
        <v>92</v>
      </c>
      <c r="E132" s="49" t="s">
        <v>16</v>
      </c>
      <c r="F132" s="33">
        <v>64</v>
      </c>
      <c r="G132" s="33">
        <v>135215901.75</v>
      </c>
      <c r="H132" s="33">
        <v>42957328.639999978</v>
      </c>
      <c r="I132" s="33">
        <v>41416507.840000018</v>
      </c>
      <c r="J132" s="33">
        <v>4993790.5300000031</v>
      </c>
      <c r="K132" s="34">
        <f t="shared" si="39"/>
        <v>0.96413136363965579</v>
      </c>
      <c r="L132" s="36">
        <v>1540820.8</v>
      </c>
      <c r="M132" s="30">
        <f t="shared" si="34"/>
        <v>87264782.580000013</v>
      </c>
      <c r="N132" s="40">
        <f t="shared" si="35"/>
        <v>14184353.11999999</v>
      </c>
      <c r="O132" s="40">
        <v>13090628.110000007</v>
      </c>
      <c r="P132" s="33">
        <v>59989801.350000016</v>
      </c>
      <c r="Q132" s="33">
        <v>0</v>
      </c>
      <c r="R132" s="40">
        <v>0</v>
      </c>
      <c r="S132" s="33">
        <v>0</v>
      </c>
      <c r="T132" s="33">
        <v>0</v>
      </c>
      <c r="U132" s="33">
        <v>0</v>
      </c>
      <c r="V132" s="33">
        <v>0</v>
      </c>
      <c r="W132" s="33">
        <v>0</v>
      </c>
      <c r="X132" s="17">
        <f>_xlfn.XLOOKUP(D132,'Overdue-1'!D:D,'Overdue-1'!E:E,0)-G132</f>
        <v>0</v>
      </c>
      <c r="Y132" s="17" t="e">
        <f t="shared" ref="Y132:Y163" ca="1" si="42">_xlfn.FORMULATEXT(H132)</f>
        <v>#N/A</v>
      </c>
      <c r="Z132" s="11">
        <v>0</v>
      </c>
      <c r="AA132" s="16"/>
    </row>
    <row r="133" spans="1:27" s="7" customFormat="1" ht="150" hidden="1" customHeight="1" outlineLevel="2" x14ac:dyDescent="1.25">
      <c r="A133" s="4"/>
      <c r="C133" s="77"/>
      <c r="D133" s="98" t="s">
        <v>91</v>
      </c>
      <c r="E133" s="49" t="s">
        <v>16</v>
      </c>
      <c r="F133" s="33">
        <v>100</v>
      </c>
      <c r="G133" s="33">
        <v>197632624.47</v>
      </c>
      <c r="H133" s="33">
        <v>67099207.720000058</v>
      </c>
      <c r="I133" s="33">
        <v>62357180.459999986</v>
      </c>
      <c r="J133" s="33">
        <v>8512208.2299999986</v>
      </c>
      <c r="K133" s="34">
        <f t="shared" si="39"/>
        <v>0.92932811845129093</v>
      </c>
      <c r="L133" s="36">
        <v>4834416.66</v>
      </c>
      <c r="M133" s="30">
        <f t="shared" si="34"/>
        <v>122021208.51999994</v>
      </c>
      <c r="N133" s="40">
        <f t="shared" si="35"/>
        <v>21464292.689999908</v>
      </c>
      <c r="O133" s="40">
        <v>21357768.120000001</v>
      </c>
      <c r="P133" s="33">
        <v>79199147.710000023</v>
      </c>
      <c r="Q133" s="33">
        <v>0</v>
      </c>
      <c r="R133" s="40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17">
        <f>_xlfn.XLOOKUP(D133,'Overdue-1'!D:D,'Overdue-1'!E:E,0)-G133</f>
        <v>0</v>
      </c>
      <c r="Y133" s="17" t="e">
        <f t="shared" ca="1" si="42"/>
        <v>#N/A</v>
      </c>
      <c r="Z133" s="11">
        <v>201395.99999992549</v>
      </c>
      <c r="AA133" s="16"/>
    </row>
    <row r="134" spans="1:27" s="7" customFormat="1" ht="150" hidden="1" customHeight="1" outlineLevel="1" collapsed="1" x14ac:dyDescent="1.25">
      <c r="A134" s="4"/>
      <c r="C134" s="77"/>
      <c r="D134" s="78" t="s">
        <v>90</v>
      </c>
      <c r="E134" s="49" t="s">
        <v>16</v>
      </c>
      <c r="F134" s="33">
        <f>SUM(F135:F138)</f>
        <v>272</v>
      </c>
      <c r="G134" s="33">
        <f>SUM(G135:G138)</f>
        <v>562421690.49000013</v>
      </c>
      <c r="H134" s="33">
        <f>SUM(H135:H138)</f>
        <v>179303569.10000002</v>
      </c>
      <c r="I134" s="33">
        <f>SUM(I135:I138)</f>
        <v>165777259.81</v>
      </c>
      <c r="J134" s="33">
        <f>SUM(J135:J138)</f>
        <v>12167146.910000002</v>
      </c>
      <c r="K134" s="34">
        <f t="shared" si="39"/>
        <v>0.92456196294421655</v>
      </c>
      <c r="L134" s="36">
        <f>SUM(L135:L138)</f>
        <v>13526309.290000001</v>
      </c>
      <c r="M134" s="30">
        <f t="shared" si="34"/>
        <v>370950974.48000014</v>
      </c>
      <c r="N134" s="40">
        <f t="shared" si="35"/>
        <v>63033278.590000093</v>
      </c>
      <c r="O134" s="40">
        <f t="shared" ref="O134:W134" si="43">SUM(O135:O138)</f>
        <v>61010566.770000003</v>
      </c>
      <c r="P134" s="33">
        <f t="shared" si="43"/>
        <v>15143174.4</v>
      </c>
      <c r="Q134" s="33">
        <f t="shared" si="43"/>
        <v>231763954.72000003</v>
      </c>
      <c r="R134" s="40">
        <f t="shared" si="43"/>
        <v>0</v>
      </c>
      <c r="S134" s="33">
        <f t="shared" si="43"/>
        <v>0</v>
      </c>
      <c r="T134" s="33">
        <f t="shared" si="43"/>
        <v>0</v>
      </c>
      <c r="U134" s="33">
        <f t="shared" si="43"/>
        <v>0</v>
      </c>
      <c r="V134" s="33">
        <f t="shared" si="43"/>
        <v>0</v>
      </c>
      <c r="W134" s="33">
        <f t="shared" si="43"/>
        <v>0</v>
      </c>
      <c r="X134" s="17">
        <f>_xlfn.XLOOKUP(D134,'Overdue-1'!D:D,'Overdue-1'!E:E,0)-G134</f>
        <v>-562421690.49000013</v>
      </c>
      <c r="Y134" s="17" t="str">
        <f t="shared" ca="1" si="42"/>
        <v>=SUM(H135:H138)</v>
      </c>
      <c r="Z134" s="11"/>
      <c r="AA134" s="16"/>
    </row>
    <row r="135" spans="1:27" s="7" customFormat="1" ht="150" hidden="1" customHeight="1" outlineLevel="2" x14ac:dyDescent="1.25">
      <c r="A135" s="4"/>
      <c r="C135" s="77"/>
      <c r="D135" s="98" t="s">
        <v>89</v>
      </c>
      <c r="E135" s="49" t="s">
        <v>16</v>
      </c>
      <c r="F135" s="33">
        <v>94</v>
      </c>
      <c r="G135" s="33">
        <v>201300176.35000002</v>
      </c>
      <c r="H135" s="33">
        <v>62684203.290000029</v>
      </c>
      <c r="I135" s="33">
        <v>58336936.729999989</v>
      </c>
      <c r="J135" s="33">
        <v>3158798.4200000004</v>
      </c>
      <c r="K135" s="34">
        <f t="shared" si="39"/>
        <v>0.93064813251453482</v>
      </c>
      <c r="L135" s="36">
        <v>4347266.5599999996</v>
      </c>
      <c r="M135" s="30">
        <f t="shared" si="34"/>
        <v>135457174.63999999</v>
      </c>
      <c r="N135" s="40">
        <f t="shared" si="35"/>
        <v>22317506.510000005</v>
      </c>
      <c r="O135" s="40">
        <v>23124919.169999998</v>
      </c>
      <c r="P135" s="33">
        <v>5551903.6399999997</v>
      </c>
      <c r="Q135" s="33">
        <v>84462845.319999978</v>
      </c>
      <c r="R135" s="40">
        <v>0</v>
      </c>
      <c r="S135" s="33">
        <v>0</v>
      </c>
      <c r="T135" s="33">
        <v>0</v>
      </c>
      <c r="U135" s="33">
        <v>0</v>
      </c>
      <c r="V135" s="33">
        <v>0</v>
      </c>
      <c r="W135" s="33">
        <v>0</v>
      </c>
      <c r="X135" s="17">
        <f>_xlfn.XLOOKUP(D135,'Overdue-1'!D:D,'Overdue-1'!E:E,0)-G135</f>
        <v>0</v>
      </c>
      <c r="Y135" s="17" t="e">
        <f t="shared" ca="1" si="42"/>
        <v>#N/A</v>
      </c>
      <c r="Z135" s="11">
        <v>233958.38999994844</v>
      </c>
      <c r="AA135" s="16"/>
    </row>
    <row r="136" spans="1:27" s="7" customFormat="1" ht="150" hidden="1" customHeight="1" outlineLevel="2" x14ac:dyDescent="1.25">
      <c r="A136" s="4"/>
      <c r="C136" s="77"/>
      <c r="D136" s="98" t="s">
        <v>88</v>
      </c>
      <c r="E136" s="49" t="s">
        <v>16</v>
      </c>
      <c r="F136" s="33">
        <v>55</v>
      </c>
      <c r="G136" s="33">
        <v>112257735.09000003</v>
      </c>
      <c r="H136" s="33">
        <v>36492658.950000025</v>
      </c>
      <c r="I136" s="33">
        <v>32366518.909999996</v>
      </c>
      <c r="J136" s="33">
        <v>1006992.0999999996</v>
      </c>
      <c r="K136" s="34">
        <f t="shared" si="39"/>
        <v>0.88693232670018896</v>
      </c>
      <c r="L136" s="36">
        <v>4126140.040000001</v>
      </c>
      <c r="M136" s="30">
        <f t="shared" si="34"/>
        <v>74758084.040000007</v>
      </c>
      <c r="N136" s="40">
        <f t="shared" si="35"/>
        <v>13382808.389999986</v>
      </c>
      <c r="O136" s="40">
        <v>12727908.010000002</v>
      </c>
      <c r="P136" s="33">
        <v>3631419.49</v>
      </c>
      <c r="Q136" s="33">
        <v>45015948.150000021</v>
      </c>
      <c r="R136" s="40">
        <v>0</v>
      </c>
      <c r="S136" s="33">
        <v>0</v>
      </c>
      <c r="T136" s="33">
        <v>0</v>
      </c>
      <c r="U136" s="33">
        <v>0</v>
      </c>
      <c r="V136" s="33">
        <v>0</v>
      </c>
      <c r="W136" s="33">
        <v>0</v>
      </c>
      <c r="X136" s="17">
        <f>_xlfn.XLOOKUP(D136,'Overdue-1'!D:D,'Overdue-1'!E:E,0)-G136</f>
        <v>0</v>
      </c>
      <c r="Y136" s="17" t="e">
        <f t="shared" ca="1" si="42"/>
        <v>#N/A</v>
      </c>
      <c r="Z136" s="11">
        <v>0</v>
      </c>
      <c r="AA136" s="16"/>
    </row>
    <row r="137" spans="1:27" s="7" customFormat="1" ht="150" hidden="1" customHeight="1" outlineLevel="2" x14ac:dyDescent="1.25">
      <c r="A137" s="4"/>
      <c r="C137" s="77"/>
      <c r="D137" s="98" t="s">
        <v>87</v>
      </c>
      <c r="E137" s="49" t="s">
        <v>16</v>
      </c>
      <c r="F137" s="33">
        <v>56</v>
      </c>
      <c r="G137" s="33">
        <v>114038368.36000001</v>
      </c>
      <c r="H137" s="33">
        <v>38018449.589999989</v>
      </c>
      <c r="I137" s="33">
        <v>35671626.07</v>
      </c>
      <c r="J137" s="33">
        <v>3919148.5100000012</v>
      </c>
      <c r="K137" s="34">
        <f t="shared" si="39"/>
        <v>0.93827145648208454</v>
      </c>
      <c r="L137" s="36">
        <v>2346823.52</v>
      </c>
      <c r="M137" s="30">
        <f t="shared" si="34"/>
        <v>72100770.26000002</v>
      </c>
      <c r="N137" s="40">
        <f t="shared" si="35"/>
        <v>13054483.210000001</v>
      </c>
      <c r="O137" s="40">
        <v>10118226.600000001</v>
      </c>
      <c r="P137" s="33">
        <v>1653482.1400000001</v>
      </c>
      <c r="Q137" s="33">
        <v>47274578.310000017</v>
      </c>
      <c r="R137" s="40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17">
        <f>_xlfn.XLOOKUP(D137,'Overdue-1'!D:D,'Overdue-1'!E:E,0)-G137</f>
        <v>0</v>
      </c>
      <c r="Y137" s="17" t="e">
        <f t="shared" ca="1" si="42"/>
        <v>#N/A</v>
      </c>
      <c r="Z137" s="11">
        <v>0</v>
      </c>
      <c r="AA137" s="16"/>
    </row>
    <row r="138" spans="1:27" s="7" customFormat="1" ht="150" hidden="1" customHeight="1" outlineLevel="2" x14ac:dyDescent="1.25">
      <c r="A138" s="4"/>
      <c r="C138" s="77"/>
      <c r="D138" s="98" t="s">
        <v>86</v>
      </c>
      <c r="E138" s="49" t="s">
        <v>16</v>
      </c>
      <c r="F138" s="33">
        <v>67</v>
      </c>
      <c r="G138" s="33">
        <v>134825410.69000003</v>
      </c>
      <c r="H138" s="33">
        <v>42108257.269999996</v>
      </c>
      <c r="I138" s="33">
        <v>39402178.100000009</v>
      </c>
      <c r="J138" s="33">
        <v>4082207.8800000008</v>
      </c>
      <c r="K138" s="34">
        <f t="shared" si="39"/>
        <v>0.93573518959361135</v>
      </c>
      <c r="L138" s="36">
        <v>2706079.17</v>
      </c>
      <c r="M138" s="30">
        <f t="shared" si="34"/>
        <v>88634945.540000021</v>
      </c>
      <c r="N138" s="40">
        <f t="shared" si="35"/>
        <v>14278480.480000004</v>
      </c>
      <c r="O138" s="40">
        <v>15039512.99</v>
      </c>
      <c r="P138" s="33">
        <v>4306369.1300000008</v>
      </c>
      <c r="Q138" s="33">
        <v>55010582.940000013</v>
      </c>
      <c r="R138" s="40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17">
        <f>_xlfn.XLOOKUP(D138,'Overdue-1'!D:D,'Overdue-1'!E:E,0)-G138</f>
        <v>0</v>
      </c>
      <c r="Y138" s="17" t="e">
        <f t="shared" ca="1" si="42"/>
        <v>#N/A</v>
      </c>
      <c r="Z138" s="11">
        <v>0</v>
      </c>
      <c r="AA138" s="16"/>
    </row>
    <row r="139" spans="1:27" s="7" customFormat="1" ht="150" hidden="1" customHeight="1" outlineLevel="1" collapsed="1" thickBot="1" x14ac:dyDescent="1.3">
      <c r="A139" s="4"/>
      <c r="C139" s="77"/>
      <c r="D139" s="78" t="s">
        <v>85</v>
      </c>
      <c r="E139" s="49" t="s">
        <v>26</v>
      </c>
      <c r="F139" s="33">
        <f>SUM(F140:F143)</f>
        <v>223</v>
      </c>
      <c r="G139" s="33">
        <f>SUM(G140:G143)</f>
        <v>468808051.93999994</v>
      </c>
      <c r="H139" s="33">
        <f>SUM(H140:H143)</f>
        <v>112745455.28000005</v>
      </c>
      <c r="I139" s="33">
        <f>SUM(I140:I143)</f>
        <v>108355228.06000002</v>
      </c>
      <c r="J139" s="33">
        <f>SUM(J140:J143)</f>
        <v>7688248.5499999989</v>
      </c>
      <c r="K139" s="34">
        <f t="shared" si="39"/>
        <v>0.9610607167349049</v>
      </c>
      <c r="L139" s="36">
        <f t="shared" ref="L139:W139" si="44">SUM(L140:L143)</f>
        <v>4390227.22</v>
      </c>
      <c r="M139" s="30">
        <f t="shared" si="44"/>
        <v>348374348.10999995</v>
      </c>
      <c r="N139" s="40">
        <f t="shared" si="44"/>
        <v>55772616.559999891</v>
      </c>
      <c r="O139" s="40">
        <f t="shared" si="44"/>
        <v>63304089.89000003</v>
      </c>
      <c r="P139" s="33">
        <f t="shared" si="44"/>
        <v>17197138.52</v>
      </c>
      <c r="Q139" s="33">
        <f t="shared" si="44"/>
        <v>212100503.14000002</v>
      </c>
      <c r="R139" s="40">
        <f t="shared" si="44"/>
        <v>0</v>
      </c>
      <c r="S139" s="33">
        <f t="shared" si="44"/>
        <v>0</v>
      </c>
      <c r="T139" s="33">
        <f t="shared" si="44"/>
        <v>0</v>
      </c>
      <c r="U139" s="33">
        <f t="shared" si="44"/>
        <v>0</v>
      </c>
      <c r="V139" s="33">
        <f t="shared" si="44"/>
        <v>0</v>
      </c>
      <c r="W139" s="33">
        <f t="shared" si="44"/>
        <v>0</v>
      </c>
      <c r="X139" s="17">
        <f>_xlfn.XLOOKUP(D139,'Overdue-1'!D:D,'Overdue-1'!E:E,0)-G139</f>
        <v>-468808051.93999994</v>
      </c>
      <c r="Y139" s="17" t="str">
        <f t="shared" ca="1" si="42"/>
        <v>=SUM(H140:H143)</v>
      </c>
      <c r="Z139" s="11"/>
      <c r="AA139" s="16"/>
    </row>
    <row r="140" spans="1:27" s="7" customFormat="1" ht="150" hidden="1" customHeight="1" outlineLevel="2" x14ac:dyDescent="1.25">
      <c r="A140" s="4"/>
      <c r="C140" s="77"/>
      <c r="D140" s="98" t="s">
        <v>84</v>
      </c>
      <c r="E140" s="49" t="s">
        <v>16</v>
      </c>
      <c r="F140" s="33">
        <v>84</v>
      </c>
      <c r="G140" s="33">
        <v>176125043.90999994</v>
      </c>
      <c r="H140" s="33">
        <v>40825980.520000026</v>
      </c>
      <c r="I140" s="33">
        <v>39231055.38000001</v>
      </c>
      <c r="J140" s="33">
        <v>2729059.36</v>
      </c>
      <c r="K140" s="34">
        <f t="shared" si="39"/>
        <v>0.96093357416807945</v>
      </c>
      <c r="L140" s="36">
        <v>1594925.1399999997</v>
      </c>
      <c r="M140" s="30">
        <f>MAX(G140-(H140+J140),0)</f>
        <v>132570004.02999991</v>
      </c>
      <c r="N140" s="40">
        <f>M140-SUM(O140:W140)</f>
        <v>19288356.709999859</v>
      </c>
      <c r="O140" s="40">
        <v>24365195.650000013</v>
      </c>
      <c r="P140" s="33">
        <v>7891002.8899999987</v>
      </c>
      <c r="Q140" s="33">
        <v>81025448.780000031</v>
      </c>
      <c r="R140" s="40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17">
        <f>_xlfn.XLOOKUP(D140,'Overdue-1'!D:D,'Overdue-1'!E:E,0)-G140</f>
        <v>0</v>
      </c>
      <c r="Y140" s="17" t="e">
        <f t="shared" ca="1" si="42"/>
        <v>#N/A</v>
      </c>
      <c r="Z140" s="11">
        <v>0</v>
      </c>
      <c r="AA140" s="16"/>
    </row>
    <row r="141" spans="1:27" s="7" customFormat="1" ht="150" hidden="1" customHeight="1" outlineLevel="2" x14ac:dyDescent="1.25">
      <c r="A141" s="4"/>
      <c r="C141" s="77"/>
      <c r="D141" s="98" t="s">
        <v>83</v>
      </c>
      <c r="E141" s="49" t="s">
        <v>16</v>
      </c>
      <c r="F141" s="33">
        <v>40</v>
      </c>
      <c r="G141" s="33">
        <v>85991289.330000043</v>
      </c>
      <c r="H141" s="33">
        <v>21373973.089999996</v>
      </c>
      <c r="I141" s="33">
        <v>20380330.900000006</v>
      </c>
      <c r="J141" s="33">
        <v>279333.83</v>
      </c>
      <c r="K141" s="34">
        <f t="shared" si="39"/>
        <v>0.95351158224930699</v>
      </c>
      <c r="L141" s="36">
        <v>993642.19</v>
      </c>
      <c r="M141" s="30">
        <f>MAX(G141-(H141+J141),0)</f>
        <v>64337982.410000049</v>
      </c>
      <c r="N141" s="40">
        <f>M141-SUM(O141:W141)</f>
        <v>11345701.000000052</v>
      </c>
      <c r="O141" s="40">
        <v>10471109.860000005</v>
      </c>
      <c r="P141" s="33">
        <v>2289920.7000000002</v>
      </c>
      <c r="Q141" s="33">
        <v>40231250.849999987</v>
      </c>
      <c r="R141" s="40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17">
        <f>_xlfn.XLOOKUP(D141,'Overdue-1'!D:D,'Overdue-1'!E:E,0)-G141</f>
        <v>0</v>
      </c>
      <c r="Y141" s="17" t="e">
        <f t="shared" ca="1" si="42"/>
        <v>#N/A</v>
      </c>
      <c r="Z141" s="11">
        <v>0</v>
      </c>
      <c r="AA141" s="16"/>
    </row>
    <row r="142" spans="1:27" s="7" customFormat="1" ht="150" hidden="1" customHeight="1" outlineLevel="2" x14ac:dyDescent="1.25">
      <c r="A142" s="4"/>
      <c r="C142" s="77"/>
      <c r="D142" s="98" t="s">
        <v>82</v>
      </c>
      <c r="E142" s="49" t="s">
        <v>16</v>
      </c>
      <c r="F142" s="33">
        <v>45</v>
      </c>
      <c r="G142" s="33">
        <v>98725716.030000031</v>
      </c>
      <c r="H142" s="33">
        <v>23074265.02999999</v>
      </c>
      <c r="I142" s="33">
        <v>22387401.060000006</v>
      </c>
      <c r="J142" s="33">
        <v>3195463.6299999994</v>
      </c>
      <c r="K142" s="34">
        <f t="shared" si="39"/>
        <v>0.97023246594823465</v>
      </c>
      <c r="L142" s="36">
        <v>686863.97</v>
      </c>
      <c r="M142" s="30">
        <f>MAX(G142-(H142+J142),0)</f>
        <v>72455987.370000035</v>
      </c>
      <c r="N142" s="40">
        <f>M142-SUM(O142:W142)</f>
        <v>11320235.070000052</v>
      </c>
      <c r="O142" s="40">
        <v>13129274.130000003</v>
      </c>
      <c r="P142" s="33">
        <v>3705361.6500000004</v>
      </c>
      <c r="Q142" s="33">
        <v>44301116.519999981</v>
      </c>
      <c r="R142" s="40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17">
        <f>_xlfn.XLOOKUP(D142,'Overdue-1'!D:D,'Overdue-1'!E:E,0)-G142</f>
        <v>0</v>
      </c>
      <c r="Y142" s="17" t="e">
        <f t="shared" ca="1" si="42"/>
        <v>#N/A</v>
      </c>
      <c r="Z142" s="11">
        <v>0</v>
      </c>
      <c r="AA142" s="16"/>
    </row>
    <row r="143" spans="1:27" s="7" customFormat="1" ht="150" hidden="1" customHeight="1" outlineLevel="2" x14ac:dyDescent="1.25">
      <c r="A143" s="4"/>
      <c r="C143" s="77"/>
      <c r="D143" s="98" t="s">
        <v>81</v>
      </c>
      <c r="E143" s="49" t="s">
        <v>16</v>
      </c>
      <c r="F143" s="33">
        <v>54</v>
      </c>
      <c r="G143" s="33">
        <v>107966002.66999999</v>
      </c>
      <c r="H143" s="33">
        <v>27471236.640000027</v>
      </c>
      <c r="I143" s="33">
        <v>26356440.720000003</v>
      </c>
      <c r="J143" s="33">
        <v>1484391.73</v>
      </c>
      <c r="K143" s="34">
        <f t="shared" si="39"/>
        <v>0.95941952178531331</v>
      </c>
      <c r="L143" s="36">
        <v>1114795.92</v>
      </c>
      <c r="M143" s="30">
        <f>MAX(G143-(H143+J143),0)</f>
        <v>79010374.299999952</v>
      </c>
      <c r="N143" s="40">
        <f>M143-SUM(O143:W143)</f>
        <v>13818323.779999927</v>
      </c>
      <c r="O143" s="40">
        <v>15338510.250000006</v>
      </c>
      <c r="P143" s="33">
        <v>3310853.28</v>
      </c>
      <c r="Q143" s="33">
        <v>46542686.990000017</v>
      </c>
      <c r="R143" s="40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17">
        <f>_xlfn.XLOOKUP(D143,'Overdue-1'!D:D,'Overdue-1'!E:E,0)-G143</f>
        <v>0</v>
      </c>
      <c r="Y143" s="17" t="e">
        <f t="shared" ca="1" si="42"/>
        <v>#N/A</v>
      </c>
      <c r="Z143" s="11">
        <v>-3.3527612686157227E-8</v>
      </c>
      <c r="AA143" s="16"/>
    </row>
    <row r="144" spans="1:27" s="7" customFormat="1" ht="150" hidden="1" customHeight="1" outlineLevel="2" x14ac:dyDescent="1.25">
      <c r="A144" s="4"/>
      <c r="C144" s="77"/>
      <c r="D144" s="98" t="s">
        <v>80</v>
      </c>
      <c r="E144" s="49" t="s">
        <v>16</v>
      </c>
      <c r="F144" s="33">
        <f>SUM(F146,F145)</f>
        <v>41</v>
      </c>
      <c r="G144" s="33">
        <f>SUM(G146,G145)</f>
        <v>73509608.590000018</v>
      </c>
      <c r="H144" s="33">
        <f>SUM(H146,H145)</f>
        <v>8743622.0500000007</v>
      </c>
      <c r="I144" s="33">
        <f>SUM(I146,I145)</f>
        <v>6993067.9199999981</v>
      </c>
      <c r="J144" s="33">
        <f>SUM(J146,J145)</f>
        <v>47007.1</v>
      </c>
      <c r="K144" s="34">
        <f>I144/H144</f>
        <v>0.79979073660897748</v>
      </c>
      <c r="L144" s="36">
        <f t="shared" ref="L144:W144" si="45">SUM(L146,L145)</f>
        <v>1750554.13</v>
      </c>
      <c r="M144" s="30">
        <f t="shared" si="45"/>
        <v>64718979.44000002</v>
      </c>
      <c r="N144" s="40">
        <f t="shared" si="45"/>
        <v>7335996.0700000189</v>
      </c>
      <c r="O144" s="40">
        <f t="shared" si="45"/>
        <v>11680970.389999997</v>
      </c>
      <c r="P144" s="33">
        <f t="shared" si="45"/>
        <v>4876174.6300000008</v>
      </c>
      <c r="Q144" s="33">
        <f t="shared" si="45"/>
        <v>3424751.7800000007</v>
      </c>
      <c r="R144" s="40">
        <f t="shared" si="45"/>
        <v>37401086.57</v>
      </c>
      <c r="S144" s="33">
        <f t="shared" si="45"/>
        <v>0</v>
      </c>
      <c r="T144" s="33">
        <f t="shared" si="45"/>
        <v>0</v>
      </c>
      <c r="U144" s="33">
        <f t="shared" si="45"/>
        <v>0</v>
      </c>
      <c r="V144" s="33">
        <f t="shared" si="45"/>
        <v>0</v>
      </c>
      <c r="W144" s="33">
        <f t="shared" si="45"/>
        <v>0</v>
      </c>
      <c r="X144" s="17">
        <f>_xlfn.XLOOKUP(D144,'Overdue-1'!D:D,'Overdue-1'!E:E,0)-G144</f>
        <v>-73509608.590000018</v>
      </c>
      <c r="Y144" s="17" t="str">
        <f t="shared" ca="1" si="42"/>
        <v>=SUM(H146,H145)</v>
      </c>
      <c r="Z144" s="11"/>
      <c r="AA144" s="16"/>
    </row>
    <row r="145" spans="1:34" s="7" customFormat="1" ht="150" hidden="1" customHeight="1" outlineLevel="2" x14ac:dyDescent="1.25">
      <c r="A145" s="4"/>
      <c r="C145" s="77"/>
      <c r="D145" s="102" t="s">
        <v>79</v>
      </c>
      <c r="E145" s="49" t="s">
        <v>16</v>
      </c>
      <c r="F145" s="33">
        <v>40</v>
      </c>
      <c r="G145" s="33">
        <v>69342013.700000018</v>
      </c>
      <c r="H145" s="33">
        <v>8326862.5600000005</v>
      </c>
      <c r="I145" s="33">
        <v>6576308.4299999978</v>
      </c>
      <c r="J145" s="33">
        <v>47007.1</v>
      </c>
      <c r="K145" s="34">
        <f t="shared" ref="K145:K176" si="46">IFERROR(I145/H145,0)</f>
        <v>0.78977026252250249</v>
      </c>
      <c r="L145" s="36">
        <v>1750554.13</v>
      </c>
      <c r="M145" s="30">
        <f>MAX(G145-(H145+J145),0)</f>
        <v>60968144.040000021</v>
      </c>
      <c r="N145" s="40">
        <f>M145-SUM(O145:W145)</f>
        <v>6919236.5900000185</v>
      </c>
      <c r="O145" s="40">
        <v>11264210.899999997</v>
      </c>
      <c r="P145" s="33">
        <v>4459415.1400000006</v>
      </c>
      <c r="Q145" s="33">
        <v>3424751.7800000007</v>
      </c>
      <c r="R145" s="40">
        <v>34900529.630000003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17">
        <f>_xlfn.XLOOKUP(D145,'Overdue-1'!D:D,'Overdue-1'!E:E,0)-G145</f>
        <v>0</v>
      </c>
      <c r="Y145" s="17" t="e">
        <f t="shared" ca="1" si="42"/>
        <v>#N/A</v>
      </c>
      <c r="Z145" s="11">
        <v>0</v>
      </c>
      <c r="AA145" s="16"/>
    </row>
    <row r="146" spans="1:34" s="7" customFormat="1" ht="150" hidden="1" customHeight="1" outlineLevel="2" thickBot="1" x14ac:dyDescent="1.3">
      <c r="A146" s="4"/>
      <c r="C146" s="77"/>
      <c r="D146" s="102" t="s">
        <v>78</v>
      </c>
      <c r="E146" s="49" t="s">
        <v>16</v>
      </c>
      <c r="F146" s="33">
        <v>1</v>
      </c>
      <c r="G146" s="33">
        <v>4167594.89</v>
      </c>
      <c r="H146" s="33">
        <v>416759.49</v>
      </c>
      <c r="I146" s="33">
        <v>416759.49</v>
      </c>
      <c r="J146" s="33">
        <v>0</v>
      </c>
      <c r="K146" s="34">
        <f t="shared" si="46"/>
        <v>1</v>
      </c>
      <c r="L146" s="36">
        <v>0</v>
      </c>
      <c r="M146" s="30">
        <f>MAX(G146-(H146+J146),0)</f>
        <v>3750835.4000000004</v>
      </c>
      <c r="N146" s="40">
        <f>M146-SUM(O146:W146)</f>
        <v>416759.48000000045</v>
      </c>
      <c r="O146" s="40">
        <v>416759.49</v>
      </c>
      <c r="P146" s="33">
        <v>416759.49</v>
      </c>
      <c r="Q146" s="33">
        <v>0</v>
      </c>
      <c r="R146" s="40">
        <v>2500556.94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17">
        <f>_xlfn.XLOOKUP(D146,'Overdue-1'!D:D,'Overdue-1'!E:E,0)-G146</f>
        <v>0</v>
      </c>
      <c r="Y146" s="17" t="e">
        <f t="shared" ca="1" si="42"/>
        <v>#N/A</v>
      </c>
      <c r="Z146" s="11">
        <v>0</v>
      </c>
      <c r="AA146" s="16"/>
    </row>
    <row r="147" spans="1:34" s="83" customFormat="1" ht="150" customHeight="1" collapsed="1" thickBot="1" x14ac:dyDescent="1.3">
      <c r="A147" s="4"/>
      <c r="C147" s="87"/>
      <c r="D147" s="86" t="s">
        <v>0</v>
      </c>
      <c r="E147" s="86" t="s">
        <v>16</v>
      </c>
      <c r="F147" s="84">
        <f>SUM(F103,F102,F101,F97,F92,F91,F86,F85,F79,F75,F66,F62,F55,F47,F46,F41,F40,F36,F32,F31,F26,F25,F24,F23,F22,F17,F11,F4,F84)</f>
        <v>31150</v>
      </c>
      <c r="G147" s="84">
        <f>SUM(G103,G102,G101,G97,G92,G91,G86,G85,G79,G75,G66,G62,G55,G47,G46,G41,G40,G36,G32,G31,G26,G25,G24,G23,G22,G17,G11,G4,G84)</f>
        <v>75032235568.529999</v>
      </c>
      <c r="H147" s="84">
        <f>SUM(H103,H102,H101,H97,H92,H91,H86,H85,H79,H75,H66,H62,H55,H47,H46,H41,H40,H36,H32,H31,H26,H25,H24,H23,H22,H17,H11,H4,H84)</f>
        <v>39088821030.429955</v>
      </c>
      <c r="I147" s="84">
        <f>SUM(I103,I102,I101,I97,I92,I91,I86,I85,I79,I75,I66,I62,I55,I47,I46,I41,I40,I36,I32,I31,I26,I25,I24,I23,I22,I17,I11,I4,I84)</f>
        <v>37528044451.369987</v>
      </c>
      <c r="J147" s="84">
        <f>SUM(J103,J102,J101,J97,J92,J91,J86,J85,J79,J75,J66,J62,J55,J47,J46,J41,J40,J36,J32,J31,J26,J25,J24,J23,J22,J17,J11,J4,J84)</f>
        <v>2426650885.0200005</v>
      </c>
      <c r="K147" s="101">
        <f t="shared" si="46"/>
        <v>0.9600710244536429</v>
      </c>
      <c r="L147" s="100">
        <f t="shared" ref="L147:W147" si="47">SUM(L103,L102,L101,L97,L92,L91,L86,L85,L79,L75,L66,L62,L55,L47,L46,L41,L40,L36,L32,L31,L26,L25,L24,L23,L22,L17,L11,L4,L84)</f>
        <v>1560813894.0500002</v>
      </c>
      <c r="M147" s="84">
        <f t="shared" si="47"/>
        <v>33527951189.709049</v>
      </c>
      <c r="N147" s="84">
        <f t="shared" si="47"/>
        <v>12150104090.809046</v>
      </c>
      <c r="O147" s="84">
        <f t="shared" si="47"/>
        <v>11566476773.139997</v>
      </c>
      <c r="P147" s="84">
        <f t="shared" si="47"/>
        <v>6211804589.4000006</v>
      </c>
      <c r="Q147" s="84">
        <f t="shared" si="47"/>
        <v>3178777420.1099982</v>
      </c>
      <c r="R147" s="84">
        <f t="shared" si="47"/>
        <v>419357493.23999983</v>
      </c>
      <c r="S147" s="84">
        <f t="shared" si="47"/>
        <v>1430823.01</v>
      </c>
      <c r="T147" s="84">
        <f t="shared" si="47"/>
        <v>0</v>
      </c>
      <c r="U147" s="84">
        <f t="shared" si="47"/>
        <v>0</v>
      </c>
      <c r="V147" s="84">
        <f t="shared" si="47"/>
        <v>0</v>
      </c>
      <c r="W147" s="84">
        <f t="shared" si="47"/>
        <v>0</v>
      </c>
      <c r="X147" s="17">
        <f>_xlfn.XLOOKUP(D147,'Overdue-1'!D:D,'Overdue-1'!E:E,0)-G147</f>
        <v>-75032235568.529999</v>
      </c>
      <c r="Y147" s="17" t="str">
        <f t="shared" ca="1" si="42"/>
        <v>=SUM(H103,H102,H101,H97,H92,H91,H86,H85,H79,H75,H66,H62,H55,H47,H46,H41,H40,H36,H32,H31,H26,H25,H24,H23,H22,H17,H11,H4,H84)</v>
      </c>
      <c r="Z147" s="11"/>
      <c r="AA147" s="16"/>
      <c r="AB147" s="7"/>
      <c r="AC147" s="7"/>
      <c r="AF147" s="7"/>
      <c r="AH147" s="7"/>
    </row>
    <row r="148" spans="1:34" s="7" customFormat="1" ht="150" customHeight="1" x14ac:dyDescent="1.25">
      <c r="A148" s="4"/>
      <c r="C148" s="77">
        <v>29</v>
      </c>
      <c r="D148" s="79" t="s">
        <v>77</v>
      </c>
      <c r="E148" s="49" t="s">
        <v>16</v>
      </c>
      <c r="F148" s="33">
        <f>SUM(F149,F174,F154,F159,F164,F169)</f>
        <v>1621</v>
      </c>
      <c r="G148" s="33">
        <f>SUM(G149,G174,G154,G159,G164,G169)</f>
        <v>2631180043.4400001</v>
      </c>
      <c r="H148" s="33">
        <f>SUM(H149,H174,H154,H159,H164,H169)</f>
        <v>730412781.33999944</v>
      </c>
      <c r="I148" s="33">
        <f>SUM(I149,I174,I154,I159,I164,I169)</f>
        <v>696055803.0200001</v>
      </c>
      <c r="J148" s="33">
        <f>SUM(J149,J174,J154,J159,J164,J169)</f>
        <v>47311001.079999998</v>
      </c>
      <c r="K148" s="34">
        <f t="shared" si="46"/>
        <v>0.95296224381921579</v>
      </c>
      <c r="L148" s="36">
        <f t="shared" ref="L148:W148" si="48">SUM(L149,L174,L154,L159,L164,L169)</f>
        <v>34356978.32</v>
      </c>
      <c r="M148" s="30">
        <f t="shared" si="48"/>
        <v>1853456261.0200007</v>
      </c>
      <c r="N148" s="40">
        <f t="shared" si="48"/>
        <v>569438109.58000064</v>
      </c>
      <c r="O148" s="33">
        <f t="shared" si="48"/>
        <v>267638688.56</v>
      </c>
      <c r="P148" s="33">
        <f t="shared" si="48"/>
        <v>114169662.97000003</v>
      </c>
      <c r="Q148" s="40">
        <f t="shared" si="48"/>
        <v>836923934.56000006</v>
      </c>
      <c r="R148" s="33">
        <f t="shared" si="48"/>
        <v>65285865.350000031</v>
      </c>
      <c r="S148" s="33">
        <f t="shared" si="48"/>
        <v>0</v>
      </c>
      <c r="T148" s="33">
        <f t="shared" si="48"/>
        <v>0</v>
      </c>
      <c r="U148" s="33">
        <f t="shared" si="48"/>
        <v>0</v>
      </c>
      <c r="V148" s="33">
        <f t="shared" si="48"/>
        <v>0</v>
      </c>
      <c r="W148" s="33">
        <f t="shared" si="48"/>
        <v>0</v>
      </c>
      <c r="X148" s="17">
        <f>_xlfn.XLOOKUP(D148,'Overdue-1'!D:D,'Overdue-1'!E:E,0)-G148</f>
        <v>0</v>
      </c>
      <c r="Y148" s="17" t="str">
        <f t="shared" ca="1" si="42"/>
        <v>=SUM(H149,H174,H154,H159,H164,H169)</v>
      </c>
      <c r="Z148" s="11"/>
      <c r="AA148" s="16"/>
    </row>
    <row r="149" spans="1:34" s="7" customFormat="1" ht="150" hidden="1" customHeight="1" outlineLevel="1" x14ac:dyDescent="1.25">
      <c r="A149" s="4"/>
      <c r="C149" s="77"/>
      <c r="D149" s="99" t="s">
        <v>76</v>
      </c>
      <c r="E149" s="49" t="s">
        <v>16</v>
      </c>
      <c r="F149" s="33">
        <f>SUM(F150:F153)</f>
        <v>322</v>
      </c>
      <c r="G149" s="33">
        <f>SUM(G150:G153)</f>
        <v>531633401.99000007</v>
      </c>
      <c r="H149" s="33">
        <f>SUM(H150:H153)</f>
        <v>180465106.53999987</v>
      </c>
      <c r="I149" s="33">
        <f>SUM(I150:I153)</f>
        <v>171003717.63000003</v>
      </c>
      <c r="J149" s="33">
        <f>SUM(J150:J153)</f>
        <v>8897291.2899999991</v>
      </c>
      <c r="K149" s="34">
        <f t="shared" si="46"/>
        <v>0.94757219779823343</v>
      </c>
      <c r="L149" s="36">
        <f>SUM(L150:L153)</f>
        <v>9461388.910000002</v>
      </c>
      <c r="M149" s="30">
        <f t="shared" ref="M149:M178" si="49">MAX(G149-(H149+J149),0)</f>
        <v>342271004.16000021</v>
      </c>
      <c r="N149" s="40">
        <f>M149-SUM(O149:W149)</f>
        <v>342271004.16000021</v>
      </c>
      <c r="O149" s="33">
        <v>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17">
        <f>_xlfn.XLOOKUP(D149,'Overdue-1'!D:D,'Overdue-1'!E:E,0)-G149</f>
        <v>-531633401.99000007</v>
      </c>
      <c r="Y149" s="17" t="str">
        <f t="shared" ca="1" si="42"/>
        <v>=SUM(H150:H153)</v>
      </c>
      <c r="Z149" s="11"/>
      <c r="AA149" s="16"/>
    </row>
    <row r="150" spans="1:34" s="7" customFormat="1" ht="150" hidden="1" customHeight="1" outlineLevel="2" x14ac:dyDescent="1.25">
      <c r="A150" s="4"/>
      <c r="C150" s="77"/>
      <c r="D150" s="98" t="s">
        <v>75</v>
      </c>
      <c r="E150" s="49" t="s">
        <v>16</v>
      </c>
      <c r="F150" s="33">
        <v>66</v>
      </c>
      <c r="G150" s="33">
        <v>112606324.23999998</v>
      </c>
      <c r="H150" s="33">
        <v>37974444.980000004</v>
      </c>
      <c r="I150" s="33">
        <v>36373697.230000004</v>
      </c>
      <c r="J150" s="33">
        <v>2320045.87</v>
      </c>
      <c r="K150" s="34">
        <f t="shared" si="46"/>
        <v>0.95784671110155617</v>
      </c>
      <c r="L150" s="36">
        <v>1600747.7500000005</v>
      </c>
      <c r="M150" s="30">
        <f t="shared" si="49"/>
        <v>72311833.389999986</v>
      </c>
      <c r="N150" s="40">
        <f>M150-SUM(O150:W150)</f>
        <v>11547858.229999989</v>
      </c>
      <c r="O150" s="33">
        <v>11584291.209999999</v>
      </c>
      <c r="P150" s="33">
        <v>4350742.3</v>
      </c>
      <c r="Q150" s="33">
        <v>44828941.649999999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17">
        <f>_xlfn.XLOOKUP(D150,'Overdue-1'!D:D,'Overdue-1'!E:E,0)-G150</f>
        <v>0</v>
      </c>
      <c r="Y150" s="17" t="e">
        <f t="shared" ca="1" si="42"/>
        <v>#N/A</v>
      </c>
      <c r="Z150" s="11">
        <v>0</v>
      </c>
      <c r="AA150" s="16"/>
    </row>
    <row r="151" spans="1:34" s="7" customFormat="1" ht="150" hidden="1" customHeight="1" outlineLevel="2" x14ac:dyDescent="1.25">
      <c r="A151" s="4"/>
      <c r="C151" s="77"/>
      <c r="D151" s="98" t="s">
        <v>74</v>
      </c>
      <c r="E151" s="49" t="s">
        <v>16</v>
      </c>
      <c r="F151" s="33">
        <v>192</v>
      </c>
      <c r="G151" s="33">
        <v>302508355.49000013</v>
      </c>
      <c r="H151" s="33">
        <v>105636555.49999987</v>
      </c>
      <c r="I151" s="33">
        <v>100144763.56000005</v>
      </c>
      <c r="J151" s="33">
        <v>6166448.4899999993</v>
      </c>
      <c r="K151" s="34">
        <f t="shared" si="46"/>
        <v>0.94801239103257373</v>
      </c>
      <c r="L151" s="36">
        <v>5491791.9400000004</v>
      </c>
      <c r="M151" s="30">
        <f t="shared" si="49"/>
        <v>190705351.50000027</v>
      </c>
      <c r="N151" s="40">
        <f>M151-SUM(O151:W151)</f>
        <v>28194060.490000397</v>
      </c>
      <c r="O151" s="33">
        <v>33082223.539999992</v>
      </c>
      <c r="P151" s="33">
        <v>9449648.8299999982</v>
      </c>
      <c r="Q151" s="33">
        <v>119979418.6399999</v>
      </c>
      <c r="R151" s="33">
        <v>0</v>
      </c>
      <c r="S151" s="33">
        <v>0</v>
      </c>
      <c r="T151" s="33">
        <v>0</v>
      </c>
      <c r="U151" s="33">
        <v>0</v>
      </c>
      <c r="V151" s="33">
        <v>0</v>
      </c>
      <c r="W151" s="33">
        <v>0</v>
      </c>
      <c r="X151" s="17">
        <f>_xlfn.XLOOKUP(D151,'Overdue-1'!D:D,'Overdue-1'!E:E,0)-G151</f>
        <v>0</v>
      </c>
      <c r="Y151" s="17" t="e">
        <f t="shared" ca="1" si="42"/>
        <v>#N/A</v>
      </c>
      <c r="Z151" s="11">
        <v>1.6391277313232422E-7</v>
      </c>
      <c r="AA151" s="16"/>
    </row>
    <row r="152" spans="1:34" s="7" customFormat="1" ht="150" hidden="1" customHeight="1" outlineLevel="2" x14ac:dyDescent="1.25">
      <c r="A152" s="4"/>
      <c r="C152" s="77"/>
      <c r="D152" s="98" t="s">
        <v>73</v>
      </c>
      <c r="E152" s="49" t="s">
        <v>16</v>
      </c>
      <c r="F152" s="33">
        <v>62</v>
      </c>
      <c r="G152" s="33">
        <v>109349382.32999995</v>
      </c>
      <c r="H152" s="33">
        <v>34886771.150000021</v>
      </c>
      <c r="I152" s="33">
        <v>32588515.139999993</v>
      </c>
      <c r="J152" s="33">
        <v>410796.92999999988</v>
      </c>
      <c r="K152" s="34">
        <f t="shared" si="46"/>
        <v>0.93412242135798729</v>
      </c>
      <c r="L152" s="36">
        <v>2298256.0100000002</v>
      </c>
      <c r="M152" s="30">
        <f t="shared" si="49"/>
        <v>74051814.24999994</v>
      </c>
      <c r="N152" s="40">
        <f>M152-SUM(O152:W152)</f>
        <v>11395908.159999967</v>
      </c>
      <c r="O152" s="33">
        <v>13312787.84</v>
      </c>
      <c r="P152" s="33">
        <v>5603365.2199999997</v>
      </c>
      <c r="Q152" s="33">
        <v>43739753.029999971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17">
        <f>_xlfn.XLOOKUP(D152,'Overdue-1'!D:D,'Overdue-1'!E:E,0)-G152</f>
        <v>0</v>
      </c>
      <c r="Y152" s="17" t="e">
        <f t="shared" ca="1" si="42"/>
        <v>#N/A</v>
      </c>
      <c r="Z152" s="11">
        <v>0</v>
      </c>
      <c r="AA152" s="16"/>
    </row>
    <row r="153" spans="1:34" s="7" customFormat="1" ht="150" hidden="1" customHeight="1" outlineLevel="2" x14ac:dyDescent="1.25">
      <c r="A153" s="4"/>
      <c r="C153" s="77"/>
      <c r="D153" s="98" t="s">
        <v>72</v>
      </c>
      <c r="E153" s="49" t="s">
        <v>16</v>
      </c>
      <c r="F153" s="33">
        <v>2</v>
      </c>
      <c r="G153" s="33">
        <v>7169339.9299999997</v>
      </c>
      <c r="H153" s="33">
        <v>1967334.9100000001</v>
      </c>
      <c r="I153" s="33">
        <v>1896741.7</v>
      </c>
      <c r="J153" s="33">
        <v>0</v>
      </c>
      <c r="K153" s="34">
        <f t="shared" si="46"/>
        <v>0.96411733983818737</v>
      </c>
      <c r="L153" s="36">
        <v>70593.210000000006</v>
      </c>
      <c r="M153" s="30">
        <f t="shared" si="49"/>
        <v>5202005.0199999996</v>
      </c>
      <c r="N153" s="40">
        <v>1167134.54</v>
      </c>
      <c r="O153" s="33">
        <v>1167134.54</v>
      </c>
      <c r="P153" s="33">
        <v>0</v>
      </c>
      <c r="Q153" s="33">
        <v>2867735.9699999997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17">
        <f>_xlfn.XLOOKUP(D153,'Overdue-1'!D:D,'Overdue-1'!E:E,0)-G153</f>
        <v>0</v>
      </c>
      <c r="Y153" s="17" t="e">
        <f t="shared" ca="1" si="42"/>
        <v>#N/A</v>
      </c>
      <c r="Z153" s="11">
        <v>0</v>
      </c>
      <c r="AA153" s="16"/>
    </row>
    <row r="154" spans="1:34" s="7" customFormat="1" ht="150" hidden="1" customHeight="1" outlineLevel="1" collapsed="1" x14ac:dyDescent="1.25">
      <c r="A154" s="4"/>
      <c r="C154" s="77"/>
      <c r="D154" s="78" t="s">
        <v>71</v>
      </c>
      <c r="E154" s="49" t="s">
        <v>16</v>
      </c>
      <c r="F154" s="33">
        <f>SUM(F155:F158)</f>
        <v>338</v>
      </c>
      <c r="G154" s="33">
        <f>SUM(G155:G158)</f>
        <v>551079298.84999967</v>
      </c>
      <c r="H154" s="33">
        <f>SUM(H155:H158)</f>
        <v>190954233.22999963</v>
      </c>
      <c r="I154" s="33">
        <f>SUM(I155:I158)</f>
        <v>182341992.22000009</v>
      </c>
      <c r="J154" s="33">
        <f>SUM(J155:J158)</f>
        <v>14450465.629999999</v>
      </c>
      <c r="K154" s="34">
        <f t="shared" si="46"/>
        <v>0.95489892596606485</v>
      </c>
      <c r="L154" s="36">
        <f>SUM(L155:L158)</f>
        <v>8612241.0099999979</v>
      </c>
      <c r="M154" s="30">
        <f t="shared" si="49"/>
        <v>345674599.99000001</v>
      </c>
      <c r="N154" s="40">
        <f>M154-SUM(O154:W154)</f>
        <v>51963098.839999914</v>
      </c>
      <c r="O154" s="33">
        <f t="shared" ref="O154:W154" si="50">SUM(O155:O158)</f>
        <v>56986304.14000003</v>
      </c>
      <c r="P154" s="33">
        <f t="shared" si="50"/>
        <v>20545917.330000002</v>
      </c>
      <c r="Q154" s="33">
        <f t="shared" si="50"/>
        <v>216179279.6800001</v>
      </c>
      <c r="R154" s="33">
        <f t="shared" si="50"/>
        <v>0</v>
      </c>
      <c r="S154" s="33">
        <f t="shared" si="50"/>
        <v>0</v>
      </c>
      <c r="T154" s="33">
        <f t="shared" si="50"/>
        <v>0</v>
      </c>
      <c r="U154" s="33">
        <f t="shared" si="50"/>
        <v>0</v>
      </c>
      <c r="V154" s="33">
        <f t="shared" si="50"/>
        <v>0</v>
      </c>
      <c r="W154" s="33">
        <f t="shared" si="50"/>
        <v>0</v>
      </c>
      <c r="X154" s="17">
        <f>_xlfn.XLOOKUP(D154,'Overdue-1'!D:D,'Overdue-1'!E:E,0)-G154</f>
        <v>-551079298.84999967</v>
      </c>
      <c r="Y154" s="17" t="str">
        <f t="shared" ca="1" si="42"/>
        <v>=SUM(H155:H158)</v>
      </c>
      <c r="Z154" s="11"/>
      <c r="AA154" s="16"/>
    </row>
    <row r="155" spans="1:34" s="7" customFormat="1" ht="150" hidden="1" customHeight="1" outlineLevel="2" x14ac:dyDescent="1.25">
      <c r="A155" s="4"/>
      <c r="C155" s="77"/>
      <c r="D155" s="97" t="s">
        <v>70</v>
      </c>
      <c r="E155" s="49" t="s">
        <v>16</v>
      </c>
      <c r="F155" s="33">
        <v>61</v>
      </c>
      <c r="G155" s="33">
        <v>98654797.970000014</v>
      </c>
      <c r="H155" s="33">
        <v>30439836.579999998</v>
      </c>
      <c r="I155" s="33">
        <v>27696749.899999995</v>
      </c>
      <c r="J155" s="33">
        <v>2625300.0599999996</v>
      </c>
      <c r="K155" s="34">
        <f t="shared" si="46"/>
        <v>0.90988497350204878</v>
      </c>
      <c r="L155" s="36">
        <v>2743086.68</v>
      </c>
      <c r="M155" s="30">
        <f t="shared" si="49"/>
        <v>65589661.330000013</v>
      </c>
      <c r="N155" s="40">
        <f>M155-SUM(O155:W155)</f>
        <v>9340249.8700000271</v>
      </c>
      <c r="O155" s="33">
        <v>11093092.43</v>
      </c>
      <c r="P155" s="33">
        <v>5067199.6500000004</v>
      </c>
      <c r="Q155" s="33">
        <v>40089119.379999988</v>
      </c>
      <c r="R155" s="33">
        <v>0</v>
      </c>
      <c r="S155" s="33">
        <v>0</v>
      </c>
      <c r="T155" s="33">
        <v>0</v>
      </c>
      <c r="U155" s="33">
        <v>0</v>
      </c>
      <c r="V155" s="33">
        <v>0</v>
      </c>
      <c r="W155" s="33">
        <v>0</v>
      </c>
      <c r="X155" s="17">
        <f>_xlfn.XLOOKUP(D155,'Overdue-1'!D:D,'Overdue-1'!E:E,0)-G155</f>
        <v>0</v>
      </c>
      <c r="Y155" s="17" t="e">
        <f t="shared" ca="1" si="42"/>
        <v>#N/A</v>
      </c>
      <c r="Z155" s="11">
        <v>202092.41000000387</v>
      </c>
      <c r="AA155" s="16"/>
    </row>
    <row r="156" spans="1:34" s="7" customFormat="1" ht="150" hidden="1" customHeight="1" outlineLevel="2" x14ac:dyDescent="1.25">
      <c r="A156" s="4"/>
      <c r="C156" s="77"/>
      <c r="D156" s="97" t="s">
        <v>69</v>
      </c>
      <c r="E156" s="49" t="s">
        <v>16</v>
      </c>
      <c r="F156" s="33">
        <v>207</v>
      </c>
      <c r="G156" s="33">
        <v>333473985.47999972</v>
      </c>
      <c r="H156" s="33">
        <v>119475814.84999962</v>
      </c>
      <c r="I156" s="33">
        <v>115139880.64000009</v>
      </c>
      <c r="J156" s="33">
        <v>4560908.5099999988</v>
      </c>
      <c r="K156" s="34">
        <f t="shared" si="46"/>
        <v>0.96370868685479782</v>
      </c>
      <c r="L156" s="36">
        <v>4335934.209999999</v>
      </c>
      <c r="M156" s="30">
        <f t="shared" si="49"/>
        <v>209437262.12000009</v>
      </c>
      <c r="N156" s="40">
        <f>M156-SUM(O156:W156)</f>
        <v>31889760.74999997</v>
      </c>
      <c r="O156" s="33">
        <v>34741248.720000029</v>
      </c>
      <c r="P156" s="33">
        <v>10383953.750000002</v>
      </c>
      <c r="Q156" s="33">
        <v>132422298.9000001</v>
      </c>
      <c r="R156" s="33">
        <v>0</v>
      </c>
      <c r="S156" s="33">
        <v>0</v>
      </c>
      <c r="T156" s="33">
        <v>0</v>
      </c>
      <c r="U156" s="33">
        <v>0</v>
      </c>
      <c r="V156" s="33">
        <v>0</v>
      </c>
      <c r="W156" s="33">
        <v>0</v>
      </c>
      <c r="X156" s="17">
        <f>_xlfn.XLOOKUP(D156,'Overdue-1'!D:D,'Overdue-1'!E:E,0)-G156</f>
        <v>0</v>
      </c>
      <c r="Y156" s="17" t="e">
        <f t="shared" ca="1" si="42"/>
        <v>#N/A</v>
      </c>
      <c r="Z156" s="11">
        <v>5.2154064178466797E-7</v>
      </c>
      <c r="AA156" s="16"/>
    </row>
    <row r="157" spans="1:34" s="7" customFormat="1" ht="150" hidden="1" customHeight="1" outlineLevel="2" x14ac:dyDescent="1.25">
      <c r="A157" s="4"/>
      <c r="C157" s="77"/>
      <c r="D157" s="97" t="s">
        <v>68</v>
      </c>
      <c r="E157" s="49" t="s">
        <v>16</v>
      </c>
      <c r="F157" s="33">
        <v>70</v>
      </c>
      <c r="G157" s="33">
        <v>118950515.39999996</v>
      </c>
      <c r="H157" s="33">
        <v>41038581.800000004</v>
      </c>
      <c r="I157" s="33">
        <v>39505361.680000015</v>
      </c>
      <c r="J157" s="33">
        <v>7264257.0600000015</v>
      </c>
      <c r="K157" s="34">
        <f t="shared" si="46"/>
        <v>0.96263954423493281</v>
      </c>
      <c r="L157" s="36">
        <v>1533220.1199999996</v>
      </c>
      <c r="M157" s="30">
        <f t="shared" si="49"/>
        <v>70647676.539999962</v>
      </c>
      <c r="N157" s="40">
        <f>M157-SUM(O157:W157)</f>
        <v>10733088.219999954</v>
      </c>
      <c r="O157" s="33">
        <v>11151962.990000002</v>
      </c>
      <c r="P157" s="33">
        <v>5094763.9299999988</v>
      </c>
      <c r="Q157" s="33">
        <v>43667861.400000006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17">
        <f>_xlfn.XLOOKUP(D157,'Overdue-1'!D:D,'Overdue-1'!E:E,0)-G157</f>
        <v>0</v>
      </c>
      <c r="Y157" s="17" t="e">
        <f t="shared" ca="1" si="42"/>
        <v>#N/A</v>
      </c>
      <c r="Z157" s="11">
        <v>0</v>
      </c>
      <c r="AA157" s="16"/>
    </row>
    <row r="158" spans="1:34" s="7" customFormat="1" ht="150" hidden="1" customHeight="1" outlineLevel="2" x14ac:dyDescent="1.25">
      <c r="A158" s="4"/>
      <c r="C158" s="77"/>
      <c r="D158" s="97" t="s">
        <v>67</v>
      </c>
      <c r="E158" s="49" t="s">
        <v>16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4">
        <f t="shared" si="46"/>
        <v>0</v>
      </c>
      <c r="L158" s="36">
        <v>0</v>
      </c>
      <c r="M158" s="30">
        <f t="shared" si="49"/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17">
        <f>_xlfn.XLOOKUP(D158,'Overdue-1'!D:D,'Overdue-1'!E:E,0)-G158</f>
        <v>0</v>
      </c>
      <c r="Y158" s="17" t="e">
        <f t="shared" ca="1" si="42"/>
        <v>#N/A</v>
      </c>
      <c r="Z158" s="11">
        <v>0</v>
      </c>
      <c r="AA158" s="16"/>
    </row>
    <row r="159" spans="1:34" s="7" customFormat="1" ht="150" hidden="1" customHeight="1" outlineLevel="1" collapsed="1" x14ac:dyDescent="1.25">
      <c r="A159" s="4"/>
      <c r="C159" s="77"/>
      <c r="D159" s="78" t="s">
        <v>66</v>
      </c>
      <c r="E159" s="49" t="s">
        <v>16</v>
      </c>
      <c r="F159" s="33">
        <f>SUM(F160:F163)</f>
        <v>252</v>
      </c>
      <c r="G159" s="33">
        <f>SUM(G160:G163)</f>
        <v>424661274.5200001</v>
      </c>
      <c r="H159" s="33">
        <f>SUM(H160:H163)</f>
        <v>111167525.55999997</v>
      </c>
      <c r="I159" s="33">
        <f>SUM(I160:I163)</f>
        <v>107642788.19</v>
      </c>
      <c r="J159" s="33">
        <f>SUM(J160:J163)</f>
        <v>10597137.049999997</v>
      </c>
      <c r="K159" s="34">
        <f t="shared" si="46"/>
        <v>0.96829346203179112</v>
      </c>
      <c r="L159" s="36">
        <f>SUM(L160:L163)</f>
        <v>3524737.370000001</v>
      </c>
      <c r="M159" s="30">
        <f t="shared" si="49"/>
        <v>302896611.91000015</v>
      </c>
      <c r="N159" s="40">
        <f>M159-SUM(O159:W159)</f>
        <v>51430396.270000309</v>
      </c>
      <c r="O159" s="33">
        <f t="shared" ref="O159:W159" si="51">SUM(O160:O163)</f>
        <v>53948658.339999974</v>
      </c>
      <c r="P159" s="33">
        <f t="shared" si="51"/>
        <v>22345955.729999997</v>
      </c>
      <c r="Q159" s="33">
        <f t="shared" si="51"/>
        <v>175171601.56999987</v>
      </c>
      <c r="R159" s="33">
        <f t="shared" si="51"/>
        <v>0</v>
      </c>
      <c r="S159" s="33">
        <f t="shared" si="51"/>
        <v>0</v>
      </c>
      <c r="T159" s="33">
        <f t="shared" si="51"/>
        <v>0</v>
      </c>
      <c r="U159" s="33">
        <f t="shared" si="51"/>
        <v>0</v>
      </c>
      <c r="V159" s="33">
        <f t="shared" si="51"/>
        <v>0</v>
      </c>
      <c r="W159" s="33">
        <f t="shared" si="51"/>
        <v>0</v>
      </c>
      <c r="X159" s="17">
        <f>_xlfn.XLOOKUP(D159,'Overdue-1'!D:D,'Overdue-1'!E:E,0)-G159</f>
        <v>-424661274.5200001</v>
      </c>
      <c r="Y159" s="17" t="str">
        <f t="shared" ca="1" si="42"/>
        <v>=SUM(H160:H163)</v>
      </c>
      <c r="Z159" s="11"/>
      <c r="AA159" s="16"/>
    </row>
    <row r="160" spans="1:34" s="7" customFormat="1" ht="150" hidden="1" customHeight="1" outlineLevel="2" x14ac:dyDescent="1.25">
      <c r="A160" s="4"/>
      <c r="C160" s="77"/>
      <c r="D160" s="97" t="s">
        <v>65</v>
      </c>
      <c r="E160" s="49" t="s">
        <v>16</v>
      </c>
      <c r="F160" s="33">
        <v>26</v>
      </c>
      <c r="G160" s="33">
        <v>43066656.010000005</v>
      </c>
      <c r="H160" s="33">
        <v>9628019.339999998</v>
      </c>
      <c r="I160" s="33">
        <v>9508056.1400000006</v>
      </c>
      <c r="J160" s="33">
        <v>3265976.4800000004</v>
      </c>
      <c r="K160" s="34">
        <f t="shared" si="46"/>
        <v>0.98754019951937511</v>
      </c>
      <c r="L160" s="36">
        <v>119963.2</v>
      </c>
      <c r="M160" s="30">
        <f t="shared" si="49"/>
        <v>30172660.190000005</v>
      </c>
      <c r="N160" s="40">
        <f>M160-SUM(O160:W160)</f>
        <v>4336314.7100000046</v>
      </c>
      <c r="O160" s="33">
        <v>5685643.5000000009</v>
      </c>
      <c r="P160" s="33">
        <v>3323879.7699999991</v>
      </c>
      <c r="Q160" s="33">
        <v>16826822.210000001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17">
        <f>_xlfn.XLOOKUP(D160,'Overdue-1'!D:D,'Overdue-1'!E:E,0)-G160</f>
        <v>0</v>
      </c>
      <c r="Y160" s="17" t="e">
        <f t="shared" ca="1" si="42"/>
        <v>#N/A</v>
      </c>
      <c r="Z160" s="11">
        <v>151879.39000000432</v>
      </c>
      <c r="AA160" s="16"/>
    </row>
    <row r="161" spans="1:27" s="7" customFormat="1" ht="150" hidden="1" customHeight="1" outlineLevel="2" x14ac:dyDescent="1.25">
      <c r="A161" s="4"/>
      <c r="C161" s="77"/>
      <c r="D161" s="97" t="s">
        <v>64</v>
      </c>
      <c r="E161" s="49" t="s">
        <v>16</v>
      </c>
      <c r="F161" s="33">
        <v>183</v>
      </c>
      <c r="G161" s="33">
        <v>307742223.7100001</v>
      </c>
      <c r="H161" s="33">
        <v>85076248.469999969</v>
      </c>
      <c r="I161" s="33">
        <v>82282178.769999996</v>
      </c>
      <c r="J161" s="33">
        <v>6098937.8099999968</v>
      </c>
      <c r="K161" s="34">
        <f t="shared" si="46"/>
        <v>0.96715805233248819</v>
      </c>
      <c r="L161" s="36">
        <v>2794069.7000000007</v>
      </c>
      <c r="M161" s="30">
        <f t="shared" si="49"/>
        <v>216567037.43000013</v>
      </c>
      <c r="N161" s="40">
        <f>M161-SUM(O161:W161)</f>
        <v>39414065.370000303</v>
      </c>
      <c r="O161" s="33">
        <v>38058624.689999968</v>
      </c>
      <c r="P161" s="33">
        <v>14136492.709999997</v>
      </c>
      <c r="Q161" s="33">
        <v>124957854.65999986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17">
        <f>_xlfn.XLOOKUP(D161,'Overdue-1'!D:D,'Overdue-1'!E:E,0)-G161</f>
        <v>0</v>
      </c>
      <c r="Y161" s="17" t="e">
        <f t="shared" ca="1" si="42"/>
        <v>#N/A</v>
      </c>
      <c r="Z161" s="11">
        <v>0</v>
      </c>
      <c r="AA161" s="16"/>
    </row>
    <row r="162" spans="1:27" s="7" customFormat="1" ht="150" hidden="1" customHeight="1" outlineLevel="2" x14ac:dyDescent="1.25">
      <c r="A162" s="4"/>
      <c r="C162" s="77"/>
      <c r="D162" s="97" t="s">
        <v>63</v>
      </c>
      <c r="E162" s="49" t="s">
        <v>16</v>
      </c>
      <c r="F162" s="33">
        <v>43</v>
      </c>
      <c r="G162" s="33">
        <v>73852394.799999997</v>
      </c>
      <c r="H162" s="33">
        <v>16463257.750000004</v>
      </c>
      <c r="I162" s="33">
        <v>15852553.280000003</v>
      </c>
      <c r="J162" s="33">
        <v>1232222.76</v>
      </c>
      <c r="K162" s="34">
        <f t="shared" si="46"/>
        <v>0.9629050046306904</v>
      </c>
      <c r="L162" s="36">
        <v>610704.47000000009</v>
      </c>
      <c r="M162" s="30">
        <f t="shared" si="49"/>
        <v>56156914.289999992</v>
      </c>
      <c r="N162" s="40">
        <f>M162-SUM(O162:W162)</f>
        <v>7680016.1899999827</v>
      </c>
      <c r="O162" s="33">
        <v>10204390.150000002</v>
      </c>
      <c r="P162" s="33">
        <v>4885583.2499999991</v>
      </c>
      <c r="Q162" s="33">
        <v>33386924.700000003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17">
        <f>_xlfn.XLOOKUP(D162,'Overdue-1'!D:D,'Overdue-1'!E:E,0)-G162</f>
        <v>0</v>
      </c>
      <c r="Y162" s="17" t="e">
        <f t="shared" ca="1" si="42"/>
        <v>#N/A</v>
      </c>
      <c r="Z162" s="11">
        <v>0</v>
      </c>
      <c r="AA162" s="16"/>
    </row>
    <row r="163" spans="1:27" s="7" customFormat="1" ht="150" hidden="1" customHeight="1" outlineLevel="2" x14ac:dyDescent="1.25">
      <c r="A163" s="4"/>
      <c r="C163" s="77"/>
      <c r="D163" s="97" t="s">
        <v>62</v>
      </c>
      <c r="E163" s="49" t="s">
        <v>16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4">
        <f t="shared" si="46"/>
        <v>0</v>
      </c>
      <c r="L163" s="36">
        <v>0</v>
      </c>
      <c r="M163" s="30">
        <f t="shared" si="49"/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17">
        <f>_xlfn.XLOOKUP(D163,'Overdue-1'!D:D,'Overdue-1'!E:E,0)-G163</f>
        <v>0</v>
      </c>
      <c r="Y163" s="17" t="e">
        <f t="shared" ca="1" si="42"/>
        <v>#N/A</v>
      </c>
      <c r="Z163" s="11">
        <v>0</v>
      </c>
      <c r="AA163" s="16"/>
    </row>
    <row r="164" spans="1:27" s="7" customFormat="1" ht="150" hidden="1" customHeight="1" outlineLevel="1" collapsed="1" x14ac:dyDescent="1.25">
      <c r="A164" s="4"/>
      <c r="C164" s="77"/>
      <c r="D164" s="78" t="s">
        <v>61</v>
      </c>
      <c r="E164" s="49" t="s">
        <v>16</v>
      </c>
      <c r="F164" s="33">
        <f>SUM(F165:F168)</f>
        <v>343</v>
      </c>
      <c r="G164" s="33">
        <f>SUM(G165:G168)</f>
        <v>537270092.80000007</v>
      </c>
      <c r="H164" s="33">
        <f>SUM(H165:H168)</f>
        <v>123109691.73999998</v>
      </c>
      <c r="I164" s="33">
        <f>SUM(I165:I168)</f>
        <v>115651715.23</v>
      </c>
      <c r="J164" s="33">
        <f>SUM(J165:J168)</f>
        <v>6406638.2600000016</v>
      </c>
      <c r="K164" s="34">
        <f t="shared" si="46"/>
        <v>0.93942006998319227</v>
      </c>
      <c r="L164" s="36">
        <f>SUM(L165:L168)</f>
        <v>7457976.5100000016</v>
      </c>
      <c r="M164" s="30">
        <f t="shared" si="49"/>
        <v>407753762.80000007</v>
      </c>
      <c r="N164" s="40">
        <f>M164-SUM(O164:W164)</f>
        <v>63421201.380000055</v>
      </c>
      <c r="O164" s="33">
        <f t="shared" ref="O164:W164" si="52">SUM(O165:O168)</f>
        <v>72909155.539999977</v>
      </c>
      <c r="P164" s="33">
        <f t="shared" si="52"/>
        <v>31883108.390000008</v>
      </c>
      <c r="Q164" s="33">
        <f t="shared" si="52"/>
        <v>239540297.49000004</v>
      </c>
      <c r="R164" s="33">
        <f t="shared" si="52"/>
        <v>0</v>
      </c>
      <c r="S164" s="33">
        <f t="shared" si="52"/>
        <v>0</v>
      </c>
      <c r="T164" s="33">
        <f t="shared" si="52"/>
        <v>0</v>
      </c>
      <c r="U164" s="33">
        <f t="shared" si="52"/>
        <v>0</v>
      </c>
      <c r="V164" s="33">
        <f t="shared" si="52"/>
        <v>0</v>
      </c>
      <c r="W164" s="33">
        <f t="shared" si="52"/>
        <v>0</v>
      </c>
      <c r="X164" s="17">
        <f>_xlfn.XLOOKUP(D164,'Overdue-1'!D:D,'Overdue-1'!E:E,0)-G164</f>
        <v>-537270092.80000007</v>
      </c>
      <c r="Y164" s="17" t="str">
        <f t="shared" ref="Y164:Y200" ca="1" si="53">_xlfn.FORMULATEXT(H164)</f>
        <v>=SUM(H165:H168)</v>
      </c>
      <c r="Z164" s="11"/>
      <c r="AA164" s="16"/>
    </row>
    <row r="165" spans="1:27" s="7" customFormat="1" ht="150" hidden="1" customHeight="1" outlineLevel="2" x14ac:dyDescent="1.25">
      <c r="A165" s="4"/>
      <c r="C165" s="77"/>
      <c r="D165" s="97" t="s">
        <v>60</v>
      </c>
      <c r="E165" s="49" t="s">
        <v>16</v>
      </c>
      <c r="F165" s="33">
        <v>62</v>
      </c>
      <c r="G165" s="33">
        <v>102178718.46000002</v>
      </c>
      <c r="H165" s="33">
        <v>24300364.609999992</v>
      </c>
      <c r="I165" s="33">
        <v>23147070.129999995</v>
      </c>
      <c r="J165" s="33">
        <v>353036.02</v>
      </c>
      <c r="K165" s="34">
        <f t="shared" si="46"/>
        <v>0.95254003392503017</v>
      </c>
      <c r="L165" s="36">
        <v>1153294.48</v>
      </c>
      <c r="M165" s="30">
        <f t="shared" si="49"/>
        <v>77525317.830000028</v>
      </c>
      <c r="N165" s="40">
        <f>M165-SUM(O165:W165)</f>
        <v>12614908.720000021</v>
      </c>
      <c r="O165" s="33">
        <v>13748141.869999992</v>
      </c>
      <c r="P165" s="33">
        <v>6328672.5300000012</v>
      </c>
      <c r="Q165" s="33">
        <v>44833594.710000016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17">
        <f>_xlfn.XLOOKUP(D165,'Overdue-1'!D:D,'Overdue-1'!E:E,0)-G165</f>
        <v>0</v>
      </c>
      <c r="Y165" s="17" t="e">
        <f t="shared" ca="1" si="53"/>
        <v>#N/A</v>
      </c>
      <c r="Z165" s="11">
        <v>0</v>
      </c>
      <c r="AA165" s="16"/>
    </row>
    <row r="166" spans="1:27" s="7" customFormat="1" ht="150" hidden="1" customHeight="1" outlineLevel="2" x14ac:dyDescent="1.25">
      <c r="A166" s="4"/>
      <c r="C166" s="77"/>
      <c r="D166" s="97" t="s">
        <v>59</v>
      </c>
      <c r="E166" s="49" t="s">
        <v>16</v>
      </c>
      <c r="F166" s="33">
        <v>212</v>
      </c>
      <c r="G166" s="33">
        <v>323752706.84000003</v>
      </c>
      <c r="H166" s="33">
        <v>74770331.420000017</v>
      </c>
      <c r="I166" s="33">
        <v>69922866.560000002</v>
      </c>
      <c r="J166" s="33">
        <v>5048056.8400000008</v>
      </c>
      <c r="K166" s="34">
        <f t="shared" si="46"/>
        <v>0.93516860540886426</v>
      </c>
      <c r="L166" s="36">
        <v>4847464.8600000013</v>
      </c>
      <c r="M166" s="30">
        <f t="shared" si="49"/>
        <v>243934318.58000001</v>
      </c>
      <c r="N166" s="40">
        <f>M166-SUM(O166:W166)</f>
        <v>38094784.079999983</v>
      </c>
      <c r="O166" s="33">
        <v>44387913.749999985</v>
      </c>
      <c r="P166" s="33">
        <v>19383633.640000008</v>
      </c>
      <c r="Q166" s="33">
        <v>142067987.11000004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17">
        <f>_xlfn.XLOOKUP(D166,'Overdue-1'!D:D,'Overdue-1'!E:E,0)-G166</f>
        <v>0</v>
      </c>
      <c r="Y166" s="17" t="e">
        <f t="shared" ca="1" si="53"/>
        <v>#N/A</v>
      </c>
      <c r="Z166" s="11">
        <v>0</v>
      </c>
      <c r="AA166" s="16"/>
    </row>
    <row r="167" spans="1:27" s="7" customFormat="1" ht="150" hidden="1" customHeight="1" outlineLevel="2" x14ac:dyDescent="1.25">
      <c r="A167" s="4"/>
      <c r="C167" s="77"/>
      <c r="D167" s="97" t="s">
        <v>58</v>
      </c>
      <c r="E167" s="49" t="s">
        <v>16</v>
      </c>
      <c r="F167" s="33">
        <v>69</v>
      </c>
      <c r="G167" s="33">
        <v>111338667.5</v>
      </c>
      <c r="H167" s="33">
        <v>24038995.709999975</v>
      </c>
      <c r="I167" s="33">
        <v>22581778.540000007</v>
      </c>
      <c r="J167" s="33">
        <v>1005545.4000000001</v>
      </c>
      <c r="K167" s="34">
        <f t="shared" si="46"/>
        <v>0.93938111277278602</v>
      </c>
      <c r="L167" s="36">
        <v>1457217.17</v>
      </c>
      <c r="M167" s="30">
        <f t="shared" si="49"/>
        <v>86294126.39000003</v>
      </c>
      <c r="N167" s="40">
        <f>M167-SUM(O167:W167)</f>
        <v>12711508.580000028</v>
      </c>
      <c r="O167" s="33">
        <v>14773099.92</v>
      </c>
      <c r="P167" s="33">
        <v>6170802.2199999997</v>
      </c>
      <c r="Q167" s="33">
        <v>52638715.669999994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17">
        <f>_xlfn.XLOOKUP(D167,'Overdue-1'!D:D,'Overdue-1'!E:E,0)-G167</f>
        <v>0</v>
      </c>
      <c r="Y167" s="17" t="e">
        <f t="shared" ca="1" si="53"/>
        <v>#N/A</v>
      </c>
      <c r="Z167" s="11">
        <v>2.9802322387695313E-8</v>
      </c>
      <c r="AA167" s="16"/>
    </row>
    <row r="168" spans="1:27" s="7" customFormat="1" ht="150" hidden="1" customHeight="1" outlineLevel="2" x14ac:dyDescent="1.25">
      <c r="A168" s="4"/>
      <c r="C168" s="77"/>
      <c r="D168" s="97" t="s">
        <v>57</v>
      </c>
      <c r="E168" s="49" t="s">
        <v>16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4">
        <f t="shared" si="46"/>
        <v>0</v>
      </c>
      <c r="L168" s="36">
        <v>0</v>
      </c>
      <c r="M168" s="30">
        <f t="shared" si="49"/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17">
        <f>_xlfn.XLOOKUP(D168,'Overdue-1'!D:D,'Overdue-1'!E:E,0)-G168</f>
        <v>0</v>
      </c>
      <c r="Y168" s="17" t="e">
        <f t="shared" ca="1" si="53"/>
        <v>#N/A</v>
      </c>
      <c r="Z168" s="11">
        <v>0</v>
      </c>
      <c r="AA168" s="16"/>
    </row>
    <row r="169" spans="1:27" s="7" customFormat="1" ht="150" hidden="1" customHeight="1" outlineLevel="1" collapsed="1" x14ac:dyDescent="1.25">
      <c r="A169" s="4"/>
      <c r="C169" s="77"/>
      <c r="D169" s="78" t="s">
        <v>56</v>
      </c>
      <c r="E169" s="49" t="s">
        <v>16</v>
      </c>
      <c r="F169" s="33">
        <f>SUM(F170:F173)</f>
        <v>268</v>
      </c>
      <c r="G169" s="33">
        <f>SUM(G170:G173)</f>
        <v>428893661.30000025</v>
      </c>
      <c r="H169" s="33">
        <f>SUM(H170:H173)</f>
        <v>93057205.189999968</v>
      </c>
      <c r="I169" s="33">
        <f>SUM(I170:I173)</f>
        <v>89113530.070000023</v>
      </c>
      <c r="J169" s="33">
        <f>SUM(J170:J173)</f>
        <v>6097748.9199999999</v>
      </c>
      <c r="K169" s="34">
        <f t="shared" si="46"/>
        <v>0.95762095893651733</v>
      </c>
      <c r="L169" s="36">
        <f>SUM(L170:L173)</f>
        <v>3943675.1199999987</v>
      </c>
      <c r="M169" s="30">
        <f t="shared" si="49"/>
        <v>329738707.1900003</v>
      </c>
      <c r="N169" s="40">
        <f>M169-SUM(O169:W169)</f>
        <v>44149483.910000205</v>
      </c>
      <c r="O169" s="33">
        <f t="shared" ref="O169:W169" si="54">SUM(O170:O173)</f>
        <v>59979205.940000013</v>
      </c>
      <c r="P169" s="33">
        <f t="shared" si="54"/>
        <v>28529524.76000002</v>
      </c>
      <c r="Q169" s="33">
        <f t="shared" si="54"/>
        <v>197080492.58000004</v>
      </c>
      <c r="R169" s="33">
        <f t="shared" si="54"/>
        <v>0</v>
      </c>
      <c r="S169" s="33">
        <f t="shared" si="54"/>
        <v>0</v>
      </c>
      <c r="T169" s="33">
        <f t="shared" si="54"/>
        <v>0</v>
      </c>
      <c r="U169" s="33">
        <f t="shared" si="54"/>
        <v>0</v>
      </c>
      <c r="V169" s="33">
        <f t="shared" si="54"/>
        <v>0</v>
      </c>
      <c r="W169" s="33">
        <f t="shared" si="54"/>
        <v>0</v>
      </c>
      <c r="X169" s="17">
        <f>_xlfn.XLOOKUP(D169,'Overdue-1'!D:D,'Overdue-1'!E:E,0)-G169</f>
        <v>-428893661.30000025</v>
      </c>
      <c r="Y169" s="17" t="str">
        <f t="shared" ca="1" si="53"/>
        <v>=SUM(H170:H173)</v>
      </c>
      <c r="Z169" s="11"/>
      <c r="AA169" s="16"/>
    </row>
    <row r="170" spans="1:27" s="7" customFormat="1" ht="150" hidden="1" customHeight="1" outlineLevel="2" x14ac:dyDescent="1.25">
      <c r="A170" s="4"/>
      <c r="C170" s="77"/>
      <c r="D170" s="97" t="s">
        <v>55</v>
      </c>
      <c r="E170" s="49" t="s">
        <v>16</v>
      </c>
      <c r="F170" s="33">
        <v>62</v>
      </c>
      <c r="G170" s="33">
        <v>110209124.58999997</v>
      </c>
      <c r="H170" s="33">
        <v>23758499.370000012</v>
      </c>
      <c r="I170" s="33">
        <v>22756758.549999993</v>
      </c>
      <c r="J170" s="33">
        <v>3097533.3599999989</v>
      </c>
      <c r="K170" s="34">
        <f t="shared" si="46"/>
        <v>0.95783652812412379</v>
      </c>
      <c r="L170" s="36">
        <v>1001740.82</v>
      </c>
      <c r="M170" s="30">
        <f t="shared" si="49"/>
        <v>83353091.859999955</v>
      </c>
      <c r="N170" s="40">
        <f>M170-SUM(O170:W170)</f>
        <v>11219155.469999939</v>
      </c>
      <c r="O170" s="33">
        <v>13763546.479999999</v>
      </c>
      <c r="P170" s="33">
        <v>8197505.0100000026</v>
      </c>
      <c r="Q170" s="33">
        <v>50172884.900000013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17">
        <f>_xlfn.XLOOKUP(D170,'Overdue-1'!D:D,'Overdue-1'!E:E,0)-G170</f>
        <v>0</v>
      </c>
      <c r="Y170" s="17" t="e">
        <f t="shared" ca="1" si="53"/>
        <v>#N/A</v>
      </c>
      <c r="Z170" s="11">
        <v>0</v>
      </c>
      <c r="AA170" s="16"/>
    </row>
    <row r="171" spans="1:27" s="7" customFormat="1" ht="150" hidden="1" customHeight="1" outlineLevel="2" x14ac:dyDescent="1.25">
      <c r="A171" s="4"/>
      <c r="C171" s="77"/>
      <c r="D171" s="97" t="s">
        <v>54</v>
      </c>
      <c r="E171" s="49" t="s">
        <v>16</v>
      </c>
      <c r="F171" s="33">
        <v>206</v>
      </c>
      <c r="G171" s="33">
        <v>318684536.71000028</v>
      </c>
      <c r="H171" s="33">
        <v>69298705.819999963</v>
      </c>
      <c r="I171" s="33">
        <v>66356771.520000033</v>
      </c>
      <c r="J171" s="33">
        <v>3000215.5600000005</v>
      </c>
      <c r="K171" s="34">
        <f t="shared" si="46"/>
        <v>0.95754705278852592</v>
      </c>
      <c r="L171" s="36">
        <v>2941934.2999999989</v>
      </c>
      <c r="M171" s="30">
        <f t="shared" si="49"/>
        <v>246385615.33000031</v>
      </c>
      <c r="N171" s="33">
        <v>32930483.070000015</v>
      </c>
      <c r="O171" s="33">
        <v>46215659.460000016</v>
      </c>
      <c r="P171" s="33">
        <v>20332019.750000019</v>
      </c>
      <c r="Q171" s="33">
        <v>146907607.68000004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17">
        <f>_xlfn.XLOOKUP(D171,'Overdue-1'!D:D,'Overdue-1'!E:E,0)-G171</f>
        <v>0</v>
      </c>
      <c r="Y171" s="17" t="e">
        <f t="shared" ca="1" si="53"/>
        <v>#N/A</v>
      </c>
      <c r="Z171" s="11">
        <v>176293.47000011802</v>
      </c>
      <c r="AA171" s="16"/>
    </row>
    <row r="172" spans="1:27" s="7" customFormat="1" ht="150" hidden="1" customHeight="1" outlineLevel="2" x14ac:dyDescent="1.25">
      <c r="A172" s="4"/>
      <c r="C172" s="77"/>
      <c r="D172" s="97" t="s">
        <v>53</v>
      </c>
      <c r="E172" s="49" t="s">
        <v>16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4">
        <f t="shared" si="46"/>
        <v>0</v>
      </c>
      <c r="L172" s="36">
        <v>0</v>
      </c>
      <c r="M172" s="30">
        <f t="shared" si="49"/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17">
        <f>_xlfn.XLOOKUP(D172,'Overdue-1'!D:D,'Overdue-1'!E:E,0)-G172</f>
        <v>0</v>
      </c>
      <c r="Y172" s="17" t="e">
        <f t="shared" ca="1" si="53"/>
        <v>#N/A</v>
      </c>
      <c r="Z172" s="11">
        <v>0</v>
      </c>
      <c r="AA172" s="16"/>
    </row>
    <row r="173" spans="1:27" s="7" customFormat="1" ht="150" hidden="1" customHeight="1" outlineLevel="2" x14ac:dyDescent="1.25">
      <c r="A173" s="4"/>
      <c r="C173" s="77"/>
      <c r="D173" s="97" t="s">
        <v>52</v>
      </c>
      <c r="E173" s="49" t="s">
        <v>16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4">
        <f t="shared" si="46"/>
        <v>0</v>
      </c>
      <c r="L173" s="36">
        <v>0</v>
      </c>
      <c r="M173" s="30">
        <f t="shared" si="49"/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17">
        <f>_xlfn.XLOOKUP(D173,'Overdue-1'!D:D,'Overdue-1'!E:E,0)-G173</f>
        <v>0</v>
      </c>
      <c r="Y173" s="17" t="e">
        <f t="shared" ca="1" si="53"/>
        <v>#N/A</v>
      </c>
      <c r="Z173" s="11">
        <v>0</v>
      </c>
      <c r="AA173" s="16"/>
    </row>
    <row r="174" spans="1:27" s="7" customFormat="1" ht="150" hidden="1" customHeight="1" outlineLevel="1" collapsed="1" x14ac:dyDescent="1.25">
      <c r="A174" s="4"/>
      <c r="C174" s="77"/>
      <c r="D174" s="78" t="s">
        <v>51</v>
      </c>
      <c r="E174" s="49" t="s">
        <v>16</v>
      </c>
      <c r="F174" s="33">
        <f>SUM(F175:F176)</f>
        <v>98</v>
      </c>
      <c r="G174" s="33">
        <f>SUM(G175:G176)</f>
        <v>157642313.97999999</v>
      </c>
      <c r="H174" s="33">
        <f>SUM(H175:H176)</f>
        <v>31659019.079999994</v>
      </c>
      <c r="I174" s="33">
        <f>SUM(I175:I176)</f>
        <v>30302059.680000003</v>
      </c>
      <c r="J174" s="33">
        <f>SUM(J175:J176)</f>
        <v>861719.92999999993</v>
      </c>
      <c r="K174" s="34">
        <f t="shared" si="46"/>
        <v>0.95713829930829331</v>
      </c>
      <c r="L174" s="36">
        <f>SUM(L175:L176)</f>
        <v>1356959.4000000001</v>
      </c>
      <c r="M174" s="30">
        <f t="shared" si="49"/>
        <v>125121574.97</v>
      </c>
      <c r="N174" s="40">
        <f t="shared" ref="N174:N180" si="55">M174-SUM(O174:W174)</f>
        <v>16202925.019999981</v>
      </c>
      <c r="O174" s="33">
        <f t="shared" ref="O174:W174" si="56">SUM(O175:O176)</f>
        <v>23815364.600000001</v>
      </c>
      <c r="P174" s="33">
        <f t="shared" si="56"/>
        <v>10865156.760000002</v>
      </c>
      <c r="Q174" s="33">
        <f t="shared" si="56"/>
        <v>8952263.2399999984</v>
      </c>
      <c r="R174" s="33">
        <f t="shared" si="56"/>
        <v>65285865.350000031</v>
      </c>
      <c r="S174" s="33">
        <f t="shared" si="56"/>
        <v>0</v>
      </c>
      <c r="T174" s="33">
        <f t="shared" si="56"/>
        <v>0</v>
      </c>
      <c r="U174" s="33">
        <f t="shared" si="56"/>
        <v>0</v>
      </c>
      <c r="V174" s="33">
        <f t="shared" si="56"/>
        <v>0</v>
      </c>
      <c r="W174" s="33">
        <f t="shared" si="56"/>
        <v>0</v>
      </c>
      <c r="X174" s="17">
        <f>_xlfn.XLOOKUP(D174,'Overdue-1'!D:D,'Overdue-1'!E:E,0)-G174</f>
        <v>-157642313.97999999</v>
      </c>
      <c r="Y174" s="17" t="str">
        <f t="shared" ca="1" si="53"/>
        <v>=SUM(H175:H176)</v>
      </c>
      <c r="Z174" s="11"/>
      <c r="AA174" s="16"/>
    </row>
    <row r="175" spans="1:27" s="7" customFormat="1" ht="150" hidden="1" customHeight="1" outlineLevel="2" x14ac:dyDescent="1.25">
      <c r="A175" s="4"/>
      <c r="C175" s="77"/>
      <c r="D175" s="97" t="s">
        <v>50</v>
      </c>
      <c r="E175" s="49" t="s">
        <v>16</v>
      </c>
      <c r="F175" s="33">
        <v>43</v>
      </c>
      <c r="G175" s="33">
        <v>68528303.86999999</v>
      </c>
      <c r="H175" s="33">
        <v>13143215.820000004</v>
      </c>
      <c r="I175" s="33">
        <v>12382868.470000003</v>
      </c>
      <c r="J175" s="33">
        <v>407963.62999999995</v>
      </c>
      <c r="K175" s="34">
        <f t="shared" si="46"/>
        <v>0.9421490630289292</v>
      </c>
      <c r="L175" s="36">
        <v>760347.35000000009</v>
      </c>
      <c r="M175" s="30">
        <f t="shared" si="49"/>
        <v>54977124.419999987</v>
      </c>
      <c r="N175" s="40">
        <f t="shared" si="55"/>
        <v>6848722.9399999678</v>
      </c>
      <c r="O175" s="33">
        <v>11186431.770000001</v>
      </c>
      <c r="P175" s="33">
        <v>4734104.0600000005</v>
      </c>
      <c r="Q175" s="33">
        <v>4019103.5599999987</v>
      </c>
      <c r="R175" s="33">
        <v>28188762.090000018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17">
        <f>_xlfn.XLOOKUP(D175,'Overdue-1'!D:D,'Overdue-1'!E:E,0)-G175</f>
        <v>0</v>
      </c>
      <c r="Y175" s="17" t="e">
        <f t="shared" ca="1" si="53"/>
        <v>#N/A</v>
      </c>
      <c r="Z175" s="11">
        <v>0</v>
      </c>
      <c r="AA175" s="16"/>
    </row>
    <row r="176" spans="1:27" s="7" customFormat="1" ht="150" hidden="1" customHeight="1" outlineLevel="2" x14ac:dyDescent="1.25">
      <c r="A176" s="4"/>
      <c r="C176" s="77"/>
      <c r="D176" s="97" t="s">
        <v>49</v>
      </c>
      <c r="E176" s="49" t="s">
        <v>16</v>
      </c>
      <c r="F176" s="33">
        <v>55</v>
      </c>
      <c r="G176" s="33">
        <v>89114010.109999999</v>
      </c>
      <c r="H176" s="33">
        <v>18515803.25999999</v>
      </c>
      <c r="I176" s="33">
        <v>17919191.210000001</v>
      </c>
      <c r="J176" s="33">
        <v>453756.29999999993</v>
      </c>
      <c r="K176" s="34">
        <f t="shared" si="46"/>
        <v>0.96777822481572484</v>
      </c>
      <c r="L176" s="36">
        <v>596612.05000000005</v>
      </c>
      <c r="M176" s="30">
        <f t="shared" si="49"/>
        <v>70144450.550000012</v>
      </c>
      <c r="N176" s="40">
        <f t="shared" si="55"/>
        <v>9354202.0799999982</v>
      </c>
      <c r="O176" s="33">
        <v>12628932.829999998</v>
      </c>
      <c r="P176" s="33">
        <v>6131052.7000000011</v>
      </c>
      <c r="Q176" s="33">
        <v>4933159.6800000006</v>
      </c>
      <c r="R176" s="33">
        <v>37097103.260000013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17">
        <f>_xlfn.XLOOKUP(D176,'Overdue-1'!D:D,'Overdue-1'!E:E,0)-G176</f>
        <v>0</v>
      </c>
      <c r="Y176" s="17" t="e">
        <f t="shared" ca="1" si="53"/>
        <v>#N/A</v>
      </c>
      <c r="Z176" s="11">
        <v>0</v>
      </c>
      <c r="AA176" s="16"/>
    </row>
    <row r="177" spans="1:27" s="7" customFormat="1" ht="150" customHeight="1" collapsed="1" x14ac:dyDescent="1.25">
      <c r="A177" s="4"/>
      <c r="C177" s="77">
        <v>30</v>
      </c>
      <c r="D177" s="79" t="s">
        <v>48</v>
      </c>
      <c r="E177" s="49" t="s">
        <v>26</v>
      </c>
      <c r="F177" s="33">
        <v>352</v>
      </c>
      <c r="G177" s="33">
        <v>767755653.95999968</v>
      </c>
      <c r="H177" s="33">
        <v>155502596.26000002</v>
      </c>
      <c r="I177" s="33">
        <v>153559126.75000009</v>
      </c>
      <c r="J177" s="33">
        <v>13542202.470000001</v>
      </c>
      <c r="K177" s="34">
        <f t="shared" ref="K177:K198" si="57">IFERROR(I177/H177,0)</f>
        <v>0.98750201246318448</v>
      </c>
      <c r="L177" s="36">
        <v>1943469.51</v>
      </c>
      <c r="M177" s="30">
        <f t="shared" si="49"/>
        <v>598710855.22999966</v>
      </c>
      <c r="N177" s="40">
        <f t="shared" si="55"/>
        <v>66885489.799999714</v>
      </c>
      <c r="O177" s="33">
        <v>74922328.530000091</v>
      </c>
      <c r="P177" s="33">
        <v>71773232.50000003</v>
      </c>
      <c r="Q177" s="33">
        <v>385129804.39999986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17">
        <f>_xlfn.XLOOKUP(D177,'Overdue-1'!D:D,'Overdue-1'!E:E,0)-G177</f>
        <v>0</v>
      </c>
      <c r="Y177" s="17" t="e">
        <f t="shared" ca="1" si="53"/>
        <v>#N/A</v>
      </c>
      <c r="Z177" s="11">
        <v>0</v>
      </c>
      <c r="AA177" s="16"/>
    </row>
    <row r="178" spans="1:27" s="7" customFormat="1" ht="150" customHeight="1" x14ac:dyDescent="1.25">
      <c r="A178" s="4"/>
      <c r="C178" s="77">
        <v>31</v>
      </c>
      <c r="D178" s="79" t="s">
        <v>47</v>
      </c>
      <c r="E178" s="49" t="s">
        <v>26</v>
      </c>
      <c r="F178" s="33">
        <v>371</v>
      </c>
      <c r="G178" s="33">
        <v>806869395.10000038</v>
      </c>
      <c r="H178" s="33">
        <v>160057195.97000006</v>
      </c>
      <c r="I178" s="33">
        <v>155620981.19000006</v>
      </c>
      <c r="J178" s="33">
        <v>10338128.229999999</v>
      </c>
      <c r="K178" s="34">
        <f t="shared" si="57"/>
        <v>0.97228356555220741</v>
      </c>
      <c r="L178" s="36">
        <v>4436214.78</v>
      </c>
      <c r="M178" s="30">
        <f t="shared" si="49"/>
        <v>636474070.90000033</v>
      </c>
      <c r="N178" s="40">
        <f t="shared" si="55"/>
        <v>71423214.940000296</v>
      </c>
      <c r="O178" s="33">
        <v>80738093.470000044</v>
      </c>
      <c r="P178" s="33">
        <v>73067089.480000034</v>
      </c>
      <c r="Q178" s="33">
        <v>411245673.00999999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17">
        <f>_xlfn.XLOOKUP(D178,'Overdue-1'!D:D,'Overdue-1'!E:E,0)-G178</f>
        <v>0</v>
      </c>
      <c r="Y178" s="17" t="e">
        <f t="shared" ca="1" si="53"/>
        <v>#N/A</v>
      </c>
      <c r="Z178" s="11">
        <v>96551.310000061989</v>
      </c>
      <c r="AA178" s="16"/>
    </row>
    <row r="179" spans="1:27" s="7" customFormat="1" ht="150" customHeight="1" x14ac:dyDescent="1.25">
      <c r="A179" s="4"/>
      <c r="C179" s="77">
        <v>32</v>
      </c>
      <c r="D179" s="79" t="s">
        <v>46</v>
      </c>
      <c r="E179" s="49" t="s">
        <v>26</v>
      </c>
      <c r="F179" s="33">
        <f>SUM(F180:F183)</f>
        <v>122</v>
      </c>
      <c r="G179" s="33">
        <f>SUM(G180:G183)</f>
        <v>169893891.99000001</v>
      </c>
      <c r="H179" s="33">
        <f>SUM(H180:H183)</f>
        <v>34194183.979999989</v>
      </c>
      <c r="I179" s="33">
        <f>SUM(I180:I183)</f>
        <v>32980287.309999995</v>
      </c>
      <c r="J179" s="33">
        <f>SUM(J180:J183)</f>
        <v>3441448.71</v>
      </c>
      <c r="K179" s="34">
        <f t="shared" si="57"/>
        <v>0.96449990820924414</v>
      </c>
      <c r="L179" s="36">
        <f>SUM(L180:L183)</f>
        <v>1213896.67</v>
      </c>
      <c r="M179" s="30">
        <f>SUM(M180:M183)</f>
        <v>132258259.30000001</v>
      </c>
      <c r="N179" s="40">
        <f t="shared" si="55"/>
        <v>17549244.900000036</v>
      </c>
      <c r="O179" s="33">
        <f t="shared" ref="O179:W179" si="58">SUM(O180:O183)</f>
        <v>24132362.459999997</v>
      </c>
      <c r="P179" s="33">
        <f t="shared" si="58"/>
        <v>9863847.3099999987</v>
      </c>
      <c r="Q179" s="33">
        <f t="shared" si="58"/>
        <v>80712804.62999998</v>
      </c>
      <c r="R179" s="33">
        <f t="shared" si="58"/>
        <v>0</v>
      </c>
      <c r="S179" s="33">
        <f t="shared" si="58"/>
        <v>0</v>
      </c>
      <c r="T179" s="33">
        <f t="shared" si="58"/>
        <v>0</v>
      </c>
      <c r="U179" s="33">
        <f t="shared" si="58"/>
        <v>0</v>
      </c>
      <c r="V179" s="33">
        <f t="shared" si="58"/>
        <v>0</v>
      </c>
      <c r="W179" s="33">
        <f t="shared" si="58"/>
        <v>0</v>
      </c>
      <c r="X179" s="17">
        <f>_xlfn.XLOOKUP(D179,'Overdue-1'!D:D,'Overdue-1'!E:E,0)-G179</f>
        <v>0</v>
      </c>
      <c r="Y179" s="17" t="str">
        <f t="shared" ca="1" si="53"/>
        <v>=SUM(H180:H183)</v>
      </c>
      <c r="Z179" s="11"/>
      <c r="AA179" s="16"/>
    </row>
    <row r="180" spans="1:27" s="7" customFormat="1" ht="150" hidden="1" customHeight="1" outlineLevel="1" x14ac:dyDescent="1.25">
      <c r="A180" s="4"/>
      <c r="C180" s="77"/>
      <c r="D180" s="96" t="s">
        <v>45</v>
      </c>
      <c r="E180" s="49" t="s">
        <v>26</v>
      </c>
      <c r="F180" s="33">
        <v>60</v>
      </c>
      <c r="G180" s="33">
        <v>85143839.729999989</v>
      </c>
      <c r="H180" s="33">
        <v>17562072.729999986</v>
      </c>
      <c r="I180" s="33">
        <v>17318672.849999994</v>
      </c>
      <c r="J180" s="33">
        <v>2718916.61</v>
      </c>
      <c r="K180" s="34">
        <f t="shared" si="57"/>
        <v>0.98614059492054096</v>
      </c>
      <c r="L180" s="36">
        <v>243399.87999999998</v>
      </c>
      <c r="M180" s="30">
        <f t="shared" ref="M180:M187" si="59">MAX(G180-(H180+J180),0)</f>
        <v>64862850.390000001</v>
      </c>
      <c r="N180" s="40">
        <f t="shared" si="55"/>
        <v>8181034.8500000238</v>
      </c>
      <c r="O180" s="33">
        <v>10577566.409999998</v>
      </c>
      <c r="P180" s="33">
        <v>3056220.7500000009</v>
      </c>
      <c r="Q180" s="33">
        <v>43048028.37999998</v>
      </c>
      <c r="R180" s="33">
        <v>0</v>
      </c>
      <c r="S180" s="33">
        <v>0</v>
      </c>
      <c r="T180" s="33">
        <v>0</v>
      </c>
      <c r="U180" s="33">
        <v>0</v>
      </c>
      <c r="V180" s="33">
        <v>0</v>
      </c>
      <c r="W180" s="33">
        <v>0</v>
      </c>
      <c r="X180" s="17">
        <f>_xlfn.XLOOKUP(D180,'Overdue-1'!D:D,'Overdue-1'!E:E,0)-G180</f>
        <v>0</v>
      </c>
      <c r="Y180" s="17" t="e">
        <f t="shared" ca="1" si="53"/>
        <v>#N/A</v>
      </c>
      <c r="Z180" s="11">
        <v>0</v>
      </c>
      <c r="AA180" s="16"/>
    </row>
    <row r="181" spans="1:27" s="7" customFormat="1" ht="150" hidden="1" customHeight="1" outlineLevel="1" x14ac:dyDescent="1.25">
      <c r="A181" s="4"/>
      <c r="C181" s="77"/>
      <c r="D181" s="78" t="s">
        <v>44</v>
      </c>
      <c r="E181" s="49" t="s">
        <v>26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4">
        <f t="shared" si="57"/>
        <v>0</v>
      </c>
      <c r="L181" s="36">
        <v>0</v>
      </c>
      <c r="M181" s="30">
        <f t="shared" si="59"/>
        <v>0</v>
      </c>
      <c r="N181" s="40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17">
        <f>_xlfn.XLOOKUP(D181,'Overdue-1'!D:D,'Overdue-1'!E:E,0)-G181</f>
        <v>0</v>
      </c>
      <c r="Y181" s="17" t="e">
        <f t="shared" ca="1" si="53"/>
        <v>#N/A</v>
      </c>
      <c r="Z181" s="11">
        <v>0</v>
      </c>
      <c r="AA181" s="16"/>
    </row>
    <row r="182" spans="1:27" s="7" customFormat="1" ht="150" hidden="1" customHeight="1" outlineLevel="1" x14ac:dyDescent="1.25">
      <c r="A182" s="4"/>
      <c r="C182" s="77"/>
      <c r="D182" s="78" t="s">
        <v>43</v>
      </c>
      <c r="E182" s="49" t="s">
        <v>26</v>
      </c>
      <c r="F182" s="33">
        <v>34</v>
      </c>
      <c r="G182" s="33">
        <v>46691549.93</v>
      </c>
      <c r="H182" s="33">
        <v>9606307.1000000015</v>
      </c>
      <c r="I182" s="33">
        <v>8963610.4699999969</v>
      </c>
      <c r="J182" s="33">
        <v>381877.16999999993</v>
      </c>
      <c r="K182" s="34">
        <f t="shared" si="57"/>
        <v>0.93309638935028383</v>
      </c>
      <c r="L182" s="36">
        <v>642696.63</v>
      </c>
      <c r="M182" s="30">
        <f t="shared" si="59"/>
        <v>36703365.659999996</v>
      </c>
      <c r="N182" s="40">
        <f t="shared" ref="N182:N187" si="60">M182-SUM(O182:W182)</f>
        <v>4979975.6300000027</v>
      </c>
      <c r="O182" s="33">
        <v>7517275.4999999991</v>
      </c>
      <c r="P182" s="33">
        <v>3874931.2599999993</v>
      </c>
      <c r="Q182" s="33">
        <v>20331183.269999996</v>
      </c>
      <c r="R182" s="33">
        <v>0</v>
      </c>
      <c r="S182" s="33">
        <v>0</v>
      </c>
      <c r="T182" s="33">
        <v>0</v>
      </c>
      <c r="U182" s="33">
        <v>0</v>
      </c>
      <c r="V182" s="33">
        <v>0</v>
      </c>
      <c r="W182" s="33">
        <v>0</v>
      </c>
      <c r="X182" s="17">
        <f>_xlfn.XLOOKUP(D182,'Overdue-1'!D:D,'Overdue-1'!E:E,0)-G182</f>
        <v>0</v>
      </c>
      <c r="Y182" s="17" t="e">
        <f t="shared" ca="1" si="53"/>
        <v>#N/A</v>
      </c>
      <c r="Z182" s="11">
        <v>0</v>
      </c>
      <c r="AA182" s="16"/>
    </row>
    <row r="183" spans="1:27" s="7" customFormat="1" ht="150" hidden="1" customHeight="1" outlineLevel="1" x14ac:dyDescent="1.25">
      <c r="A183" s="4"/>
      <c r="C183" s="77"/>
      <c r="D183" s="78" t="s">
        <v>42</v>
      </c>
      <c r="E183" s="49" t="s">
        <v>26</v>
      </c>
      <c r="F183" s="33">
        <v>28</v>
      </c>
      <c r="G183" s="33">
        <v>38058502.330000006</v>
      </c>
      <c r="H183" s="33">
        <v>7025804.1499999994</v>
      </c>
      <c r="I183" s="33">
        <v>6698003.9900000012</v>
      </c>
      <c r="J183" s="33">
        <v>340654.93</v>
      </c>
      <c r="K183" s="34">
        <f t="shared" si="57"/>
        <v>0.95334339628581899</v>
      </c>
      <c r="L183" s="36">
        <v>327800.15999999997</v>
      </c>
      <c r="M183" s="30">
        <f t="shared" si="59"/>
        <v>30692043.250000007</v>
      </c>
      <c r="N183" s="40">
        <f t="shared" si="60"/>
        <v>4388234.4200000018</v>
      </c>
      <c r="O183" s="33">
        <v>6037520.5500000017</v>
      </c>
      <c r="P183" s="33">
        <v>2932695.3</v>
      </c>
      <c r="Q183" s="33">
        <v>17333592.980000004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17">
        <f>_xlfn.XLOOKUP(D183,'Overdue-1'!D:D,'Overdue-1'!E:E,0)-G183</f>
        <v>0</v>
      </c>
      <c r="Y183" s="17" t="e">
        <f t="shared" ca="1" si="53"/>
        <v>#N/A</v>
      </c>
      <c r="Z183" s="11">
        <v>67305.660000002012</v>
      </c>
      <c r="AA183" s="16"/>
    </row>
    <row r="184" spans="1:27" s="7" customFormat="1" ht="150" customHeight="1" collapsed="1" x14ac:dyDescent="1.25">
      <c r="A184" s="4"/>
      <c r="C184" s="77">
        <v>33</v>
      </c>
      <c r="D184" s="79" t="s">
        <v>41</v>
      </c>
      <c r="E184" s="49" t="s">
        <v>26</v>
      </c>
      <c r="F184" s="33">
        <v>116</v>
      </c>
      <c r="G184" s="33">
        <v>563398526</v>
      </c>
      <c r="H184" s="33">
        <v>103535608.13000007</v>
      </c>
      <c r="I184" s="33">
        <v>98389626.309999973</v>
      </c>
      <c r="J184" s="33">
        <v>12176372.290000003</v>
      </c>
      <c r="K184" s="34">
        <f t="shared" si="57"/>
        <v>0.95029746854300823</v>
      </c>
      <c r="L184" s="36">
        <v>5145981.82</v>
      </c>
      <c r="M184" s="30">
        <f t="shared" si="59"/>
        <v>447686545.57999992</v>
      </c>
      <c r="N184" s="40">
        <f t="shared" si="60"/>
        <v>53478810.25</v>
      </c>
      <c r="O184" s="33">
        <v>55915199.450000003</v>
      </c>
      <c r="P184" s="33">
        <v>55129342.909999996</v>
      </c>
      <c r="Q184" s="33">
        <v>55995297.329999998</v>
      </c>
      <c r="R184" s="33">
        <v>55601850.299999997</v>
      </c>
      <c r="S184" s="33">
        <v>171566045.33999991</v>
      </c>
      <c r="T184" s="33">
        <v>0</v>
      </c>
      <c r="U184" s="33">
        <v>0</v>
      </c>
      <c r="V184" s="33">
        <v>0</v>
      </c>
      <c r="W184" s="33">
        <v>0</v>
      </c>
      <c r="X184" s="17">
        <f>_xlfn.XLOOKUP(D184,'Overdue-1'!D:D,'Overdue-1'!E:E,0)-G184</f>
        <v>0</v>
      </c>
      <c r="Y184" s="17" t="e">
        <f t="shared" ca="1" si="53"/>
        <v>#N/A</v>
      </c>
      <c r="Z184" s="11">
        <v>510225.89999991655</v>
      </c>
      <c r="AA184" s="16"/>
    </row>
    <row r="185" spans="1:27" s="7" customFormat="1" ht="150" customHeight="1" x14ac:dyDescent="1.25">
      <c r="A185" s="4"/>
      <c r="C185" s="77">
        <v>34</v>
      </c>
      <c r="D185" s="79" t="s">
        <v>40</v>
      </c>
      <c r="E185" s="49" t="s">
        <v>26</v>
      </c>
      <c r="F185" s="33">
        <v>213</v>
      </c>
      <c r="G185" s="33">
        <v>553930211.53999996</v>
      </c>
      <c r="H185" s="33">
        <v>104035900.91000003</v>
      </c>
      <c r="I185" s="33">
        <v>96424495.040000007</v>
      </c>
      <c r="J185" s="33">
        <v>1992951.0300000003</v>
      </c>
      <c r="K185" s="34">
        <f t="shared" si="57"/>
        <v>0.92683866046794228</v>
      </c>
      <c r="L185" s="36">
        <v>7611405.870000001</v>
      </c>
      <c r="M185" s="30">
        <f t="shared" si="59"/>
        <v>447901359.5999999</v>
      </c>
      <c r="N185" s="40">
        <f t="shared" si="60"/>
        <v>47642907.110000014</v>
      </c>
      <c r="O185" s="33">
        <v>56700833.520000033</v>
      </c>
      <c r="P185" s="33">
        <v>36260581.240000017</v>
      </c>
      <c r="Q185" s="33">
        <v>41294791.290000014</v>
      </c>
      <c r="R185" s="33">
        <v>266002246.43999982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17">
        <f>_xlfn.XLOOKUP(D185,'Overdue-1'!D:D,'Overdue-1'!E:E,0)-G185</f>
        <v>0</v>
      </c>
      <c r="Y185" s="17" t="e">
        <f t="shared" ca="1" si="53"/>
        <v>#N/A</v>
      </c>
      <c r="Z185" s="11">
        <v>0</v>
      </c>
      <c r="AA185" s="16"/>
    </row>
    <row r="186" spans="1:27" s="7" customFormat="1" ht="150" customHeight="1" x14ac:dyDescent="1.25">
      <c r="A186" s="4"/>
      <c r="C186" s="77">
        <v>35</v>
      </c>
      <c r="D186" s="79" t="s">
        <v>39</v>
      </c>
      <c r="E186" s="49" t="s">
        <v>26</v>
      </c>
      <c r="F186" s="33">
        <v>293</v>
      </c>
      <c r="G186" s="33">
        <v>665379462.88999987</v>
      </c>
      <c r="H186" s="33">
        <v>111574574.38999985</v>
      </c>
      <c r="I186" s="33">
        <v>96740655.38000001</v>
      </c>
      <c r="J186" s="33">
        <v>3690545.0200000009</v>
      </c>
      <c r="K186" s="34">
        <f t="shared" si="57"/>
        <v>0.86704928886263022</v>
      </c>
      <c r="L186" s="36">
        <v>14833919.010000002</v>
      </c>
      <c r="M186" s="30">
        <f t="shared" si="59"/>
        <v>550114343.48000002</v>
      </c>
      <c r="N186" s="40">
        <f t="shared" si="60"/>
        <v>36991537.570000112</v>
      </c>
      <c r="O186" s="33">
        <v>72049470.000000015</v>
      </c>
      <c r="P186" s="33">
        <v>66323340.779999994</v>
      </c>
      <c r="Q186" s="33">
        <v>90023517.919999942</v>
      </c>
      <c r="R186" s="33">
        <v>284726477.20999998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17">
        <f>_xlfn.XLOOKUP(D186,'Overdue-1'!D:D,'Overdue-1'!E:E,0)-G186</f>
        <v>0</v>
      </c>
      <c r="Y186" s="17" t="e">
        <f t="shared" ca="1" si="53"/>
        <v>#N/A</v>
      </c>
      <c r="Z186" s="11">
        <v>209364.16000011563</v>
      </c>
      <c r="AA186" s="16"/>
    </row>
    <row r="187" spans="1:27" s="7" customFormat="1" ht="150" customHeight="1" x14ac:dyDescent="1.25">
      <c r="A187" s="4"/>
      <c r="C187" s="77">
        <v>36</v>
      </c>
      <c r="D187" s="79" t="s">
        <v>38</v>
      </c>
      <c r="E187" s="49" t="s">
        <v>26</v>
      </c>
      <c r="F187" s="33">
        <v>49</v>
      </c>
      <c r="G187" s="33">
        <v>393210660.60000002</v>
      </c>
      <c r="H187" s="33">
        <v>70714827.00999999</v>
      </c>
      <c r="I187" s="33">
        <v>63994980.059999995</v>
      </c>
      <c r="J187" s="33">
        <v>2456825.4799999995</v>
      </c>
      <c r="K187" s="34">
        <f t="shared" si="57"/>
        <v>0.90497258871820863</v>
      </c>
      <c r="L187" s="36">
        <v>6719846.9500000002</v>
      </c>
      <c r="M187" s="30">
        <f t="shared" si="59"/>
        <v>320039008.11000001</v>
      </c>
      <c r="N187" s="40">
        <f t="shared" si="60"/>
        <v>7800846.8400000334</v>
      </c>
      <c r="O187" s="33">
        <v>80835238.519999996</v>
      </c>
      <c r="P187" s="33">
        <v>41795452.769999996</v>
      </c>
      <c r="Q187" s="33">
        <v>19545725.59</v>
      </c>
      <c r="R187" s="33">
        <v>170061744.38999999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17">
        <f>_xlfn.XLOOKUP(D187,'Overdue-1'!D:D,'Overdue-1'!E:E,0)-G187</f>
        <v>0</v>
      </c>
      <c r="Y187" s="17" t="e">
        <f t="shared" ca="1" si="53"/>
        <v>#N/A</v>
      </c>
      <c r="Z187" s="11">
        <v>621207.30000001192</v>
      </c>
      <c r="AA187" s="16"/>
    </row>
    <row r="188" spans="1:27" s="7" customFormat="1" ht="150" customHeight="1" x14ac:dyDescent="1.25">
      <c r="A188" s="4"/>
      <c r="C188" s="77">
        <v>37</v>
      </c>
      <c r="D188" s="79" t="s">
        <v>37</v>
      </c>
      <c r="E188" s="49" t="s">
        <v>26</v>
      </c>
      <c r="F188" s="33">
        <f>SUM(F189:F192)</f>
        <v>324</v>
      </c>
      <c r="G188" s="33">
        <f>SUM(G189:G192)</f>
        <v>1616050376.9699998</v>
      </c>
      <c r="H188" s="33">
        <f>SUM(H189:H192)</f>
        <v>250206610.61999986</v>
      </c>
      <c r="I188" s="33">
        <f>SUM(I189:I192)</f>
        <v>199790925.23999995</v>
      </c>
      <c r="J188" s="33">
        <f>SUM(J189:J192)</f>
        <v>17494636.890000004</v>
      </c>
      <c r="K188" s="34">
        <f t="shared" si="57"/>
        <v>0.79850378351286455</v>
      </c>
      <c r="L188" s="36">
        <f t="shared" ref="L188:W188" si="61">SUM(L189:L192)</f>
        <v>50415685.380000018</v>
      </c>
      <c r="M188" s="30">
        <f t="shared" si="61"/>
        <v>1348349129.46</v>
      </c>
      <c r="N188" s="40">
        <f t="shared" si="61"/>
        <v>173838541.11000058</v>
      </c>
      <c r="O188" s="33">
        <f t="shared" si="61"/>
        <v>186104499.0999999</v>
      </c>
      <c r="P188" s="33">
        <f t="shared" si="61"/>
        <v>256560585.5399999</v>
      </c>
      <c r="Q188" s="33">
        <f t="shared" si="61"/>
        <v>731845503.70999968</v>
      </c>
      <c r="R188" s="33">
        <f t="shared" si="61"/>
        <v>0</v>
      </c>
      <c r="S188" s="33">
        <f t="shared" si="61"/>
        <v>0</v>
      </c>
      <c r="T188" s="33">
        <f t="shared" si="61"/>
        <v>0</v>
      </c>
      <c r="U188" s="33">
        <f t="shared" si="61"/>
        <v>0</v>
      </c>
      <c r="V188" s="33">
        <f t="shared" si="61"/>
        <v>0</v>
      </c>
      <c r="W188" s="33">
        <f t="shared" si="61"/>
        <v>0</v>
      </c>
      <c r="X188" s="17">
        <f>_xlfn.XLOOKUP(D188,'Overdue-1'!D:D,'Overdue-1'!E:E,0)-G188</f>
        <v>-1616050376.9699998</v>
      </c>
      <c r="Y188" s="17" t="str">
        <f t="shared" ca="1" si="53"/>
        <v>=SUM(H189:H192)</v>
      </c>
      <c r="Z188" s="11"/>
      <c r="AA188" s="16"/>
    </row>
    <row r="189" spans="1:27" s="7" customFormat="1" ht="150" hidden="1" customHeight="1" outlineLevel="1" x14ac:dyDescent="1.25">
      <c r="A189" s="4"/>
      <c r="C189" s="77"/>
      <c r="D189" s="79" t="s">
        <v>36</v>
      </c>
      <c r="E189" s="49" t="s">
        <v>26</v>
      </c>
      <c r="F189" s="33">
        <v>130</v>
      </c>
      <c r="G189" s="33">
        <v>589121955.75999999</v>
      </c>
      <c r="H189" s="33">
        <v>91549118.429999962</v>
      </c>
      <c r="I189" s="33">
        <v>71670445.779999956</v>
      </c>
      <c r="J189" s="33">
        <v>4684299.3500000006</v>
      </c>
      <c r="K189" s="34">
        <f t="shared" si="57"/>
        <v>0.7828633088892103</v>
      </c>
      <c r="L189" s="36">
        <v>19878672.65000001</v>
      </c>
      <c r="M189" s="30">
        <f>MAX(G189-(H189+J189),0)</f>
        <v>492888537.98000002</v>
      </c>
      <c r="N189" s="40">
        <f>M189-SUM(O189:W189)</f>
        <v>65604244.200000405</v>
      </c>
      <c r="O189" s="33">
        <v>67115003.379999936</v>
      </c>
      <c r="P189" s="33">
        <v>97033628.789999902</v>
      </c>
      <c r="Q189" s="33">
        <v>263135661.60999975</v>
      </c>
      <c r="R189" s="33">
        <v>0</v>
      </c>
      <c r="S189" s="33">
        <v>0</v>
      </c>
      <c r="T189" s="33">
        <v>0</v>
      </c>
      <c r="U189" s="33">
        <v>0</v>
      </c>
      <c r="V189" s="33">
        <v>0</v>
      </c>
      <c r="W189" s="33">
        <v>0</v>
      </c>
      <c r="X189" s="17">
        <f>_xlfn.XLOOKUP(D189,'Overdue-1'!D:D,'Overdue-1'!E:E,0)-G189</f>
        <v>0</v>
      </c>
      <c r="Y189" s="17" t="e">
        <f t="shared" ca="1" si="53"/>
        <v>#N/A</v>
      </c>
      <c r="Z189" s="11">
        <v>0</v>
      </c>
      <c r="AA189" s="16"/>
    </row>
    <row r="190" spans="1:27" s="7" customFormat="1" ht="150" hidden="1" customHeight="1" outlineLevel="1" x14ac:dyDescent="1.25">
      <c r="A190" s="4"/>
      <c r="C190" s="77"/>
      <c r="D190" s="79" t="s">
        <v>35</v>
      </c>
      <c r="E190" s="49" t="s">
        <v>26</v>
      </c>
      <c r="F190" s="33">
        <v>99</v>
      </c>
      <c r="G190" s="33">
        <v>521314715.09999996</v>
      </c>
      <c r="H190" s="33">
        <v>89618196.749999911</v>
      </c>
      <c r="I190" s="33">
        <v>74222719.939999983</v>
      </c>
      <c r="J190" s="33">
        <v>7221461.1300000027</v>
      </c>
      <c r="K190" s="34">
        <f t="shared" si="57"/>
        <v>0.8282103705685202</v>
      </c>
      <c r="L190" s="36">
        <v>15395476.810000008</v>
      </c>
      <c r="M190" s="30">
        <f>MAX(G190-(H190+J190),0)</f>
        <v>424475057.22000003</v>
      </c>
      <c r="N190" s="40">
        <f>M190-SUM(O190:W190)</f>
        <v>50114114.740000129</v>
      </c>
      <c r="O190" s="33">
        <v>57752355.539999992</v>
      </c>
      <c r="P190" s="33">
        <v>90055031.61999999</v>
      </c>
      <c r="Q190" s="33">
        <v>226553555.3199999</v>
      </c>
      <c r="R190" s="33">
        <v>0</v>
      </c>
      <c r="S190" s="33">
        <v>0</v>
      </c>
      <c r="T190" s="33">
        <v>0</v>
      </c>
      <c r="U190" s="33">
        <v>0</v>
      </c>
      <c r="V190" s="33">
        <v>0</v>
      </c>
      <c r="W190" s="33">
        <v>0</v>
      </c>
      <c r="X190" s="17">
        <f>_xlfn.XLOOKUP(D190,'Overdue-1'!D:D,'Overdue-1'!E:E,0)-G190</f>
        <v>0</v>
      </c>
      <c r="Y190" s="17" t="e">
        <f t="shared" ca="1" si="53"/>
        <v>#N/A</v>
      </c>
      <c r="Z190" s="11">
        <v>0</v>
      </c>
      <c r="AA190" s="16"/>
    </row>
    <row r="191" spans="1:27" s="7" customFormat="1" ht="150" hidden="1" customHeight="1" outlineLevel="1" x14ac:dyDescent="1.25">
      <c r="A191" s="4"/>
      <c r="C191" s="77"/>
      <c r="D191" s="79" t="s">
        <v>34</v>
      </c>
      <c r="E191" s="49" t="s">
        <v>26</v>
      </c>
      <c r="F191" s="33">
        <v>14</v>
      </c>
      <c r="G191" s="33">
        <v>144763149.75</v>
      </c>
      <c r="H191" s="33">
        <v>24360571.329999998</v>
      </c>
      <c r="I191" s="33">
        <v>20670062.550000001</v>
      </c>
      <c r="J191" s="33">
        <v>200094.85</v>
      </c>
      <c r="K191" s="34">
        <f t="shared" si="57"/>
        <v>0.84850483471809457</v>
      </c>
      <c r="L191" s="36">
        <v>3690508.7800000003</v>
      </c>
      <c r="M191" s="30">
        <f>MAX(G191-(H191+J191),0)</f>
        <v>120202483.56999999</v>
      </c>
      <c r="N191" s="40">
        <f>M191-SUM(O191:W191)</f>
        <v>15112438.810000002</v>
      </c>
      <c r="O191" s="33">
        <v>18720096.569999997</v>
      </c>
      <c r="P191" s="33">
        <v>23259505.099999998</v>
      </c>
      <c r="Q191" s="33">
        <v>63110443.090000004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17">
        <f>_xlfn.XLOOKUP(D191,'Overdue-1'!D:D,'Overdue-1'!E:E,0)-G191</f>
        <v>0</v>
      </c>
      <c r="Y191" s="17" t="e">
        <f t="shared" ca="1" si="53"/>
        <v>#N/A</v>
      </c>
      <c r="Z191" s="11">
        <v>0</v>
      </c>
      <c r="AA191" s="16"/>
    </row>
    <row r="192" spans="1:27" s="7" customFormat="1" ht="150" hidden="1" customHeight="1" outlineLevel="1" x14ac:dyDescent="1.25">
      <c r="A192" s="4"/>
      <c r="C192" s="77"/>
      <c r="D192" s="79" t="s">
        <v>33</v>
      </c>
      <c r="E192" s="49" t="s">
        <v>26</v>
      </c>
      <c r="F192" s="33">
        <v>81</v>
      </c>
      <c r="G192" s="33">
        <v>360850556.36000001</v>
      </c>
      <c r="H192" s="33">
        <v>44678724.109999985</v>
      </c>
      <c r="I192" s="33">
        <v>33227696.970000014</v>
      </c>
      <c r="J192" s="33">
        <v>5388781.5600000015</v>
      </c>
      <c r="K192" s="34">
        <f t="shared" si="57"/>
        <v>0.74370290629143088</v>
      </c>
      <c r="L192" s="36">
        <v>11451027.140000002</v>
      </c>
      <c r="M192" s="30">
        <f>MAX(G192-(H192+J192),0)</f>
        <v>310783050.69000006</v>
      </c>
      <c r="N192" s="40">
        <f>M192-SUM(O192:W192)</f>
        <v>43007743.360000044</v>
      </c>
      <c r="O192" s="33">
        <v>42517043.609999992</v>
      </c>
      <c r="P192" s="33">
        <v>46212420.029999994</v>
      </c>
      <c r="Q192" s="33">
        <v>179045843.69000003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17">
        <f>_xlfn.XLOOKUP(D192,'Overdue-1'!D:D,'Overdue-1'!E:E,0)-G192</f>
        <v>0</v>
      </c>
      <c r="Y192" s="17" t="e">
        <f t="shared" ca="1" si="53"/>
        <v>#N/A</v>
      </c>
      <c r="Z192" s="11">
        <v>0</v>
      </c>
      <c r="AA192" s="16"/>
    </row>
    <row r="193" spans="1:34" s="7" customFormat="1" ht="150" customHeight="1" collapsed="1" x14ac:dyDescent="1.25">
      <c r="A193" s="4"/>
      <c r="C193" s="77">
        <v>38</v>
      </c>
      <c r="D193" s="79" t="s">
        <v>32</v>
      </c>
      <c r="E193" s="49" t="s">
        <v>26</v>
      </c>
      <c r="F193" s="33">
        <f>SUM(F194:F196)</f>
        <v>340</v>
      </c>
      <c r="G193" s="33">
        <f>SUM(G194:G196)</f>
        <v>603661803.08999979</v>
      </c>
      <c r="H193" s="33">
        <f>SUM(H194:H196)</f>
        <v>84138755.400000006</v>
      </c>
      <c r="I193" s="33">
        <f>SUM(I194:I196)</f>
        <v>31913755.829999994</v>
      </c>
      <c r="J193" s="33">
        <f>SUM(J194:J196)</f>
        <v>1306157.04</v>
      </c>
      <c r="K193" s="34">
        <f t="shared" si="57"/>
        <v>0.37929911939248856</v>
      </c>
      <c r="L193" s="36">
        <f t="shared" ref="L193:W193" si="62">SUM(L194:L196)</f>
        <v>52224999.569999978</v>
      </c>
      <c r="M193" s="30">
        <f t="shared" si="62"/>
        <v>518216890.64999986</v>
      </c>
      <c r="N193" s="40">
        <f t="shared" si="62"/>
        <v>59906159.329999715</v>
      </c>
      <c r="O193" s="33">
        <f t="shared" si="62"/>
        <v>112780469.37000005</v>
      </c>
      <c r="P193" s="33">
        <f t="shared" si="62"/>
        <v>63516263.060000032</v>
      </c>
      <c r="Q193" s="33">
        <f t="shared" si="62"/>
        <v>282014059.28000021</v>
      </c>
      <c r="R193" s="33">
        <f t="shared" si="62"/>
        <v>0</v>
      </c>
      <c r="S193" s="33">
        <f t="shared" si="62"/>
        <v>0</v>
      </c>
      <c r="T193" s="33">
        <f t="shared" si="62"/>
        <v>0</v>
      </c>
      <c r="U193" s="33">
        <f t="shared" si="62"/>
        <v>0</v>
      </c>
      <c r="V193" s="33">
        <f t="shared" si="62"/>
        <v>0</v>
      </c>
      <c r="W193" s="33">
        <f t="shared" si="62"/>
        <v>0</v>
      </c>
      <c r="X193" s="17">
        <f>_xlfn.XLOOKUP(D193,'Overdue-1'!D:D,'Overdue-1'!E:E,0)-G193</f>
        <v>0</v>
      </c>
      <c r="Y193" s="17" t="str">
        <f t="shared" ca="1" si="53"/>
        <v>=SUM(H194:H196)</v>
      </c>
      <c r="Z193" s="11">
        <v>-84138755.400000006</v>
      </c>
      <c r="AA193" s="16"/>
    </row>
    <row r="194" spans="1:34" s="7" customFormat="1" ht="150" hidden="1" customHeight="1" outlineLevel="1" x14ac:dyDescent="1.25">
      <c r="A194" s="4"/>
      <c r="C194" s="77"/>
      <c r="D194" s="96" t="s">
        <v>31</v>
      </c>
      <c r="E194" s="49" t="s">
        <v>26</v>
      </c>
      <c r="F194" s="33">
        <v>150</v>
      </c>
      <c r="G194" s="33">
        <v>260682085.55999997</v>
      </c>
      <c r="H194" s="33">
        <v>36644605.539999999</v>
      </c>
      <c r="I194" s="33">
        <v>13984786.189999998</v>
      </c>
      <c r="J194" s="33">
        <v>736888.9800000001</v>
      </c>
      <c r="K194" s="34">
        <f t="shared" si="57"/>
        <v>0.38163287566937193</v>
      </c>
      <c r="L194" s="36">
        <v>22659819.349999987</v>
      </c>
      <c r="M194" s="30">
        <f>MAX(G194-(H194+J194),0)</f>
        <v>223300591.03999996</v>
      </c>
      <c r="N194" s="40">
        <f>M194-SUM(O194:W194)</f>
        <v>25392083.039999783</v>
      </c>
      <c r="O194" s="33">
        <v>48411995.88000004</v>
      </c>
      <c r="P194" s="33">
        <v>28200843.480000015</v>
      </c>
      <c r="Q194" s="33">
        <v>121295668.6400001</v>
      </c>
      <c r="R194" s="33">
        <v>0</v>
      </c>
      <c r="S194" s="33">
        <v>0</v>
      </c>
      <c r="T194" s="33">
        <v>0</v>
      </c>
      <c r="U194" s="33">
        <v>0</v>
      </c>
      <c r="V194" s="33">
        <v>0</v>
      </c>
      <c r="W194" s="33">
        <v>0</v>
      </c>
      <c r="X194" s="17">
        <f>_xlfn.XLOOKUP(D194,'Overdue-1'!D:D,'Overdue-1'!E:E,0)-G194</f>
        <v>0</v>
      </c>
      <c r="Y194" s="17" t="e">
        <f t="shared" ca="1" si="53"/>
        <v>#N/A</v>
      </c>
      <c r="Z194" s="11">
        <v>0</v>
      </c>
      <c r="AA194" s="16"/>
    </row>
    <row r="195" spans="1:34" s="7" customFormat="1" ht="150" hidden="1" customHeight="1" outlineLevel="1" x14ac:dyDescent="1.25">
      <c r="A195" s="4"/>
      <c r="C195" s="77"/>
      <c r="D195" s="78" t="s">
        <v>30</v>
      </c>
      <c r="E195" s="49" t="s">
        <v>26</v>
      </c>
      <c r="F195" s="33">
        <v>124</v>
      </c>
      <c r="G195" s="33">
        <v>217336656.76999989</v>
      </c>
      <c r="H195" s="33">
        <v>31188493.250000011</v>
      </c>
      <c r="I195" s="33">
        <v>14741408.739999998</v>
      </c>
      <c r="J195" s="33">
        <v>459695.71999999991</v>
      </c>
      <c r="K195" s="34">
        <f t="shared" si="57"/>
        <v>0.47265536753687171</v>
      </c>
      <c r="L195" s="36">
        <v>16447084.50999999</v>
      </c>
      <c r="M195" s="30">
        <f>MAX(G195-(H195+J195),0)</f>
        <v>185688467.79999989</v>
      </c>
      <c r="N195" s="40">
        <v>20847367.060000006</v>
      </c>
      <c r="O195" s="33">
        <v>40756244.140000008</v>
      </c>
      <c r="P195" s="33">
        <v>22315573.780000001</v>
      </c>
      <c r="Q195" s="33">
        <v>101769343.2100001</v>
      </c>
      <c r="R195" s="33">
        <v>0</v>
      </c>
      <c r="S195" s="33">
        <v>0</v>
      </c>
      <c r="T195" s="33">
        <v>0</v>
      </c>
      <c r="U195" s="33">
        <v>0</v>
      </c>
      <c r="V195" s="33">
        <v>0</v>
      </c>
      <c r="W195" s="33">
        <v>0</v>
      </c>
      <c r="X195" s="17">
        <f>_xlfn.XLOOKUP(D195,'Overdue-1'!D:D,'Overdue-1'!E:E,0)-G195</f>
        <v>0</v>
      </c>
      <c r="Y195" s="17" t="e">
        <f t="shared" ca="1" si="53"/>
        <v>#N/A</v>
      </c>
      <c r="Z195" s="11">
        <v>0</v>
      </c>
      <c r="AA195" s="16"/>
    </row>
    <row r="196" spans="1:34" s="7" customFormat="1" ht="150" hidden="1" customHeight="1" outlineLevel="1" x14ac:dyDescent="1.25">
      <c r="A196" s="4"/>
      <c r="C196" s="77"/>
      <c r="D196" s="78" t="s">
        <v>29</v>
      </c>
      <c r="E196" s="49" t="s">
        <v>26</v>
      </c>
      <c r="F196" s="33">
        <v>66</v>
      </c>
      <c r="G196" s="33">
        <v>125643060.75999998</v>
      </c>
      <c r="H196" s="33">
        <v>16305656.610000007</v>
      </c>
      <c r="I196" s="33">
        <v>3187560.9</v>
      </c>
      <c r="J196" s="33">
        <v>109572.34</v>
      </c>
      <c r="K196" s="34">
        <f t="shared" si="57"/>
        <v>0.19548804296817573</v>
      </c>
      <c r="L196" s="36">
        <v>13118095.710000001</v>
      </c>
      <c r="M196" s="30">
        <f>MAX(G196-(H196+J196),0)</f>
        <v>109227831.80999997</v>
      </c>
      <c r="N196" s="40">
        <f>M196-SUM(O196:W196)</f>
        <v>13666709.22999993</v>
      </c>
      <c r="O196" s="33">
        <v>23612229.350000009</v>
      </c>
      <c r="P196" s="33">
        <v>12999845.800000008</v>
      </c>
      <c r="Q196" s="33">
        <v>58949047.430000022</v>
      </c>
      <c r="R196" s="33">
        <v>0</v>
      </c>
      <c r="S196" s="33">
        <v>0</v>
      </c>
      <c r="T196" s="33">
        <v>0</v>
      </c>
      <c r="U196" s="33">
        <v>0</v>
      </c>
      <c r="V196" s="33">
        <v>0</v>
      </c>
      <c r="W196" s="33">
        <v>0</v>
      </c>
      <c r="X196" s="17">
        <f>_xlfn.XLOOKUP(D196,'Overdue-1'!D:D,'Overdue-1'!E:E,0)-G196</f>
        <v>0</v>
      </c>
      <c r="Y196" s="17" t="e">
        <f t="shared" ca="1" si="53"/>
        <v>#N/A</v>
      </c>
      <c r="Z196" s="11">
        <v>0</v>
      </c>
      <c r="AA196" s="16"/>
    </row>
    <row r="197" spans="1:34" s="7" customFormat="1" ht="150" customHeight="1" collapsed="1" x14ac:dyDescent="1.25">
      <c r="A197" s="4"/>
      <c r="C197" s="77">
        <v>39</v>
      </c>
      <c r="D197" s="79" t="s">
        <v>28</v>
      </c>
      <c r="E197" s="49" t="s">
        <v>26</v>
      </c>
      <c r="F197" s="33">
        <v>40</v>
      </c>
      <c r="G197" s="33">
        <v>230752586.9199999</v>
      </c>
      <c r="H197" s="33">
        <v>31239338.439999994</v>
      </c>
      <c r="I197" s="33">
        <v>15079433.340000004</v>
      </c>
      <c r="J197" s="33">
        <v>1142253.1499999999</v>
      </c>
      <c r="K197" s="34">
        <f t="shared" si="57"/>
        <v>0.48270655183567346</v>
      </c>
      <c r="L197" s="36">
        <v>16159905.100000001</v>
      </c>
      <c r="M197" s="30">
        <f>MAX(G197-(H197+J197),0)</f>
        <v>198370995.32999989</v>
      </c>
      <c r="N197" s="40">
        <f>M197-SUM(O197:W197)</f>
        <v>22974304.96999988</v>
      </c>
      <c r="O197" s="33">
        <v>42986914.43</v>
      </c>
      <c r="P197" s="33">
        <v>25781797.219999999</v>
      </c>
      <c r="Q197" s="33">
        <v>106627978.70999999</v>
      </c>
      <c r="R197" s="33">
        <v>0</v>
      </c>
      <c r="S197" s="33">
        <v>0</v>
      </c>
      <c r="T197" s="33">
        <v>0</v>
      </c>
      <c r="U197" s="33">
        <v>0</v>
      </c>
      <c r="V197" s="33">
        <v>0</v>
      </c>
      <c r="W197" s="33">
        <v>0</v>
      </c>
      <c r="X197" s="17">
        <f>_xlfn.XLOOKUP(D197,'Overdue-1'!D:D,'Overdue-1'!E:E,0)-G197</f>
        <v>0</v>
      </c>
      <c r="Y197" s="17" t="e">
        <f t="shared" ca="1" si="53"/>
        <v>#N/A</v>
      </c>
      <c r="Z197" s="11">
        <v>0</v>
      </c>
      <c r="AA197" s="16"/>
    </row>
    <row r="198" spans="1:34" s="7" customFormat="1" ht="150" customHeight="1" x14ac:dyDescent="1.25">
      <c r="A198" s="4"/>
      <c r="C198" s="77">
        <v>40</v>
      </c>
      <c r="D198" s="79" t="s">
        <v>27</v>
      </c>
      <c r="E198" s="49" t="s">
        <v>26</v>
      </c>
      <c r="F198" s="33">
        <v>15</v>
      </c>
      <c r="G198" s="33">
        <v>157448458.45999998</v>
      </c>
      <c r="H198" s="33">
        <v>18031500.77</v>
      </c>
      <c r="I198" s="33">
        <v>6411356.21</v>
      </c>
      <c r="J198" s="33">
        <v>1.79</v>
      </c>
      <c r="K198" s="34">
        <f t="shared" si="57"/>
        <v>0.35556420354466145</v>
      </c>
      <c r="L198" s="36">
        <v>11620144.559999999</v>
      </c>
      <c r="M198" s="30">
        <f>MAX(G198-(H198+J198),0)</f>
        <v>139416955.89999998</v>
      </c>
      <c r="N198" s="40">
        <f>M198-SUM(O198:W198)</f>
        <v>15492173.589999974</v>
      </c>
      <c r="O198" s="33">
        <v>25171852.420000002</v>
      </c>
      <c r="P198" s="33">
        <v>23141868.860000003</v>
      </c>
      <c r="Q198" s="33">
        <v>75611061.030000001</v>
      </c>
      <c r="R198" s="33">
        <v>0</v>
      </c>
      <c r="S198" s="33">
        <v>0</v>
      </c>
      <c r="T198" s="33">
        <v>0</v>
      </c>
      <c r="U198" s="33">
        <v>0</v>
      </c>
      <c r="V198" s="33">
        <v>0</v>
      </c>
      <c r="W198" s="33">
        <v>0</v>
      </c>
      <c r="X198" s="17">
        <f>_xlfn.XLOOKUP(D198,'Overdue-1'!D:D,'Overdue-1'!E:E,0)-G198</f>
        <v>0</v>
      </c>
      <c r="Y198" s="17" t="e">
        <f t="shared" ca="1" si="53"/>
        <v>#N/A</v>
      </c>
      <c r="Z198" s="11">
        <v>0</v>
      </c>
      <c r="AA198" s="16"/>
    </row>
    <row r="199" spans="1:34" s="7" customFormat="1" ht="150" customHeight="1" thickBot="1" x14ac:dyDescent="1.3">
      <c r="A199" s="4"/>
      <c r="C199" s="95"/>
      <c r="D199" s="94"/>
      <c r="E199" s="93"/>
      <c r="F199" s="89"/>
      <c r="G199" s="89"/>
      <c r="H199" s="89"/>
      <c r="I199" s="89"/>
      <c r="J199" s="89"/>
      <c r="K199" s="92"/>
      <c r="L199" s="91"/>
      <c r="M199" s="90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17">
        <f>_xlfn.XLOOKUP(D199,'Overdue-1'!D:D,'Overdue-1'!E:E,0)-G199</f>
        <v>0</v>
      </c>
      <c r="Y199" s="17" t="e">
        <f t="shared" ca="1" si="53"/>
        <v>#N/A</v>
      </c>
      <c r="Z199" s="11"/>
      <c r="AA199" s="16"/>
    </row>
    <row r="200" spans="1:34" s="83" customFormat="1" ht="150" customHeight="1" thickBot="1" x14ac:dyDescent="1.3">
      <c r="A200" s="88"/>
      <c r="C200" s="87"/>
      <c r="D200" s="86" t="s">
        <v>0</v>
      </c>
      <c r="E200" s="86" t="s">
        <v>25</v>
      </c>
      <c r="F200" s="84">
        <f>SUM(F148,F187,F177,F178,F179,F184,F185,F186,F198,F197,F193,F188)</f>
        <v>3856</v>
      </c>
      <c r="G200" s="84">
        <f>SUM(G148,G187,G177,G178,G179,G184,G185,G186,G198,G197,G193,G188)</f>
        <v>9159531070.960001</v>
      </c>
      <c r="H200" s="84">
        <f>SUM(H148,H187,H177,H178,H179,H184,H185,H186,H198,H197,H193,H188)</f>
        <v>1853643873.2199996</v>
      </c>
      <c r="I200" s="84">
        <f>SUM(I148,I187,I177,I178,I179,I184,I185,I186,I198,I197,I193,I188)</f>
        <v>1646961425.6800001</v>
      </c>
      <c r="J200" s="84">
        <f>SUM(J148,J187,J177,J178,J179,J184,J185,J186,J198,J197,J193,J188)</f>
        <v>114892523.18000001</v>
      </c>
      <c r="K200" s="85">
        <f>IFERROR(I200/H200,0)</f>
        <v>0.88849937653829503</v>
      </c>
      <c r="L200" s="84">
        <f t="shared" ref="L200:W200" si="63">SUM(L148,L187,L177,L178,L179,L184,L185,L186,L198,L197,L193,L188)</f>
        <v>206682447.53999999</v>
      </c>
      <c r="M200" s="84">
        <f t="shared" si="63"/>
        <v>7190994674.5599985</v>
      </c>
      <c r="N200" s="84">
        <f t="shared" si="63"/>
        <v>1143421339.9900007</v>
      </c>
      <c r="O200" s="84">
        <f t="shared" si="63"/>
        <v>1079975949.8299999</v>
      </c>
      <c r="P200" s="84">
        <f t="shared" si="63"/>
        <v>837383064.6400001</v>
      </c>
      <c r="Q200" s="84">
        <f t="shared" si="63"/>
        <v>3116970151.4599996</v>
      </c>
      <c r="R200" s="84">
        <f t="shared" si="63"/>
        <v>841678183.68999982</v>
      </c>
      <c r="S200" s="84">
        <f t="shared" si="63"/>
        <v>171566045.33999991</v>
      </c>
      <c r="T200" s="84">
        <f t="shared" si="63"/>
        <v>0</v>
      </c>
      <c r="U200" s="84">
        <f t="shared" si="63"/>
        <v>0</v>
      </c>
      <c r="V200" s="84">
        <f t="shared" si="63"/>
        <v>0</v>
      </c>
      <c r="W200" s="84">
        <f t="shared" si="63"/>
        <v>0</v>
      </c>
      <c r="X200" s="17">
        <f>_xlfn.XLOOKUP(D200,'Overdue-1'!D:D,'Overdue-1'!E:E,0)-G200</f>
        <v>-9159531070.960001</v>
      </c>
      <c r="Y200" s="17" t="str">
        <f t="shared" ca="1" si="53"/>
        <v>=SUM(H148,H187,H177,H178,H179,H184,H185,H186,H198,H197,H193,H188)</v>
      </c>
      <c r="Z200" s="11"/>
      <c r="AA200" s="16"/>
      <c r="AB200" s="7"/>
      <c r="AC200" s="7"/>
      <c r="AF200" s="7"/>
      <c r="AH200" s="7"/>
    </row>
    <row r="201" spans="1:34" s="80" customFormat="1" ht="150" customHeight="1" x14ac:dyDescent="2">
      <c r="A201" s="4"/>
      <c r="C201" s="82"/>
      <c r="D201" s="81" t="s">
        <v>24</v>
      </c>
      <c r="E201" s="49"/>
      <c r="F201" s="33"/>
      <c r="G201" s="33"/>
      <c r="H201" s="33"/>
      <c r="I201" s="33"/>
      <c r="J201" s="33"/>
      <c r="K201" s="34"/>
      <c r="L201" s="36"/>
      <c r="M201" s="30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17"/>
      <c r="Y201" s="17"/>
      <c r="Z201" s="11"/>
      <c r="AA201" s="16"/>
      <c r="AB201" s="7"/>
      <c r="AC201" s="7"/>
      <c r="AF201" s="7"/>
      <c r="AH201" s="7"/>
    </row>
    <row r="202" spans="1:34" s="7" customFormat="1" ht="150" customHeight="1" x14ac:dyDescent="1.25">
      <c r="A202" s="4"/>
      <c r="C202" s="77">
        <v>41</v>
      </c>
      <c r="D202" s="79" t="s">
        <v>23</v>
      </c>
      <c r="E202" s="43" t="s">
        <v>16</v>
      </c>
      <c r="F202" s="40">
        <f>SUM(F203:F207)</f>
        <v>1510</v>
      </c>
      <c r="G202" s="40">
        <f>SUM(G203:G207)</f>
        <v>2522248415.8699999</v>
      </c>
      <c r="H202" s="40">
        <f>SUM(H203:H207)</f>
        <v>1769622993.5000036</v>
      </c>
      <c r="I202" s="40">
        <f>SUM(I203:I207)</f>
        <v>1747147409.7400002</v>
      </c>
      <c r="J202" s="40">
        <f>SUM(J203:J207)</f>
        <v>259312334.60000011</v>
      </c>
      <c r="K202" s="42">
        <f t="shared" ref="K202:K208" si="64">I202/H202</f>
        <v>0.98729922483909949</v>
      </c>
      <c r="L202" s="36">
        <f>SUM(L203:L207)</f>
        <v>22475583.109999999</v>
      </c>
      <c r="M202" s="41">
        <f>SUM(M203:M207)</f>
        <v>495604540.55349636</v>
      </c>
      <c r="N202" s="40">
        <f t="shared" ref="N202:N208" si="65">M202-SUM(O202:W202)</f>
        <v>307452204.33349645</v>
      </c>
      <c r="O202" s="40">
        <f t="shared" ref="O202:W202" si="66">SUM(O203:O207)</f>
        <v>186930880.21999988</v>
      </c>
      <c r="P202" s="40">
        <f t="shared" si="66"/>
        <v>120000</v>
      </c>
      <c r="Q202" s="40">
        <f t="shared" si="66"/>
        <v>144000</v>
      </c>
      <c r="R202" s="40">
        <f t="shared" si="66"/>
        <v>144000</v>
      </c>
      <c r="S202" s="40">
        <f t="shared" si="66"/>
        <v>144000</v>
      </c>
      <c r="T202" s="40">
        <f t="shared" si="66"/>
        <v>168000</v>
      </c>
      <c r="U202" s="40">
        <f t="shared" si="66"/>
        <v>168000</v>
      </c>
      <c r="V202" s="40">
        <f t="shared" si="66"/>
        <v>168000</v>
      </c>
      <c r="W202" s="40">
        <f t="shared" si="66"/>
        <v>165456</v>
      </c>
      <c r="X202" s="17"/>
      <c r="Y202" s="17"/>
      <c r="Z202" s="11"/>
      <c r="AA202" s="16"/>
    </row>
    <row r="203" spans="1:34" s="7" customFormat="1" ht="150" hidden="1" customHeight="1" outlineLevel="1" x14ac:dyDescent="1.25">
      <c r="A203" s="4"/>
      <c r="C203" s="77"/>
      <c r="D203" s="78" t="s">
        <v>22</v>
      </c>
      <c r="E203" s="43" t="s">
        <v>16</v>
      </c>
      <c r="F203" s="40">
        <v>387</v>
      </c>
      <c r="G203" s="40">
        <v>931004042.99000001</v>
      </c>
      <c r="H203" s="40">
        <v>700527491.89000034</v>
      </c>
      <c r="I203" s="40">
        <v>686601398.12999904</v>
      </c>
      <c r="J203" s="40">
        <v>87005617.920000002</v>
      </c>
      <c r="K203" s="42">
        <f t="shared" si="64"/>
        <v>0.98012056069001785</v>
      </c>
      <c r="L203" s="36">
        <v>13926093.34</v>
      </c>
      <c r="M203" s="41">
        <f>MAX(G203-(H203+J203),0)</f>
        <v>143470933.17999971</v>
      </c>
      <c r="N203" s="40">
        <f t="shared" si="65"/>
        <v>89902386.679999739</v>
      </c>
      <c r="O203" s="40">
        <v>53568546.499999978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>
        <v>0</v>
      </c>
      <c r="W203" s="40">
        <v>0</v>
      </c>
      <c r="X203" s="17"/>
      <c r="Y203" s="17"/>
      <c r="Z203" s="11"/>
      <c r="AA203" s="16"/>
    </row>
    <row r="204" spans="1:34" s="7" customFormat="1" ht="150" hidden="1" customHeight="1" outlineLevel="1" x14ac:dyDescent="1.25">
      <c r="A204" s="4"/>
      <c r="C204" s="77"/>
      <c r="D204" s="78" t="s">
        <v>21</v>
      </c>
      <c r="E204" s="43" t="s">
        <v>16</v>
      </c>
      <c r="F204" s="40">
        <v>582</v>
      </c>
      <c r="G204" s="40">
        <v>752149129.11000001</v>
      </c>
      <c r="H204" s="40">
        <v>494418440.76000583</v>
      </c>
      <c r="I204" s="40">
        <v>489962750.90000111</v>
      </c>
      <c r="J204" s="40">
        <v>84258762.00000006</v>
      </c>
      <c r="K204" s="42">
        <f t="shared" si="64"/>
        <v>0.9909880184623463</v>
      </c>
      <c r="L204" s="36">
        <v>4455689.7799999993</v>
      </c>
      <c r="M204" s="41">
        <f>MAX(G204-(H204+J204),0)</f>
        <v>173471926.34999406</v>
      </c>
      <c r="N204" s="40">
        <f t="shared" si="65"/>
        <v>107149040.27999417</v>
      </c>
      <c r="O204" s="40">
        <v>66322886.069999889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>
        <v>0</v>
      </c>
      <c r="W204" s="40">
        <v>0</v>
      </c>
      <c r="X204" s="17"/>
      <c r="Y204" s="17"/>
      <c r="Z204" s="11"/>
      <c r="AA204" s="16"/>
    </row>
    <row r="205" spans="1:34" s="7" customFormat="1" ht="150" hidden="1" customHeight="1" outlineLevel="1" x14ac:dyDescent="1.25">
      <c r="A205" s="4"/>
      <c r="C205" s="77"/>
      <c r="D205" s="78" t="s">
        <v>20</v>
      </c>
      <c r="E205" s="43" t="s">
        <v>16</v>
      </c>
      <c r="F205" s="40">
        <v>451</v>
      </c>
      <c r="G205" s="40">
        <v>617559227.33000004</v>
      </c>
      <c r="H205" s="40">
        <v>409634823.2299974</v>
      </c>
      <c r="I205" s="40">
        <v>405920434.42000002</v>
      </c>
      <c r="J205" s="40">
        <v>69375935.360000044</v>
      </c>
      <c r="K205" s="42">
        <f t="shared" si="64"/>
        <v>0.99093243884709514</v>
      </c>
      <c r="L205" s="36">
        <v>3714388.7800000007</v>
      </c>
      <c r="M205" s="41">
        <f>MAX(G205-(H205+J205),0)</f>
        <v>138548468.74000263</v>
      </c>
      <c r="N205" s="40">
        <f t="shared" si="65"/>
        <v>86052097.43000263</v>
      </c>
      <c r="O205" s="40">
        <v>52496371.31000001</v>
      </c>
      <c r="P205" s="40">
        <v>0</v>
      </c>
      <c r="Q205" s="40">
        <v>0</v>
      </c>
      <c r="R205" s="40">
        <v>0</v>
      </c>
      <c r="S205" s="40">
        <v>0</v>
      </c>
      <c r="T205" s="40">
        <v>0</v>
      </c>
      <c r="U205" s="40">
        <v>0</v>
      </c>
      <c r="V205" s="40">
        <v>0</v>
      </c>
      <c r="W205" s="40">
        <v>0</v>
      </c>
      <c r="X205" s="17"/>
      <c r="Y205" s="17"/>
      <c r="Z205" s="11"/>
      <c r="AA205" s="16"/>
    </row>
    <row r="206" spans="1:34" s="7" customFormat="1" ht="150" hidden="1" customHeight="1" outlineLevel="1" x14ac:dyDescent="1.25">
      <c r="A206" s="4"/>
      <c r="C206" s="77"/>
      <c r="D206" s="78" t="s">
        <v>19</v>
      </c>
      <c r="E206" s="43" t="s">
        <v>16</v>
      </c>
      <c r="F206" s="40">
        <v>68</v>
      </c>
      <c r="G206" s="40">
        <v>175706960.77000001</v>
      </c>
      <c r="H206" s="40">
        <v>117795601.59000002</v>
      </c>
      <c r="I206" s="40">
        <v>117417203.91999996</v>
      </c>
      <c r="J206" s="40">
        <v>18313519.369999997</v>
      </c>
      <c r="K206" s="42">
        <f t="shared" si="64"/>
        <v>0.99678767572903859</v>
      </c>
      <c r="L206" s="36">
        <v>378397.54999999993</v>
      </c>
      <c r="M206" s="41">
        <f>MAX(G206-(H206+J206),0)</f>
        <v>39597839.810000002</v>
      </c>
      <c r="N206" s="40">
        <f t="shared" si="65"/>
        <v>23987716.530000001</v>
      </c>
      <c r="O206" s="40">
        <v>14388667.280000001</v>
      </c>
      <c r="P206" s="40">
        <v>120000</v>
      </c>
      <c r="Q206" s="40">
        <v>144000</v>
      </c>
      <c r="R206" s="40">
        <v>144000</v>
      </c>
      <c r="S206" s="40">
        <v>144000</v>
      </c>
      <c r="T206" s="40">
        <v>168000</v>
      </c>
      <c r="U206" s="40">
        <v>168000</v>
      </c>
      <c r="V206" s="40">
        <v>168000</v>
      </c>
      <c r="W206" s="40">
        <v>165456</v>
      </c>
      <c r="X206" s="17"/>
      <c r="Y206" s="17"/>
      <c r="Z206" s="11"/>
      <c r="AA206" s="16"/>
    </row>
    <row r="207" spans="1:34" s="7" customFormat="1" ht="150" hidden="1" customHeight="1" outlineLevel="1" x14ac:dyDescent="1.25">
      <c r="A207" s="4"/>
      <c r="C207" s="77"/>
      <c r="D207" s="78" t="s">
        <v>18</v>
      </c>
      <c r="E207" s="43" t="s">
        <v>16</v>
      </c>
      <c r="F207" s="40">
        <v>22</v>
      </c>
      <c r="G207" s="40">
        <v>45829055.670000002</v>
      </c>
      <c r="H207" s="40">
        <v>47246636.030000016</v>
      </c>
      <c r="I207" s="40">
        <v>47245622.370000005</v>
      </c>
      <c r="J207" s="40">
        <v>358499.95</v>
      </c>
      <c r="K207" s="42">
        <f t="shared" si="64"/>
        <v>0.99997854535084008</v>
      </c>
      <c r="L207" s="36">
        <v>1013.66</v>
      </c>
      <c r="M207" s="41">
        <f>MAX(1.05*G207-(H207+J207),0)</f>
        <v>515372.47349998355</v>
      </c>
      <c r="N207" s="40">
        <f t="shared" si="65"/>
        <v>360963.41349998355</v>
      </c>
      <c r="O207" s="40">
        <v>154409.06</v>
      </c>
      <c r="P207" s="40">
        <v>0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>
        <v>0</v>
      </c>
      <c r="W207" s="40">
        <v>0</v>
      </c>
      <c r="X207" s="17"/>
      <c r="Y207" s="17"/>
      <c r="Z207" s="11"/>
      <c r="AA207" s="16"/>
    </row>
    <row r="208" spans="1:34" s="7" customFormat="1" ht="150" customHeight="1" collapsed="1" x14ac:dyDescent="1.25">
      <c r="A208" s="4"/>
      <c r="C208" s="77">
        <v>42</v>
      </c>
      <c r="D208" s="76" t="s">
        <v>17</v>
      </c>
      <c r="E208" s="49" t="s">
        <v>16</v>
      </c>
      <c r="F208" s="33">
        <v>90</v>
      </c>
      <c r="G208" s="33">
        <v>1555013823.03</v>
      </c>
      <c r="H208" s="33">
        <v>1555013778.5400038</v>
      </c>
      <c r="I208" s="33">
        <v>1451205818.9300001</v>
      </c>
      <c r="J208" s="33">
        <v>45.639999999999979</v>
      </c>
      <c r="K208" s="34">
        <f t="shared" si="64"/>
        <v>0.93324306122388923</v>
      </c>
      <c r="L208" s="36">
        <v>103807958.50999999</v>
      </c>
      <c r="M208" s="30">
        <f>MAX(G208-(H208+J208),0)</f>
        <v>0</v>
      </c>
      <c r="N208" s="40">
        <f t="shared" si="65"/>
        <v>0</v>
      </c>
      <c r="O208" s="40">
        <v>0</v>
      </c>
      <c r="P208" s="33">
        <v>0</v>
      </c>
      <c r="Q208" s="40">
        <v>0</v>
      </c>
      <c r="R208" s="40">
        <v>0</v>
      </c>
      <c r="S208" s="33">
        <v>0</v>
      </c>
      <c r="T208" s="33">
        <v>0</v>
      </c>
      <c r="U208" s="33">
        <v>0</v>
      </c>
      <c r="V208" s="33">
        <v>0</v>
      </c>
      <c r="W208" s="33">
        <v>0</v>
      </c>
      <c r="X208" s="17"/>
      <c r="Y208" s="17"/>
      <c r="Z208" s="11"/>
      <c r="AA208" s="16"/>
    </row>
    <row r="209" spans="1:34" s="7" customFormat="1" ht="180" customHeight="1" x14ac:dyDescent="1.25">
      <c r="A209" s="4"/>
      <c r="C209" s="75"/>
      <c r="D209" s="74" t="s">
        <v>15</v>
      </c>
      <c r="E209" s="74"/>
      <c r="F209" s="73">
        <f>SUM(F147,F200,F202,F208)</f>
        <v>36606</v>
      </c>
      <c r="G209" s="73">
        <f>SUM(G147,G200,G202,G208)</f>
        <v>88269028878.389999</v>
      </c>
      <c r="H209" s="73">
        <f>SUM(H147,H200,H202,H208)</f>
        <v>44267101675.689957</v>
      </c>
      <c r="I209" s="73">
        <f>SUM(I147,I200,I202,I208)</f>
        <v>42373359105.719986</v>
      </c>
      <c r="J209" s="73">
        <f>SUM(J147,J200,J202,J208)</f>
        <v>2800855788.4400001</v>
      </c>
      <c r="K209" s="72">
        <f>IFERROR(I209/H209,0)</f>
        <v>0.95722009125774887</v>
      </c>
      <c r="L209" s="71">
        <f t="shared" ref="L209:W209" si="67">SUM(L147,L200,L202,L208)</f>
        <v>1893779883.21</v>
      </c>
      <c r="M209" s="70">
        <f t="shared" si="67"/>
        <v>41214550404.822548</v>
      </c>
      <c r="N209" s="23">
        <f t="shared" si="67"/>
        <v>13600977635.132542</v>
      </c>
      <c r="O209" s="23">
        <f t="shared" si="67"/>
        <v>12833383603.189997</v>
      </c>
      <c r="P209" s="23">
        <f t="shared" si="67"/>
        <v>7049307654.0400009</v>
      </c>
      <c r="Q209" s="23">
        <f t="shared" si="67"/>
        <v>6295891571.5699978</v>
      </c>
      <c r="R209" s="23">
        <f t="shared" si="67"/>
        <v>1261179676.9299996</v>
      </c>
      <c r="S209" s="23">
        <f t="shared" si="67"/>
        <v>173140868.3499999</v>
      </c>
      <c r="T209" s="23">
        <f t="shared" si="67"/>
        <v>168000</v>
      </c>
      <c r="U209" s="23">
        <f t="shared" si="67"/>
        <v>168000</v>
      </c>
      <c r="V209" s="23">
        <f t="shared" si="67"/>
        <v>168000</v>
      </c>
      <c r="W209" s="23">
        <f t="shared" si="67"/>
        <v>165456</v>
      </c>
      <c r="X209" s="17"/>
      <c r="Y209" s="17"/>
      <c r="Z209" s="11"/>
      <c r="AA209" s="16"/>
    </row>
    <row r="210" spans="1:34" s="7" customFormat="1" ht="99" customHeight="1" x14ac:dyDescent="1.25">
      <c r="A210" s="4"/>
      <c r="C210" s="68"/>
      <c r="D210" s="67"/>
      <c r="E210" s="66"/>
      <c r="F210" s="63"/>
      <c r="G210" s="63"/>
      <c r="H210" s="63"/>
      <c r="I210" s="63"/>
      <c r="J210" s="63"/>
      <c r="K210" s="65"/>
      <c r="L210" s="63"/>
      <c r="M210" s="64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17"/>
      <c r="Y210" s="17"/>
      <c r="Z210" s="11"/>
      <c r="AA210" s="16"/>
    </row>
    <row r="211" spans="1:34" s="7" customFormat="1" ht="99" customHeight="1" x14ac:dyDescent="1.25">
      <c r="A211" s="4"/>
      <c r="C211" s="68"/>
      <c r="D211" s="67"/>
      <c r="E211" s="66"/>
      <c r="F211" s="63"/>
      <c r="G211" s="63"/>
      <c r="H211" s="63"/>
      <c r="I211" s="63"/>
      <c r="J211" s="63"/>
      <c r="K211" s="65"/>
      <c r="L211" s="63"/>
      <c r="M211" s="64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17"/>
      <c r="Y211" s="17"/>
      <c r="Z211" s="11"/>
      <c r="AA211" s="16"/>
    </row>
    <row r="212" spans="1:34" s="7" customFormat="1" ht="145.5" customHeight="1" x14ac:dyDescent="1.25">
      <c r="A212" s="4"/>
      <c r="C212" s="62"/>
      <c r="D212" s="61" t="s">
        <v>14</v>
      </c>
      <c r="E212" s="60"/>
      <c r="F212" s="59"/>
      <c r="G212" s="59"/>
      <c r="H212" s="59"/>
      <c r="I212" s="59"/>
      <c r="J212" s="59"/>
      <c r="K212" s="58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17"/>
      <c r="Y212" s="17"/>
      <c r="Z212" s="11"/>
      <c r="AA212" s="16"/>
    </row>
    <row r="213" spans="1:34" s="21" customFormat="1" ht="160.15" customHeight="1" x14ac:dyDescent="1.35">
      <c r="A213" s="4" t="s">
        <v>13</v>
      </c>
      <c r="C213" s="459">
        <v>1</v>
      </c>
      <c r="D213" s="464" t="s">
        <v>12</v>
      </c>
      <c r="E213" s="56" t="s">
        <v>4</v>
      </c>
      <c r="F213" s="36">
        <v>780</v>
      </c>
      <c r="G213" s="36">
        <v>834613869.1699996</v>
      </c>
      <c r="H213" s="36">
        <v>833782410.30000067</v>
      </c>
      <c r="I213" s="36">
        <v>833070122.08999968</v>
      </c>
      <c r="J213" s="36">
        <v>2549.400000000001</v>
      </c>
      <c r="K213" s="55">
        <f>IFERROR(I213/H213,"-")</f>
        <v>0.99914571451591949</v>
      </c>
      <c r="L213" s="36">
        <v>712288.17000000016</v>
      </c>
      <c r="M213" s="30">
        <f t="shared" ref="M213:W213" si="68">SUM(M20:M21)</f>
        <v>982822.41999971867</v>
      </c>
      <c r="N213" s="36">
        <f t="shared" si="68"/>
        <v>298563.21999971871</v>
      </c>
      <c r="O213" s="36">
        <f t="shared" si="68"/>
        <v>684259.2</v>
      </c>
      <c r="P213" s="36">
        <f t="shared" si="68"/>
        <v>0</v>
      </c>
      <c r="Q213" s="36">
        <f t="shared" si="68"/>
        <v>0</v>
      </c>
      <c r="R213" s="36">
        <f t="shared" si="68"/>
        <v>0</v>
      </c>
      <c r="S213" s="36">
        <f t="shared" si="68"/>
        <v>0</v>
      </c>
      <c r="T213" s="36">
        <f t="shared" si="68"/>
        <v>0</v>
      </c>
      <c r="U213" s="36">
        <f t="shared" si="68"/>
        <v>0</v>
      </c>
      <c r="V213" s="36">
        <f t="shared" si="68"/>
        <v>0</v>
      </c>
      <c r="W213" s="36">
        <f t="shared" si="68"/>
        <v>0</v>
      </c>
      <c r="X213" s="17"/>
      <c r="Y213" s="17"/>
      <c r="Z213" s="11"/>
      <c r="AA213" s="16"/>
      <c r="AB213" s="7"/>
      <c r="AC213" s="7"/>
      <c r="AF213" s="7"/>
      <c r="AH213" s="7"/>
    </row>
    <row r="214" spans="1:34" s="21" customFormat="1" ht="160.15" customHeight="1" x14ac:dyDescent="1.35">
      <c r="A214" s="4" t="s">
        <v>11</v>
      </c>
      <c r="C214" s="459"/>
      <c r="D214" s="462"/>
      <c r="E214" s="35" t="s">
        <v>3</v>
      </c>
      <c r="F214" s="33">
        <v>1</v>
      </c>
      <c r="G214" s="33">
        <v>801125</v>
      </c>
      <c r="H214" s="33">
        <v>801125</v>
      </c>
      <c r="I214" s="33">
        <v>160335</v>
      </c>
      <c r="J214" s="33">
        <v>0</v>
      </c>
      <c r="K214" s="34">
        <f>IFERROR(I214/H214,0)</f>
        <v>0.20013730691215478</v>
      </c>
      <c r="L214" s="33">
        <f>H214-I214</f>
        <v>640790</v>
      </c>
      <c r="M214" s="30">
        <f>G214-(H214+J214)</f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T214" s="33">
        <v>0</v>
      </c>
      <c r="U214" s="33">
        <v>0</v>
      </c>
      <c r="V214" s="33">
        <v>0</v>
      </c>
      <c r="W214" s="33">
        <v>0</v>
      </c>
      <c r="X214" s="17"/>
      <c r="Y214" s="17"/>
      <c r="Z214" s="11"/>
      <c r="AA214" s="16"/>
      <c r="AB214" s="7"/>
      <c r="AC214" s="7"/>
      <c r="AF214" s="7"/>
      <c r="AH214" s="7"/>
    </row>
    <row r="215" spans="1:34" s="21" customFormat="1" ht="218.65" customHeight="1" x14ac:dyDescent="1.35">
      <c r="A215" s="4"/>
      <c r="C215" s="459"/>
      <c r="D215" s="462"/>
      <c r="E215" s="35" t="s">
        <v>2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4">
        <f>IFERROR(I215/H215,0)</f>
        <v>0</v>
      </c>
      <c r="L215" s="33">
        <f>H215-I215</f>
        <v>0</v>
      </c>
      <c r="M215" s="30">
        <f>IF(G215-(H215+J215)&gt;0,G215-(H215+J215),0)</f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33">
        <v>0</v>
      </c>
      <c r="T215" s="33">
        <v>0</v>
      </c>
      <c r="U215" s="33">
        <v>0</v>
      </c>
      <c r="V215" s="33">
        <v>0</v>
      </c>
      <c r="W215" s="33">
        <v>0</v>
      </c>
      <c r="X215" s="17"/>
      <c r="Y215" s="17"/>
      <c r="Z215" s="11"/>
      <c r="AA215" s="16"/>
      <c r="AB215" s="7"/>
      <c r="AC215" s="7"/>
      <c r="AF215" s="7"/>
      <c r="AH215" s="7"/>
    </row>
    <row r="216" spans="1:34" s="21" customFormat="1" ht="160.15" customHeight="1" x14ac:dyDescent="1.35">
      <c r="A216" s="4"/>
      <c r="C216" s="460"/>
      <c r="D216" s="465"/>
      <c r="E216" s="49" t="s">
        <v>1</v>
      </c>
      <c r="F216" s="33">
        <f>F213-SUM(F214:F215)</f>
        <v>779</v>
      </c>
      <c r="G216" s="33">
        <f>G213-SUM(G214:G215)</f>
        <v>833812744.1699996</v>
      </c>
      <c r="H216" s="33">
        <f>H213-SUM(H214:H215)</f>
        <v>832981285.30000067</v>
      </c>
      <c r="I216" s="33">
        <f>I213-SUM(I214:I215)</f>
        <v>832909787.08999968</v>
      </c>
      <c r="J216" s="33">
        <f>J213-SUM(J214:J215)</f>
        <v>2549.400000000001</v>
      </c>
      <c r="K216" s="34">
        <f>I216/H216</f>
        <v>0.99991416588672188</v>
      </c>
      <c r="L216" s="33">
        <f>L213-SUM(L214:L215)</f>
        <v>71498.170000000158</v>
      </c>
      <c r="M216" s="30">
        <f>SUM(N216:R216)</f>
        <v>982822.41999971867</v>
      </c>
      <c r="N216" s="33">
        <f t="shared" ref="N216:W216" si="69">N213-SUM(N214:N215)</f>
        <v>298563.21999971871</v>
      </c>
      <c r="O216" s="33">
        <f t="shared" si="69"/>
        <v>684259.2</v>
      </c>
      <c r="P216" s="33">
        <f t="shared" si="69"/>
        <v>0</v>
      </c>
      <c r="Q216" s="33">
        <f t="shared" si="69"/>
        <v>0</v>
      </c>
      <c r="R216" s="33">
        <f t="shared" si="69"/>
        <v>0</v>
      </c>
      <c r="S216" s="33">
        <f t="shared" si="69"/>
        <v>0</v>
      </c>
      <c r="T216" s="33">
        <f t="shared" si="69"/>
        <v>0</v>
      </c>
      <c r="U216" s="33">
        <f t="shared" si="69"/>
        <v>0</v>
      </c>
      <c r="V216" s="33">
        <f t="shared" si="69"/>
        <v>0</v>
      </c>
      <c r="W216" s="33">
        <f t="shared" si="69"/>
        <v>0</v>
      </c>
      <c r="X216" s="17"/>
      <c r="Y216" s="17"/>
      <c r="Z216" s="11"/>
      <c r="AA216" s="16"/>
      <c r="AB216" s="7"/>
      <c r="AC216" s="7"/>
      <c r="AF216" s="7"/>
      <c r="AH216" s="7"/>
    </row>
    <row r="217" spans="1:34" s="21" customFormat="1" ht="160.15" customHeight="1" x14ac:dyDescent="1.35">
      <c r="A217" s="4"/>
      <c r="C217" s="454">
        <v>2</v>
      </c>
      <c r="D217" s="456" t="s">
        <v>10</v>
      </c>
      <c r="E217" s="48" t="s">
        <v>4</v>
      </c>
      <c r="F217" s="46">
        <v>415</v>
      </c>
      <c r="G217" s="46">
        <v>776702862.11999893</v>
      </c>
      <c r="H217" s="46">
        <v>778355329.75999641</v>
      </c>
      <c r="I217" s="46">
        <v>776553473.00999916</v>
      </c>
      <c r="J217" s="46">
        <v>401335.66000000009</v>
      </c>
      <c r="K217" s="47">
        <f>I217/H217</f>
        <v>0.99768504604374864</v>
      </c>
      <c r="L217" s="36">
        <v>1801856.45</v>
      </c>
      <c r="M217" s="41">
        <f t="shared" ref="M217:W217" si="70">M22</f>
        <v>260280.26</v>
      </c>
      <c r="N217" s="41">
        <f t="shared" si="70"/>
        <v>84418.14</v>
      </c>
      <c r="O217" s="41">
        <f t="shared" si="70"/>
        <v>175862.12</v>
      </c>
      <c r="P217" s="41">
        <f t="shared" si="70"/>
        <v>0</v>
      </c>
      <c r="Q217" s="41">
        <f t="shared" si="70"/>
        <v>0</v>
      </c>
      <c r="R217" s="41">
        <f t="shared" si="70"/>
        <v>0</v>
      </c>
      <c r="S217" s="41">
        <f t="shared" si="70"/>
        <v>0</v>
      </c>
      <c r="T217" s="41">
        <f t="shared" si="70"/>
        <v>0</v>
      </c>
      <c r="U217" s="41">
        <f t="shared" si="70"/>
        <v>0</v>
      </c>
      <c r="V217" s="41">
        <f t="shared" si="70"/>
        <v>0</v>
      </c>
      <c r="W217" s="41">
        <f t="shared" si="70"/>
        <v>0</v>
      </c>
      <c r="X217" s="17"/>
      <c r="Y217" s="17"/>
      <c r="Z217" s="11"/>
      <c r="AA217" s="16"/>
      <c r="AB217" s="7"/>
      <c r="AC217" s="7"/>
      <c r="AF217" s="7"/>
      <c r="AH217" s="7"/>
    </row>
    <row r="218" spans="1:34" s="21" customFormat="1" ht="160.15" customHeight="1" x14ac:dyDescent="1.35">
      <c r="A218" s="4"/>
      <c r="C218" s="454"/>
      <c r="D218" s="457"/>
      <c r="E218" s="53" t="s">
        <v>3</v>
      </c>
      <c r="F218" s="50">
        <v>0</v>
      </c>
      <c r="G218" s="40">
        <v>0</v>
      </c>
      <c r="H218" s="40">
        <v>0</v>
      </c>
      <c r="I218" s="40">
        <v>0</v>
      </c>
      <c r="J218" s="40">
        <v>0</v>
      </c>
      <c r="K218" s="42">
        <f>IFERROR(I218/H218,0)</f>
        <v>0</v>
      </c>
      <c r="L218" s="45">
        <f>H218-I218</f>
        <v>0</v>
      </c>
      <c r="M218" s="41">
        <f>IF(G218-(H218+J218)&gt;0,G218-(H218+J218),0)</f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>
        <v>0</v>
      </c>
      <c r="W218" s="40">
        <v>0</v>
      </c>
      <c r="X218" s="17"/>
      <c r="Y218" s="17"/>
      <c r="Z218" s="11"/>
      <c r="AA218" s="16"/>
      <c r="AB218" s="7"/>
      <c r="AC218" s="7"/>
      <c r="AF218" s="7"/>
      <c r="AH218" s="7"/>
    </row>
    <row r="219" spans="1:34" s="21" customFormat="1" ht="235.15" customHeight="1" x14ac:dyDescent="1.35">
      <c r="A219" s="4"/>
      <c r="C219" s="454"/>
      <c r="D219" s="457"/>
      <c r="E219" s="54" t="s">
        <v>2</v>
      </c>
      <c r="F219" s="40">
        <v>0</v>
      </c>
      <c r="G219" s="40">
        <v>0</v>
      </c>
      <c r="H219" s="40">
        <v>0</v>
      </c>
      <c r="I219" s="40">
        <v>0</v>
      </c>
      <c r="J219" s="40">
        <v>0</v>
      </c>
      <c r="K219" s="42">
        <f>IFERROR(I219/H219,0)</f>
        <v>0</v>
      </c>
      <c r="L219" s="40">
        <f>H219-I219</f>
        <v>0</v>
      </c>
      <c r="M219" s="41">
        <f>IF(G219-(H219+J219)&gt;0,G219-(H219+J219),0)</f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>
        <v>0</v>
      </c>
      <c r="W219" s="40">
        <v>0</v>
      </c>
      <c r="X219" s="17"/>
      <c r="Y219" s="17"/>
      <c r="Z219" s="11"/>
      <c r="AA219" s="16"/>
      <c r="AB219" s="7"/>
      <c r="AC219" s="7"/>
      <c r="AF219" s="7"/>
      <c r="AH219" s="7"/>
    </row>
    <row r="220" spans="1:34" s="21" customFormat="1" ht="160.15" customHeight="1" x14ac:dyDescent="1.35">
      <c r="A220" s="4"/>
      <c r="C220" s="455"/>
      <c r="D220" s="458"/>
      <c r="E220" s="53" t="s">
        <v>1</v>
      </c>
      <c r="F220" s="50">
        <f>F217-SUM(F218:F219)</f>
        <v>415</v>
      </c>
      <c r="G220" s="50">
        <f>G217-SUM(G218:G219)</f>
        <v>776702862.11999893</v>
      </c>
      <c r="H220" s="50">
        <f>H217-SUM(H218:H219)</f>
        <v>778355329.75999641</v>
      </c>
      <c r="I220" s="50">
        <f>I217-SUM(I218:I219)</f>
        <v>776553473.00999916</v>
      </c>
      <c r="J220" s="40">
        <f>J217-SUM(J218:J219)</f>
        <v>401335.66000000009</v>
      </c>
      <c r="K220" s="52">
        <f>I220/H220</f>
        <v>0.99768504604374864</v>
      </c>
      <c r="L220" s="40">
        <f t="shared" ref="L220:W220" si="71">L217-SUM(L218:L219)</f>
        <v>1801856.45</v>
      </c>
      <c r="M220" s="51">
        <f t="shared" si="71"/>
        <v>260280.26</v>
      </c>
      <c r="N220" s="50">
        <f t="shared" si="71"/>
        <v>84418.14</v>
      </c>
      <c r="O220" s="50">
        <f t="shared" si="71"/>
        <v>175862.12</v>
      </c>
      <c r="P220" s="50">
        <f t="shared" si="71"/>
        <v>0</v>
      </c>
      <c r="Q220" s="50">
        <f t="shared" si="71"/>
        <v>0</v>
      </c>
      <c r="R220" s="50">
        <f t="shared" si="71"/>
        <v>0</v>
      </c>
      <c r="S220" s="50">
        <f t="shared" si="71"/>
        <v>0</v>
      </c>
      <c r="T220" s="50">
        <f t="shared" si="71"/>
        <v>0</v>
      </c>
      <c r="U220" s="50">
        <f t="shared" si="71"/>
        <v>0</v>
      </c>
      <c r="V220" s="50">
        <f t="shared" si="71"/>
        <v>0</v>
      </c>
      <c r="W220" s="50">
        <f t="shared" si="71"/>
        <v>0</v>
      </c>
      <c r="X220" s="17"/>
      <c r="Y220" s="17"/>
      <c r="Z220" s="11"/>
      <c r="AA220" s="16"/>
      <c r="AB220" s="7"/>
      <c r="AC220" s="7"/>
      <c r="AF220" s="7"/>
      <c r="AH220" s="7"/>
    </row>
    <row r="221" spans="1:34" s="21" customFormat="1" ht="160.15" customHeight="1" x14ac:dyDescent="1.35">
      <c r="A221" s="4" t="s">
        <v>9</v>
      </c>
      <c r="C221" s="459">
        <v>3</v>
      </c>
      <c r="D221" s="461" t="s">
        <v>8</v>
      </c>
      <c r="E221" s="38" t="s">
        <v>4</v>
      </c>
      <c r="F221" s="36">
        <v>782</v>
      </c>
      <c r="G221" s="36">
        <v>803025253.47000039</v>
      </c>
      <c r="H221" s="36">
        <v>801210399.87000132</v>
      </c>
      <c r="I221" s="36">
        <v>799332553.74000001</v>
      </c>
      <c r="J221" s="36">
        <v>370493.67000000103</v>
      </c>
      <c r="K221" s="37">
        <f>IFERROR(I221/H221,"-")</f>
        <v>0.99765623844834517</v>
      </c>
      <c r="L221" s="36">
        <v>1877845.9400000002</v>
      </c>
      <c r="M221" s="30">
        <f>G221-(H221+J221)</f>
        <v>1444359.9299991131</v>
      </c>
      <c r="N221" s="36">
        <f t="shared" ref="N221:W221" si="72">SUM(N18:N19)</f>
        <v>737984.32999911311</v>
      </c>
      <c r="O221" s="36">
        <f t="shared" si="72"/>
        <v>340979.6</v>
      </c>
      <c r="P221" s="36">
        <f t="shared" si="72"/>
        <v>365396</v>
      </c>
      <c r="Q221" s="36">
        <f t="shared" si="72"/>
        <v>0</v>
      </c>
      <c r="R221" s="36">
        <f t="shared" si="72"/>
        <v>0</v>
      </c>
      <c r="S221" s="36">
        <f t="shared" si="72"/>
        <v>0</v>
      </c>
      <c r="T221" s="36">
        <f t="shared" si="72"/>
        <v>0</v>
      </c>
      <c r="U221" s="36">
        <f t="shared" si="72"/>
        <v>0</v>
      </c>
      <c r="V221" s="36">
        <f t="shared" si="72"/>
        <v>0</v>
      </c>
      <c r="W221" s="36">
        <f t="shared" si="72"/>
        <v>0</v>
      </c>
      <c r="X221" s="17"/>
      <c r="Y221" s="17"/>
      <c r="Z221" s="11"/>
      <c r="AA221" s="16"/>
      <c r="AB221" s="7"/>
      <c r="AC221" s="7"/>
      <c r="AF221" s="7"/>
      <c r="AH221" s="7"/>
    </row>
    <row r="222" spans="1:34" s="21" customFormat="1" ht="160.15" customHeight="1" x14ac:dyDescent="1.35">
      <c r="A222" s="4" t="s">
        <v>7</v>
      </c>
      <c r="C222" s="459"/>
      <c r="D222" s="462"/>
      <c r="E222" s="35" t="s">
        <v>3</v>
      </c>
      <c r="F222" s="33">
        <v>4</v>
      </c>
      <c r="G222" s="33">
        <v>3893501.08</v>
      </c>
      <c r="H222" s="33">
        <v>3893500.9600000009</v>
      </c>
      <c r="I222" s="33">
        <v>2456373.54</v>
      </c>
      <c r="J222" s="33">
        <v>0</v>
      </c>
      <c r="K222" s="34">
        <f>IFERROR(I222/H222,0)</f>
        <v>0.63089069843198387</v>
      </c>
      <c r="L222" s="33">
        <f>H222-I222</f>
        <v>1437127.4200000009</v>
      </c>
      <c r="M222" s="30">
        <f>IF(G222-(H222+J222)&gt;0,G222-(H222+J222),0)</f>
        <v>0.11999999918043613</v>
      </c>
      <c r="N222" s="33">
        <v>0</v>
      </c>
      <c r="O222" s="33">
        <v>0</v>
      </c>
      <c r="P222" s="33">
        <v>0</v>
      </c>
      <c r="Q222" s="33">
        <v>0</v>
      </c>
      <c r="R222" s="33">
        <v>0</v>
      </c>
      <c r="S222" s="33">
        <v>0</v>
      </c>
      <c r="T222" s="33">
        <v>0</v>
      </c>
      <c r="U222" s="33">
        <v>0</v>
      </c>
      <c r="V222" s="33">
        <v>0</v>
      </c>
      <c r="W222" s="33">
        <v>0</v>
      </c>
      <c r="X222" s="17"/>
      <c r="Y222" s="17"/>
      <c r="Z222" s="11"/>
      <c r="AA222" s="16"/>
      <c r="AB222" s="7"/>
      <c r="AC222" s="7"/>
      <c r="AF222" s="7"/>
      <c r="AH222" s="7"/>
    </row>
    <row r="223" spans="1:34" s="21" customFormat="1" ht="251.65" customHeight="1" x14ac:dyDescent="1.35">
      <c r="A223" s="4"/>
      <c r="C223" s="459"/>
      <c r="D223" s="462"/>
      <c r="E223" s="35" t="s">
        <v>2</v>
      </c>
      <c r="F223" s="33">
        <v>1</v>
      </c>
      <c r="G223" s="33">
        <v>833060.7</v>
      </c>
      <c r="H223" s="33">
        <v>833060.7</v>
      </c>
      <c r="I223" s="33">
        <v>833060.7</v>
      </c>
      <c r="J223" s="33">
        <v>0</v>
      </c>
      <c r="K223" s="34">
        <f>IFERROR(I223/H223,0)</f>
        <v>1</v>
      </c>
      <c r="L223" s="33">
        <f>H223-I223</f>
        <v>0</v>
      </c>
      <c r="M223" s="30">
        <f>IF(G223-(H223+J223)&gt;0,G223-(H223+J223),0)</f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17"/>
      <c r="Y223" s="17"/>
      <c r="Z223" s="11"/>
      <c r="AA223" s="16"/>
      <c r="AB223" s="7"/>
      <c r="AC223" s="7"/>
      <c r="AF223" s="7"/>
      <c r="AH223" s="7"/>
    </row>
    <row r="224" spans="1:34" s="21" customFormat="1" ht="160.15" customHeight="1" x14ac:dyDescent="1.35">
      <c r="A224" s="4"/>
      <c r="C224" s="460"/>
      <c r="D224" s="465"/>
      <c r="E224" s="49" t="s">
        <v>1</v>
      </c>
      <c r="F224" s="33">
        <f>F221-SUM(F222:F223)</f>
        <v>777</v>
      </c>
      <c r="G224" s="33">
        <f>G221-SUM(G222:G223)</f>
        <v>798298691.69000041</v>
      </c>
      <c r="H224" s="33">
        <f>H221-SUM(H222:H223)</f>
        <v>796483838.21000135</v>
      </c>
      <c r="I224" s="33">
        <f>I221-SUM(I222:I223)</f>
        <v>796043119.5</v>
      </c>
      <c r="J224" s="33">
        <f>J221-SUM(J222:J223)</f>
        <v>370493.67000000103</v>
      </c>
      <c r="K224" s="34">
        <f>I224/H224</f>
        <v>0.99944666961354567</v>
      </c>
      <c r="L224" s="33">
        <f t="shared" ref="L224:W224" si="73">L221-SUM(L222:L223)</f>
        <v>440718.51999999932</v>
      </c>
      <c r="M224" s="30">
        <f t="shared" si="73"/>
        <v>1444359.8099991139</v>
      </c>
      <c r="N224" s="33">
        <f t="shared" si="73"/>
        <v>737984.32999911311</v>
      </c>
      <c r="O224" s="33">
        <f t="shared" si="73"/>
        <v>340979.6</v>
      </c>
      <c r="P224" s="33">
        <f t="shared" si="73"/>
        <v>365396</v>
      </c>
      <c r="Q224" s="33">
        <f t="shared" si="73"/>
        <v>0</v>
      </c>
      <c r="R224" s="33">
        <f t="shared" si="73"/>
        <v>0</v>
      </c>
      <c r="S224" s="33">
        <f t="shared" si="73"/>
        <v>0</v>
      </c>
      <c r="T224" s="33">
        <f t="shared" si="73"/>
        <v>0</v>
      </c>
      <c r="U224" s="33">
        <f t="shared" si="73"/>
        <v>0</v>
      </c>
      <c r="V224" s="33">
        <f t="shared" si="73"/>
        <v>0</v>
      </c>
      <c r="W224" s="33">
        <f t="shared" si="73"/>
        <v>0</v>
      </c>
      <c r="X224" s="17"/>
      <c r="Y224" s="17"/>
      <c r="Z224" s="11"/>
      <c r="AA224" s="16"/>
      <c r="AB224" s="7"/>
      <c r="AC224" s="7"/>
      <c r="AF224" s="7"/>
      <c r="AH224" s="7"/>
    </row>
    <row r="225" spans="1:47" s="21" customFormat="1" ht="160.15" customHeight="1" x14ac:dyDescent="1.35">
      <c r="A225" s="4"/>
      <c r="C225" s="454">
        <v>4</v>
      </c>
      <c r="D225" s="456" t="s">
        <v>6</v>
      </c>
      <c r="E225" s="48" t="s">
        <v>4</v>
      </c>
      <c r="F225" s="46">
        <v>438</v>
      </c>
      <c r="G225" s="46">
        <v>797988715.11999989</v>
      </c>
      <c r="H225" s="46">
        <v>798746446.85000002</v>
      </c>
      <c r="I225" s="46">
        <v>797694530.77999938</v>
      </c>
      <c r="J225" s="46">
        <v>0.19000000000000003</v>
      </c>
      <c r="K225" s="47">
        <f>I225/H225</f>
        <v>0.99868304131536478</v>
      </c>
      <c r="L225" s="36">
        <v>1051915.9399999997</v>
      </c>
      <c r="M225" s="41">
        <f t="shared" ref="M225:W225" si="74">M24</f>
        <v>1102957.97</v>
      </c>
      <c r="N225" s="46">
        <f t="shared" si="74"/>
        <v>940818.89999999991</v>
      </c>
      <c r="O225" s="46">
        <f t="shared" si="74"/>
        <v>162139.07</v>
      </c>
      <c r="P225" s="46">
        <f t="shared" si="74"/>
        <v>0</v>
      </c>
      <c r="Q225" s="46">
        <f t="shared" si="74"/>
        <v>0</v>
      </c>
      <c r="R225" s="46">
        <f t="shared" si="74"/>
        <v>0</v>
      </c>
      <c r="S225" s="46">
        <f t="shared" si="74"/>
        <v>0</v>
      </c>
      <c r="T225" s="46">
        <f t="shared" si="74"/>
        <v>0</v>
      </c>
      <c r="U225" s="46">
        <f t="shared" si="74"/>
        <v>0</v>
      </c>
      <c r="V225" s="46">
        <f t="shared" si="74"/>
        <v>0</v>
      </c>
      <c r="W225" s="46">
        <f t="shared" si="74"/>
        <v>0</v>
      </c>
      <c r="X225" s="17"/>
      <c r="Y225" s="17"/>
      <c r="Z225" s="11"/>
      <c r="AA225" s="16"/>
      <c r="AB225" s="7"/>
      <c r="AC225" s="7"/>
      <c r="AF225" s="7"/>
      <c r="AH225" s="7"/>
      <c r="AU225" s="33"/>
    </row>
    <row r="226" spans="1:47" s="21" customFormat="1" ht="160.15" customHeight="1" x14ac:dyDescent="1.35">
      <c r="A226" s="4"/>
      <c r="C226" s="454"/>
      <c r="D226" s="457"/>
      <c r="E226" s="44" t="s">
        <v>3</v>
      </c>
      <c r="F226" s="40">
        <v>1</v>
      </c>
      <c r="G226" s="40">
        <v>2138753</v>
      </c>
      <c r="H226" s="40">
        <v>2138753</v>
      </c>
      <c r="I226" s="40">
        <v>1769064.75</v>
      </c>
      <c r="J226" s="40">
        <v>0</v>
      </c>
      <c r="K226" s="42">
        <f>IFERROR(I226/H226,0)</f>
        <v>0.82714775853032119</v>
      </c>
      <c r="L226" s="45">
        <f>H226-I226</f>
        <v>369688.25</v>
      </c>
      <c r="M226" s="41">
        <f>SUM(N226:W226)</f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>
        <v>0</v>
      </c>
      <c r="W226" s="40">
        <v>0</v>
      </c>
      <c r="X226" s="17"/>
      <c r="Y226" s="17"/>
      <c r="Z226" s="11"/>
      <c r="AA226" s="16"/>
      <c r="AB226" s="7"/>
      <c r="AC226" s="7"/>
      <c r="AF226" s="7"/>
      <c r="AH226" s="7"/>
    </row>
    <row r="227" spans="1:47" s="21" customFormat="1" ht="160.15" customHeight="1" x14ac:dyDescent="1.35">
      <c r="A227" s="4"/>
      <c r="C227" s="454"/>
      <c r="D227" s="457"/>
      <c r="E227" s="44" t="s">
        <v>2</v>
      </c>
      <c r="F227" s="40">
        <v>0</v>
      </c>
      <c r="G227" s="40">
        <v>0</v>
      </c>
      <c r="H227" s="40">
        <v>0</v>
      </c>
      <c r="I227" s="40">
        <v>0</v>
      </c>
      <c r="J227" s="40">
        <v>0</v>
      </c>
      <c r="K227" s="42">
        <f>IFERROR(I227/H227,0)</f>
        <v>0</v>
      </c>
      <c r="L227" s="40">
        <f>H227-I227</f>
        <v>0</v>
      </c>
      <c r="M227" s="41">
        <f>G227-(H227+J227)</f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>
        <v>0</v>
      </c>
      <c r="W227" s="40">
        <v>0</v>
      </c>
      <c r="X227" s="17"/>
      <c r="Y227" s="17"/>
      <c r="Z227" s="11"/>
      <c r="AA227" s="16"/>
      <c r="AB227" s="7"/>
      <c r="AC227" s="7"/>
      <c r="AF227" s="7"/>
      <c r="AH227" s="7"/>
    </row>
    <row r="228" spans="1:47" s="21" customFormat="1" ht="160.15" customHeight="1" x14ac:dyDescent="1.35">
      <c r="A228" s="4"/>
      <c r="C228" s="455"/>
      <c r="D228" s="458"/>
      <c r="E228" s="43" t="s">
        <v>1</v>
      </c>
      <c r="F228" s="40">
        <f>F225-SUM(F226:F227)</f>
        <v>437</v>
      </c>
      <c r="G228" s="40">
        <f>G225-SUM(G226:G227)</f>
        <v>795849962.11999989</v>
      </c>
      <c r="H228" s="40">
        <f>H225-SUM(H226:H227)</f>
        <v>796607693.85000002</v>
      </c>
      <c r="I228" s="40">
        <f>I225-SUM(I226:I227)</f>
        <v>795925466.02999938</v>
      </c>
      <c r="J228" s="40">
        <f>J225-SUM(J226:J227)</f>
        <v>0.19000000000000003</v>
      </c>
      <c r="K228" s="42">
        <f>I228/H228</f>
        <v>0.99914358369211398</v>
      </c>
      <c r="L228" s="40">
        <f>H228-I228</f>
        <v>682227.8200006485</v>
      </c>
      <c r="M228" s="41">
        <f>SUM(N228:R228)</f>
        <v>1102957.97</v>
      </c>
      <c r="N228" s="40">
        <f t="shared" ref="N228:W228" si="75">N225-SUM(N226:N227)</f>
        <v>940818.89999999991</v>
      </c>
      <c r="O228" s="40">
        <f t="shared" si="75"/>
        <v>162139.07</v>
      </c>
      <c r="P228" s="40">
        <f t="shared" si="75"/>
        <v>0</v>
      </c>
      <c r="Q228" s="40">
        <f t="shared" si="75"/>
        <v>0</v>
      </c>
      <c r="R228" s="40">
        <f t="shared" si="75"/>
        <v>0</v>
      </c>
      <c r="S228" s="40">
        <f t="shared" si="75"/>
        <v>0</v>
      </c>
      <c r="T228" s="40">
        <f t="shared" si="75"/>
        <v>0</v>
      </c>
      <c r="U228" s="40">
        <f t="shared" si="75"/>
        <v>0</v>
      </c>
      <c r="V228" s="40">
        <f t="shared" si="75"/>
        <v>0</v>
      </c>
      <c r="W228" s="40">
        <f t="shared" si="75"/>
        <v>0</v>
      </c>
      <c r="X228" s="17"/>
      <c r="Y228" s="17"/>
      <c r="Z228" s="11"/>
      <c r="AA228" s="16"/>
      <c r="AB228" s="7"/>
      <c r="AC228" s="7"/>
      <c r="AF228" s="7"/>
      <c r="AH228" s="7"/>
    </row>
    <row r="229" spans="1:47" s="21" customFormat="1" ht="160.15" customHeight="1" x14ac:dyDescent="1.35">
      <c r="A229" s="4"/>
      <c r="C229" s="459">
        <v>5</v>
      </c>
      <c r="D229" s="461" t="s">
        <v>5</v>
      </c>
      <c r="E229" s="38" t="s">
        <v>4</v>
      </c>
      <c r="F229" s="36">
        <v>600</v>
      </c>
      <c r="G229" s="36">
        <v>793673521.40999985</v>
      </c>
      <c r="H229" s="36">
        <v>794923048.28999949</v>
      </c>
      <c r="I229" s="36">
        <v>793964919.89999998</v>
      </c>
      <c r="J229" s="36">
        <v>0.22000000000000003</v>
      </c>
      <c r="K229" s="37">
        <f>I229/H229</f>
        <v>0.99879469038913815</v>
      </c>
      <c r="L229" s="36">
        <v>958128.30999999994</v>
      </c>
      <c r="M229" s="30">
        <f>SUM(N229:N229)</f>
        <v>0</v>
      </c>
      <c r="N229" s="36">
        <f t="shared" ref="N229:W229" si="76">N23</f>
        <v>0</v>
      </c>
      <c r="O229" s="36">
        <f t="shared" si="76"/>
        <v>0</v>
      </c>
      <c r="P229" s="36">
        <f t="shared" si="76"/>
        <v>0</v>
      </c>
      <c r="Q229" s="36">
        <f t="shared" si="76"/>
        <v>0</v>
      </c>
      <c r="R229" s="36">
        <f t="shared" si="76"/>
        <v>0</v>
      </c>
      <c r="S229" s="36">
        <f t="shared" si="76"/>
        <v>0</v>
      </c>
      <c r="T229" s="36">
        <f t="shared" si="76"/>
        <v>0</v>
      </c>
      <c r="U229" s="36">
        <f t="shared" si="76"/>
        <v>0</v>
      </c>
      <c r="V229" s="36">
        <f t="shared" si="76"/>
        <v>0</v>
      </c>
      <c r="W229" s="36">
        <f t="shared" si="76"/>
        <v>0</v>
      </c>
      <c r="X229" s="17"/>
      <c r="Y229" s="17"/>
      <c r="Z229" s="11"/>
      <c r="AA229" s="16"/>
      <c r="AB229" s="7"/>
      <c r="AC229" s="7"/>
      <c r="AF229" s="7"/>
      <c r="AH229" s="7"/>
    </row>
    <row r="230" spans="1:47" s="21" customFormat="1" ht="160.15" customHeight="1" x14ac:dyDescent="1.35">
      <c r="A230" s="4"/>
      <c r="C230" s="459"/>
      <c r="D230" s="462"/>
      <c r="E230" s="35" t="s">
        <v>3</v>
      </c>
      <c r="F230" s="33">
        <v>1</v>
      </c>
      <c r="G230" s="33">
        <v>1650000</v>
      </c>
      <c r="H230" s="33">
        <v>1650000</v>
      </c>
      <c r="I230" s="33">
        <v>1443749.8</v>
      </c>
      <c r="J230" s="33">
        <v>0</v>
      </c>
      <c r="K230" s="34">
        <f>IFERROR(I230/H230,0)</f>
        <v>0.87499987878787877</v>
      </c>
      <c r="L230" s="33">
        <f>H230-I230</f>
        <v>206250.19999999995</v>
      </c>
      <c r="M230" s="30">
        <f>MAX(0,G230-(H230+J230))</f>
        <v>0</v>
      </c>
      <c r="N230" s="33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17"/>
      <c r="Y230" s="17"/>
      <c r="Z230" s="11"/>
      <c r="AA230" s="16"/>
      <c r="AB230" s="7"/>
      <c r="AC230" s="7"/>
      <c r="AF230" s="7"/>
      <c r="AH230" s="7"/>
    </row>
    <row r="231" spans="1:47" s="21" customFormat="1" ht="251.65" customHeight="1" x14ac:dyDescent="1.35">
      <c r="A231" s="4"/>
      <c r="C231" s="459"/>
      <c r="D231" s="462"/>
      <c r="E231" s="35" t="s">
        <v>2</v>
      </c>
      <c r="F231" s="33">
        <v>1</v>
      </c>
      <c r="G231" s="33">
        <v>1075000</v>
      </c>
      <c r="H231" s="33">
        <v>1075000</v>
      </c>
      <c r="I231" s="33">
        <v>1075000</v>
      </c>
      <c r="J231" s="33">
        <v>0</v>
      </c>
      <c r="K231" s="34">
        <f>IFERROR(I231/H231,0)</f>
        <v>1</v>
      </c>
      <c r="L231" s="33">
        <f>H231-I231</f>
        <v>0</v>
      </c>
      <c r="M231" s="30">
        <f>MAX(0,G231-(H231+J231))</f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17"/>
      <c r="Y231" s="17"/>
      <c r="Z231" s="11"/>
      <c r="AA231" s="16"/>
      <c r="AB231" s="7"/>
      <c r="AC231" s="7"/>
      <c r="AF231" s="7"/>
      <c r="AH231" s="7"/>
    </row>
    <row r="232" spans="1:47" s="21" customFormat="1" ht="160.15" customHeight="1" x14ac:dyDescent="1.35">
      <c r="A232" s="4"/>
      <c r="C232" s="460"/>
      <c r="D232" s="463"/>
      <c r="E232" s="32" t="s">
        <v>1</v>
      </c>
      <c r="F232" s="29">
        <f>F229-SUM(F230:F231)</f>
        <v>598</v>
      </c>
      <c r="G232" s="29">
        <f>G229-SUM(G230:G231)</f>
        <v>790948521.40999985</v>
      </c>
      <c r="H232" s="29">
        <f>H229-SUM(H230:H231)</f>
        <v>792198048.28999949</v>
      </c>
      <c r="I232" s="29">
        <f>I229-SUM(I230:I231)</f>
        <v>791446170.10000002</v>
      </c>
      <c r="J232" s="29">
        <f>J229-SUM(J230:J231)</f>
        <v>0.22000000000000003</v>
      </c>
      <c r="K232" s="31">
        <f>I232/H232</f>
        <v>0.99905089618483356</v>
      </c>
      <c r="L232" s="29">
        <f>H232-I232</f>
        <v>751878.18999946117</v>
      </c>
      <c r="M232" s="30">
        <f>SUM(N232:N232)</f>
        <v>0</v>
      </c>
      <c r="N232" s="29">
        <f t="shared" ref="N232:W232" si="77">N229-SUM(N230:N231)</f>
        <v>0</v>
      </c>
      <c r="O232" s="29">
        <f t="shared" si="77"/>
        <v>0</v>
      </c>
      <c r="P232" s="29">
        <f t="shared" si="77"/>
        <v>0</v>
      </c>
      <c r="Q232" s="29">
        <f t="shared" si="77"/>
        <v>0</v>
      </c>
      <c r="R232" s="29">
        <f t="shared" si="77"/>
        <v>0</v>
      </c>
      <c r="S232" s="29">
        <f t="shared" si="77"/>
        <v>0</v>
      </c>
      <c r="T232" s="29">
        <f t="shared" si="77"/>
        <v>0</v>
      </c>
      <c r="U232" s="29">
        <f t="shared" si="77"/>
        <v>0</v>
      </c>
      <c r="V232" s="29">
        <f t="shared" si="77"/>
        <v>0</v>
      </c>
      <c r="W232" s="29">
        <f t="shared" si="77"/>
        <v>0</v>
      </c>
      <c r="X232" s="17"/>
      <c r="Y232" s="17"/>
      <c r="Z232" s="11"/>
      <c r="AA232" s="16"/>
      <c r="AB232" s="7"/>
      <c r="AC232" s="7"/>
      <c r="AF232" s="7"/>
      <c r="AH232" s="7"/>
    </row>
    <row r="233" spans="1:47" s="21" customFormat="1" ht="180" customHeight="1" x14ac:dyDescent="1.35">
      <c r="A233" s="4"/>
      <c r="C233" s="28"/>
      <c r="D233" s="27" t="s">
        <v>0</v>
      </c>
      <c r="E233" s="27"/>
      <c r="F233" s="26">
        <f>SUM(F213,F217,F221,F229,F225)</f>
        <v>3015</v>
      </c>
      <c r="G233" s="26">
        <f>SUM(G213,G217,G221,G229,G225)</f>
        <v>4006004221.2899985</v>
      </c>
      <c r="H233" s="26">
        <f>SUM(H213,H217,H221,H229,H225)</f>
        <v>4007017635.0699978</v>
      </c>
      <c r="I233" s="26">
        <f>SUM(I213,I217,I221,I229,I225)</f>
        <v>4000615599.5199986</v>
      </c>
      <c r="J233" s="26">
        <f>SUM(J213,J217,J221,J229,J225)</f>
        <v>774379.14000000106</v>
      </c>
      <c r="K233" s="25">
        <f>I233/H233</f>
        <v>0.99840229414166592</v>
      </c>
      <c r="L233" s="24">
        <f t="shared" ref="L233:W233" si="78">SUM(L213,L217,L221,L229,L225)</f>
        <v>6402034.8099999996</v>
      </c>
      <c r="M233" s="23">
        <f t="shared" si="78"/>
        <v>3790420.5799988313</v>
      </c>
      <c r="N233" s="22">
        <f t="shared" si="78"/>
        <v>2061784.5899988317</v>
      </c>
      <c r="O233" s="22">
        <f t="shared" si="78"/>
        <v>1363239.99</v>
      </c>
      <c r="P233" s="22">
        <f t="shared" si="78"/>
        <v>365396</v>
      </c>
      <c r="Q233" s="22">
        <f t="shared" si="78"/>
        <v>0</v>
      </c>
      <c r="R233" s="22">
        <f t="shared" si="78"/>
        <v>0</v>
      </c>
      <c r="S233" s="22">
        <f t="shared" si="78"/>
        <v>0</v>
      </c>
      <c r="T233" s="22">
        <f t="shared" si="78"/>
        <v>0</v>
      </c>
      <c r="U233" s="22">
        <f t="shared" si="78"/>
        <v>0</v>
      </c>
      <c r="V233" s="22">
        <f t="shared" si="78"/>
        <v>0</v>
      </c>
      <c r="W233" s="22">
        <f t="shared" si="78"/>
        <v>0</v>
      </c>
      <c r="X233" s="17"/>
      <c r="Y233" s="17"/>
      <c r="Z233" s="11"/>
      <c r="AA233" s="16"/>
      <c r="AB233" s="7"/>
      <c r="AC233" s="7"/>
      <c r="AF233" s="7"/>
      <c r="AH233" s="7"/>
    </row>
    <row r="234" spans="1:47" ht="54.75" customHeight="1" x14ac:dyDescent="1.35">
      <c r="D234" s="20"/>
      <c r="F234" s="18"/>
      <c r="G234" s="18"/>
      <c r="H234" s="18"/>
      <c r="I234" s="18"/>
      <c r="J234" s="18"/>
      <c r="K234" s="19"/>
      <c r="L234" s="18"/>
      <c r="M234" s="18"/>
      <c r="N234" s="18"/>
      <c r="O234" s="18"/>
      <c r="Q234" s="18"/>
      <c r="R234" s="18"/>
      <c r="Y234" s="17"/>
      <c r="Z234" s="11"/>
      <c r="AA234" s="16"/>
      <c r="AB234" s="7"/>
      <c r="AC234" s="7"/>
      <c r="AF234" s="7"/>
      <c r="AH234" s="7"/>
    </row>
    <row r="235" spans="1:47" ht="56.5" x14ac:dyDescent="1.25">
      <c r="G235" s="9">
        <v>88269028878.389359</v>
      </c>
      <c r="H235" s="9">
        <v>44534955019.019577</v>
      </c>
      <c r="I235" s="9">
        <v>42373359105.720428</v>
      </c>
      <c r="J235" s="9">
        <v>2800855788.4399805</v>
      </c>
      <c r="Z235" s="11"/>
      <c r="AF235" s="7"/>
      <c r="AH235" s="7"/>
    </row>
    <row r="236" spans="1:47" s="13" customFormat="1" ht="56.5" x14ac:dyDescent="1.25">
      <c r="A236" s="4"/>
      <c r="M236" s="15"/>
      <c r="Y236" s="14"/>
      <c r="Z236" s="11"/>
      <c r="AF236" s="7"/>
      <c r="AH236" s="7"/>
    </row>
    <row r="237" spans="1:47" ht="92" x14ac:dyDescent="2">
      <c r="G237" s="9" cm="1">
        <f t="array" ref="G237:L237">G209:L209</f>
        <v>88269028878.389999</v>
      </c>
      <c r="H237" s="9">
        <v>44267101675.689957</v>
      </c>
      <c r="I237" s="9">
        <v>42373359105.719986</v>
      </c>
      <c r="J237" s="9">
        <v>2800855788.4400001</v>
      </c>
      <c r="K237" s="12">
        <v>0.95722009125774887</v>
      </c>
      <c r="L237" s="9">
        <v>1893779883.21</v>
      </c>
      <c r="M237" s="5"/>
      <c r="Z237" s="11"/>
      <c r="AF237" s="7"/>
      <c r="AH237" s="7"/>
    </row>
    <row r="238" spans="1:47" ht="92" x14ac:dyDescent="2">
      <c r="G238" s="9" cm="1">
        <f t="array" ref="G238:J238">'Overdue-1'!E204:H204</f>
        <v>88269028878.389999</v>
      </c>
      <c r="H238" s="9">
        <v>44267101675.689972</v>
      </c>
      <c r="I238" s="9">
        <v>42373359105.719994</v>
      </c>
      <c r="J238" s="9">
        <v>2800855788.4400001</v>
      </c>
      <c r="L238" s="9">
        <f>'Overdue-1'!O204</f>
        <v>1893779883.2100003</v>
      </c>
      <c r="M238" s="5"/>
      <c r="Z238" s="11"/>
      <c r="AF238" s="7"/>
      <c r="AH238" s="7"/>
    </row>
    <row r="239" spans="1:47" ht="92" x14ac:dyDescent="2">
      <c r="G239" s="9" cm="1">
        <f t="array" ref="G239:J239">'Overdue-2'!E204:H204</f>
        <v>88269028878.389999</v>
      </c>
      <c r="H239" s="9">
        <v>44267101675.689972</v>
      </c>
      <c r="I239" s="9">
        <v>42373359105.719994</v>
      </c>
      <c r="J239" s="9">
        <v>2800855788.4400001</v>
      </c>
      <c r="K239" s="9"/>
      <c r="L239" s="9">
        <f>'Overdue-2'!O204</f>
        <v>1893779883.21</v>
      </c>
      <c r="M239" s="5"/>
      <c r="AF239" s="7"/>
      <c r="AH239" s="7"/>
    </row>
    <row r="240" spans="1:47" ht="92" x14ac:dyDescent="2">
      <c r="I240" s="10"/>
      <c r="L240" s="9">
        <v>1893779883.2100003</v>
      </c>
      <c r="M240" s="5"/>
      <c r="AF240" s="7"/>
      <c r="AH240" s="7"/>
    </row>
    <row r="241" spans="4:34" ht="92" x14ac:dyDescent="2">
      <c r="G241" s="9" t="b">
        <f>AND(G237=G238,G237=G239)</f>
        <v>1</v>
      </c>
      <c r="H241" s="9" t="b">
        <f>AND(H237=H238,H237=H239)</f>
        <v>1</v>
      </c>
      <c r="I241" s="9" t="b">
        <f>AND(I237=I238,I237=I239)</f>
        <v>1</v>
      </c>
      <c r="J241" s="9" t="b">
        <f>AND(J237=J238,J237=J239)</f>
        <v>1</v>
      </c>
      <c r="K241" s="9"/>
      <c r="L241" s="9" t="b">
        <f>AND(L237=L238,L237=L239)</f>
        <v>1</v>
      </c>
      <c r="M241" s="5"/>
      <c r="AF241" s="7"/>
      <c r="AH241" s="7"/>
    </row>
    <row r="242" spans="4:34" ht="92" x14ac:dyDescent="2">
      <c r="D242"/>
      <c r="E242"/>
      <c r="F242"/>
      <c r="G242" s="10"/>
      <c r="H242" s="9">
        <f>H237-H235</f>
        <v>-267853343.32962036</v>
      </c>
      <c r="M242" s="5"/>
      <c r="AF242" s="7"/>
      <c r="AH242" s="7"/>
    </row>
    <row r="243" spans="4:34" ht="92" x14ac:dyDescent="2">
      <c r="D243"/>
      <c r="E243"/>
      <c r="G243" s="8"/>
      <c r="M243" s="5"/>
      <c r="AF243" s="7"/>
      <c r="AH243" s="7"/>
    </row>
    <row r="244" spans="4:34" ht="92" x14ac:dyDescent="2">
      <c r="D244"/>
      <c r="E244"/>
      <c r="M244" s="5"/>
      <c r="N244" s="5"/>
      <c r="AF244" s="7"/>
      <c r="AH244" s="7"/>
    </row>
    <row r="245" spans="4:34" ht="92" x14ac:dyDescent="2">
      <c r="D245"/>
      <c r="E245"/>
      <c r="M245" s="5"/>
      <c r="AF245" s="7"/>
      <c r="AH245" s="7"/>
    </row>
    <row r="246" spans="4:34" ht="92" x14ac:dyDescent="2">
      <c r="D246"/>
      <c r="E246"/>
      <c r="M246" s="5"/>
      <c r="AF246" s="7"/>
      <c r="AH246" s="7"/>
    </row>
    <row r="247" spans="4:34" ht="92" x14ac:dyDescent="2">
      <c r="D247"/>
      <c r="E247"/>
      <c r="M247" s="5"/>
      <c r="AF247" s="7"/>
      <c r="AH247" s="7"/>
    </row>
    <row r="248" spans="4:34" ht="92" x14ac:dyDescent="2">
      <c r="D248"/>
      <c r="E248"/>
      <c r="M248" s="5"/>
      <c r="AF248" s="7"/>
      <c r="AH248" s="7"/>
    </row>
    <row r="249" spans="4:34" ht="92" x14ac:dyDescent="2">
      <c r="D249"/>
      <c r="E249"/>
      <c r="M249" s="5"/>
      <c r="AF249" s="7"/>
      <c r="AH249" s="7"/>
    </row>
    <row r="250" spans="4:34" ht="92" x14ac:dyDescent="2">
      <c r="D250"/>
      <c r="E250"/>
      <c r="M250" s="5"/>
      <c r="AH250" s="7"/>
    </row>
    <row r="251" spans="4:34" ht="92" x14ac:dyDescent="2">
      <c r="D251"/>
      <c r="E251"/>
      <c r="M251" s="5"/>
      <c r="AH251" s="7"/>
    </row>
    <row r="252" spans="4:34" ht="92" x14ac:dyDescent="2">
      <c r="D252"/>
      <c r="E252"/>
      <c r="M252" s="5"/>
      <c r="AH252" s="7"/>
    </row>
    <row r="253" spans="4:34" ht="92" x14ac:dyDescent="2">
      <c r="D253"/>
      <c r="E253"/>
      <c r="M253" s="5"/>
      <c r="AH253" s="7"/>
    </row>
    <row r="254" spans="4:34" ht="92" x14ac:dyDescent="2">
      <c r="D254"/>
      <c r="E254"/>
      <c r="M254" s="5"/>
      <c r="AH254" s="7"/>
    </row>
    <row r="255" spans="4:34" ht="92" x14ac:dyDescent="2">
      <c r="D255"/>
      <c r="E255"/>
      <c r="M255" s="5"/>
      <c r="AH255" s="7"/>
    </row>
    <row r="256" spans="4:34" ht="92" x14ac:dyDescent="2">
      <c r="D256"/>
      <c r="E256"/>
      <c r="M256" s="5"/>
      <c r="AH256" s="7"/>
    </row>
    <row r="257" spans="4:34" ht="92" x14ac:dyDescent="2">
      <c r="D257"/>
      <c r="E257"/>
      <c r="M257" s="5"/>
      <c r="AH257" s="7"/>
    </row>
    <row r="258" spans="4:34" ht="92" x14ac:dyDescent="2">
      <c r="D258"/>
      <c r="E258"/>
      <c r="M258" s="5"/>
      <c r="AH258" s="7"/>
    </row>
    <row r="259" spans="4:34" ht="92" x14ac:dyDescent="2">
      <c r="D259"/>
      <c r="E259"/>
      <c r="M259" s="5"/>
      <c r="AH259" s="7"/>
    </row>
    <row r="260" spans="4:34" ht="92" x14ac:dyDescent="2">
      <c r="M260" s="5"/>
    </row>
    <row r="261" spans="4:34" ht="92" x14ac:dyDescent="2">
      <c r="M261" s="5"/>
    </row>
    <row r="262" spans="4:34" ht="92" x14ac:dyDescent="2">
      <c r="M262" s="5"/>
    </row>
    <row r="263" spans="4:34" ht="35.15" customHeight="1" x14ac:dyDescent="2">
      <c r="M263" s="5"/>
    </row>
    <row r="264" spans="4:34" ht="35.15" customHeight="1" x14ac:dyDescent="2">
      <c r="M264" s="5"/>
    </row>
    <row r="265" spans="4:34" ht="35.15" customHeight="1" x14ac:dyDescent="2">
      <c r="M265" s="5"/>
    </row>
    <row r="266" spans="4:34" ht="35.15" customHeight="1" x14ac:dyDescent="2">
      <c r="I266" s="6"/>
      <c r="J266" s="6"/>
      <c r="K266" s="6"/>
      <c r="M266" s="5"/>
    </row>
    <row r="267" spans="4:34" ht="35.15" customHeight="1" x14ac:dyDescent="2">
      <c r="M267" s="5"/>
    </row>
    <row r="268" spans="4:34" ht="35.15" customHeight="1" x14ac:dyDescent="2">
      <c r="M268" s="5"/>
    </row>
    <row r="269" spans="4:34" ht="35.15" customHeight="1" x14ac:dyDescent="2">
      <c r="M269" s="5"/>
    </row>
    <row r="270" spans="4:34" ht="35.15" customHeight="1" x14ac:dyDescent="2">
      <c r="M270" s="5"/>
    </row>
    <row r="271" spans="4:34" ht="35.15" customHeight="1" x14ac:dyDescent="2">
      <c r="M271" s="5"/>
    </row>
    <row r="272" spans="4:34" ht="35.15" customHeight="1" x14ac:dyDescent="2">
      <c r="M272" s="5"/>
    </row>
    <row r="273" spans="13:13" ht="35.15" customHeight="1" x14ac:dyDescent="2">
      <c r="M273" s="5"/>
    </row>
    <row r="274" spans="13:13" ht="35.15" customHeight="1" x14ac:dyDescent="2">
      <c r="M274" s="5"/>
    </row>
    <row r="275" spans="13:13" ht="35.15" customHeight="1" x14ac:dyDescent="2">
      <c r="M275" s="5"/>
    </row>
    <row r="276" spans="13:13" ht="35.15" customHeight="1" x14ac:dyDescent="1.1000000000000001"/>
    <row r="277" spans="13:13" ht="35.15" customHeight="1" x14ac:dyDescent="1.1000000000000001"/>
    <row r="278" spans="13:13" ht="35.15" customHeight="1" x14ac:dyDescent="1.1000000000000001"/>
    <row r="279" spans="13:13" ht="35.15" customHeight="1" x14ac:dyDescent="1.1000000000000001"/>
    <row r="280" spans="13:13" ht="35.15" customHeight="1" x14ac:dyDescent="1.1000000000000001"/>
    <row r="281" spans="13:13" ht="35.15" customHeight="1" x14ac:dyDescent="1.1000000000000001"/>
  </sheetData>
  <mergeCells count="10">
    <mergeCell ref="C225:C228"/>
    <mergeCell ref="D225:D228"/>
    <mergeCell ref="C229:C232"/>
    <mergeCell ref="D229:D232"/>
    <mergeCell ref="C213:C216"/>
    <mergeCell ref="D213:D216"/>
    <mergeCell ref="C217:C220"/>
    <mergeCell ref="D217:D220"/>
    <mergeCell ref="C221:C224"/>
    <mergeCell ref="D221:D224"/>
  </mergeCells>
  <conditionalFormatting sqref="K4:K233">
    <cfRule type="cellIs" dxfId="2" priority="1" operator="greaterThan">
      <formula>1</formula>
    </cfRule>
  </conditionalFormatting>
  <conditionalFormatting sqref="M1:W40 M41 O41:W41 M42:W1048576">
    <cfRule type="cellIs" dxfId="1" priority="2" operator="lessThan">
      <formula>0</formula>
    </cfRule>
  </conditionalFormatting>
  <pageMargins left="1.0236220472440944" right="0.59055118110236227" top="0.70866141732283472" bottom="0.55118110236220474" header="0.31496062992125984" footer="0.31496062992125984"/>
  <pageSetup paperSize="8" scale="10" orientation="landscape" r:id="rId1"/>
  <headerFooter alignWithMargins="0">
    <oddHeader>&amp;L&amp;36SOBHA LLC&amp;R&amp;36&amp;D</oddHeader>
    <oddFooter>&amp;L&amp;36COLLECTIONS&amp;R&amp;36 1/1</oddFooter>
  </headerFooter>
  <rowBreaks count="1" manualBreakCount="1">
    <brk id="211" min="2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5337-EB92-418D-BC1A-D9D591238B52}">
  <sheetPr>
    <tabColor theme="9" tint="0.79998168889431442"/>
  </sheetPr>
  <dimension ref="A1:AI176"/>
  <sheetViews>
    <sheetView view="pageBreakPreview" zoomScale="20" zoomScaleNormal="10" zoomScaleSheetLayoutView="20" zoomScalePageLayoutView="40" workbookViewId="0">
      <pane ySplit="3" topLeftCell="A116" activePane="bottomLeft" state="frozen"/>
      <selection pane="bottomLeft"/>
    </sheetView>
  </sheetViews>
  <sheetFormatPr defaultColWidth="9.26953125" defaultRowHeight="51" outlineLevelRow="2" x14ac:dyDescent="1.1000000000000001"/>
  <cols>
    <col min="1" max="1" width="45.1796875" style="4" customWidth="1"/>
    <col min="2" max="2" width="3.81640625" style="1" customWidth="1"/>
    <col min="3" max="3" width="29" style="1" bestFit="1" customWidth="1"/>
    <col min="4" max="4" width="159.54296875" style="1" bestFit="1" customWidth="1"/>
    <col min="5" max="5" width="84" style="1" customWidth="1"/>
    <col min="6" max="6" width="84" style="126" customWidth="1"/>
    <col min="7" max="7" width="66.26953125" style="1" customWidth="1"/>
    <col min="8" max="10" width="85.7265625" style="1" customWidth="1"/>
    <col min="11" max="11" width="90.1796875" style="1" customWidth="1"/>
    <col min="12" max="12" width="73.453125" style="1" customWidth="1"/>
    <col min="13" max="13" width="91.7265625" style="1" customWidth="1"/>
    <col min="14" max="14" width="103.453125" style="1" customWidth="1"/>
    <col min="15" max="15" width="85.7265625" style="1" customWidth="1"/>
    <col min="16" max="16" width="90.81640625" style="1" bestFit="1" customWidth="1"/>
    <col min="17" max="24" width="79.54296875" style="1" customWidth="1"/>
    <col min="25" max="25" width="69.26953125" style="1" customWidth="1"/>
    <col min="26" max="26" width="75.7265625" style="3" customWidth="1"/>
    <col min="27" max="27" width="47.81640625" style="2" customWidth="1"/>
    <col min="28" max="28" width="68.453125" style="1" bestFit="1" customWidth="1"/>
    <col min="29" max="30" width="9.26953125" style="1" customWidth="1"/>
    <col min="31" max="32" width="9.26953125" style="1"/>
    <col min="33" max="33" width="99.7265625" style="1" customWidth="1"/>
    <col min="34" max="34" width="24" style="1" bestFit="1" customWidth="1"/>
    <col min="35" max="47" width="9.26953125" style="1"/>
    <col min="48" max="48" width="30.54296875" style="1" customWidth="1"/>
    <col min="49" max="16384" width="9.26953125" style="1"/>
  </cols>
  <sheetData>
    <row r="1" spans="1:28" x14ac:dyDescent="1.1000000000000001">
      <c r="A1" s="125">
        <v>46143</v>
      </c>
    </row>
    <row r="2" spans="1:28" ht="78" customHeight="1" x14ac:dyDescent="1.55">
      <c r="C2" s="7"/>
      <c r="D2" s="7"/>
      <c r="E2" s="7"/>
      <c r="F2" s="141"/>
      <c r="G2" s="7"/>
      <c r="H2" s="7"/>
      <c r="I2" s="7"/>
      <c r="J2" s="123"/>
      <c r="K2" s="140" t="s">
        <v>234</v>
      </c>
      <c r="L2" s="124"/>
      <c r="M2" s="123"/>
      <c r="N2" s="7"/>
      <c r="O2" s="122" t="s">
        <v>230</v>
      </c>
      <c r="P2" s="121">
        <v>46143</v>
      </c>
      <c r="Z2" s="112"/>
      <c r="AA2" s="120"/>
    </row>
    <row r="3" spans="1:28" s="7" customFormat="1" ht="180" customHeight="1" x14ac:dyDescent="1.25">
      <c r="A3" s="4"/>
      <c r="C3" s="119" t="s">
        <v>229</v>
      </c>
      <c r="D3" s="119" t="s">
        <v>228</v>
      </c>
      <c r="E3" s="118" t="s">
        <v>227</v>
      </c>
      <c r="F3" s="139" t="s">
        <v>233</v>
      </c>
      <c r="G3" s="117" t="s">
        <v>226</v>
      </c>
      <c r="H3" s="116" t="s">
        <v>225</v>
      </c>
      <c r="I3" s="116" t="s">
        <v>224</v>
      </c>
      <c r="J3" s="116" t="s">
        <v>223</v>
      </c>
      <c r="K3" s="116" t="s">
        <v>222</v>
      </c>
      <c r="L3" s="116" t="s">
        <v>221</v>
      </c>
      <c r="M3" s="115" t="s">
        <v>220</v>
      </c>
      <c r="N3" s="114" t="s">
        <v>219</v>
      </c>
      <c r="O3" s="113">
        <v>2026</v>
      </c>
      <c r="P3" s="113">
        <v>2027</v>
      </c>
      <c r="Q3" s="113">
        <v>2028</v>
      </c>
      <c r="R3" s="138">
        <v>2029</v>
      </c>
      <c r="S3" s="138">
        <v>2030</v>
      </c>
      <c r="T3" s="138">
        <f>S3+1</f>
        <v>2031</v>
      </c>
      <c r="U3" s="138">
        <f>T3+1</f>
        <v>2032</v>
      </c>
      <c r="V3" s="138">
        <f>U3+1</f>
        <v>2033</v>
      </c>
      <c r="W3" s="138">
        <f>V3+1</f>
        <v>2034</v>
      </c>
      <c r="X3" s="138">
        <f>W3+1</f>
        <v>2035</v>
      </c>
      <c r="Z3" s="112"/>
      <c r="AA3" s="111"/>
    </row>
    <row r="4" spans="1:28" s="7" customFormat="1" ht="150" customHeight="1" x14ac:dyDescent="1.25">
      <c r="A4" s="4"/>
      <c r="C4" s="77">
        <v>1</v>
      </c>
      <c r="D4" s="79" t="s">
        <v>198</v>
      </c>
      <c r="E4" s="43" t="str">
        <f>_xlfn.XLOOKUP(D4,'consolidated tracker'!D:D,'consolidated tracker'!E:E)</f>
        <v>RERA</v>
      </c>
      <c r="F4" s="134">
        <v>46203</v>
      </c>
      <c r="G4" s="40">
        <f>_xlfn.XLOOKUP(D4,'consolidated tracker'!D:D,'consolidated tracker'!F:F)</f>
        <v>357</v>
      </c>
      <c r="H4" s="40">
        <f>_xlfn.XLOOKUP(D4,'consolidated tracker'!D:D,'consolidated tracker'!G:G)</f>
        <v>1007360090.5500002</v>
      </c>
      <c r="I4" s="40">
        <f>_xlfn.XLOOKUP(D4,'consolidated tracker'!D:D,'consolidated tracker'!H:H)</f>
        <v>598134517.1899991</v>
      </c>
      <c r="J4" s="40">
        <f>_xlfn.XLOOKUP(D4,'consolidated tracker'!D:D,'consolidated tracker'!I:I)</f>
        <v>588102005.86999953</v>
      </c>
      <c r="K4" s="40">
        <f>_xlfn.XLOOKUP(D4,'consolidated tracker'!D:D,'consolidated tracker'!J:J)</f>
        <v>101762337.62999991</v>
      </c>
      <c r="L4" s="42">
        <f>_xlfn.XLOOKUP(D4,'consolidated tracker'!D:D,'consolidated tracker'!K:K)</f>
        <v>0.98322699822252069</v>
      </c>
      <c r="M4" s="36">
        <f>_xlfn.XLOOKUP('consolidated - Offplan'!D4,'consolidated tracker'!D:D,'consolidated tracker'!L:L)</f>
        <v>10032510.960000001</v>
      </c>
      <c r="N4" s="41">
        <f>_xlfn.XLOOKUP($D4,'consolidated tracker'!$D:$D,'consolidated tracker'!M:M)</f>
        <v>307463235.73000121</v>
      </c>
      <c r="O4" s="40">
        <f>_xlfn.XLOOKUP($D4,'consolidated tracker'!$D:$D,'consolidated tracker'!N:N)</f>
        <v>307463235.73000121</v>
      </c>
      <c r="P4" s="40">
        <f>_xlfn.XLOOKUP($D4,'consolidated tracker'!$D:$D,'consolidated tracker'!O:O)</f>
        <v>0</v>
      </c>
      <c r="Q4" s="40">
        <f>_xlfn.XLOOKUP($D4,'consolidated tracker'!$D:$D,'consolidated tracker'!P:P)</f>
        <v>0</v>
      </c>
      <c r="R4" s="137">
        <f>_xlfn.XLOOKUP($D4,'consolidated tracker'!$D:$D,'consolidated tracker'!Q:Q)</f>
        <v>0</v>
      </c>
      <c r="S4" s="137">
        <f>_xlfn.XLOOKUP($D4,'consolidated tracker'!$D:$D,'consolidated tracker'!R:R)</f>
        <v>0</v>
      </c>
      <c r="T4" s="137">
        <f>_xlfn.XLOOKUP($D4,'consolidated tracker'!$D:$D,'consolidated tracker'!S:S)</f>
        <v>0</v>
      </c>
      <c r="U4" s="137">
        <f>_xlfn.XLOOKUP($D4,'consolidated tracker'!$D:$D,'consolidated tracker'!T:T)</f>
        <v>0</v>
      </c>
      <c r="V4" s="137">
        <f>_xlfn.XLOOKUP($D4,'consolidated tracker'!$D:$D,'consolidated tracker'!U:U)</f>
        <v>0</v>
      </c>
      <c r="W4" s="137">
        <f>_xlfn.XLOOKUP($D4,'consolidated tracker'!$D:$D,'consolidated tracker'!V:V)</f>
        <v>0</v>
      </c>
      <c r="X4" s="137">
        <f>_xlfn.XLOOKUP($D4,'consolidated tracker'!$D:$D,'consolidated tracker'!W:W)</f>
        <v>0</v>
      </c>
      <c r="Y4" s="17"/>
      <c r="Z4" s="17"/>
      <c r="AA4" s="11"/>
      <c r="AB4" s="16"/>
    </row>
    <row r="5" spans="1:28" s="7" customFormat="1" ht="150" customHeight="1" x14ac:dyDescent="1.25">
      <c r="A5" s="4"/>
      <c r="C5" s="77">
        <f>+C4+1</f>
        <v>2</v>
      </c>
      <c r="D5" s="76" t="s">
        <v>197</v>
      </c>
      <c r="E5" s="49" t="str">
        <f>_xlfn.XLOOKUP(D5,'consolidated tracker'!D:D,'consolidated tracker'!E:E)</f>
        <v>RERA</v>
      </c>
      <c r="F5" s="134" t="s">
        <v>232</v>
      </c>
      <c r="G5" s="33">
        <f>_xlfn.XLOOKUP(D5,'consolidated tracker'!D:D,'consolidated tracker'!F:F)</f>
        <v>1324</v>
      </c>
      <c r="H5" s="33">
        <f>_xlfn.XLOOKUP(D5,'consolidated tracker'!D:D,'consolidated tracker'!G:G)</f>
        <v>2541198797.9000025</v>
      </c>
      <c r="I5" s="33">
        <f>_xlfn.XLOOKUP(D5,'consolidated tracker'!D:D,'consolidated tracker'!H:H)</f>
        <v>1548350914.5199885</v>
      </c>
      <c r="J5" s="33">
        <f>_xlfn.XLOOKUP(D5,'consolidated tracker'!D:D,'consolidated tracker'!I:I)</f>
        <v>1527323781.1800008</v>
      </c>
      <c r="K5" s="33">
        <f>_xlfn.XLOOKUP(D5,'consolidated tracker'!D:D,'consolidated tracker'!J:J)</f>
        <v>184292194.43000007</v>
      </c>
      <c r="L5" s="34">
        <f>_xlfn.XLOOKUP(D5,'consolidated tracker'!D:D,'consolidated tracker'!K:K)</f>
        <v>0.98641965904317852</v>
      </c>
      <c r="M5" s="36">
        <f>_xlfn.XLOOKUP('consolidated - Offplan'!D5,'consolidated tracker'!D:D,'consolidated tracker'!L:L)</f>
        <v>20972071.429999996</v>
      </c>
      <c r="N5" s="30">
        <f>_xlfn.XLOOKUP($D5,'consolidated tracker'!$D:$D,'consolidated tracker'!M:M)</f>
        <v>808555688.95001388</v>
      </c>
      <c r="O5" s="40">
        <f>_xlfn.XLOOKUP($D5,'consolidated tracker'!$D:$D,'consolidated tracker'!N:N)</f>
        <v>808555688.95001388</v>
      </c>
      <c r="P5" s="40">
        <f>_xlfn.XLOOKUP($D5,'consolidated tracker'!$D:$D,'consolidated tracker'!O:O)</f>
        <v>0</v>
      </c>
      <c r="Q5" s="33">
        <f>_xlfn.XLOOKUP($D5,'consolidated tracker'!$D:$D,'consolidated tracker'!P:P)</f>
        <v>0</v>
      </c>
      <c r="R5" s="136">
        <f>_xlfn.XLOOKUP($D5,'consolidated tracker'!$D:$D,'consolidated tracker'!Q:Q)</f>
        <v>0</v>
      </c>
      <c r="S5" s="136">
        <f>_xlfn.XLOOKUP($D5,'consolidated tracker'!$D:$D,'consolidated tracker'!R:R)</f>
        <v>0</v>
      </c>
      <c r="T5" s="136">
        <f>_xlfn.XLOOKUP($D5,'consolidated tracker'!$D:$D,'consolidated tracker'!S:S)</f>
        <v>0</v>
      </c>
      <c r="U5" s="136">
        <f>_xlfn.XLOOKUP($D5,'consolidated tracker'!$D:$D,'consolidated tracker'!T:T)</f>
        <v>0</v>
      </c>
      <c r="V5" s="136">
        <f>_xlfn.XLOOKUP($D5,'consolidated tracker'!$D:$D,'consolidated tracker'!U:U)</f>
        <v>0</v>
      </c>
      <c r="W5" s="136">
        <f>_xlfn.XLOOKUP($D5,'consolidated tracker'!$D:$D,'consolidated tracker'!V:V)</f>
        <v>0</v>
      </c>
      <c r="X5" s="136">
        <f>_xlfn.XLOOKUP($D5,'consolidated tracker'!$D:$D,'consolidated tracker'!W:W)</f>
        <v>0</v>
      </c>
      <c r="Y5" s="17"/>
      <c r="Z5" s="17"/>
      <c r="AA5" s="11"/>
      <c r="AB5" s="16"/>
    </row>
    <row r="6" spans="1:28" s="7" customFormat="1" ht="150" hidden="1" customHeight="1" outlineLevel="1" x14ac:dyDescent="1.25">
      <c r="A6" s="4"/>
      <c r="C6" s="77"/>
      <c r="D6" s="94" t="s">
        <v>196</v>
      </c>
      <c r="E6" s="49" t="str">
        <f>_xlfn.XLOOKUP(D6,'consolidated tracker'!D:D,'consolidated tracker'!E:E)</f>
        <v>RERA</v>
      </c>
      <c r="F6" s="134">
        <v>46265</v>
      </c>
      <c r="G6" s="33">
        <f>_xlfn.XLOOKUP(D6,'consolidated tracker'!D:D,'consolidated tracker'!F:F)</f>
        <v>631</v>
      </c>
      <c r="H6" s="33">
        <f>_xlfn.XLOOKUP(D6,'consolidated tracker'!D:D,'consolidated tracker'!G:G)</f>
        <v>1017869953.77</v>
      </c>
      <c r="I6" s="33">
        <f>_xlfn.XLOOKUP(D6,'consolidated tracker'!D:D,'consolidated tracker'!H:H)</f>
        <v>626245285.1399982</v>
      </c>
      <c r="J6" s="33">
        <f>_xlfn.XLOOKUP(D6,'consolidated tracker'!D:D,'consolidated tracker'!I:I)</f>
        <v>617990968.49000013</v>
      </c>
      <c r="K6" s="33">
        <f>_xlfn.XLOOKUP(D6,'consolidated tracker'!D:D,'consolidated tracker'!J:J)</f>
        <v>67154177.470000044</v>
      </c>
      <c r="L6" s="34">
        <f>_xlfn.XLOOKUP(D6,'consolidated tracker'!D:D,'consolidated tracker'!K:K)</f>
        <v>0.98681935521773578</v>
      </c>
      <c r="M6" s="36">
        <f>_xlfn.XLOOKUP('consolidated - Offplan'!D6,'consolidated tracker'!D:D,'consolidated tracker'!L:L)</f>
        <v>8254316.509999997</v>
      </c>
      <c r="N6" s="30">
        <f>_xlfn.XLOOKUP($D6,'consolidated tracker'!$D:$D,'consolidated tracker'!M:M)</f>
        <v>324470491.16000175</v>
      </c>
      <c r="O6" s="40">
        <f>_xlfn.XLOOKUP($D6,'consolidated tracker'!$D:$D,'consolidated tracker'!N:N)</f>
        <v>324062936.98000175</v>
      </c>
      <c r="P6" s="40">
        <f>_xlfn.XLOOKUP($D6,'consolidated tracker'!$D:$D,'consolidated tracker'!O:O)</f>
        <v>407554.18</v>
      </c>
      <c r="Q6" s="33">
        <f>_xlfn.XLOOKUP($D6,'consolidated tracker'!$D:$D,'consolidated tracker'!P:P)</f>
        <v>0</v>
      </c>
      <c r="R6" s="136">
        <f>_xlfn.XLOOKUP($D6,'consolidated tracker'!$D:$D,'consolidated tracker'!Q:Q)</f>
        <v>0</v>
      </c>
      <c r="S6" s="136">
        <f>_xlfn.XLOOKUP($D6,'consolidated tracker'!$D:$D,'consolidated tracker'!R:R)</f>
        <v>0</v>
      </c>
      <c r="T6" s="136">
        <f>_xlfn.XLOOKUP($D6,'consolidated tracker'!$D:$D,'consolidated tracker'!S:S)</f>
        <v>0</v>
      </c>
      <c r="U6" s="136">
        <f>_xlfn.XLOOKUP($D6,'consolidated tracker'!$D:$D,'consolidated tracker'!T:T)</f>
        <v>0</v>
      </c>
      <c r="V6" s="136">
        <f>_xlfn.XLOOKUP($D6,'consolidated tracker'!$D:$D,'consolidated tracker'!U:U)</f>
        <v>0</v>
      </c>
      <c r="W6" s="136">
        <f>_xlfn.XLOOKUP($D6,'consolidated tracker'!$D:$D,'consolidated tracker'!V:V)</f>
        <v>0</v>
      </c>
      <c r="X6" s="136">
        <f>_xlfn.XLOOKUP($D6,'consolidated tracker'!$D:$D,'consolidated tracker'!W:W)</f>
        <v>0</v>
      </c>
      <c r="Y6" s="17"/>
      <c r="Z6" s="17"/>
      <c r="AA6" s="11"/>
      <c r="AB6" s="16"/>
    </row>
    <row r="7" spans="1:28" s="7" customFormat="1" ht="150" hidden="1" customHeight="1" outlineLevel="1" x14ac:dyDescent="1.25">
      <c r="A7" s="4"/>
      <c r="C7" s="77"/>
      <c r="D7" s="94" t="s">
        <v>195</v>
      </c>
      <c r="E7" s="49" t="str">
        <f>_xlfn.XLOOKUP(D7,'consolidated tracker'!D:D,'consolidated tracker'!E:E)</f>
        <v>RERA</v>
      </c>
      <c r="F7" s="134">
        <v>46265</v>
      </c>
      <c r="G7" s="33">
        <f>_xlfn.XLOOKUP(D7,'consolidated tracker'!D:D,'consolidated tracker'!F:F)</f>
        <v>681</v>
      </c>
      <c r="H7" s="33">
        <f>_xlfn.XLOOKUP(D7,'consolidated tracker'!D:D,'consolidated tracker'!G:G)</f>
        <v>1470983486.8800027</v>
      </c>
      <c r="I7" s="33">
        <f>_xlfn.XLOOKUP(D7,'consolidated tracker'!D:D,'consolidated tracker'!H:H)</f>
        <v>889723568.8199904</v>
      </c>
      <c r="J7" s="33">
        <f>_xlfn.XLOOKUP(D7,'consolidated tracker'!D:D,'consolidated tracker'!I:I)</f>
        <v>877322143.73000073</v>
      </c>
      <c r="K7" s="33">
        <f>_xlfn.XLOOKUP(D7,'consolidated tracker'!D:D,'consolidated tracker'!J:J)</f>
        <v>108950023.01000005</v>
      </c>
      <c r="L7" s="34">
        <f>_xlfn.XLOOKUP(D7,'consolidated tracker'!D:D,'consolidated tracker'!K:K)</f>
        <v>0.9860614852471119</v>
      </c>
      <c r="M7" s="36">
        <f>_xlfn.XLOOKUP('consolidated - Offplan'!D7,'consolidated tracker'!D:D,'consolidated tracker'!L:L)</f>
        <v>12401424.919999998</v>
      </c>
      <c r="N7" s="30">
        <f>_xlfn.XLOOKUP($D7,'consolidated tracker'!$D:$D,'consolidated tracker'!M:M)</f>
        <v>472309895.05001235</v>
      </c>
      <c r="O7" s="40">
        <f>_xlfn.XLOOKUP($D7,'consolidated tracker'!$D:$D,'consolidated tracker'!N:N)</f>
        <v>472309895.05001235</v>
      </c>
      <c r="P7" s="40">
        <f>_xlfn.XLOOKUP($D7,'consolidated tracker'!$D:$D,'consolidated tracker'!O:O)</f>
        <v>0</v>
      </c>
      <c r="Q7" s="33">
        <f>_xlfn.XLOOKUP($D7,'consolidated tracker'!$D:$D,'consolidated tracker'!P:P)</f>
        <v>0</v>
      </c>
      <c r="R7" s="136">
        <f>_xlfn.XLOOKUP($D7,'consolidated tracker'!$D:$D,'consolidated tracker'!Q:Q)</f>
        <v>0</v>
      </c>
      <c r="S7" s="136">
        <f>_xlfn.XLOOKUP($D7,'consolidated tracker'!$D:$D,'consolidated tracker'!R:R)</f>
        <v>0</v>
      </c>
      <c r="T7" s="136">
        <f>_xlfn.XLOOKUP($D7,'consolidated tracker'!$D:$D,'consolidated tracker'!S:S)</f>
        <v>0</v>
      </c>
      <c r="U7" s="136">
        <f>_xlfn.XLOOKUP($D7,'consolidated tracker'!$D:$D,'consolidated tracker'!T:T)</f>
        <v>0</v>
      </c>
      <c r="V7" s="136">
        <f>_xlfn.XLOOKUP($D7,'consolidated tracker'!$D:$D,'consolidated tracker'!U:U)</f>
        <v>0</v>
      </c>
      <c r="W7" s="136">
        <f>_xlfn.XLOOKUP($D7,'consolidated tracker'!$D:$D,'consolidated tracker'!V:V)</f>
        <v>0</v>
      </c>
      <c r="X7" s="136">
        <f>_xlfn.XLOOKUP($D7,'consolidated tracker'!$D:$D,'consolidated tracker'!W:W)</f>
        <v>0</v>
      </c>
      <c r="Y7" s="17"/>
      <c r="Z7" s="17"/>
      <c r="AA7" s="11"/>
      <c r="AB7" s="16"/>
    </row>
    <row r="8" spans="1:28" s="7" customFormat="1" ht="150" hidden="1" customHeight="1" outlineLevel="1" x14ac:dyDescent="1.25">
      <c r="A8" s="4"/>
      <c r="C8" s="77"/>
      <c r="D8" s="94" t="s">
        <v>194</v>
      </c>
      <c r="E8" s="49" t="str">
        <f>_xlfn.XLOOKUP(D8,'consolidated tracker'!D:D,'consolidated tracker'!E:E)</f>
        <v>RERA</v>
      </c>
      <c r="F8" s="134">
        <v>46203</v>
      </c>
      <c r="G8" s="33">
        <f>_xlfn.XLOOKUP(D8,'consolidated tracker'!D:D,'consolidated tracker'!F:F)</f>
        <v>12</v>
      </c>
      <c r="H8" s="33">
        <f>_xlfn.XLOOKUP(D8,'consolidated tracker'!D:D,'consolidated tracker'!G:G)</f>
        <v>52345357.25</v>
      </c>
      <c r="I8" s="33">
        <f>_xlfn.XLOOKUP(D8,'consolidated tracker'!D:D,'consolidated tracker'!H:H)</f>
        <v>32382060.560000002</v>
      </c>
      <c r="J8" s="33">
        <f>_xlfn.XLOOKUP(D8,'consolidated tracker'!D:D,'consolidated tracker'!I:I)</f>
        <v>32010668.960000001</v>
      </c>
      <c r="K8" s="33">
        <f>_xlfn.XLOOKUP(D8,'consolidated tracker'!D:D,'consolidated tracker'!J:J)</f>
        <v>8187993.9500000002</v>
      </c>
      <c r="L8" s="34">
        <f>_xlfn.XLOOKUP(D8,'consolidated tracker'!D:D,'consolidated tracker'!K:K)</f>
        <v>0.98853094603686942</v>
      </c>
      <c r="M8" s="36">
        <f>_xlfn.XLOOKUP('consolidated - Offplan'!D8,'consolidated tracker'!D:D,'consolidated tracker'!L:L)</f>
        <v>316330</v>
      </c>
      <c r="N8" s="30">
        <f>_xlfn.XLOOKUP($D8,'consolidated tracker'!$D:$D,'consolidated tracker'!M:M)</f>
        <v>11775302.739999995</v>
      </c>
      <c r="O8" s="40">
        <f>_xlfn.XLOOKUP($D8,'consolidated tracker'!$D:$D,'consolidated tracker'!N:N)</f>
        <v>11775302.739999995</v>
      </c>
      <c r="P8" s="40">
        <f>_xlfn.XLOOKUP($D8,'consolidated tracker'!$D:$D,'consolidated tracker'!O:O)</f>
        <v>0</v>
      </c>
      <c r="Q8" s="33">
        <f>_xlfn.XLOOKUP($D8,'consolidated tracker'!$D:$D,'consolidated tracker'!P:P)</f>
        <v>0</v>
      </c>
      <c r="R8" s="136">
        <f>_xlfn.XLOOKUP($D8,'consolidated tracker'!$D:$D,'consolidated tracker'!Q:Q)</f>
        <v>0</v>
      </c>
      <c r="S8" s="136">
        <f>_xlfn.XLOOKUP($D8,'consolidated tracker'!$D:$D,'consolidated tracker'!R:R)</f>
        <v>0</v>
      </c>
      <c r="T8" s="136">
        <f>_xlfn.XLOOKUP($D8,'consolidated tracker'!$D:$D,'consolidated tracker'!S:S)</f>
        <v>0</v>
      </c>
      <c r="U8" s="136">
        <f>_xlfn.XLOOKUP($D8,'consolidated tracker'!$D:$D,'consolidated tracker'!T:T)</f>
        <v>0</v>
      </c>
      <c r="V8" s="136">
        <f>_xlfn.XLOOKUP($D8,'consolidated tracker'!$D:$D,'consolidated tracker'!U:U)</f>
        <v>0</v>
      </c>
      <c r="W8" s="136">
        <f>_xlfn.XLOOKUP($D8,'consolidated tracker'!$D:$D,'consolidated tracker'!V:V)</f>
        <v>0</v>
      </c>
      <c r="X8" s="136">
        <f>_xlfn.XLOOKUP($D8,'consolidated tracker'!$D:$D,'consolidated tracker'!W:W)</f>
        <v>0</v>
      </c>
      <c r="Y8" s="17"/>
      <c r="Z8" s="17"/>
      <c r="AA8" s="11"/>
      <c r="AB8" s="16"/>
    </row>
    <row r="9" spans="1:28" s="7" customFormat="1" ht="150" customHeight="1" collapsed="1" x14ac:dyDescent="1.25">
      <c r="A9" s="4"/>
      <c r="C9" s="77">
        <f>+C5+1</f>
        <v>3</v>
      </c>
      <c r="D9" s="79" t="s">
        <v>193</v>
      </c>
      <c r="E9" s="43" t="str">
        <f>_xlfn.XLOOKUP(D9,'consolidated tracker'!D:D,'consolidated tracker'!E:E)</f>
        <v>RERA</v>
      </c>
      <c r="F9" s="134" t="s">
        <v>232</v>
      </c>
      <c r="G9" s="40">
        <f>_xlfn.XLOOKUP(D9,'consolidated tracker'!D:D,'consolidated tracker'!F:F)</f>
        <v>680</v>
      </c>
      <c r="H9" s="40">
        <f>_xlfn.XLOOKUP(D9,'consolidated tracker'!D:D,'consolidated tracker'!G:G)</f>
        <v>5301963228.2799997</v>
      </c>
      <c r="I9" s="40">
        <f>_xlfn.XLOOKUP(D9,'consolidated tracker'!D:D,'consolidated tracker'!H:H)</f>
        <v>3061852349.7400026</v>
      </c>
      <c r="J9" s="40">
        <f>_xlfn.XLOOKUP(D9,'consolidated tracker'!D:D,'consolidated tracker'!I:I)</f>
        <v>2861273379.0300007</v>
      </c>
      <c r="K9" s="40">
        <f>_xlfn.XLOOKUP(D9,'consolidated tracker'!D:D,'consolidated tracker'!J:J)</f>
        <v>258975239.60000002</v>
      </c>
      <c r="L9" s="42">
        <f>_xlfn.XLOOKUP(D9,'consolidated tracker'!D:D,'consolidated tracker'!K:K)</f>
        <v>0.93449097219628041</v>
      </c>
      <c r="M9" s="46">
        <f>_xlfn.XLOOKUP('consolidated - Offplan'!D9,'consolidated tracker'!D:D,'consolidated tracker'!L:L)</f>
        <v>200578968.11000001</v>
      </c>
      <c r="N9" s="41">
        <f>_xlfn.XLOOKUP($D9,'consolidated tracker'!$D:$D,'consolidated tracker'!M:M)</f>
        <v>1981135638.9399972</v>
      </c>
      <c r="O9" s="40">
        <f>_xlfn.XLOOKUP($D9,'consolidated tracker'!$D:$D,'consolidated tracker'!N:N)</f>
        <v>965452935.35999727</v>
      </c>
      <c r="P9" s="40">
        <f>_xlfn.XLOOKUP($D9,'consolidated tracker'!$D:$D,'consolidated tracker'!O:O)</f>
        <v>1015682703.5799999</v>
      </c>
      <c r="Q9" s="40">
        <f>_xlfn.XLOOKUP($D9,'consolidated tracker'!$D:$D,'consolidated tracker'!P:P)</f>
        <v>0</v>
      </c>
      <c r="R9" s="137">
        <f>_xlfn.XLOOKUP($D9,'consolidated tracker'!$D:$D,'consolidated tracker'!Q:Q)</f>
        <v>0</v>
      </c>
      <c r="S9" s="137">
        <f>_xlfn.XLOOKUP($D9,'consolidated tracker'!$D:$D,'consolidated tracker'!R:R)</f>
        <v>0</v>
      </c>
      <c r="T9" s="137">
        <f>_xlfn.XLOOKUP($D9,'consolidated tracker'!$D:$D,'consolidated tracker'!S:S)</f>
        <v>0</v>
      </c>
      <c r="U9" s="137">
        <f>_xlfn.XLOOKUP($D9,'consolidated tracker'!$D:$D,'consolidated tracker'!T:T)</f>
        <v>0</v>
      </c>
      <c r="V9" s="137">
        <f>_xlfn.XLOOKUP($D9,'consolidated tracker'!$D:$D,'consolidated tracker'!U:U)</f>
        <v>0</v>
      </c>
      <c r="W9" s="137">
        <f>_xlfn.XLOOKUP($D9,'consolidated tracker'!$D:$D,'consolidated tracker'!V:V)</f>
        <v>0</v>
      </c>
      <c r="X9" s="137">
        <f>_xlfn.XLOOKUP($D9,'consolidated tracker'!$D:$D,'consolidated tracker'!W:W)</f>
        <v>0</v>
      </c>
      <c r="Y9" s="17"/>
      <c r="Z9" s="17"/>
      <c r="AA9" s="11"/>
      <c r="AB9" s="16"/>
    </row>
    <row r="10" spans="1:28" s="7" customFormat="1" ht="150" hidden="1" customHeight="1" outlineLevel="1" x14ac:dyDescent="1.25">
      <c r="A10" s="4"/>
      <c r="C10" s="77"/>
      <c r="D10" s="78" t="s">
        <v>192</v>
      </c>
      <c r="E10" s="43" t="str">
        <f>_xlfn.XLOOKUP(D10,'consolidated tracker'!D:D,'consolidated tracker'!E:E)</f>
        <v>RERA</v>
      </c>
      <c r="F10" s="134">
        <v>46387</v>
      </c>
      <c r="G10" s="40">
        <f>_xlfn.XLOOKUP(D10,'consolidated tracker'!D:D,'consolidated tracker'!F:F)</f>
        <v>315</v>
      </c>
      <c r="H10" s="40">
        <f>_xlfn.XLOOKUP(D10,'consolidated tracker'!D:D,'consolidated tracker'!G:G)</f>
        <v>2615490904.3499999</v>
      </c>
      <c r="I10" s="40">
        <f>_xlfn.XLOOKUP(D10,'consolidated tracker'!D:D,'consolidated tracker'!H:H)</f>
        <v>1736493994.8900018</v>
      </c>
      <c r="J10" s="40">
        <f>_xlfn.XLOOKUP(D10,'consolidated tracker'!D:D,'consolidated tracker'!I:I)</f>
        <v>1604216341.1900008</v>
      </c>
      <c r="K10" s="40">
        <f>_xlfn.XLOOKUP(D10,'consolidated tracker'!D:D,'consolidated tracker'!J:J)</f>
        <v>145719771.67000002</v>
      </c>
      <c r="L10" s="42">
        <f>_xlfn.XLOOKUP(D10,'consolidated tracker'!D:D,'consolidated tracker'!K:K)</f>
        <v>0.92382487121219203</v>
      </c>
      <c r="M10" s="36">
        <f>_xlfn.XLOOKUP('consolidated - Offplan'!D10,'consolidated tracker'!D:D,'consolidated tracker'!L:L)</f>
        <v>132277651.73000002</v>
      </c>
      <c r="N10" s="41">
        <f>_xlfn.XLOOKUP($D10,'consolidated tracker'!$D:$D,'consolidated tracker'!M:M)</f>
        <v>733277137.78999805</v>
      </c>
      <c r="O10" s="40">
        <f>_xlfn.XLOOKUP($D10,'consolidated tracker'!$D:$D,'consolidated tracker'!N:N)</f>
        <v>733277137.78999805</v>
      </c>
      <c r="P10" s="40">
        <f>_xlfn.XLOOKUP($D10,'consolidated tracker'!$D:$D,'consolidated tracker'!O:O)</f>
        <v>0</v>
      </c>
      <c r="Q10" s="40">
        <f>_xlfn.XLOOKUP($D10,'consolidated tracker'!$D:$D,'consolidated tracker'!P:P)</f>
        <v>0</v>
      </c>
      <c r="R10" s="137">
        <f>_xlfn.XLOOKUP($D10,'consolidated tracker'!$D:$D,'consolidated tracker'!Q:Q)</f>
        <v>0</v>
      </c>
      <c r="S10" s="137">
        <f>_xlfn.XLOOKUP($D10,'consolidated tracker'!$D:$D,'consolidated tracker'!R:R)</f>
        <v>0</v>
      </c>
      <c r="T10" s="137">
        <f>_xlfn.XLOOKUP($D10,'consolidated tracker'!$D:$D,'consolidated tracker'!S:S)</f>
        <v>0</v>
      </c>
      <c r="U10" s="137">
        <f>_xlfn.XLOOKUP($D10,'consolidated tracker'!$D:$D,'consolidated tracker'!T:T)</f>
        <v>0</v>
      </c>
      <c r="V10" s="137">
        <f>_xlfn.XLOOKUP($D10,'consolidated tracker'!$D:$D,'consolidated tracker'!U:U)</f>
        <v>0</v>
      </c>
      <c r="W10" s="137">
        <f>_xlfn.XLOOKUP($D10,'consolidated tracker'!$D:$D,'consolidated tracker'!V:V)</f>
        <v>0</v>
      </c>
      <c r="X10" s="137">
        <f>_xlfn.XLOOKUP($D10,'consolidated tracker'!$D:$D,'consolidated tracker'!W:W)</f>
        <v>0</v>
      </c>
      <c r="Y10" s="17"/>
      <c r="Z10" s="17"/>
      <c r="AA10" s="11"/>
      <c r="AB10" s="16"/>
    </row>
    <row r="11" spans="1:28" s="7" customFormat="1" ht="150" hidden="1" customHeight="1" outlineLevel="1" x14ac:dyDescent="1.25">
      <c r="A11" s="4"/>
      <c r="C11" s="77"/>
      <c r="D11" s="78" t="s">
        <v>191</v>
      </c>
      <c r="E11" s="43" t="str">
        <f>_xlfn.XLOOKUP(D11,'consolidated tracker'!D:D,'consolidated tracker'!E:E)</f>
        <v>RERA</v>
      </c>
      <c r="F11" s="134">
        <v>46630</v>
      </c>
      <c r="G11" s="40">
        <f>_xlfn.XLOOKUP(D11,'consolidated tracker'!D:D,'consolidated tracker'!F:F)</f>
        <v>223</v>
      </c>
      <c r="H11" s="40">
        <f>_xlfn.XLOOKUP(D11,'consolidated tracker'!D:D,'consolidated tracker'!G:G)</f>
        <v>1512285647.21</v>
      </c>
      <c r="I11" s="40">
        <f>_xlfn.XLOOKUP(D11,'consolidated tracker'!D:D,'consolidated tracker'!H:H)</f>
        <v>799332322.49000072</v>
      </c>
      <c r="J11" s="40">
        <f>_xlfn.XLOOKUP(D11,'consolidated tracker'!D:D,'consolidated tracker'!I:I)</f>
        <v>761723950.79999995</v>
      </c>
      <c r="K11" s="40">
        <f>_xlfn.XLOOKUP(D11,'consolidated tracker'!D:D,'consolidated tracker'!J:J)</f>
        <v>33855060.810000002</v>
      </c>
      <c r="L11" s="42">
        <f>_xlfn.XLOOKUP(D11,'consolidated tracker'!D:D,'consolidated tracker'!K:K)</f>
        <v>0.95295026782747017</v>
      </c>
      <c r="M11" s="36">
        <f>_xlfn.XLOOKUP('consolidated - Offplan'!D11,'consolidated tracker'!D:D,'consolidated tracker'!L:L)</f>
        <v>37608371.609999992</v>
      </c>
      <c r="N11" s="41">
        <f>_xlfn.XLOOKUP($D11,'consolidated tracker'!$D:$D,'consolidated tracker'!M:M)</f>
        <v>679098263.90999937</v>
      </c>
      <c r="O11" s="40">
        <f>_xlfn.XLOOKUP($D11,'consolidated tracker'!$D:$D,'consolidated tracker'!N:N)</f>
        <v>138570512.8799994</v>
      </c>
      <c r="P11" s="40">
        <f>_xlfn.XLOOKUP($D11,'consolidated tracker'!$D:$D,'consolidated tracker'!O:O)</f>
        <v>540527751.02999997</v>
      </c>
      <c r="Q11" s="40">
        <f>_xlfn.XLOOKUP($D11,'consolidated tracker'!$D:$D,'consolidated tracker'!P:P)</f>
        <v>0</v>
      </c>
      <c r="R11" s="137">
        <f>_xlfn.XLOOKUP($D11,'consolidated tracker'!$D:$D,'consolidated tracker'!Q:Q)</f>
        <v>0</v>
      </c>
      <c r="S11" s="137">
        <f>_xlfn.XLOOKUP($D11,'consolidated tracker'!$D:$D,'consolidated tracker'!R:R)</f>
        <v>0</v>
      </c>
      <c r="T11" s="137">
        <f>_xlfn.XLOOKUP($D11,'consolidated tracker'!$D:$D,'consolidated tracker'!S:S)</f>
        <v>0</v>
      </c>
      <c r="U11" s="137">
        <f>_xlfn.XLOOKUP($D11,'consolidated tracker'!$D:$D,'consolidated tracker'!T:T)</f>
        <v>0</v>
      </c>
      <c r="V11" s="137">
        <f>_xlfn.XLOOKUP($D11,'consolidated tracker'!$D:$D,'consolidated tracker'!U:U)</f>
        <v>0</v>
      </c>
      <c r="W11" s="137">
        <f>_xlfn.XLOOKUP($D11,'consolidated tracker'!$D:$D,'consolidated tracker'!V:V)</f>
        <v>0</v>
      </c>
      <c r="X11" s="137">
        <f>_xlfn.XLOOKUP($D11,'consolidated tracker'!$D:$D,'consolidated tracker'!W:W)</f>
        <v>0</v>
      </c>
      <c r="Y11" s="17"/>
      <c r="Z11" s="17"/>
      <c r="AA11" s="11"/>
      <c r="AB11" s="16"/>
    </row>
    <row r="12" spans="1:28" s="7" customFormat="1" ht="150" hidden="1" customHeight="1" outlineLevel="1" x14ac:dyDescent="1.25">
      <c r="A12" s="4"/>
      <c r="C12" s="77"/>
      <c r="D12" s="78" t="s">
        <v>190</v>
      </c>
      <c r="E12" s="43" t="str">
        <f>_xlfn.XLOOKUP(D12,'consolidated tracker'!D:D,'consolidated tracker'!E:E)</f>
        <v>RERA</v>
      </c>
      <c r="F12" s="134">
        <v>46630</v>
      </c>
      <c r="G12" s="40">
        <f>_xlfn.XLOOKUP(D12,'consolidated tracker'!D:D,'consolidated tracker'!F:F)</f>
        <v>142</v>
      </c>
      <c r="H12" s="40">
        <f>_xlfn.XLOOKUP(D12,'consolidated tracker'!D:D,'consolidated tracker'!G:G)</f>
        <v>1174186676.72</v>
      </c>
      <c r="I12" s="40">
        <f>_xlfn.XLOOKUP(D12,'consolidated tracker'!D:D,'consolidated tracker'!H:H)</f>
        <v>526026032.36000037</v>
      </c>
      <c r="J12" s="40">
        <f>_xlfn.XLOOKUP(D12,'consolidated tracker'!D:D,'consolidated tracker'!I:I)</f>
        <v>495333087.03999996</v>
      </c>
      <c r="K12" s="40">
        <f>_xlfn.XLOOKUP(D12,'consolidated tracker'!D:D,'consolidated tracker'!J:J)</f>
        <v>79400407.11999999</v>
      </c>
      <c r="L12" s="42">
        <f>_xlfn.XLOOKUP(D12,'consolidated tracker'!D:D,'consolidated tracker'!K:K)</f>
        <v>0.94165128067465143</v>
      </c>
      <c r="M12" s="36">
        <f>_xlfn.XLOOKUP('consolidated - Offplan'!D12,'consolidated tracker'!D:D,'consolidated tracker'!L:L)</f>
        <v>30692944.770000003</v>
      </c>
      <c r="N12" s="41">
        <f>_xlfn.XLOOKUP($D12,'consolidated tracker'!$D:$D,'consolidated tracker'!M:M)</f>
        <v>568760237.23999965</v>
      </c>
      <c r="O12" s="40">
        <f>_xlfn.XLOOKUP($D12,'consolidated tracker'!$D:$D,'consolidated tracker'!N:N)</f>
        <v>93605284.68999964</v>
      </c>
      <c r="P12" s="40">
        <f>_xlfn.XLOOKUP($D12,'consolidated tracker'!$D:$D,'consolidated tracker'!O:O)</f>
        <v>475154952.55000001</v>
      </c>
      <c r="Q12" s="40">
        <f>_xlfn.XLOOKUP($D12,'consolidated tracker'!$D:$D,'consolidated tracker'!P:P)</f>
        <v>0</v>
      </c>
      <c r="R12" s="137">
        <f>_xlfn.XLOOKUP($D12,'consolidated tracker'!$D:$D,'consolidated tracker'!Q:Q)</f>
        <v>0</v>
      </c>
      <c r="S12" s="137">
        <f>_xlfn.XLOOKUP($D12,'consolidated tracker'!$D:$D,'consolidated tracker'!R:R)</f>
        <v>0</v>
      </c>
      <c r="T12" s="137">
        <f>_xlfn.XLOOKUP($D12,'consolidated tracker'!$D:$D,'consolidated tracker'!S:S)</f>
        <v>0</v>
      </c>
      <c r="U12" s="137">
        <f>_xlfn.XLOOKUP($D12,'consolidated tracker'!$D:$D,'consolidated tracker'!T:T)</f>
        <v>0</v>
      </c>
      <c r="V12" s="137">
        <f>_xlfn.XLOOKUP($D12,'consolidated tracker'!$D:$D,'consolidated tracker'!U:U)</f>
        <v>0</v>
      </c>
      <c r="W12" s="137">
        <f>_xlfn.XLOOKUP($D12,'consolidated tracker'!$D:$D,'consolidated tracker'!V:V)</f>
        <v>0</v>
      </c>
      <c r="X12" s="137">
        <f>_xlfn.XLOOKUP($D12,'consolidated tracker'!$D:$D,'consolidated tracker'!W:W)</f>
        <v>0</v>
      </c>
      <c r="Y12" s="17"/>
      <c r="Z12" s="17"/>
      <c r="AA12" s="11"/>
      <c r="AB12" s="16"/>
    </row>
    <row r="13" spans="1:28" s="7" customFormat="1" ht="150" customHeight="1" collapsed="1" x14ac:dyDescent="1.25">
      <c r="A13" s="4"/>
      <c r="C13" s="77">
        <v>4</v>
      </c>
      <c r="D13" s="76" t="s">
        <v>189</v>
      </c>
      <c r="E13" s="49" t="str">
        <f>_xlfn.XLOOKUP(D13,'consolidated tracker'!D:D,'consolidated tracker'!E:E)</f>
        <v>RERA</v>
      </c>
      <c r="F13" s="134">
        <v>46326</v>
      </c>
      <c r="G13" s="33">
        <f>_xlfn.XLOOKUP(D13,'consolidated tracker'!D:D,'consolidated tracker'!F:F)</f>
        <v>606</v>
      </c>
      <c r="H13" s="33">
        <f>_xlfn.XLOOKUP(D13,'consolidated tracker'!D:D,'consolidated tracker'!G:G)</f>
        <v>1535529679.7600019</v>
      </c>
      <c r="I13" s="33">
        <f>_xlfn.XLOOKUP(D13,'consolidated tracker'!D:D,'consolidated tracker'!H:H)</f>
        <v>891061974.60999799</v>
      </c>
      <c r="J13" s="33">
        <f>_xlfn.XLOOKUP(D13,'consolidated tracker'!D:D,'consolidated tracker'!I:I)</f>
        <v>863327073.92000043</v>
      </c>
      <c r="K13" s="33">
        <f>_xlfn.XLOOKUP(D13,'consolidated tracker'!D:D,'consolidated tracker'!J:J)</f>
        <v>62673788.359999962</v>
      </c>
      <c r="L13" s="34">
        <f>_xlfn.XLOOKUP(D13,'consolidated tracker'!D:D,'consolidated tracker'!K:K)</f>
        <v>0.96887433031564762</v>
      </c>
      <c r="M13" s="36">
        <f>_xlfn.XLOOKUP('consolidated - Offplan'!D13,'consolidated tracker'!D:D,'consolidated tracker'!L:L)</f>
        <v>27734900.610000011</v>
      </c>
      <c r="N13" s="30">
        <f>_xlfn.XLOOKUP($D13,'consolidated tracker'!$D:$D,'consolidated tracker'!M:M)</f>
        <v>581793916.7900039</v>
      </c>
      <c r="O13" s="40">
        <f>_xlfn.XLOOKUP($D13,'consolidated tracker'!$D:$D,'consolidated tracker'!N:N)</f>
        <v>581793916.7900039</v>
      </c>
      <c r="P13" s="40">
        <f>_xlfn.XLOOKUP($D13,'consolidated tracker'!$D:$D,'consolidated tracker'!O:O)</f>
        <v>0</v>
      </c>
      <c r="Q13" s="33">
        <f>_xlfn.XLOOKUP($D13,'consolidated tracker'!$D:$D,'consolidated tracker'!P:P)</f>
        <v>0</v>
      </c>
      <c r="R13" s="136">
        <f>_xlfn.XLOOKUP($D13,'consolidated tracker'!$D:$D,'consolidated tracker'!Q:Q)</f>
        <v>0</v>
      </c>
      <c r="S13" s="136">
        <f>_xlfn.XLOOKUP($D13,'consolidated tracker'!$D:$D,'consolidated tracker'!R:R)</f>
        <v>0</v>
      </c>
      <c r="T13" s="136">
        <f>_xlfn.XLOOKUP($D13,'consolidated tracker'!$D:$D,'consolidated tracker'!S:S)</f>
        <v>0</v>
      </c>
      <c r="U13" s="136">
        <f>_xlfn.XLOOKUP($D13,'consolidated tracker'!$D:$D,'consolidated tracker'!T:T)</f>
        <v>0</v>
      </c>
      <c r="V13" s="136">
        <f>_xlfn.XLOOKUP($D13,'consolidated tracker'!$D:$D,'consolidated tracker'!U:U)</f>
        <v>0</v>
      </c>
      <c r="W13" s="136">
        <f>_xlfn.XLOOKUP($D13,'consolidated tracker'!$D:$D,'consolidated tracker'!V:V)</f>
        <v>0</v>
      </c>
      <c r="X13" s="136">
        <f>_xlfn.XLOOKUP($D13,'consolidated tracker'!$D:$D,'consolidated tracker'!W:W)</f>
        <v>0</v>
      </c>
      <c r="Y13" s="17"/>
      <c r="Z13" s="17"/>
      <c r="AA13" s="11"/>
      <c r="AB13" s="16"/>
    </row>
    <row r="14" spans="1:28" s="7" customFormat="1" ht="150" customHeight="1" x14ac:dyDescent="1.25">
      <c r="A14" s="4"/>
      <c r="C14" s="77">
        <v>5</v>
      </c>
      <c r="D14" s="79" t="s">
        <v>188</v>
      </c>
      <c r="E14" s="49" t="str">
        <f>_xlfn.XLOOKUP(D14,'consolidated tracker'!D:D,'consolidated tracker'!E:E)</f>
        <v>RERA</v>
      </c>
      <c r="F14" s="134">
        <v>46387</v>
      </c>
      <c r="G14" s="33">
        <f>_xlfn.XLOOKUP(D14,'consolidated tracker'!D:D,'consolidated tracker'!F:F)</f>
        <v>104</v>
      </c>
      <c r="H14" s="33">
        <f>_xlfn.XLOOKUP(D14,'consolidated tracker'!D:D,'consolidated tracker'!G:G)</f>
        <v>2966057520.7600002</v>
      </c>
      <c r="I14" s="33">
        <f>_xlfn.XLOOKUP(D14,'consolidated tracker'!D:D,'consolidated tracker'!H:H)</f>
        <v>1619130627.4600003</v>
      </c>
      <c r="J14" s="33">
        <f>_xlfn.XLOOKUP(D14,'consolidated tracker'!D:D,'consolidated tracker'!I:I)</f>
        <v>1505348877.3899999</v>
      </c>
      <c r="K14" s="33">
        <f>_xlfn.XLOOKUP(D14,'consolidated tracker'!D:D,'consolidated tracker'!J:J)</f>
        <v>214355430.16999999</v>
      </c>
      <c r="L14" s="34">
        <f>_xlfn.XLOOKUP(D14,'consolidated tracker'!D:D,'consolidated tracker'!K:K)</f>
        <v>0.92972663962975322</v>
      </c>
      <c r="M14" s="36">
        <f>_xlfn.XLOOKUP('consolidated - Offplan'!D14,'consolidated tracker'!D:D,'consolidated tracker'!L:L)</f>
        <v>113781748.85000002</v>
      </c>
      <c r="N14" s="30">
        <f>_xlfn.XLOOKUP($D14,'consolidated tracker'!$D:$D,'consolidated tracker'!M:M)</f>
        <v>1132571463.1299999</v>
      </c>
      <c r="O14" s="40">
        <f>_xlfn.XLOOKUP($D14,'consolidated tracker'!$D:$D,'consolidated tracker'!N:N)</f>
        <v>619358623.52999973</v>
      </c>
      <c r="P14" s="40">
        <f>_xlfn.XLOOKUP($D14,'consolidated tracker'!$D:$D,'consolidated tracker'!O:O)</f>
        <v>513212839.60000008</v>
      </c>
      <c r="Q14" s="33">
        <f>_xlfn.XLOOKUP($D14,'consolidated tracker'!$D:$D,'consolidated tracker'!P:P)</f>
        <v>0</v>
      </c>
      <c r="R14" s="33">
        <f>_xlfn.XLOOKUP($D14,'consolidated tracker'!$D:$D,'consolidated tracker'!Q:Q)</f>
        <v>0</v>
      </c>
      <c r="S14" s="33">
        <f>_xlfn.XLOOKUP($D14,'consolidated tracker'!$D:$D,'consolidated tracker'!R:R)</f>
        <v>0</v>
      </c>
      <c r="T14" s="33">
        <f>_xlfn.XLOOKUP($D14,'consolidated tracker'!$D:$D,'consolidated tracker'!S:S)</f>
        <v>0</v>
      </c>
      <c r="U14" s="33">
        <f>_xlfn.XLOOKUP($D14,'consolidated tracker'!$D:$D,'consolidated tracker'!T:T)</f>
        <v>0</v>
      </c>
      <c r="V14" s="33">
        <f>_xlfn.XLOOKUP($D14,'consolidated tracker'!$D:$D,'consolidated tracker'!U:U)</f>
        <v>0</v>
      </c>
      <c r="W14" s="33">
        <f>_xlfn.XLOOKUP($D14,'consolidated tracker'!$D:$D,'consolidated tracker'!V:V)</f>
        <v>0</v>
      </c>
      <c r="X14" s="33">
        <f>_xlfn.XLOOKUP($D14,'consolidated tracker'!$D:$D,'consolidated tracker'!W:W)</f>
        <v>0</v>
      </c>
      <c r="Y14" s="17"/>
      <c r="Z14" s="17"/>
      <c r="AA14" s="11"/>
      <c r="AB14" s="16"/>
    </row>
    <row r="15" spans="1:28" s="7" customFormat="1" ht="150" hidden="1" customHeight="1" outlineLevel="1" x14ac:dyDescent="1.25">
      <c r="A15" s="4"/>
      <c r="C15" s="77"/>
      <c r="D15" s="78" t="s">
        <v>186</v>
      </c>
      <c r="E15" s="49" t="str">
        <f>_xlfn.XLOOKUP(D15,'consolidated tracker'!D:D,'consolidated tracker'!E:E)</f>
        <v>RERA</v>
      </c>
      <c r="F15" s="134">
        <v>46203</v>
      </c>
      <c r="G15" s="33">
        <f>_xlfn.XLOOKUP(D15,'consolidated tracker'!D:D,'consolidated tracker'!F:F)</f>
        <v>54</v>
      </c>
      <c r="H15" s="33">
        <f>_xlfn.XLOOKUP(D15,'consolidated tracker'!D:D,'consolidated tracker'!G:G)</f>
        <v>1504805394.76</v>
      </c>
      <c r="I15" s="33">
        <f>_xlfn.XLOOKUP(D15,'consolidated tracker'!D:D,'consolidated tracker'!H:H)</f>
        <v>1063549010.1600002</v>
      </c>
      <c r="J15" s="33">
        <f>_xlfn.XLOOKUP(D15,'consolidated tracker'!D:D,'consolidated tracker'!I:I)</f>
        <v>1035333504.5200001</v>
      </c>
      <c r="K15" s="33">
        <f>_xlfn.XLOOKUP(D15,'consolidated tracker'!D:D,'consolidated tracker'!J:J)</f>
        <v>73147086.789999992</v>
      </c>
      <c r="L15" s="34">
        <f>_xlfn.XLOOKUP(D15,'consolidated tracker'!D:D,'consolidated tracker'!K:K)</f>
        <v>0.97347042273514472</v>
      </c>
      <c r="M15" s="36">
        <f>_xlfn.XLOOKUP('consolidated - Offplan'!D15,'consolidated tracker'!D:D,'consolidated tracker'!L:L)</f>
        <v>28215504.420000002</v>
      </c>
      <c r="N15" s="30">
        <f>_xlfn.XLOOKUP($D15,'consolidated tracker'!$D:$D,'consolidated tracker'!M:M)</f>
        <v>368109297.8099997</v>
      </c>
      <c r="O15" s="40">
        <f>_xlfn.XLOOKUP($D15,'consolidated tracker'!$D:$D,'consolidated tracker'!N:N)</f>
        <v>368109297.8099997</v>
      </c>
      <c r="P15" s="40">
        <f>_xlfn.XLOOKUP($D15,'consolidated tracker'!$D:$D,'consolidated tracker'!O:O)</f>
        <v>0</v>
      </c>
      <c r="Q15" s="33">
        <f>_xlfn.XLOOKUP($D15,'consolidated tracker'!$D:$D,'consolidated tracker'!P:P)</f>
        <v>0</v>
      </c>
      <c r="R15" s="33">
        <f>_xlfn.XLOOKUP($D15,'consolidated tracker'!$D:$D,'consolidated tracker'!Q:Q)</f>
        <v>0</v>
      </c>
      <c r="S15" s="33">
        <f>_xlfn.XLOOKUP($D15,'consolidated tracker'!$D:$D,'consolidated tracker'!R:R)</f>
        <v>0</v>
      </c>
      <c r="T15" s="33">
        <f>_xlfn.XLOOKUP($D15,'consolidated tracker'!$D:$D,'consolidated tracker'!S:S)</f>
        <v>0</v>
      </c>
      <c r="U15" s="33">
        <f>_xlfn.XLOOKUP($D15,'consolidated tracker'!$D:$D,'consolidated tracker'!T:T)</f>
        <v>0</v>
      </c>
      <c r="V15" s="33">
        <f>_xlfn.XLOOKUP($D15,'consolidated tracker'!$D:$D,'consolidated tracker'!U:U)</f>
        <v>0</v>
      </c>
      <c r="W15" s="33">
        <f>_xlfn.XLOOKUP($D15,'consolidated tracker'!$D:$D,'consolidated tracker'!V:V)</f>
        <v>0</v>
      </c>
      <c r="X15" s="33">
        <f>_xlfn.XLOOKUP($D15,'consolidated tracker'!$D:$D,'consolidated tracker'!W:W)</f>
        <v>0</v>
      </c>
      <c r="Y15" s="17"/>
      <c r="Z15" s="17"/>
      <c r="AA15" s="11"/>
      <c r="AB15" s="16"/>
    </row>
    <row r="16" spans="1:28" s="7" customFormat="1" ht="150" hidden="1" customHeight="1" outlineLevel="1" x14ac:dyDescent="1.25">
      <c r="A16" s="4"/>
      <c r="C16" s="77"/>
      <c r="D16" s="78" t="s">
        <v>184</v>
      </c>
      <c r="E16" s="49" t="str">
        <f>_xlfn.XLOOKUP(D16,'consolidated tracker'!D:D,'consolidated tracker'!E:E)</f>
        <v>RERA</v>
      </c>
      <c r="F16" s="134">
        <v>46387</v>
      </c>
      <c r="G16" s="33">
        <f>_xlfn.XLOOKUP(D16,'consolidated tracker'!D:D,'consolidated tracker'!F:F)</f>
        <v>1</v>
      </c>
      <c r="H16" s="33">
        <f>_xlfn.XLOOKUP(D16,'consolidated tracker'!D:D,'consolidated tracker'!G:G)</f>
        <v>130000000</v>
      </c>
      <c r="I16" s="33">
        <f>_xlfn.XLOOKUP(D16,'consolidated tracker'!D:D,'consolidated tracker'!H:H)</f>
        <v>78000000</v>
      </c>
      <c r="J16" s="33">
        <f>_xlfn.XLOOKUP(D16,'consolidated tracker'!D:D,'consolidated tracker'!I:I)</f>
        <v>78000000</v>
      </c>
      <c r="K16" s="33">
        <f>_xlfn.XLOOKUP(D16,'consolidated tracker'!D:D,'consolidated tracker'!J:J)</f>
        <v>0</v>
      </c>
      <c r="L16" s="34">
        <f>_xlfn.XLOOKUP(D16,'consolidated tracker'!D:D,'consolidated tracker'!K:K)</f>
        <v>1</v>
      </c>
      <c r="M16" s="36">
        <f>_xlfn.XLOOKUP('consolidated - Offplan'!D16,'consolidated tracker'!D:D,'consolidated tracker'!L:L)</f>
        <v>0</v>
      </c>
      <c r="N16" s="30">
        <f>_xlfn.XLOOKUP($D16,'consolidated tracker'!$D:$D,'consolidated tracker'!M:M)</f>
        <v>52000000</v>
      </c>
      <c r="O16" s="40">
        <f>_xlfn.XLOOKUP($D16,'consolidated tracker'!$D:$D,'consolidated tracker'!N:N)</f>
        <v>52000000</v>
      </c>
      <c r="P16" s="40">
        <f>_xlfn.XLOOKUP($D16,'consolidated tracker'!$D:$D,'consolidated tracker'!O:O)</f>
        <v>0</v>
      </c>
      <c r="Q16" s="33">
        <f>_xlfn.XLOOKUP($D16,'consolidated tracker'!$D:$D,'consolidated tracker'!P:P)</f>
        <v>0</v>
      </c>
      <c r="R16" s="33">
        <f>_xlfn.XLOOKUP($D16,'consolidated tracker'!$D:$D,'consolidated tracker'!Q:Q)</f>
        <v>0</v>
      </c>
      <c r="S16" s="33">
        <f>_xlfn.XLOOKUP($D16,'consolidated tracker'!$D:$D,'consolidated tracker'!R:R)</f>
        <v>0</v>
      </c>
      <c r="T16" s="33">
        <f>_xlfn.XLOOKUP($D16,'consolidated tracker'!$D:$D,'consolidated tracker'!S:S)</f>
        <v>0</v>
      </c>
      <c r="U16" s="33">
        <f>_xlfn.XLOOKUP($D16,'consolidated tracker'!$D:$D,'consolidated tracker'!T:T)</f>
        <v>0</v>
      </c>
      <c r="V16" s="33">
        <f>_xlfn.XLOOKUP($D16,'consolidated tracker'!$D:$D,'consolidated tracker'!U:U)</f>
        <v>0</v>
      </c>
      <c r="W16" s="33">
        <f>_xlfn.XLOOKUP($D16,'consolidated tracker'!$D:$D,'consolidated tracker'!V:V)</f>
        <v>0</v>
      </c>
      <c r="X16" s="33">
        <f>_xlfn.XLOOKUP($D16,'consolidated tracker'!$D:$D,'consolidated tracker'!W:W)</f>
        <v>0</v>
      </c>
      <c r="Y16" s="17"/>
      <c r="Z16" s="17"/>
      <c r="AA16" s="11"/>
      <c r="AB16" s="16"/>
    </row>
    <row r="17" spans="1:28" s="7" customFormat="1" ht="150" hidden="1" customHeight="1" outlineLevel="1" x14ac:dyDescent="1.25">
      <c r="A17" s="4"/>
      <c r="C17" s="77"/>
      <c r="D17" s="78" t="s">
        <v>182</v>
      </c>
      <c r="E17" s="49" t="str">
        <f>_xlfn.XLOOKUP(D17,'consolidated tracker'!D:D,'consolidated tracker'!E:E)</f>
        <v>RERA</v>
      </c>
      <c r="F17" s="134">
        <v>46387</v>
      </c>
      <c r="G17" s="33">
        <f>_xlfn.XLOOKUP(D17,'consolidated tracker'!D:D,'consolidated tracker'!F:F)</f>
        <v>48</v>
      </c>
      <c r="H17" s="33">
        <f>_xlfn.XLOOKUP(D17,'consolidated tracker'!D:D,'consolidated tracker'!G:G)</f>
        <v>1266411551</v>
      </c>
      <c r="I17" s="33">
        <f>_xlfn.XLOOKUP(D17,'consolidated tracker'!D:D,'consolidated tracker'!H:H)</f>
        <v>471097559.79999995</v>
      </c>
      <c r="J17" s="33">
        <f>_xlfn.XLOOKUP(D17,'consolidated tracker'!D:D,'consolidated tracker'!I:I)</f>
        <v>385531315.37</v>
      </c>
      <c r="K17" s="33">
        <f>_xlfn.XLOOKUP(D17,'consolidated tracker'!D:D,'consolidated tracker'!J:J)</f>
        <v>85186085.879999995</v>
      </c>
      <c r="L17" s="34">
        <f>_xlfn.XLOOKUP(D17,'consolidated tracker'!D:D,'consolidated tracker'!K:K)</f>
        <v>0.81836831320814674</v>
      </c>
      <c r="M17" s="36">
        <f>_xlfn.XLOOKUP('consolidated - Offplan'!D17,'consolidated tracker'!D:D,'consolidated tracker'!L:L)</f>
        <v>85566244.430000022</v>
      </c>
      <c r="N17" s="30">
        <f>_xlfn.XLOOKUP($D17,'consolidated tracker'!$D:$D,'consolidated tracker'!M:M)</f>
        <v>710127905.32000005</v>
      </c>
      <c r="O17" s="40">
        <f>_xlfn.XLOOKUP($D17,'consolidated tracker'!$D:$D,'consolidated tracker'!N:N)</f>
        <v>196915065.71999997</v>
      </c>
      <c r="P17" s="40">
        <f>_xlfn.XLOOKUP($D17,'consolidated tracker'!$D:$D,'consolidated tracker'!O:O)</f>
        <v>513212839.60000008</v>
      </c>
      <c r="Q17" s="33">
        <f>_xlfn.XLOOKUP($D17,'consolidated tracker'!$D:$D,'consolidated tracker'!P:P)</f>
        <v>0</v>
      </c>
      <c r="R17" s="33">
        <f>_xlfn.XLOOKUP($D17,'consolidated tracker'!$D:$D,'consolidated tracker'!Q:Q)</f>
        <v>0</v>
      </c>
      <c r="S17" s="33">
        <f>_xlfn.XLOOKUP($D17,'consolidated tracker'!$D:$D,'consolidated tracker'!R:R)</f>
        <v>0</v>
      </c>
      <c r="T17" s="33">
        <f>_xlfn.XLOOKUP($D17,'consolidated tracker'!$D:$D,'consolidated tracker'!S:S)</f>
        <v>0</v>
      </c>
      <c r="U17" s="33">
        <f>_xlfn.XLOOKUP($D17,'consolidated tracker'!$D:$D,'consolidated tracker'!T:T)</f>
        <v>0</v>
      </c>
      <c r="V17" s="33">
        <f>_xlfn.XLOOKUP($D17,'consolidated tracker'!$D:$D,'consolidated tracker'!U:U)</f>
        <v>0</v>
      </c>
      <c r="W17" s="33">
        <f>_xlfn.XLOOKUP($D17,'consolidated tracker'!$D:$D,'consolidated tracker'!V:V)</f>
        <v>0</v>
      </c>
      <c r="X17" s="33">
        <f>_xlfn.XLOOKUP($D17,'consolidated tracker'!$D:$D,'consolidated tracker'!W:W)</f>
        <v>0</v>
      </c>
      <c r="Y17" s="17"/>
      <c r="Z17" s="17"/>
      <c r="AA17" s="11"/>
      <c r="AB17" s="16"/>
    </row>
    <row r="18" spans="1:28" s="7" customFormat="1" ht="150" hidden="1" customHeight="1" outlineLevel="1" x14ac:dyDescent="1.25">
      <c r="A18" s="4"/>
      <c r="C18" s="77"/>
      <c r="D18" s="78" t="s">
        <v>180</v>
      </c>
      <c r="E18" s="49" t="str">
        <f>_xlfn.XLOOKUP(D18,'consolidated tracker'!D:D,'consolidated tracker'!E:E)</f>
        <v>RERA</v>
      </c>
      <c r="F18" s="134" t="s">
        <v>232</v>
      </c>
      <c r="G18" s="33">
        <f>_xlfn.XLOOKUP(D18,'consolidated tracker'!D:D,'consolidated tracker'!F:F)</f>
        <v>1</v>
      </c>
      <c r="H18" s="33">
        <f>_xlfn.XLOOKUP(D18,'consolidated tracker'!D:D,'consolidated tracker'!G:G)</f>
        <v>64840575</v>
      </c>
      <c r="I18" s="33">
        <f>_xlfn.XLOOKUP(D18,'consolidated tracker'!D:D,'consolidated tracker'!H:H)</f>
        <v>6484057.5</v>
      </c>
      <c r="J18" s="33">
        <f>_xlfn.XLOOKUP(D18,'consolidated tracker'!D:D,'consolidated tracker'!I:I)</f>
        <v>6484057.5</v>
      </c>
      <c r="K18" s="33">
        <f>_xlfn.XLOOKUP(D18,'consolidated tracker'!D:D,'consolidated tracker'!J:J)</f>
        <v>56022257.5</v>
      </c>
      <c r="L18" s="34">
        <f>_xlfn.XLOOKUP(D18,'consolidated tracker'!D:D,'consolidated tracker'!K:K)</f>
        <v>1</v>
      </c>
      <c r="M18" s="36">
        <f>_xlfn.XLOOKUP('consolidated - Offplan'!D18,'consolidated tracker'!D:D,'consolidated tracker'!L:L)</f>
        <v>0</v>
      </c>
      <c r="N18" s="30">
        <f>_xlfn.XLOOKUP($D18,'consolidated tracker'!$D:$D,'consolidated tracker'!M:M)</f>
        <v>2334260</v>
      </c>
      <c r="O18" s="40">
        <f>_xlfn.XLOOKUP($D18,'consolidated tracker'!$D:$D,'consolidated tracker'!N:N)</f>
        <v>2334260</v>
      </c>
      <c r="P18" s="40">
        <f>_xlfn.XLOOKUP($D18,'consolidated tracker'!$D:$D,'consolidated tracker'!O:O)</f>
        <v>0</v>
      </c>
      <c r="Q18" s="33">
        <f>_xlfn.XLOOKUP($D18,'consolidated tracker'!$D:$D,'consolidated tracker'!P:P)</f>
        <v>0</v>
      </c>
      <c r="R18" s="33">
        <f>_xlfn.XLOOKUP($D18,'consolidated tracker'!$D:$D,'consolidated tracker'!Q:Q)</f>
        <v>0</v>
      </c>
      <c r="S18" s="33">
        <f>_xlfn.XLOOKUP($D18,'consolidated tracker'!$D:$D,'consolidated tracker'!R:R)</f>
        <v>0</v>
      </c>
      <c r="T18" s="33">
        <f>_xlfn.XLOOKUP($D18,'consolidated tracker'!$D:$D,'consolidated tracker'!S:S)</f>
        <v>0</v>
      </c>
      <c r="U18" s="33">
        <f>_xlfn.XLOOKUP($D18,'consolidated tracker'!$D:$D,'consolidated tracker'!T:T)</f>
        <v>0</v>
      </c>
      <c r="V18" s="33">
        <f>_xlfn.XLOOKUP($D18,'consolidated tracker'!$D:$D,'consolidated tracker'!U:U)</f>
        <v>0</v>
      </c>
      <c r="W18" s="33">
        <f>_xlfn.XLOOKUP($D18,'consolidated tracker'!$D:$D,'consolidated tracker'!V:V)</f>
        <v>0</v>
      </c>
      <c r="X18" s="33">
        <f>_xlfn.XLOOKUP($D18,'consolidated tracker'!$D:$D,'consolidated tracker'!W:W)</f>
        <v>0</v>
      </c>
      <c r="Y18" s="17"/>
      <c r="Z18" s="17"/>
      <c r="AA18" s="11"/>
      <c r="AB18" s="16"/>
    </row>
    <row r="19" spans="1:28" s="7" customFormat="1" ht="150" customHeight="1" collapsed="1" x14ac:dyDescent="1.25">
      <c r="A19" s="4"/>
      <c r="C19" s="77">
        <v>6</v>
      </c>
      <c r="D19" s="76" t="s">
        <v>179</v>
      </c>
      <c r="E19" s="49" t="str">
        <f>_xlfn.XLOOKUP(D19,'consolidated tracker'!D:D,'consolidated tracker'!E:E)</f>
        <v>RERA</v>
      </c>
      <c r="F19" s="134">
        <v>46203</v>
      </c>
      <c r="G19" s="33">
        <f>_xlfn.XLOOKUP(D19,'consolidated tracker'!D:D,'consolidated tracker'!F:F)</f>
        <v>345</v>
      </c>
      <c r="H19" s="33">
        <f>_xlfn.XLOOKUP(D19,'consolidated tracker'!D:D,'consolidated tracker'!G:G)</f>
        <v>3184231867.099999</v>
      </c>
      <c r="I19" s="33">
        <f>_xlfn.XLOOKUP(D19,'consolidated tracker'!D:D,'consolidated tracker'!H:H)</f>
        <v>2118963166.0399885</v>
      </c>
      <c r="J19" s="33">
        <f>_xlfn.XLOOKUP(D19,'consolidated tracker'!D:D,'consolidated tracker'!I:I)</f>
        <v>2004563019.559999</v>
      </c>
      <c r="K19" s="33">
        <f>_xlfn.XLOOKUP(D19,'consolidated tracker'!D:D,'consolidated tracker'!J:J)</f>
        <v>112387998.13000004</v>
      </c>
      <c r="L19" s="34">
        <f>_xlfn.XLOOKUP(D19,'consolidated tracker'!D:D,'consolidated tracker'!K:K)</f>
        <v>0.9460112623412017</v>
      </c>
      <c r="M19" s="36">
        <f>_xlfn.XLOOKUP('consolidated - Offplan'!D19,'consolidated tracker'!D:D,'consolidated tracker'!L:L)</f>
        <v>114400144.38999999</v>
      </c>
      <c r="N19" s="30">
        <f>_xlfn.XLOOKUP($D19,'consolidated tracker'!$D:$D,'consolidated tracker'!M:M)</f>
        <v>952880702.93001032</v>
      </c>
      <c r="O19" s="40">
        <f>_xlfn.XLOOKUP($D19,'consolidated tracker'!$D:$D,'consolidated tracker'!N:N)</f>
        <v>520052707.3500104</v>
      </c>
      <c r="P19" s="40">
        <f>_xlfn.XLOOKUP($D19,'consolidated tracker'!$D:$D,'consolidated tracker'!O:O)</f>
        <v>428897172.56999993</v>
      </c>
      <c r="Q19" s="33">
        <f>_xlfn.XLOOKUP($D19,'consolidated tracker'!$D:$D,'consolidated tracker'!P:P)</f>
        <v>750000</v>
      </c>
      <c r="R19" s="136">
        <f>_xlfn.XLOOKUP($D19,'consolidated tracker'!$D:$D,'consolidated tracker'!Q:Q)</f>
        <v>750000</v>
      </c>
      <c r="S19" s="136">
        <f>_xlfn.XLOOKUP($D19,'consolidated tracker'!$D:$D,'consolidated tracker'!R:R)</f>
        <v>1000000</v>
      </c>
      <c r="T19" s="136">
        <f>_xlfn.XLOOKUP($D19,'consolidated tracker'!$D:$D,'consolidated tracker'!S:S)</f>
        <v>1430823.01</v>
      </c>
      <c r="U19" s="136">
        <f>_xlfn.XLOOKUP($D19,'consolidated tracker'!$D:$D,'consolidated tracker'!T:T)</f>
        <v>0</v>
      </c>
      <c r="V19" s="136">
        <f>_xlfn.XLOOKUP($D19,'consolidated tracker'!$D:$D,'consolidated tracker'!U:U)</f>
        <v>0</v>
      </c>
      <c r="W19" s="136">
        <f>_xlfn.XLOOKUP($D19,'consolidated tracker'!$D:$D,'consolidated tracker'!V:V)</f>
        <v>0</v>
      </c>
      <c r="X19" s="136">
        <f>_xlfn.XLOOKUP($D19,'consolidated tracker'!$D:$D,'consolidated tracker'!W:W)</f>
        <v>0</v>
      </c>
      <c r="Y19" s="17"/>
      <c r="Z19" s="17"/>
      <c r="AA19" s="11"/>
      <c r="AB19" s="16"/>
    </row>
    <row r="20" spans="1:28" s="7" customFormat="1" ht="150" customHeight="1" x14ac:dyDescent="1.25">
      <c r="A20" s="4"/>
      <c r="C20" s="77">
        <v>7</v>
      </c>
      <c r="D20" s="76" t="s">
        <v>178</v>
      </c>
      <c r="E20" s="49" t="str">
        <f>_xlfn.XLOOKUP(D20,'consolidated tracker'!D:D,'consolidated tracker'!E:E)</f>
        <v>RERA</v>
      </c>
      <c r="F20" s="134" t="s">
        <v>232</v>
      </c>
      <c r="G20" s="33">
        <f>_xlfn.XLOOKUP(D20,'consolidated tracker'!D:D,'consolidated tracker'!F:F)</f>
        <v>2957</v>
      </c>
      <c r="H20" s="33">
        <f>_xlfn.XLOOKUP(D20,'consolidated tracker'!D:D,'consolidated tracker'!G:G)</f>
        <v>6987776685.4200001</v>
      </c>
      <c r="I20" s="33">
        <f>_xlfn.XLOOKUP(D20,'consolidated tracker'!D:D,'consolidated tracker'!H:H)</f>
        <v>3736014218.109992</v>
      </c>
      <c r="J20" s="33">
        <f>_xlfn.XLOOKUP(D20,'consolidated tracker'!D:D,'consolidated tracker'!I:I)</f>
        <v>3590002271.7599978</v>
      </c>
      <c r="K20" s="33">
        <f>_xlfn.XLOOKUP(D20,'consolidated tracker'!D:D,'consolidated tracker'!J:J)</f>
        <v>313172768.92999995</v>
      </c>
      <c r="L20" s="34">
        <f>_xlfn.XLOOKUP(D20,'consolidated tracker'!D:D,'consolidated tracker'!K:K)</f>
        <v>0.9609177219823698</v>
      </c>
      <c r="M20" s="36">
        <f>_xlfn.XLOOKUP('consolidated - Offplan'!D20,'consolidated tracker'!D:D,'consolidated tracker'!L:L)</f>
        <v>146011945.82999998</v>
      </c>
      <c r="N20" s="30">
        <f>_xlfn.XLOOKUP($D20,'consolidated tracker'!$D:$D,'consolidated tracker'!M:M)</f>
        <v>2938589698.3800082</v>
      </c>
      <c r="O20" s="33">
        <f>_xlfn.XLOOKUP($D20,'consolidated tracker'!$D:$D,'consolidated tracker'!N:N)</f>
        <v>2936419781.6300082</v>
      </c>
      <c r="P20" s="33">
        <f>_xlfn.XLOOKUP($D20,'consolidated tracker'!$D:$D,'consolidated tracker'!O:O)</f>
        <v>2169916.75</v>
      </c>
      <c r="Q20" s="33">
        <f>_xlfn.XLOOKUP($D20,'consolidated tracker'!$D:$D,'consolidated tracker'!P:P)</f>
        <v>0</v>
      </c>
      <c r="R20" s="136">
        <f>_xlfn.XLOOKUP($D20,'consolidated tracker'!$D:$D,'consolidated tracker'!Q:Q)</f>
        <v>0</v>
      </c>
      <c r="S20" s="136">
        <f>_xlfn.XLOOKUP($D20,'consolidated tracker'!$D:$D,'consolidated tracker'!R:R)</f>
        <v>0</v>
      </c>
      <c r="T20" s="136">
        <f>_xlfn.XLOOKUP($D20,'consolidated tracker'!$D:$D,'consolidated tracker'!S:S)</f>
        <v>0</v>
      </c>
      <c r="U20" s="136">
        <f>_xlfn.XLOOKUP($D20,'consolidated tracker'!$D:$D,'consolidated tracker'!T:T)</f>
        <v>0</v>
      </c>
      <c r="V20" s="136">
        <f>_xlfn.XLOOKUP($D20,'consolidated tracker'!$D:$D,'consolidated tracker'!U:U)</f>
        <v>0</v>
      </c>
      <c r="W20" s="136">
        <f>_xlfn.XLOOKUP($D20,'consolidated tracker'!$D:$D,'consolidated tracker'!V:V)</f>
        <v>0</v>
      </c>
      <c r="X20" s="136">
        <f>_xlfn.XLOOKUP($D20,'consolidated tracker'!$D:$D,'consolidated tracker'!W:W)</f>
        <v>0</v>
      </c>
      <c r="Y20" s="17"/>
      <c r="Z20" s="17"/>
      <c r="AA20" s="11"/>
      <c r="AB20" s="16"/>
    </row>
    <row r="21" spans="1:28" s="7" customFormat="1" ht="150" hidden="1" customHeight="1" outlineLevel="1" x14ac:dyDescent="1.25">
      <c r="A21" s="4"/>
      <c r="C21" s="77"/>
      <c r="D21" s="94" t="s">
        <v>177</v>
      </c>
      <c r="E21" s="49" t="str">
        <f>_xlfn.XLOOKUP(D21,'consolidated tracker'!D:D,'consolidated tracker'!E:E)</f>
        <v>RERA</v>
      </c>
      <c r="F21" s="134">
        <v>46387</v>
      </c>
      <c r="G21" s="33">
        <f>_xlfn.XLOOKUP(D21,'consolidated tracker'!D:D,'consolidated tracker'!F:F)</f>
        <v>596</v>
      </c>
      <c r="H21" s="33">
        <f>_xlfn.XLOOKUP(D21,'consolidated tracker'!D:D,'consolidated tracker'!G:G)</f>
        <v>1437789012.3800011</v>
      </c>
      <c r="I21" s="33">
        <f>_xlfn.XLOOKUP(D21,'consolidated tracker'!D:D,'consolidated tracker'!H:H)</f>
        <v>796240293.83000207</v>
      </c>
      <c r="J21" s="33">
        <f>_xlfn.XLOOKUP(D21,'consolidated tracker'!D:D,'consolidated tracker'!I:I)</f>
        <v>762980005.54999983</v>
      </c>
      <c r="K21" s="33">
        <f>_xlfn.XLOOKUP(D21,'consolidated tracker'!D:D,'consolidated tracker'!J:J)</f>
        <v>58937694.339999974</v>
      </c>
      <c r="L21" s="34">
        <f>_xlfn.XLOOKUP(D21,'consolidated tracker'!D:D,'consolidated tracker'!K:K)</f>
        <v>0.95822832813444214</v>
      </c>
      <c r="M21" s="36">
        <f>_xlfn.XLOOKUP('consolidated - Offplan'!D21,'consolidated tracker'!D:D,'consolidated tracker'!L:L)</f>
        <v>33260288.219999995</v>
      </c>
      <c r="N21" s="30">
        <f>_xlfn.XLOOKUP($D21,'consolidated tracker'!$D:$D,'consolidated tracker'!M:M)</f>
        <v>582611024.20999908</v>
      </c>
      <c r="O21" s="40">
        <f>_xlfn.XLOOKUP($D21,'consolidated tracker'!$D:$D,'consolidated tracker'!N:N)</f>
        <v>582611024.20999908</v>
      </c>
      <c r="P21" s="33">
        <f>_xlfn.XLOOKUP($D21,'consolidated tracker'!$D:$D,'consolidated tracker'!O:O)</f>
        <v>0</v>
      </c>
      <c r="Q21" s="33">
        <f>_xlfn.XLOOKUP($D21,'consolidated tracker'!$D:$D,'consolidated tracker'!P:P)</f>
        <v>0</v>
      </c>
      <c r="R21" s="136">
        <f>_xlfn.XLOOKUP($D21,'consolidated tracker'!$D:$D,'consolidated tracker'!Q:Q)</f>
        <v>0</v>
      </c>
      <c r="S21" s="136">
        <f>_xlfn.XLOOKUP($D21,'consolidated tracker'!$D:$D,'consolidated tracker'!R:R)</f>
        <v>0</v>
      </c>
      <c r="T21" s="136">
        <f>_xlfn.XLOOKUP($D21,'consolidated tracker'!$D:$D,'consolidated tracker'!S:S)</f>
        <v>0</v>
      </c>
      <c r="U21" s="136">
        <f>_xlfn.XLOOKUP($D21,'consolidated tracker'!$D:$D,'consolidated tracker'!T:T)</f>
        <v>0</v>
      </c>
      <c r="V21" s="136">
        <f>_xlfn.XLOOKUP($D21,'consolidated tracker'!$D:$D,'consolidated tracker'!U:U)</f>
        <v>0</v>
      </c>
      <c r="W21" s="136">
        <f>_xlfn.XLOOKUP($D21,'consolidated tracker'!$D:$D,'consolidated tracker'!V:V)</f>
        <v>0</v>
      </c>
      <c r="X21" s="136">
        <f>_xlfn.XLOOKUP($D21,'consolidated tracker'!$D:$D,'consolidated tracker'!W:W)</f>
        <v>0</v>
      </c>
      <c r="Y21" s="17"/>
      <c r="Z21" s="17"/>
      <c r="AA21" s="11"/>
      <c r="AB21" s="16"/>
    </row>
    <row r="22" spans="1:28" s="7" customFormat="1" ht="150" hidden="1" customHeight="1" outlineLevel="1" x14ac:dyDescent="1.25">
      <c r="A22" s="4"/>
      <c r="C22" s="77"/>
      <c r="D22" s="94" t="s">
        <v>176</v>
      </c>
      <c r="E22" s="49" t="str">
        <f>_xlfn.XLOOKUP(D22,'consolidated tracker'!D:D,'consolidated tracker'!E:E)</f>
        <v>RERA</v>
      </c>
      <c r="F22" s="134">
        <v>46387</v>
      </c>
      <c r="G22" s="33">
        <f>_xlfn.XLOOKUP(D22,'consolidated tracker'!D:D,'consolidated tracker'!F:F)</f>
        <v>860</v>
      </c>
      <c r="H22" s="33">
        <f>_xlfn.XLOOKUP(D22,'consolidated tracker'!D:D,'consolidated tracker'!G:G)</f>
        <v>1649643870.8700001</v>
      </c>
      <c r="I22" s="33">
        <f>_xlfn.XLOOKUP(D22,'consolidated tracker'!D:D,'consolidated tracker'!H:H)</f>
        <v>893626709.47999382</v>
      </c>
      <c r="J22" s="33">
        <f>_xlfn.XLOOKUP(D22,'consolidated tracker'!D:D,'consolidated tracker'!I:I)</f>
        <v>871301816.70999885</v>
      </c>
      <c r="K22" s="33">
        <f>_xlfn.XLOOKUP(D22,'consolidated tracker'!D:D,'consolidated tracker'!J:J)</f>
        <v>71956848.750000015</v>
      </c>
      <c r="L22" s="34">
        <f>_xlfn.XLOOKUP(D22,'consolidated tracker'!D:D,'consolidated tracker'!K:K)</f>
        <v>0.97501765274788399</v>
      </c>
      <c r="M22" s="36">
        <f>_xlfn.XLOOKUP('consolidated - Offplan'!D22,'consolidated tracker'!D:D,'consolidated tracker'!L:L)</f>
        <v>22324892.669999979</v>
      </c>
      <c r="N22" s="30">
        <f>_xlfn.XLOOKUP($D22,'consolidated tracker'!$D:$D,'consolidated tracker'!M:M)</f>
        <v>684060312.6400063</v>
      </c>
      <c r="O22" s="40">
        <f>_xlfn.XLOOKUP($D22,'consolidated tracker'!$D:$D,'consolidated tracker'!N:N)</f>
        <v>684060312.6400063</v>
      </c>
      <c r="P22" s="33">
        <f>_xlfn.XLOOKUP($D22,'consolidated tracker'!$D:$D,'consolidated tracker'!O:O)</f>
        <v>0</v>
      </c>
      <c r="Q22" s="33">
        <f>_xlfn.XLOOKUP($D22,'consolidated tracker'!$D:$D,'consolidated tracker'!P:P)</f>
        <v>0</v>
      </c>
      <c r="R22" s="136">
        <f>_xlfn.XLOOKUP($D22,'consolidated tracker'!$D:$D,'consolidated tracker'!Q:Q)</f>
        <v>0</v>
      </c>
      <c r="S22" s="136">
        <f>_xlfn.XLOOKUP($D22,'consolidated tracker'!$D:$D,'consolidated tracker'!R:R)</f>
        <v>0</v>
      </c>
      <c r="T22" s="136">
        <f>_xlfn.XLOOKUP($D22,'consolidated tracker'!$D:$D,'consolidated tracker'!S:S)</f>
        <v>0</v>
      </c>
      <c r="U22" s="136">
        <f>_xlfn.XLOOKUP($D22,'consolidated tracker'!$D:$D,'consolidated tracker'!T:T)</f>
        <v>0</v>
      </c>
      <c r="V22" s="136">
        <f>_xlfn.XLOOKUP($D22,'consolidated tracker'!$D:$D,'consolidated tracker'!U:U)</f>
        <v>0</v>
      </c>
      <c r="W22" s="136">
        <f>_xlfn.XLOOKUP($D22,'consolidated tracker'!$D:$D,'consolidated tracker'!V:V)</f>
        <v>0</v>
      </c>
      <c r="X22" s="136">
        <f>_xlfn.XLOOKUP($D22,'consolidated tracker'!$D:$D,'consolidated tracker'!W:W)</f>
        <v>0</v>
      </c>
      <c r="Y22" s="17"/>
      <c r="Z22" s="17"/>
      <c r="AA22" s="11"/>
      <c r="AB22" s="16"/>
    </row>
    <row r="23" spans="1:28" s="7" customFormat="1" ht="150" hidden="1" customHeight="1" outlineLevel="1" x14ac:dyDescent="1.25">
      <c r="A23" s="4"/>
      <c r="C23" s="77"/>
      <c r="D23" s="94" t="s">
        <v>175</v>
      </c>
      <c r="E23" s="49" t="str">
        <f>_xlfn.XLOOKUP(D23,'consolidated tracker'!D:D,'consolidated tracker'!E:E)</f>
        <v>RERA</v>
      </c>
      <c r="F23" s="134">
        <v>46387</v>
      </c>
      <c r="G23" s="33">
        <f>_xlfn.XLOOKUP(D23,'consolidated tracker'!D:D,'consolidated tracker'!F:F)</f>
        <v>390</v>
      </c>
      <c r="H23" s="33">
        <f>_xlfn.XLOOKUP(D23,'consolidated tracker'!D:D,'consolidated tracker'!G:G)</f>
        <v>1020475280.3399996</v>
      </c>
      <c r="I23" s="33">
        <f>_xlfn.XLOOKUP(D23,'consolidated tracker'!D:D,'consolidated tracker'!H:H)</f>
        <v>545044972.50999868</v>
      </c>
      <c r="J23" s="33">
        <f>_xlfn.XLOOKUP(D23,'consolidated tracker'!D:D,'consolidated tracker'!I:I)</f>
        <v>518691731.61999989</v>
      </c>
      <c r="K23" s="33">
        <f>_xlfn.XLOOKUP(D23,'consolidated tracker'!D:D,'consolidated tracker'!J:J)</f>
        <v>47445506.089999981</v>
      </c>
      <c r="L23" s="34">
        <f>_xlfn.XLOOKUP(D23,'consolidated tracker'!D:D,'consolidated tracker'!K:K)</f>
        <v>0.95164941937059089</v>
      </c>
      <c r="M23" s="36">
        <f>_xlfn.XLOOKUP('consolidated - Offplan'!D23,'consolidated tracker'!D:D,'consolidated tracker'!L:L)</f>
        <v>26353240.890000004</v>
      </c>
      <c r="N23" s="30">
        <f>_xlfn.XLOOKUP($D23,'consolidated tracker'!$D:$D,'consolidated tracker'!M:M)</f>
        <v>427984801.74000084</v>
      </c>
      <c r="O23" s="40">
        <f>_xlfn.XLOOKUP($D23,'consolidated tracker'!$D:$D,'consolidated tracker'!N:N)</f>
        <v>426233899.99000084</v>
      </c>
      <c r="P23" s="33">
        <f>_xlfn.XLOOKUP($D23,'consolidated tracker'!$D:$D,'consolidated tracker'!O:O)</f>
        <v>1750901.75</v>
      </c>
      <c r="Q23" s="33">
        <f>_xlfn.XLOOKUP($D23,'consolidated tracker'!$D:$D,'consolidated tracker'!P:P)</f>
        <v>0</v>
      </c>
      <c r="R23" s="136">
        <f>_xlfn.XLOOKUP($D23,'consolidated tracker'!$D:$D,'consolidated tracker'!Q:Q)</f>
        <v>0</v>
      </c>
      <c r="S23" s="136">
        <f>_xlfn.XLOOKUP($D23,'consolidated tracker'!$D:$D,'consolidated tracker'!R:R)</f>
        <v>0</v>
      </c>
      <c r="T23" s="136">
        <f>_xlfn.XLOOKUP($D23,'consolidated tracker'!$D:$D,'consolidated tracker'!S:S)</f>
        <v>0</v>
      </c>
      <c r="U23" s="136">
        <f>_xlfn.XLOOKUP($D23,'consolidated tracker'!$D:$D,'consolidated tracker'!T:T)</f>
        <v>0</v>
      </c>
      <c r="V23" s="136">
        <f>_xlfn.XLOOKUP($D23,'consolidated tracker'!$D:$D,'consolidated tracker'!U:U)</f>
        <v>0</v>
      </c>
      <c r="W23" s="136">
        <f>_xlfn.XLOOKUP($D23,'consolidated tracker'!$D:$D,'consolidated tracker'!V:V)</f>
        <v>0</v>
      </c>
      <c r="X23" s="136">
        <f>_xlfn.XLOOKUP($D23,'consolidated tracker'!$D:$D,'consolidated tracker'!W:W)</f>
        <v>0</v>
      </c>
      <c r="Y23" s="17"/>
      <c r="Z23" s="17"/>
      <c r="AA23" s="11"/>
      <c r="AB23" s="16"/>
    </row>
    <row r="24" spans="1:28" s="7" customFormat="1" ht="150" hidden="1" customHeight="1" outlineLevel="1" x14ac:dyDescent="1.25">
      <c r="A24" s="4"/>
      <c r="C24" s="77"/>
      <c r="D24" s="94" t="s">
        <v>174</v>
      </c>
      <c r="E24" s="49" t="str">
        <f>_xlfn.XLOOKUP(D24,'consolidated tracker'!D:D,'consolidated tracker'!E:E)</f>
        <v>RERA</v>
      </c>
      <c r="F24" s="134">
        <v>46387</v>
      </c>
      <c r="G24" s="33">
        <f>_xlfn.XLOOKUP(D24,'consolidated tracker'!D:D,'consolidated tracker'!F:F)</f>
        <v>519</v>
      </c>
      <c r="H24" s="33">
        <f>_xlfn.XLOOKUP(D24,'consolidated tracker'!D:D,'consolidated tracker'!G:G)</f>
        <v>1066287099.3199998</v>
      </c>
      <c r="I24" s="33">
        <f>_xlfn.XLOOKUP(D24,'consolidated tracker'!D:D,'consolidated tracker'!H:H)</f>
        <v>580504271.9599967</v>
      </c>
      <c r="J24" s="33">
        <f>_xlfn.XLOOKUP(D24,'consolidated tracker'!D:D,'consolidated tracker'!I:I)</f>
        <v>563112062.14999962</v>
      </c>
      <c r="K24" s="33">
        <f>_xlfn.XLOOKUP(D24,'consolidated tracker'!D:D,'consolidated tracker'!J:J)</f>
        <v>40491992.799999982</v>
      </c>
      <c r="L24" s="34">
        <f>_xlfn.XLOOKUP(D24,'consolidated tracker'!D:D,'consolidated tracker'!K:K)</f>
        <v>0.97003948006915686</v>
      </c>
      <c r="M24" s="36">
        <f>_xlfn.XLOOKUP('consolidated - Offplan'!D24,'consolidated tracker'!D:D,'consolidated tracker'!L:L)</f>
        <v>17392209.650000002</v>
      </c>
      <c r="N24" s="30">
        <f>_xlfn.XLOOKUP($D24,'consolidated tracker'!$D:$D,'consolidated tracker'!M:M)</f>
        <v>445290834.56000316</v>
      </c>
      <c r="O24" s="40">
        <f>_xlfn.XLOOKUP($D24,'consolidated tracker'!$D:$D,'consolidated tracker'!N:N)</f>
        <v>445290834.56000316</v>
      </c>
      <c r="P24" s="33">
        <f>_xlfn.XLOOKUP($D24,'consolidated tracker'!$D:$D,'consolidated tracker'!O:O)</f>
        <v>0</v>
      </c>
      <c r="Q24" s="33">
        <f>_xlfn.XLOOKUP($D24,'consolidated tracker'!$D:$D,'consolidated tracker'!P:P)</f>
        <v>0</v>
      </c>
      <c r="R24" s="136">
        <f>_xlfn.XLOOKUP($D24,'consolidated tracker'!$D:$D,'consolidated tracker'!Q:Q)</f>
        <v>0</v>
      </c>
      <c r="S24" s="136">
        <f>_xlfn.XLOOKUP($D24,'consolidated tracker'!$D:$D,'consolidated tracker'!R:R)</f>
        <v>0</v>
      </c>
      <c r="T24" s="136">
        <f>_xlfn.XLOOKUP($D24,'consolidated tracker'!$D:$D,'consolidated tracker'!S:S)</f>
        <v>0</v>
      </c>
      <c r="U24" s="136">
        <f>_xlfn.XLOOKUP($D24,'consolidated tracker'!$D:$D,'consolidated tracker'!T:T)</f>
        <v>0</v>
      </c>
      <c r="V24" s="136">
        <f>_xlfn.XLOOKUP($D24,'consolidated tracker'!$D:$D,'consolidated tracker'!U:U)</f>
        <v>0</v>
      </c>
      <c r="W24" s="136">
        <f>_xlfn.XLOOKUP($D24,'consolidated tracker'!$D:$D,'consolidated tracker'!V:V)</f>
        <v>0</v>
      </c>
      <c r="X24" s="136">
        <f>_xlfn.XLOOKUP($D24,'consolidated tracker'!$D:$D,'consolidated tracker'!W:W)</f>
        <v>0</v>
      </c>
      <c r="Y24" s="17"/>
      <c r="Z24" s="17"/>
      <c r="AA24" s="11"/>
      <c r="AB24" s="16"/>
    </row>
    <row r="25" spans="1:28" s="7" customFormat="1" ht="150" hidden="1" customHeight="1" outlineLevel="1" x14ac:dyDescent="1.25">
      <c r="A25" s="4"/>
      <c r="C25" s="77"/>
      <c r="D25" s="94" t="s">
        <v>173</v>
      </c>
      <c r="E25" s="49" t="str">
        <f>_xlfn.XLOOKUP(D25,'consolidated tracker'!D:D,'consolidated tracker'!E:E)</f>
        <v>RERA</v>
      </c>
      <c r="F25" s="134">
        <v>46387</v>
      </c>
      <c r="G25" s="33">
        <f>_xlfn.XLOOKUP(D25,'consolidated tracker'!D:D,'consolidated tracker'!F:F)</f>
        <v>466</v>
      </c>
      <c r="H25" s="33">
        <f>_xlfn.XLOOKUP(D25,'consolidated tracker'!D:D,'consolidated tracker'!G:G)</f>
        <v>1165155774.8299992</v>
      </c>
      <c r="I25" s="33">
        <f>_xlfn.XLOOKUP(D25,'consolidated tracker'!D:D,'consolidated tracker'!H:H)</f>
        <v>624951739.96000111</v>
      </c>
      <c r="J25" s="33">
        <f>_xlfn.XLOOKUP(D25,'consolidated tracker'!D:D,'consolidated tracker'!I:I)</f>
        <v>595976594.86999953</v>
      </c>
      <c r="K25" s="33">
        <f>_xlfn.XLOOKUP(D25,'consolidated tracker'!D:D,'consolidated tracker'!J:J)</f>
        <v>58976268.090000004</v>
      </c>
      <c r="L25" s="34">
        <f>_xlfn.XLOOKUP(D25,'consolidated tracker'!D:D,'consolidated tracker'!K:K)</f>
        <v>0.95363618782490933</v>
      </c>
      <c r="M25" s="36">
        <f>_xlfn.XLOOKUP('consolidated - Offplan'!D25,'consolidated tracker'!D:D,'consolidated tracker'!L:L)</f>
        <v>28975144.890000008</v>
      </c>
      <c r="N25" s="30">
        <f>_xlfn.XLOOKUP($D25,'consolidated tracker'!$D:$D,'consolidated tracker'!M:M)</f>
        <v>481227766.77999806</v>
      </c>
      <c r="O25" s="40">
        <f>_xlfn.XLOOKUP($D25,'consolidated tracker'!$D:$D,'consolidated tracker'!N:N)</f>
        <v>480808751.77999806</v>
      </c>
      <c r="P25" s="33">
        <f>_xlfn.XLOOKUP($D25,'consolidated tracker'!$D:$D,'consolidated tracker'!O:O)</f>
        <v>419015</v>
      </c>
      <c r="Q25" s="33">
        <f>_xlfn.XLOOKUP($D25,'consolidated tracker'!$D:$D,'consolidated tracker'!P:P)</f>
        <v>0</v>
      </c>
      <c r="R25" s="136">
        <f>_xlfn.XLOOKUP($D25,'consolidated tracker'!$D:$D,'consolidated tracker'!Q:Q)</f>
        <v>0</v>
      </c>
      <c r="S25" s="136">
        <f>_xlfn.XLOOKUP($D25,'consolidated tracker'!$D:$D,'consolidated tracker'!R:R)</f>
        <v>0</v>
      </c>
      <c r="T25" s="136">
        <f>_xlfn.XLOOKUP($D25,'consolidated tracker'!$D:$D,'consolidated tracker'!S:S)</f>
        <v>0</v>
      </c>
      <c r="U25" s="136">
        <f>_xlfn.XLOOKUP($D25,'consolidated tracker'!$D:$D,'consolidated tracker'!T:T)</f>
        <v>0</v>
      </c>
      <c r="V25" s="136">
        <f>_xlfn.XLOOKUP($D25,'consolidated tracker'!$D:$D,'consolidated tracker'!U:U)</f>
        <v>0</v>
      </c>
      <c r="W25" s="136">
        <f>_xlfn.XLOOKUP($D25,'consolidated tracker'!$D:$D,'consolidated tracker'!V:V)</f>
        <v>0</v>
      </c>
      <c r="X25" s="136">
        <f>_xlfn.XLOOKUP($D25,'consolidated tracker'!$D:$D,'consolidated tracker'!W:W)</f>
        <v>0</v>
      </c>
      <c r="Y25" s="17"/>
      <c r="Z25" s="17"/>
      <c r="AA25" s="11"/>
      <c r="AB25" s="16"/>
    </row>
    <row r="26" spans="1:28" s="7" customFormat="1" ht="150" hidden="1" customHeight="1" outlineLevel="1" x14ac:dyDescent="1.25">
      <c r="A26" s="4"/>
      <c r="C26" s="77"/>
      <c r="D26" s="94" t="s">
        <v>172</v>
      </c>
      <c r="E26" s="49" t="str">
        <f>_xlfn.XLOOKUP(D26,'consolidated tracker'!D:D,'consolidated tracker'!E:E)</f>
        <v>RERA</v>
      </c>
      <c r="F26" s="134">
        <v>46387</v>
      </c>
      <c r="G26" s="33">
        <f>_xlfn.XLOOKUP(D26,'consolidated tracker'!D:D,'consolidated tracker'!F:F)</f>
        <v>114</v>
      </c>
      <c r="H26" s="33">
        <f>_xlfn.XLOOKUP(D26,'consolidated tracker'!D:D,'consolidated tracker'!G:G)</f>
        <v>562226720.17999995</v>
      </c>
      <c r="I26" s="33">
        <f>_xlfn.XLOOKUP(D26,'consolidated tracker'!D:D,'consolidated tracker'!H:H)</f>
        <v>243337504.86999983</v>
      </c>
      <c r="J26" s="33">
        <f>_xlfn.XLOOKUP(D26,'consolidated tracker'!D:D,'consolidated tracker'!I:I)</f>
        <v>232013439.36000004</v>
      </c>
      <c r="K26" s="33">
        <f>_xlfn.XLOOKUP(D26,'consolidated tracker'!D:D,'consolidated tracker'!J:J)</f>
        <v>34702400.840000004</v>
      </c>
      <c r="L26" s="34">
        <f>_xlfn.XLOOKUP(D26,'consolidated tracker'!D:D,'consolidated tracker'!K:K)</f>
        <v>0.95346354226797247</v>
      </c>
      <c r="M26" s="36">
        <f>_xlfn.XLOOKUP('consolidated - Offplan'!D26,'consolidated tracker'!D:D,'consolidated tracker'!L:L)</f>
        <v>11324065.51</v>
      </c>
      <c r="N26" s="30">
        <f>_xlfn.XLOOKUP($D26,'consolidated tracker'!$D:$D,'consolidated tracker'!M:M)</f>
        <v>284186814.47000015</v>
      </c>
      <c r="O26" s="40">
        <f>_xlfn.XLOOKUP($D26,'consolidated tracker'!$D:$D,'consolidated tracker'!N:N)</f>
        <v>284186814.47000015</v>
      </c>
      <c r="P26" s="33">
        <f>_xlfn.XLOOKUP($D26,'consolidated tracker'!$D:$D,'consolidated tracker'!O:O)</f>
        <v>0</v>
      </c>
      <c r="Q26" s="33">
        <f>_xlfn.XLOOKUP($D26,'consolidated tracker'!$D:$D,'consolidated tracker'!P:P)</f>
        <v>0</v>
      </c>
      <c r="R26" s="136">
        <f>_xlfn.XLOOKUP($D26,'consolidated tracker'!$D:$D,'consolidated tracker'!Q:Q)</f>
        <v>0</v>
      </c>
      <c r="S26" s="136">
        <f>_xlfn.XLOOKUP($D26,'consolidated tracker'!$D:$D,'consolidated tracker'!R:R)</f>
        <v>0</v>
      </c>
      <c r="T26" s="136">
        <f>_xlfn.XLOOKUP($D26,'consolidated tracker'!$D:$D,'consolidated tracker'!S:S)</f>
        <v>0</v>
      </c>
      <c r="U26" s="136">
        <f>_xlfn.XLOOKUP($D26,'consolidated tracker'!$D:$D,'consolidated tracker'!T:T)</f>
        <v>0</v>
      </c>
      <c r="V26" s="136">
        <f>_xlfn.XLOOKUP($D26,'consolidated tracker'!$D:$D,'consolidated tracker'!U:U)</f>
        <v>0</v>
      </c>
      <c r="W26" s="136">
        <f>_xlfn.XLOOKUP($D26,'consolidated tracker'!$D:$D,'consolidated tracker'!V:V)</f>
        <v>0</v>
      </c>
      <c r="X26" s="136">
        <f>_xlfn.XLOOKUP($D26,'consolidated tracker'!$D:$D,'consolidated tracker'!W:W)</f>
        <v>0</v>
      </c>
      <c r="Y26" s="17"/>
      <c r="Z26" s="17"/>
      <c r="AA26" s="11"/>
      <c r="AB26" s="16"/>
    </row>
    <row r="27" spans="1:28" s="7" customFormat="1" ht="150" hidden="1" customHeight="1" outlineLevel="1" x14ac:dyDescent="1.25">
      <c r="A27" s="4"/>
      <c r="C27" s="77"/>
      <c r="D27" s="94" t="s">
        <v>171</v>
      </c>
      <c r="E27" s="49" t="str">
        <f>_xlfn.XLOOKUP(D27,'consolidated tracker'!D:D,'consolidated tracker'!E:E)</f>
        <v>RERA</v>
      </c>
      <c r="F27" s="134">
        <v>46387</v>
      </c>
      <c r="G27" s="33">
        <f>_xlfn.XLOOKUP(D27,'consolidated tracker'!D:D,'consolidated tracker'!F:F)</f>
        <v>12</v>
      </c>
      <c r="H27" s="33">
        <f>_xlfn.XLOOKUP(D27,'consolidated tracker'!D:D,'consolidated tracker'!G:G)</f>
        <v>86198927.5</v>
      </c>
      <c r="I27" s="33">
        <f>_xlfn.XLOOKUP(D27,'consolidated tracker'!D:D,'consolidated tracker'!H:H)</f>
        <v>52308725.5</v>
      </c>
      <c r="J27" s="33">
        <f>_xlfn.XLOOKUP(D27,'consolidated tracker'!D:D,'consolidated tracker'!I:I)</f>
        <v>45926621.5</v>
      </c>
      <c r="K27" s="33">
        <f>_xlfn.XLOOKUP(D27,'consolidated tracker'!D:D,'consolidated tracker'!J:J)</f>
        <v>662058.02</v>
      </c>
      <c r="L27" s="34">
        <f>_xlfn.XLOOKUP(D27,'consolidated tracker'!D:D,'consolidated tracker'!K:K)</f>
        <v>0.87799159817036643</v>
      </c>
      <c r="M27" s="36">
        <f>_xlfn.XLOOKUP('consolidated - Offplan'!D27,'consolidated tracker'!D:D,'consolidated tracker'!L:L)</f>
        <v>6382104</v>
      </c>
      <c r="N27" s="30">
        <f>_xlfn.XLOOKUP($D27,'consolidated tracker'!$D:$D,'consolidated tracker'!M:M)</f>
        <v>33228143.979999997</v>
      </c>
      <c r="O27" s="40">
        <f>_xlfn.XLOOKUP($D27,'consolidated tracker'!$D:$D,'consolidated tracker'!N:N)</f>
        <v>33228143.979999997</v>
      </c>
      <c r="P27" s="33">
        <f>_xlfn.XLOOKUP($D27,'consolidated tracker'!$D:$D,'consolidated tracker'!O:O)</f>
        <v>0</v>
      </c>
      <c r="Q27" s="33">
        <f>_xlfn.XLOOKUP($D27,'consolidated tracker'!$D:$D,'consolidated tracker'!P:P)</f>
        <v>0</v>
      </c>
      <c r="R27" s="136">
        <f>_xlfn.XLOOKUP($D27,'consolidated tracker'!$D:$D,'consolidated tracker'!Q:Q)</f>
        <v>0</v>
      </c>
      <c r="S27" s="136">
        <f>_xlfn.XLOOKUP($D27,'consolidated tracker'!$D:$D,'consolidated tracker'!R:R)</f>
        <v>0</v>
      </c>
      <c r="T27" s="136">
        <f>_xlfn.XLOOKUP($D27,'consolidated tracker'!$D:$D,'consolidated tracker'!S:S)</f>
        <v>0</v>
      </c>
      <c r="U27" s="136">
        <f>_xlfn.XLOOKUP($D27,'consolidated tracker'!$D:$D,'consolidated tracker'!T:T)</f>
        <v>0</v>
      </c>
      <c r="V27" s="136">
        <f>_xlfn.XLOOKUP($D27,'consolidated tracker'!$D:$D,'consolidated tracker'!U:U)</f>
        <v>0</v>
      </c>
      <c r="W27" s="136">
        <f>_xlfn.XLOOKUP($D27,'consolidated tracker'!$D:$D,'consolidated tracker'!V:V)</f>
        <v>0</v>
      </c>
      <c r="X27" s="136">
        <f>_xlfn.XLOOKUP($D27,'consolidated tracker'!$D:$D,'consolidated tracker'!W:W)</f>
        <v>0</v>
      </c>
      <c r="Y27" s="17"/>
      <c r="Z27" s="17"/>
      <c r="AA27" s="11"/>
      <c r="AB27" s="16"/>
    </row>
    <row r="28" spans="1:28" s="7" customFormat="1" ht="150" customHeight="1" collapsed="1" x14ac:dyDescent="1.25">
      <c r="A28" s="4"/>
      <c r="C28" s="77">
        <v>8</v>
      </c>
      <c r="D28" s="76" t="s">
        <v>170</v>
      </c>
      <c r="E28" s="49" t="str">
        <f>_xlfn.XLOOKUP(D28,'consolidated tracker'!D:D,'consolidated tracker'!E:E)</f>
        <v>RERA</v>
      </c>
      <c r="F28" s="134" t="s">
        <v>232</v>
      </c>
      <c r="G28" s="33">
        <f>_xlfn.XLOOKUP(D28,'consolidated tracker'!D:D,'consolidated tracker'!F:F)</f>
        <v>4608</v>
      </c>
      <c r="H28" s="33">
        <f>_xlfn.XLOOKUP(D28,'consolidated tracker'!D:D,'consolidated tracker'!G:G)</f>
        <v>9390845349.4699955</v>
      </c>
      <c r="I28" s="33">
        <f>_xlfn.XLOOKUP(D28,'consolidated tracker'!D:D,'consolidated tracker'!H:H)</f>
        <v>4905376235.9299879</v>
      </c>
      <c r="J28" s="33">
        <f>_xlfn.XLOOKUP(D28,'consolidated tracker'!D:D,'consolidated tracker'!I:I)</f>
        <v>4659049754.3500004</v>
      </c>
      <c r="K28" s="33">
        <f>_xlfn.XLOOKUP(D28,'consolidated tracker'!D:D,'consolidated tracker'!J:J)</f>
        <v>287677889.77999997</v>
      </c>
      <c r="L28" s="34">
        <f>_xlfn.XLOOKUP(D28,'consolidated tracker'!D:D,'consolidated tracker'!K:K)</f>
        <v>0.94978438559396505</v>
      </c>
      <c r="M28" s="36">
        <f>_xlfn.XLOOKUP('consolidated - Offplan'!D28,'consolidated tracker'!D:D,'consolidated tracker'!L:L)</f>
        <v>246326481.47000006</v>
      </c>
      <c r="N28" s="30">
        <f>_xlfn.XLOOKUP($D28,'consolidated tracker'!$D:$D,'consolidated tracker'!M:M)</f>
        <v>4197791223.7600079</v>
      </c>
      <c r="O28" s="33">
        <f>_xlfn.XLOOKUP($D28,'consolidated tracker'!$D:$D,'consolidated tracker'!N:N)</f>
        <v>858839203.99000907</v>
      </c>
      <c r="P28" s="33">
        <f>_xlfn.XLOOKUP($D28,'consolidated tracker'!$D:$D,'consolidated tracker'!O:O)</f>
        <v>3338952019.769999</v>
      </c>
      <c r="Q28" s="33">
        <f>_xlfn.XLOOKUP($D28,'consolidated tracker'!$D:$D,'consolidated tracker'!P:P)</f>
        <v>0</v>
      </c>
      <c r="R28" s="136">
        <f>_xlfn.XLOOKUP($D28,'consolidated tracker'!$D:$D,'consolidated tracker'!Q:Q)</f>
        <v>0</v>
      </c>
      <c r="S28" s="136">
        <f>_xlfn.XLOOKUP($D28,'consolidated tracker'!$D:$D,'consolidated tracker'!R:R)</f>
        <v>0</v>
      </c>
      <c r="T28" s="136">
        <f>_xlfn.XLOOKUP($D28,'consolidated tracker'!$D:$D,'consolidated tracker'!S:S)</f>
        <v>0</v>
      </c>
      <c r="U28" s="136">
        <f>_xlfn.XLOOKUP($D28,'consolidated tracker'!$D:$D,'consolidated tracker'!T:T)</f>
        <v>0</v>
      </c>
      <c r="V28" s="136">
        <f>_xlfn.XLOOKUP($D28,'consolidated tracker'!$D:$D,'consolidated tracker'!U:U)</f>
        <v>0</v>
      </c>
      <c r="W28" s="136">
        <f>_xlfn.XLOOKUP($D28,'consolidated tracker'!$D:$D,'consolidated tracker'!V:V)</f>
        <v>0</v>
      </c>
      <c r="X28" s="136">
        <f>_xlfn.XLOOKUP($D28,'consolidated tracker'!$D:$D,'consolidated tracker'!W:W)</f>
        <v>0</v>
      </c>
      <c r="Y28" s="17"/>
      <c r="Z28" s="17"/>
      <c r="AA28" s="11"/>
      <c r="AB28" s="16"/>
    </row>
    <row r="29" spans="1:28" s="7" customFormat="1" ht="150" hidden="1" customHeight="1" outlineLevel="1" x14ac:dyDescent="1.25">
      <c r="A29" s="4"/>
      <c r="C29" s="77"/>
      <c r="D29" s="104" t="s">
        <v>169</v>
      </c>
      <c r="E29" s="49" t="str">
        <f>_xlfn.XLOOKUP(D29,'consolidated tracker'!D:D,'consolidated tracker'!E:E)</f>
        <v>RERA</v>
      </c>
      <c r="F29" s="134">
        <v>46599</v>
      </c>
      <c r="G29" s="33">
        <v>621</v>
      </c>
      <c r="H29" s="33">
        <v>1540354407.8499997</v>
      </c>
      <c r="I29" s="33">
        <v>824217906.84999704</v>
      </c>
      <c r="J29" s="33">
        <v>784697544.91000104</v>
      </c>
      <c r="K29" s="33">
        <v>46412770.439999983</v>
      </c>
      <c r="L29" s="34">
        <f>_xlfn.XLOOKUP(D29,'consolidated tracker'!D:D,'consolidated tracker'!K:K)</f>
        <v>0.95205107579980242</v>
      </c>
      <c r="M29" s="36">
        <v>39520361.940000005</v>
      </c>
      <c r="N29" s="30">
        <f>_xlfn.XLOOKUP($D29,'consolidated tracker'!$D:$D,'consolidated tracker'!M:M)</f>
        <v>669723730.56000268</v>
      </c>
      <c r="O29" s="33">
        <f>_xlfn.XLOOKUP($D29,'consolidated tracker'!$D:$D,'consolidated tracker'!N:N)</f>
        <v>147818503.11000246</v>
      </c>
      <c r="P29" s="33">
        <f>_xlfn.XLOOKUP($D29,'consolidated tracker'!$D:$D,'consolidated tracker'!O:O)</f>
        <v>521905227.45000023</v>
      </c>
      <c r="Q29" s="33">
        <f>_xlfn.XLOOKUP($D29,'consolidated tracker'!$D:$D,'consolidated tracker'!P:P)</f>
        <v>0</v>
      </c>
      <c r="R29" s="136">
        <f>_xlfn.XLOOKUP($D29,'consolidated tracker'!$D:$D,'consolidated tracker'!Q:Q)</f>
        <v>0</v>
      </c>
      <c r="S29" s="136">
        <f>_xlfn.XLOOKUP($D29,'consolidated tracker'!$D:$D,'consolidated tracker'!R:R)</f>
        <v>0</v>
      </c>
      <c r="T29" s="136">
        <f>_xlfn.XLOOKUP($D29,'consolidated tracker'!$D:$D,'consolidated tracker'!S:S)</f>
        <v>0</v>
      </c>
      <c r="U29" s="136">
        <f>_xlfn.XLOOKUP($D29,'consolidated tracker'!$D:$D,'consolidated tracker'!T:T)</f>
        <v>0</v>
      </c>
      <c r="V29" s="136">
        <f>_xlfn.XLOOKUP($D29,'consolidated tracker'!$D:$D,'consolidated tracker'!U:U)</f>
        <v>0</v>
      </c>
      <c r="W29" s="136">
        <f>_xlfn.XLOOKUP($D29,'consolidated tracker'!$D:$D,'consolidated tracker'!V:V)</f>
        <v>0</v>
      </c>
      <c r="X29" s="136">
        <f>_xlfn.XLOOKUP($D29,'consolidated tracker'!$D:$D,'consolidated tracker'!W:W)</f>
        <v>0</v>
      </c>
      <c r="Y29" s="17"/>
      <c r="Z29" s="17"/>
      <c r="AA29" s="11"/>
      <c r="AB29" s="16"/>
    </row>
    <row r="30" spans="1:28" s="7" customFormat="1" ht="150" hidden="1" customHeight="1" outlineLevel="1" x14ac:dyDescent="1.25">
      <c r="A30" s="4"/>
      <c r="C30" s="77"/>
      <c r="D30" s="104" t="s">
        <v>168</v>
      </c>
      <c r="E30" s="49" t="str">
        <f>_xlfn.XLOOKUP(D30,'consolidated tracker'!D:D,'consolidated tracker'!E:E)</f>
        <v>RERA</v>
      </c>
      <c r="F30" s="134">
        <v>46568</v>
      </c>
      <c r="G30" s="33">
        <v>755</v>
      </c>
      <c r="H30" s="33">
        <v>1367089433.2900009</v>
      </c>
      <c r="I30" s="33">
        <v>848588296.8199985</v>
      </c>
      <c r="J30" s="33">
        <v>808001355.00999928</v>
      </c>
      <c r="K30" s="33">
        <v>33761593.090000018</v>
      </c>
      <c r="L30" s="34">
        <f>_xlfn.XLOOKUP(D30,'consolidated tracker'!D:D,'consolidated tracker'!K:K)</f>
        <v>0.95217122135422461</v>
      </c>
      <c r="M30" s="36">
        <v>40586941.81000004</v>
      </c>
      <c r="N30" s="30">
        <f>_xlfn.XLOOKUP($D30,'consolidated tracker'!$D:$D,'consolidated tracker'!M:M)</f>
        <v>484739543.38000238</v>
      </c>
      <c r="O30" s="33">
        <f>_xlfn.XLOOKUP($D30,'consolidated tracker'!$D:$D,'consolidated tracker'!N:N)</f>
        <v>127568489.08000273</v>
      </c>
      <c r="P30" s="33">
        <f>_xlfn.XLOOKUP($D30,'consolidated tracker'!$D:$D,'consolidated tracker'!O:O)</f>
        <v>357171054.29999965</v>
      </c>
      <c r="Q30" s="33">
        <f>_xlfn.XLOOKUP($D30,'consolidated tracker'!$D:$D,'consolidated tracker'!P:P)</f>
        <v>0</v>
      </c>
      <c r="R30" s="136">
        <f>_xlfn.XLOOKUP($D30,'consolidated tracker'!$D:$D,'consolidated tracker'!Q:Q)</f>
        <v>0</v>
      </c>
      <c r="S30" s="136">
        <f>_xlfn.XLOOKUP($D30,'consolidated tracker'!$D:$D,'consolidated tracker'!R:R)</f>
        <v>0</v>
      </c>
      <c r="T30" s="136">
        <f>_xlfn.XLOOKUP($D30,'consolidated tracker'!$D:$D,'consolidated tracker'!S:S)</f>
        <v>0</v>
      </c>
      <c r="U30" s="136">
        <f>_xlfn.XLOOKUP($D30,'consolidated tracker'!$D:$D,'consolidated tracker'!T:T)</f>
        <v>0</v>
      </c>
      <c r="V30" s="136">
        <f>_xlfn.XLOOKUP($D30,'consolidated tracker'!$D:$D,'consolidated tracker'!U:U)</f>
        <v>0</v>
      </c>
      <c r="W30" s="136">
        <f>_xlfn.XLOOKUP($D30,'consolidated tracker'!$D:$D,'consolidated tracker'!V:V)</f>
        <v>0</v>
      </c>
      <c r="X30" s="136">
        <f>_xlfn.XLOOKUP($D30,'consolidated tracker'!$D:$D,'consolidated tracker'!W:W)</f>
        <v>0</v>
      </c>
      <c r="Y30" s="17"/>
      <c r="Z30" s="17"/>
      <c r="AA30" s="11"/>
      <c r="AB30" s="16"/>
    </row>
    <row r="31" spans="1:28" s="7" customFormat="1" ht="150" hidden="1" customHeight="1" outlineLevel="1" x14ac:dyDescent="1.25">
      <c r="A31" s="4"/>
      <c r="C31" s="77"/>
      <c r="D31" s="104" t="s">
        <v>167</v>
      </c>
      <c r="E31" s="49" t="str">
        <f>_xlfn.XLOOKUP(D31,'consolidated tracker'!D:D,'consolidated tracker'!E:E)</f>
        <v>RERA</v>
      </c>
      <c r="F31" s="134">
        <v>46752</v>
      </c>
      <c r="G31" s="33">
        <v>759</v>
      </c>
      <c r="H31" s="33">
        <v>1408135850.2399991</v>
      </c>
      <c r="I31" s="33">
        <v>743660045.94999814</v>
      </c>
      <c r="J31" s="33">
        <v>712824490.49999988</v>
      </c>
      <c r="K31" s="33">
        <v>32793622.990000006</v>
      </c>
      <c r="L31" s="34">
        <f>_xlfn.XLOOKUP(D31,'consolidated tracker'!D:D,'consolidated tracker'!K:K)</f>
        <v>0.95853541464553604</v>
      </c>
      <c r="M31" s="36">
        <v>30835555.449999999</v>
      </c>
      <c r="N31" s="30">
        <f>_xlfn.XLOOKUP($D31,'consolidated tracker'!$D:$D,'consolidated tracker'!M:M)</f>
        <v>631682181.30000091</v>
      </c>
      <c r="O31" s="33">
        <f>_xlfn.XLOOKUP($D31,'consolidated tracker'!$D:$D,'consolidated tracker'!N:N)</f>
        <v>169733203.580001</v>
      </c>
      <c r="P31" s="33">
        <f>_xlfn.XLOOKUP($D31,'consolidated tracker'!$D:$D,'consolidated tracker'!O:O)</f>
        <v>461948977.71999991</v>
      </c>
      <c r="Q31" s="33">
        <f>_xlfn.XLOOKUP($D31,'consolidated tracker'!$D:$D,'consolidated tracker'!P:P)</f>
        <v>0</v>
      </c>
      <c r="R31" s="136">
        <f>_xlfn.XLOOKUP($D31,'consolidated tracker'!$D:$D,'consolidated tracker'!Q:Q)</f>
        <v>0</v>
      </c>
      <c r="S31" s="136">
        <f>_xlfn.XLOOKUP($D31,'consolidated tracker'!$D:$D,'consolidated tracker'!R:R)</f>
        <v>0</v>
      </c>
      <c r="T31" s="136">
        <f>_xlfn.XLOOKUP($D31,'consolidated tracker'!$D:$D,'consolidated tracker'!S:S)</f>
        <v>0</v>
      </c>
      <c r="U31" s="136">
        <f>_xlfn.XLOOKUP($D31,'consolidated tracker'!$D:$D,'consolidated tracker'!T:T)</f>
        <v>0</v>
      </c>
      <c r="V31" s="136">
        <f>_xlfn.XLOOKUP($D31,'consolidated tracker'!$D:$D,'consolidated tracker'!U:U)</f>
        <v>0</v>
      </c>
      <c r="W31" s="136">
        <f>_xlfn.XLOOKUP($D31,'consolidated tracker'!$D:$D,'consolidated tracker'!V:V)</f>
        <v>0</v>
      </c>
      <c r="X31" s="136">
        <f>_xlfn.XLOOKUP($D31,'consolidated tracker'!$D:$D,'consolidated tracker'!W:W)</f>
        <v>0</v>
      </c>
      <c r="Y31" s="17"/>
      <c r="Z31" s="17"/>
      <c r="AA31" s="11"/>
      <c r="AB31" s="16"/>
    </row>
    <row r="32" spans="1:28" s="7" customFormat="1" ht="150" hidden="1" customHeight="1" outlineLevel="1" x14ac:dyDescent="1.25">
      <c r="A32" s="4"/>
      <c r="C32" s="77"/>
      <c r="D32" s="104" t="s">
        <v>166</v>
      </c>
      <c r="E32" s="49" t="str">
        <f>_xlfn.XLOOKUP(D32,'consolidated tracker'!D:D,'consolidated tracker'!E:E)</f>
        <v>RERA</v>
      </c>
      <c r="F32" s="134">
        <v>46752</v>
      </c>
      <c r="G32" s="33">
        <v>874</v>
      </c>
      <c r="H32" s="33">
        <v>1792831545.7099993</v>
      </c>
      <c r="I32" s="33">
        <v>886951994.98999655</v>
      </c>
      <c r="J32" s="33">
        <v>830359389.26999915</v>
      </c>
      <c r="K32" s="33">
        <v>65494440.919999957</v>
      </c>
      <c r="L32" s="34">
        <f>_xlfn.XLOOKUP(D32,'consolidated tracker'!D:D,'consolidated tracker'!K:K)</f>
        <v>0.93619428555359896</v>
      </c>
      <c r="M32" s="36">
        <v>56592605.720000014</v>
      </c>
      <c r="N32" s="30">
        <f>_xlfn.XLOOKUP($D32,'consolidated tracker'!$D:$D,'consolidated tracker'!M:M)</f>
        <v>840385109.80000281</v>
      </c>
      <c r="O32" s="33">
        <f>_xlfn.XLOOKUP($D32,'consolidated tracker'!$D:$D,'consolidated tracker'!N:N)</f>
        <v>150477196.91000259</v>
      </c>
      <c r="P32" s="33">
        <f>_xlfn.XLOOKUP($D32,'consolidated tracker'!$D:$D,'consolidated tracker'!O:O)</f>
        <v>689907912.89000022</v>
      </c>
      <c r="Q32" s="33">
        <f>_xlfn.XLOOKUP($D32,'consolidated tracker'!$D:$D,'consolidated tracker'!P:P)</f>
        <v>0</v>
      </c>
      <c r="R32" s="136">
        <f>_xlfn.XLOOKUP($D32,'consolidated tracker'!$D:$D,'consolidated tracker'!Q:Q)</f>
        <v>0</v>
      </c>
      <c r="S32" s="136">
        <f>_xlfn.XLOOKUP($D32,'consolidated tracker'!$D:$D,'consolidated tracker'!R:R)</f>
        <v>0</v>
      </c>
      <c r="T32" s="136">
        <f>_xlfn.XLOOKUP($D32,'consolidated tracker'!$D:$D,'consolidated tracker'!S:S)</f>
        <v>0</v>
      </c>
      <c r="U32" s="136">
        <f>_xlfn.XLOOKUP($D32,'consolidated tracker'!$D:$D,'consolidated tracker'!T:T)</f>
        <v>0</v>
      </c>
      <c r="V32" s="136">
        <f>_xlfn.XLOOKUP($D32,'consolidated tracker'!$D:$D,'consolidated tracker'!U:U)</f>
        <v>0</v>
      </c>
      <c r="W32" s="136">
        <f>_xlfn.XLOOKUP($D32,'consolidated tracker'!$D:$D,'consolidated tracker'!V:V)</f>
        <v>0</v>
      </c>
      <c r="X32" s="136">
        <f>_xlfn.XLOOKUP($D32,'consolidated tracker'!$D:$D,'consolidated tracker'!W:W)</f>
        <v>0</v>
      </c>
      <c r="Y32" s="17"/>
      <c r="Z32" s="17"/>
      <c r="AA32" s="11"/>
      <c r="AB32" s="16"/>
    </row>
    <row r="33" spans="1:28" s="7" customFormat="1" ht="150" hidden="1" customHeight="1" outlineLevel="1" x14ac:dyDescent="1.25">
      <c r="A33" s="4"/>
      <c r="C33" s="77"/>
      <c r="D33" s="104" t="s">
        <v>165</v>
      </c>
      <c r="E33" s="49" t="str">
        <f>_xlfn.XLOOKUP(D33,'consolidated tracker'!D:D,'consolidated tracker'!E:E)</f>
        <v>RERA</v>
      </c>
      <c r="F33" s="134">
        <v>46752</v>
      </c>
      <c r="G33" s="33">
        <v>723</v>
      </c>
      <c r="H33" s="33">
        <v>1468606439.3999984</v>
      </c>
      <c r="I33" s="33">
        <v>759895185.37000251</v>
      </c>
      <c r="J33" s="33">
        <v>732896915.64000058</v>
      </c>
      <c r="K33" s="33">
        <v>57351811.219999999</v>
      </c>
      <c r="L33" s="34">
        <f>_xlfn.XLOOKUP(D33,'consolidated tracker'!D:D,'consolidated tracker'!K:K)</f>
        <v>0.96447106094394308</v>
      </c>
      <c r="M33" s="36">
        <v>26998269.660000004</v>
      </c>
      <c r="N33" s="30">
        <f>_xlfn.XLOOKUP($D33,'consolidated tracker'!$D:$D,'consolidated tracker'!M:M)</f>
        <v>651359442.80999589</v>
      </c>
      <c r="O33" s="33">
        <f>_xlfn.XLOOKUP($D33,'consolidated tracker'!$D:$D,'consolidated tracker'!N:N)</f>
        <v>129126965.87999648</v>
      </c>
      <c r="P33" s="33">
        <f>_xlfn.XLOOKUP($D33,'consolidated tracker'!$D:$D,'consolidated tracker'!O:O)</f>
        <v>522232476.92999941</v>
      </c>
      <c r="Q33" s="33">
        <f>_xlfn.XLOOKUP($D33,'consolidated tracker'!$D:$D,'consolidated tracker'!P:P)</f>
        <v>0</v>
      </c>
      <c r="R33" s="136">
        <f>_xlfn.XLOOKUP($D33,'consolidated tracker'!$D:$D,'consolidated tracker'!Q:Q)</f>
        <v>0</v>
      </c>
      <c r="S33" s="136">
        <f>_xlfn.XLOOKUP($D33,'consolidated tracker'!$D:$D,'consolidated tracker'!R:R)</f>
        <v>0</v>
      </c>
      <c r="T33" s="136">
        <f>_xlfn.XLOOKUP($D33,'consolidated tracker'!$D:$D,'consolidated tracker'!S:S)</f>
        <v>0</v>
      </c>
      <c r="U33" s="136">
        <f>_xlfn.XLOOKUP($D33,'consolidated tracker'!$D:$D,'consolidated tracker'!T:T)</f>
        <v>0</v>
      </c>
      <c r="V33" s="136">
        <f>_xlfn.XLOOKUP($D33,'consolidated tracker'!$D:$D,'consolidated tracker'!U:U)</f>
        <v>0</v>
      </c>
      <c r="W33" s="136">
        <f>_xlfn.XLOOKUP($D33,'consolidated tracker'!$D:$D,'consolidated tracker'!V:V)</f>
        <v>0</v>
      </c>
      <c r="X33" s="136">
        <f>_xlfn.XLOOKUP($D33,'consolidated tracker'!$D:$D,'consolidated tracker'!W:W)</f>
        <v>0</v>
      </c>
      <c r="Y33" s="17"/>
      <c r="Z33" s="17"/>
      <c r="AA33" s="11"/>
      <c r="AB33" s="16"/>
    </row>
    <row r="34" spans="1:28" s="7" customFormat="1" ht="150" hidden="1" customHeight="1" outlineLevel="1" x14ac:dyDescent="1.25">
      <c r="A34" s="4"/>
      <c r="C34" s="77"/>
      <c r="D34" s="104" t="s">
        <v>164</v>
      </c>
      <c r="E34" s="49" t="str">
        <f>_xlfn.XLOOKUP(D34,'consolidated tracker'!D:D,'consolidated tracker'!E:E)</f>
        <v>RERA</v>
      </c>
      <c r="F34" s="134">
        <v>46752</v>
      </c>
      <c r="G34" s="33">
        <v>876</v>
      </c>
      <c r="H34" s="33">
        <v>1813827672.9799988</v>
      </c>
      <c r="I34" s="33">
        <v>842062805.94999528</v>
      </c>
      <c r="J34" s="33">
        <v>790270059.0200007</v>
      </c>
      <c r="K34" s="33">
        <v>51863651.120000012</v>
      </c>
      <c r="L34" s="34">
        <f>_xlfn.XLOOKUP(D34,'consolidated tracker'!D:D,'consolidated tracker'!K:K)</f>
        <v>0.93849301196534474</v>
      </c>
      <c r="M34" s="36">
        <v>51792746.889999993</v>
      </c>
      <c r="N34" s="30">
        <f>_xlfn.XLOOKUP($D34,'consolidated tracker'!$D:$D,'consolidated tracker'!M:M)</f>
        <v>919901215.91000354</v>
      </c>
      <c r="O34" s="33">
        <f>_xlfn.XLOOKUP($D34,'consolidated tracker'!$D:$D,'consolidated tracker'!N:N)</f>
        <v>134114845.43000388</v>
      </c>
      <c r="P34" s="33">
        <f>_xlfn.XLOOKUP($D34,'consolidated tracker'!$D:$D,'consolidated tracker'!O:O)</f>
        <v>785786370.47999966</v>
      </c>
      <c r="Q34" s="33">
        <f>_xlfn.XLOOKUP($D34,'consolidated tracker'!$D:$D,'consolidated tracker'!P:P)</f>
        <v>0</v>
      </c>
      <c r="R34" s="136">
        <f>_xlfn.XLOOKUP($D34,'consolidated tracker'!$D:$D,'consolidated tracker'!Q:Q)</f>
        <v>0</v>
      </c>
      <c r="S34" s="136">
        <f>_xlfn.XLOOKUP($D34,'consolidated tracker'!$D:$D,'consolidated tracker'!R:R)</f>
        <v>0</v>
      </c>
      <c r="T34" s="136">
        <f>_xlfn.XLOOKUP($D34,'consolidated tracker'!$D:$D,'consolidated tracker'!S:S)</f>
        <v>0</v>
      </c>
      <c r="U34" s="136">
        <f>_xlfn.XLOOKUP($D34,'consolidated tracker'!$D:$D,'consolidated tracker'!T:T)</f>
        <v>0</v>
      </c>
      <c r="V34" s="136">
        <f>_xlfn.XLOOKUP($D34,'consolidated tracker'!$D:$D,'consolidated tracker'!U:U)</f>
        <v>0</v>
      </c>
      <c r="W34" s="136">
        <f>_xlfn.XLOOKUP($D34,'consolidated tracker'!$D:$D,'consolidated tracker'!V:V)</f>
        <v>0</v>
      </c>
      <c r="X34" s="136">
        <f>_xlfn.XLOOKUP($D34,'consolidated tracker'!$D:$D,'consolidated tracker'!W:W)</f>
        <v>0</v>
      </c>
      <c r="Y34" s="17"/>
      <c r="Z34" s="17"/>
      <c r="AA34" s="11"/>
      <c r="AB34" s="16"/>
    </row>
    <row r="35" spans="1:28" s="7" customFormat="1" ht="150" customHeight="1" collapsed="1" x14ac:dyDescent="1.25">
      <c r="A35" s="4"/>
      <c r="C35" s="77">
        <v>9</v>
      </c>
      <c r="D35" s="76" t="s">
        <v>158</v>
      </c>
      <c r="E35" s="49" t="str">
        <f>_xlfn.XLOOKUP(D35,'consolidated tracker'!D:D,'consolidated tracker'!E:E)</f>
        <v>RERA</v>
      </c>
      <c r="F35" s="134" t="s">
        <v>232</v>
      </c>
      <c r="G35" s="33">
        <f>_xlfn.XLOOKUP(D35,'consolidated tracker'!D:D,'consolidated tracker'!F:F)</f>
        <v>2906</v>
      </c>
      <c r="H35" s="33">
        <f>_xlfn.XLOOKUP(D35,'consolidated tracker'!D:D,'consolidated tracker'!G:G)</f>
        <v>3738518271.7600002</v>
      </c>
      <c r="I35" s="33">
        <f>_xlfn.XLOOKUP(D35,'consolidated tracker'!D:D,'consolidated tracker'!H:H)</f>
        <v>1582324083.3500047</v>
      </c>
      <c r="J35" s="33">
        <f>_xlfn.XLOOKUP(D35,'consolidated tracker'!D:D,'consolidated tracker'!I:I)</f>
        <v>1507701123.5200002</v>
      </c>
      <c r="K35" s="33">
        <f>_xlfn.XLOOKUP(D35,'consolidated tracker'!D:D,'consolidated tracker'!J:J)</f>
        <v>82998338.939999983</v>
      </c>
      <c r="L35" s="34">
        <f>_xlfn.XLOOKUP(D35,'consolidated tracker'!D:D,'consolidated tracker'!K:K)</f>
        <v>0.95283964858070225</v>
      </c>
      <c r="M35" s="36">
        <f>_xlfn.XLOOKUP('consolidated - Offplan'!D35,'consolidated tracker'!D:D,'consolidated tracker'!L:L)</f>
        <v>74622959.759999961</v>
      </c>
      <c r="N35" s="30">
        <f>_xlfn.XLOOKUP($D35,'consolidated tracker'!$D:$D,'consolidated tracker'!M:M)</f>
        <v>2073195849.4699955</v>
      </c>
      <c r="O35" s="33">
        <f>_xlfn.XLOOKUP($D35,'consolidated tracker'!$D:$D,'consolidated tracker'!N:N)</f>
        <v>364122517.84999478</v>
      </c>
      <c r="P35" s="33">
        <f>_xlfn.XLOOKUP($D35,'consolidated tracker'!$D:$D,'consolidated tracker'!O:O)</f>
        <v>1708716279.6900005</v>
      </c>
      <c r="Q35" s="33">
        <f>_xlfn.XLOOKUP($D35,'consolidated tracker'!$D:$D,'consolidated tracker'!P:P)</f>
        <v>357051.93</v>
      </c>
      <c r="R35" s="136">
        <f>_xlfn.XLOOKUP($D35,'consolidated tracker'!$D:$D,'consolidated tracker'!Q:Q)</f>
        <v>0</v>
      </c>
      <c r="S35" s="136">
        <f>_xlfn.XLOOKUP($D35,'consolidated tracker'!$D:$D,'consolidated tracker'!R:R)</f>
        <v>0</v>
      </c>
      <c r="T35" s="136">
        <f>_xlfn.XLOOKUP($D35,'consolidated tracker'!$D:$D,'consolidated tracker'!S:S)</f>
        <v>0</v>
      </c>
      <c r="U35" s="136">
        <f>_xlfn.XLOOKUP($D35,'consolidated tracker'!$D:$D,'consolidated tracker'!T:T)</f>
        <v>0</v>
      </c>
      <c r="V35" s="136">
        <f>_xlfn.XLOOKUP($D35,'consolidated tracker'!$D:$D,'consolidated tracker'!U:U)</f>
        <v>0</v>
      </c>
      <c r="W35" s="136">
        <f>_xlfn.XLOOKUP($D35,'consolidated tracker'!$D:$D,'consolidated tracker'!V:V)</f>
        <v>0</v>
      </c>
      <c r="X35" s="136">
        <f>_xlfn.XLOOKUP($D35,'consolidated tracker'!$D:$D,'consolidated tracker'!W:W)</f>
        <v>0</v>
      </c>
      <c r="Y35" s="17"/>
      <c r="Z35" s="17"/>
      <c r="AA35" s="11"/>
      <c r="AB35" s="16"/>
    </row>
    <row r="36" spans="1:28" s="7" customFormat="1" ht="150" hidden="1" customHeight="1" outlineLevel="1" x14ac:dyDescent="1.25">
      <c r="A36" s="4"/>
      <c r="C36" s="77"/>
      <c r="D36" s="94" t="s">
        <v>157</v>
      </c>
      <c r="E36" s="49" t="str">
        <f>_xlfn.XLOOKUP(D36,'consolidated tracker'!D:D,'consolidated tracker'!E:E)</f>
        <v>RERA</v>
      </c>
      <c r="F36" s="134">
        <v>46752</v>
      </c>
      <c r="G36" s="33">
        <f>_xlfn.XLOOKUP(D36,'consolidated tracker'!D:D,'consolidated tracker'!F:F)</f>
        <v>621</v>
      </c>
      <c r="H36" s="33">
        <f>_xlfn.XLOOKUP(D36,'consolidated tracker'!D:D,'consolidated tracker'!G:G)</f>
        <v>732242701.68999994</v>
      </c>
      <c r="I36" s="33">
        <f>_xlfn.XLOOKUP(D36,'consolidated tracker'!D:D,'consolidated tracker'!H:H)</f>
        <v>379088560.84000438</v>
      </c>
      <c r="J36" s="33">
        <f>_xlfn.XLOOKUP(D36,'consolidated tracker'!D:D,'consolidated tracker'!I:I)</f>
        <v>357972786.68999982</v>
      </c>
      <c r="K36" s="33">
        <f>_xlfn.XLOOKUP(D36,'consolidated tracker'!D:D,'consolidated tracker'!J:J)</f>
        <v>12986703.869999994</v>
      </c>
      <c r="L36" s="34">
        <f>_xlfn.XLOOKUP(D36,'consolidated tracker'!D:D,'consolidated tracker'!K:K)</f>
        <v>0.94429857207187917</v>
      </c>
      <c r="M36" s="36">
        <f>_xlfn.XLOOKUP('consolidated - Offplan'!D36,'consolidated tracker'!D:D,'consolidated tracker'!L:L)</f>
        <v>21115774.149999999</v>
      </c>
      <c r="N36" s="30">
        <f>_xlfn.XLOOKUP($D36,'consolidated tracker'!$D:$D,'consolidated tracker'!M:M)</f>
        <v>340167436.97999555</v>
      </c>
      <c r="O36" s="40">
        <f>_xlfn.XLOOKUP($D36,'consolidated tracker'!$D:$D,'consolidated tracker'!N:N)</f>
        <v>68396092.549995124</v>
      </c>
      <c r="P36" s="33">
        <f>_xlfn.XLOOKUP($D36,'consolidated tracker'!$D:$D,'consolidated tracker'!O:O)</f>
        <v>271771344.43000042</v>
      </c>
      <c r="Q36" s="33">
        <f>_xlfn.XLOOKUP($D36,'consolidated tracker'!$D:$D,'consolidated tracker'!P:P)</f>
        <v>0</v>
      </c>
      <c r="R36" s="33">
        <f>_xlfn.XLOOKUP($D36,'consolidated tracker'!$D:$D,'consolidated tracker'!Q:Q)</f>
        <v>0</v>
      </c>
      <c r="S36" s="33">
        <f>_xlfn.XLOOKUP($D36,'consolidated tracker'!$D:$D,'consolidated tracker'!R:R)</f>
        <v>0</v>
      </c>
      <c r="T36" s="33">
        <f>_xlfn.XLOOKUP($D36,'consolidated tracker'!$D:$D,'consolidated tracker'!S:S)</f>
        <v>0</v>
      </c>
      <c r="U36" s="33">
        <f>_xlfn.XLOOKUP($D36,'consolidated tracker'!$D:$D,'consolidated tracker'!T:T)</f>
        <v>0</v>
      </c>
      <c r="V36" s="33">
        <f>_xlfn.XLOOKUP($D36,'consolidated tracker'!$D:$D,'consolidated tracker'!U:U)</f>
        <v>0</v>
      </c>
      <c r="W36" s="33">
        <f>_xlfn.XLOOKUP($D36,'consolidated tracker'!$D:$D,'consolidated tracker'!V:V)</f>
        <v>0</v>
      </c>
      <c r="X36" s="33">
        <f>_xlfn.XLOOKUP($D36,'consolidated tracker'!$D:$D,'consolidated tracker'!W:W)</f>
        <v>0</v>
      </c>
      <c r="Y36" s="17"/>
      <c r="Z36" s="17"/>
      <c r="AA36" s="11"/>
      <c r="AB36" s="16"/>
    </row>
    <row r="37" spans="1:28" s="7" customFormat="1" ht="150" hidden="1" customHeight="1" outlineLevel="1" x14ac:dyDescent="1.25">
      <c r="A37" s="4"/>
      <c r="C37" s="77"/>
      <c r="D37" s="94" t="s">
        <v>156</v>
      </c>
      <c r="E37" s="49" t="str">
        <f>_xlfn.XLOOKUP(D37,'consolidated tracker'!D:D,'consolidated tracker'!E:E)</f>
        <v>RERA</v>
      </c>
      <c r="F37" s="134">
        <v>46752</v>
      </c>
      <c r="G37" s="33">
        <f>_xlfn.XLOOKUP(D37,'consolidated tracker'!D:D,'consolidated tracker'!F:F)</f>
        <v>632</v>
      </c>
      <c r="H37" s="33">
        <f>_xlfn.XLOOKUP(D37,'consolidated tracker'!D:D,'consolidated tracker'!G:G)</f>
        <v>750979306.7300005</v>
      </c>
      <c r="I37" s="33">
        <f>_xlfn.XLOOKUP(D37,'consolidated tracker'!D:D,'consolidated tracker'!H:H)</f>
        <v>330182519.46000069</v>
      </c>
      <c r="J37" s="33">
        <f>_xlfn.XLOOKUP(D37,'consolidated tracker'!D:D,'consolidated tracker'!I:I)</f>
        <v>313825041.03999978</v>
      </c>
      <c r="K37" s="33">
        <f>_xlfn.XLOOKUP(D37,'consolidated tracker'!D:D,'consolidated tracker'!J:J)</f>
        <v>17075733.02999999</v>
      </c>
      <c r="L37" s="34">
        <f>_xlfn.XLOOKUP(D37,'consolidated tracker'!D:D,'consolidated tracker'!K:K)</f>
        <v>0.95045928401432977</v>
      </c>
      <c r="M37" s="36">
        <f>_xlfn.XLOOKUP('consolidated - Offplan'!D37,'consolidated tracker'!D:D,'consolidated tracker'!L:L)</f>
        <v>16357478.419999996</v>
      </c>
      <c r="N37" s="30">
        <f>_xlfn.XLOOKUP($D37,'consolidated tracker'!$D:$D,'consolidated tracker'!M:M)</f>
        <v>403721054.23999983</v>
      </c>
      <c r="O37" s="40">
        <f>_xlfn.XLOOKUP($D37,'consolidated tracker'!$D:$D,'consolidated tracker'!N:N)</f>
        <v>69930459.350000143</v>
      </c>
      <c r="P37" s="33">
        <f>_xlfn.XLOOKUP($D37,'consolidated tracker'!$D:$D,'consolidated tracker'!O:O)</f>
        <v>333790594.88999969</v>
      </c>
      <c r="Q37" s="33">
        <f>_xlfn.XLOOKUP($D37,'consolidated tracker'!$D:$D,'consolidated tracker'!P:P)</f>
        <v>0</v>
      </c>
      <c r="R37" s="33">
        <f>_xlfn.XLOOKUP($D37,'consolidated tracker'!$D:$D,'consolidated tracker'!Q:Q)</f>
        <v>0</v>
      </c>
      <c r="S37" s="33">
        <f>_xlfn.XLOOKUP($D37,'consolidated tracker'!$D:$D,'consolidated tracker'!R:R)</f>
        <v>0</v>
      </c>
      <c r="T37" s="33">
        <f>_xlfn.XLOOKUP($D37,'consolidated tracker'!$D:$D,'consolidated tracker'!S:S)</f>
        <v>0</v>
      </c>
      <c r="U37" s="33">
        <f>_xlfn.XLOOKUP($D37,'consolidated tracker'!$D:$D,'consolidated tracker'!T:T)</f>
        <v>0</v>
      </c>
      <c r="V37" s="33">
        <f>_xlfn.XLOOKUP($D37,'consolidated tracker'!$D:$D,'consolidated tracker'!U:U)</f>
        <v>0</v>
      </c>
      <c r="W37" s="33">
        <f>_xlfn.XLOOKUP($D37,'consolidated tracker'!$D:$D,'consolidated tracker'!V:V)</f>
        <v>0</v>
      </c>
      <c r="X37" s="33">
        <f>_xlfn.XLOOKUP($D37,'consolidated tracker'!$D:$D,'consolidated tracker'!W:W)</f>
        <v>0</v>
      </c>
      <c r="Y37" s="17"/>
      <c r="Z37" s="17"/>
      <c r="AA37" s="11"/>
      <c r="AB37" s="16"/>
    </row>
    <row r="38" spans="1:28" s="7" customFormat="1" ht="150" hidden="1" customHeight="1" outlineLevel="1" x14ac:dyDescent="1.25">
      <c r="A38" s="4"/>
      <c r="C38" s="77"/>
      <c r="D38" s="94" t="s">
        <v>155</v>
      </c>
      <c r="E38" s="49" t="str">
        <f>_xlfn.XLOOKUP(D38,'consolidated tracker'!D:D,'consolidated tracker'!E:E)</f>
        <v>RERA</v>
      </c>
      <c r="F38" s="134">
        <v>46752</v>
      </c>
      <c r="G38" s="33">
        <f>_xlfn.XLOOKUP(D38,'consolidated tracker'!D:D,'consolidated tracker'!F:F)</f>
        <v>184</v>
      </c>
      <c r="H38" s="33">
        <f>_xlfn.XLOOKUP(D38,'consolidated tracker'!D:D,'consolidated tracker'!G:G)</f>
        <v>266342833.88000008</v>
      </c>
      <c r="I38" s="33">
        <f>_xlfn.XLOOKUP(D38,'consolidated tracker'!D:D,'consolidated tracker'!H:H)</f>
        <v>83851843.330000073</v>
      </c>
      <c r="J38" s="33">
        <f>_xlfn.XLOOKUP(D38,'consolidated tracker'!D:D,'consolidated tracker'!I:I)</f>
        <v>80472263.659999952</v>
      </c>
      <c r="K38" s="33">
        <f>_xlfn.XLOOKUP(D38,'consolidated tracker'!D:D,'consolidated tracker'!J:J)</f>
        <v>7763700.129999999</v>
      </c>
      <c r="L38" s="34">
        <f>_xlfn.XLOOKUP(D38,'consolidated tracker'!D:D,'consolidated tracker'!K:K)</f>
        <v>0.95969582139417331</v>
      </c>
      <c r="M38" s="36">
        <f>_xlfn.XLOOKUP('consolidated - Offplan'!D38,'consolidated tracker'!D:D,'consolidated tracker'!L:L)</f>
        <v>3379579.6700000004</v>
      </c>
      <c r="N38" s="30">
        <f>_xlfn.XLOOKUP($D38,'consolidated tracker'!$D:$D,'consolidated tracker'!M:M)</f>
        <v>174727290.42000002</v>
      </c>
      <c r="O38" s="40">
        <f>_xlfn.XLOOKUP($D38,'consolidated tracker'!$D:$D,'consolidated tracker'!N:N)</f>
        <v>28830394.459999949</v>
      </c>
      <c r="P38" s="33">
        <f>_xlfn.XLOOKUP($D38,'consolidated tracker'!$D:$D,'consolidated tracker'!O:O)</f>
        <v>145896895.96000007</v>
      </c>
      <c r="Q38" s="33">
        <f>_xlfn.XLOOKUP($D38,'consolidated tracker'!$D:$D,'consolidated tracker'!P:P)</f>
        <v>0</v>
      </c>
      <c r="R38" s="33">
        <f>_xlfn.XLOOKUP($D38,'consolidated tracker'!$D:$D,'consolidated tracker'!Q:Q)</f>
        <v>0</v>
      </c>
      <c r="S38" s="33">
        <f>_xlfn.XLOOKUP($D38,'consolidated tracker'!$D:$D,'consolidated tracker'!R:R)</f>
        <v>0</v>
      </c>
      <c r="T38" s="33">
        <f>_xlfn.XLOOKUP($D38,'consolidated tracker'!$D:$D,'consolidated tracker'!S:S)</f>
        <v>0</v>
      </c>
      <c r="U38" s="33">
        <f>_xlfn.XLOOKUP($D38,'consolidated tracker'!$D:$D,'consolidated tracker'!T:T)</f>
        <v>0</v>
      </c>
      <c r="V38" s="33">
        <f>_xlfn.XLOOKUP($D38,'consolidated tracker'!$D:$D,'consolidated tracker'!U:U)</f>
        <v>0</v>
      </c>
      <c r="W38" s="33">
        <f>_xlfn.XLOOKUP($D38,'consolidated tracker'!$D:$D,'consolidated tracker'!V:V)</f>
        <v>0</v>
      </c>
      <c r="X38" s="33">
        <f>_xlfn.XLOOKUP($D38,'consolidated tracker'!$D:$D,'consolidated tracker'!W:W)</f>
        <v>0</v>
      </c>
      <c r="Y38" s="17"/>
      <c r="Z38" s="17"/>
      <c r="AA38" s="11"/>
      <c r="AB38" s="16"/>
    </row>
    <row r="39" spans="1:28" s="7" customFormat="1" ht="150" hidden="1" customHeight="1" outlineLevel="1" x14ac:dyDescent="1.25">
      <c r="A39" s="4"/>
      <c r="C39" s="77"/>
      <c r="D39" s="94" t="s">
        <v>154</v>
      </c>
      <c r="E39" s="49" t="str">
        <f>_xlfn.XLOOKUP(D39,'consolidated tracker'!D:D,'consolidated tracker'!E:E)</f>
        <v>RERA</v>
      </c>
      <c r="F39" s="134">
        <v>46752</v>
      </c>
      <c r="G39" s="33">
        <f>_xlfn.XLOOKUP(D39,'consolidated tracker'!D:D,'consolidated tracker'!F:F)</f>
        <v>237</v>
      </c>
      <c r="H39" s="33">
        <f>_xlfn.XLOOKUP(D39,'consolidated tracker'!D:D,'consolidated tracker'!G:G)</f>
        <v>331848722.86999995</v>
      </c>
      <c r="I39" s="33">
        <f>_xlfn.XLOOKUP(D39,'consolidated tracker'!D:D,'consolidated tracker'!H:H)</f>
        <v>101253982.25999998</v>
      </c>
      <c r="J39" s="33">
        <f>_xlfn.XLOOKUP(D39,'consolidated tracker'!D:D,'consolidated tracker'!I:I)</f>
        <v>98350674.440000072</v>
      </c>
      <c r="K39" s="33">
        <f>_xlfn.XLOOKUP(D39,'consolidated tracker'!D:D,'consolidated tracker'!J:J)</f>
        <v>7843520</v>
      </c>
      <c r="L39" s="34">
        <f>_xlfn.XLOOKUP(D39,'consolidated tracker'!D:D,'consolidated tracker'!K:K)</f>
        <v>0.97132648262124854</v>
      </c>
      <c r="M39" s="36">
        <f>_xlfn.XLOOKUP('consolidated - Offplan'!D39,'consolidated tracker'!D:D,'consolidated tracker'!L:L)</f>
        <v>2903307.82</v>
      </c>
      <c r="N39" s="30">
        <f>_xlfn.XLOOKUP($D39,'consolidated tracker'!$D:$D,'consolidated tracker'!M:M)</f>
        <v>222751220.60999995</v>
      </c>
      <c r="O39" s="40">
        <f>_xlfn.XLOOKUP($D39,'consolidated tracker'!$D:$D,'consolidated tracker'!N:N)</f>
        <v>32712001.50000003</v>
      </c>
      <c r="P39" s="33">
        <f>_xlfn.XLOOKUP($D39,'consolidated tracker'!$D:$D,'consolidated tracker'!O:O)</f>
        <v>190039219.10999992</v>
      </c>
      <c r="Q39" s="33">
        <f>_xlfn.XLOOKUP($D39,'consolidated tracker'!$D:$D,'consolidated tracker'!P:P)</f>
        <v>0</v>
      </c>
      <c r="R39" s="33">
        <f>_xlfn.XLOOKUP($D39,'consolidated tracker'!$D:$D,'consolidated tracker'!Q:Q)</f>
        <v>0</v>
      </c>
      <c r="S39" s="33">
        <f>_xlfn.XLOOKUP($D39,'consolidated tracker'!$D:$D,'consolidated tracker'!R:R)</f>
        <v>0</v>
      </c>
      <c r="T39" s="33">
        <f>_xlfn.XLOOKUP($D39,'consolidated tracker'!$D:$D,'consolidated tracker'!S:S)</f>
        <v>0</v>
      </c>
      <c r="U39" s="33">
        <f>_xlfn.XLOOKUP($D39,'consolidated tracker'!$D:$D,'consolidated tracker'!T:T)</f>
        <v>0</v>
      </c>
      <c r="V39" s="33">
        <f>_xlfn.XLOOKUP($D39,'consolidated tracker'!$D:$D,'consolidated tracker'!U:U)</f>
        <v>0</v>
      </c>
      <c r="W39" s="33">
        <f>_xlfn.XLOOKUP($D39,'consolidated tracker'!$D:$D,'consolidated tracker'!V:V)</f>
        <v>0</v>
      </c>
      <c r="X39" s="33">
        <f>_xlfn.XLOOKUP($D39,'consolidated tracker'!$D:$D,'consolidated tracker'!W:W)</f>
        <v>0</v>
      </c>
      <c r="Y39" s="17"/>
      <c r="Z39" s="17"/>
      <c r="AA39" s="11"/>
      <c r="AB39" s="16"/>
    </row>
    <row r="40" spans="1:28" s="7" customFormat="1" ht="150" hidden="1" customHeight="1" outlineLevel="1" x14ac:dyDescent="1.25">
      <c r="A40" s="4"/>
      <c r="C40" s="77"/>
      <c r="D40" s="94" t="s">
        <v>153</v>
      </c>
      <c r="E40" s="49" t="str">
        <f>_xlfn.XLOOKUP(D40,'consolidated tracker'!D:D,'consolidated tracker'!E:E)</f>
        <v>RERA</v>
      </c>
      <c r="F40" s="134">
        <v>46752</v>
      </c>
      <c r="G40" s="33">
        <f>_xlfn.XLOOKUP(D40,'consolidated tracker'!D:D,'consolidated tracker'!F:F)</f>
        <v>761</v>
      </c>
      <c r="H40" s="33">
        <f>_xlfn.XLOOKUP(D40,'consolidated tracker'!D:D,'consolidated tracker'!G:G)</f>
        <v>913478656.37999904</v>
      </c>
      <c r="I40" s="33">
        <f>_xlfn.XLOOKUP(D40,'consolidated tracker'!D:D,'consolidated tracker'!H:H)</f>
        <v>437884662.62999958</v>
      </c>
      <c r="J40" s="33">
        <f>_xlfn.XLOOKUP(D40,'consolidated tracker'!D:D,'consolidated tracker'!I:I)</f>
        <v>415154034.83000046</v>
      </c>
      <c r="K40" s="33">
        <f>_xlfn.XLOOKUP(D40,'consolidated tracker'!D:D,'consolidated tracker'!J:J)</f>
        <v>16644972.849999998</v>
      </c>
      <c r="L40" s="34">
        <f>_xlfn.XLOOKUP(D40,'consolidated tracker'!D:D,'consolidated tracker'!K:K)</f>
        <v>0.94808992015505722</v>
      </c>
      <c r="M40" s="36">
        <f>_xlfn.XLOOKUP('consolidated - Offplan'!D40,'consolidated tracker'!D:D,'consolidated tracker'!L:L)</f>
        <v>22730627.799999975</v>
      </c>
      <c r="N40" s="30">
        <f>_xlfn.XLOOKUP($D40,'consolidated tracker'!$D:$D,'consolidated tracker'!M:M)</f>
        <v>458949020.89999944</v>
      </c>
      <c r="O40" s="40">
        <f>_xlfn.XLOOKUP($D40,'consolidated tracker'!$D:$D,'consolidated tracker'!N:N)</f>
        <v>85525724.799999177</v>
      </c>
      <c r="P40" s="33">
        <f>_xlfn.XLOOKUP($D40,'consolidated tracker'!$D:$D,'consolidated tracker'!O:O)</f>
        <v>373066244.17000026</v>
      </c>
      <c r="Q40" s="33">
        <f>_xlfn.XLOOKUP($D40,'consolidated tracker'!$D:$D,'consolidated tracker'!P:P)</f>
        <v>357051.93</v>
      </c>
      <c r="R40" s="33">
        <f>_xlfn.XLOOKUP($D40,'consolidated tracker'!$D:$D,'consolidated tracker'!Q:Q)</f>
        <v>0</v>
      </c>
      <c r="S40" s="33">
        <f>_xlfn.XLOOKUP($D40,'consolidated tracker'!$D:$D,'consolidated tracker'!R:R)</f>
        <v>0</v>
      </c>
      <c r="T40" s="33">
        <f>_xlfn.XLOOKUP($D40,'consolidated tracker'!$D:$D,'consolidated tracker'!S:S)</f>
        <v>0</v>
      </c>
      <c r="U40" s="33">
        <f>_xlfn.XLOOKUP($D40,'consolidated tracker'!$D:$D,'consolidated tracker'!T:T)</f>
        <v>0</v>
      </c>
      <c r="V40" s="33">
        <f>_xlfn.XLOOKUP($D40,'consolidated tracker'!$D:$D,'consolidated tracker'!U:U)</f>
        <v>0</v>
      </c>
      <c r="W40" s="33">
        <f>_xlfn.XLOOKUP($D40,'consolidated tracker'!$D:$D,'consolidated tracker'!V:V)</f>
        <v>0</v>
      </c>
      <c r="X40" s="33">
        <f>_xlfn.XLOOKUP($D40,'consolidated tracker'!$D:$D,'consolidated tracker'!W:W)</f>
        <v>0</v>
      </c>
      <c r="Y40" s="17"/>
      <c r="Z40" s="17"/>
      <c r="AA40" s="11"/>
      <c r="AB40" s="16"/>
    </row>
    <row r="41" spans="1:28" s="7" customFormat="1" ht="150" hidden="1" customHeight="1" outlineLevel="1" x14ac:dyDescent="1.25">
      <c r="A41" s="4"/>
      <c r="C41" s="77"/>
      <c r="D41" s="94" t="s">
        <v>152</v>
      </c>
      <c r="E41" s="49" t="str">
        <f>_xlfn.XLOOKUP(D41,'consolidated tracker'!D:D,'consolidated tracker'!E:E)</f>
        <v>RERA</v>
      </c>
      <c r="F41" s="134">
        <v>46752</v>
      </c>
      <c r="G41" s="33">
        <f>_xlfn.XLOOKUP(D41,'consolidated tracker'!D:D,'consolidated tracker'!F:F)</f>
        <v>238</v>
      </c>
      <c r="H41" s="33">
        <f>_xlfn.XLOOKUP(D41,'consolidated tracker'!D:D,'consolidated tracker'!G:G)</f>
        <v>335904063.08000004</v>
      </c>
      <c r="I41" s="33">
        <f>_xlfn.XLOOKUP(D41,'consolidated tracker'!D:D,'consolidated tracker'!H:H)</f>
        <v>114446912.95999986</v>
      </c>
      <c r="J41" s="33">
        <f>_xlfn.XLOOKUP(D41,'consolidated tracker'!D:D,'consolidated tracker'!I:I)</f>
        <v>109872092.58000001</v>
      </c>
      <c r="K41" s="33">
        <f>_xlfn.XLOOKUP(D41,'consolidated tracker'!D:D,'consolidated tracker'!J:J)</f>
        <v>11871682.410000002</v>
      </c>
      <c r="L41" s="34">
        <f>_xlfn.XLOOKUP(D41,'consolidated tracker'!D:D,'consolidated tracker'!K:K)</f>
        <v>0.96002670354595954</v>
      </c>
      <c r="M41" s="36">
        <f>_xlfn.XLOOKUP('consolidated - Offplan'!D41,'consolidated tracker'!D:D,'consolidated tracker'!L:L)</f>
        <v>4574820.3800000008</v>
      </c>
      <c r="N41" s="30">
        <f>_xlfn.XLOOKUP($D41,'consolidated tracker'!$D:$D,'consolidated tracker'!M:M)</f>
        <v>209585467.71000019</v>
      </c>
      <c r="O41" s="40">
        <f>_xlfn.XLOOKUP($D41,'consolidated tracker'!$D:$D,'consolidated tracker'!N:N)</f>
        <v>33984646.660000086</v>
      </c>
      <c r="P41" s="33">
        <f>_xlfn.XLOOKUP($D41,'consolidated tracker'!$D:$D,'consolidated tracker'!O:O)</f>
        <v>175600821.0500001</v>
      </c>
      <c r="Q41" s="33">
        <f>_xlfn.XLOOKUP($D41,'consolidated tracker'!$D:$D,'consolidated tracker'!P:P)</f>
        <v>0</v>
      </c>
      <c r="R41" s="33">
        <f>_xlfn.XLOOKUP($D41,'consolidated tracker'!$D:$D,'consolidated tracker'!Q:Q)</f>
        <v>0</v>
      </c>
      <c r="S41" s="33">
        <f>_xlfn.XLOOKUP($D41,'consolidated tracker'!$D:$D,'consolidated tracker'!R:R)</f>
        <v>0</v>
      </c>
      <c r="T41" s="33">
        <f>_xlfn.XLOOKUP($D41,'consolidated tracker'!$D:$D,'consolidated tracker'!S:S)</f>
        <v>0</v>
      </c>
      <c r="U41" s="33">
        <f>_xlfn.XLOOKUP($D41,'consolidated tracker'!$D:$D,'consolidated tracker'!T:T)</f>
        <v>0</v>
      </c>
      <c r="V41" s="33">
        <f>_xlfn.XLOOKUP($D41,'consolidated tracker'!$D:$D,'consolidated tracker'!U:U)</f>
        <v>0</v>
      </c>
      <c r="W41" s="33">
        <f>_xlfn.XLOOKUP($D41,'consolidated tracker'!$D:$D,'consolidated tracker'!V:V)</f>
        <v>0</v>
      </c>
      <c r="X41" s="33">
        <f>_xlfn.XLOOKUP($D41,'consolidated tracker'!$D:$D,'consolidated tracker'!W:W)</f>
        <v>0</v>
      </c>
      <c r="Y41" s="17"/>
      <c r="Z41" s="17"/>
      <c r="AA41" s="11"/>
      <c r="AB41" s="16"/>
    </row>
    <row r="42" spans="1:28" s="7" customFormat="1" ht="150" hidden="1" customHeight="1" outlineLevel="1" x14ac:dyDescent="1.25">
      <c r="A42" s="4"/>
      <c r="C42" s="77"/>
      <c r="D42" s="94" t="s">
        <v>151</v>
      </c>
      <c r="E42" s="49" t="str">
        <f>_xlfn.XLOOKUP(D42,'consolidated tracker'!D:D,'consolidated tracker'!E:E)</f>
        <v>RERA</v>
      </c>
      <c r="F42" s="134">
        <v>46752</v>
      </c>
      <c r="G42" s="33">
        <f>_xlfn.XLOOKUP(D42,'consolidated tracker'!D:D,'consolidated tracker'!F:F)</f>
        <v>221</v>
      </c>
      <c r="H42" s="33">
        <f>_xlfn.XLOOKUP(D42,'consolidated tracker'!D:D,'consolidated tracker'!G:G)</f>
        <v>303141987.13000035</v>
      </c>
      <c r="I42" s="33">
        <f>_xlfn.XLOOKUP(D42,'consolidated tracker'!D:D,'consolidated tracker'!H:H)</f>
        <v>110019604.87000006</v>
      </c>
      <c r="J42" s="33">
        <f>_xlfn.XLOOKUP(D42,'consolidated tracker'!D:D,'consolidated tracker'!I:I)</f>
        <v>106749138.38000001</v>
      </c>
      <c r="K42" s="33">
        <f>_xlfn.XLOOKUP(D42,'consolidated tracker'!D:D,'consolidated tracker'!J:J)</f>
        <v>8213276.389999995</v>
      </c>
      <c r="L42" s="34">
        <f>_xlfn.XLOOKUP(D42,'consolidated tracker'!D:D,'consolidated tracker'!K:K)</f>
        <v>0.97027378444174139</v>
      </c>
      <c r="M42" s="36">
        <f>_xlfn.XLOOKUP('consolidated - Offplan'!D42,'consolidated tracker'!D:D,'consolidated tracker'!L:L)</f>
        <v>3270466.4200000004</v>
      </c>
      <c r="N42" s="30">
        <f>_xlfn.XLOOKUP($D42,'consolidated tracker'!$D:$D,'consolidated tracker'!M:M)</f>
        <v>184909105.8700003</v>
      </c>
      <c r="O42" s="40">
        <f>_xlfn.XLOOKUP($D42,'consolidated tracker'!$D:$D,'consolidated tracker'!N:N)</f>
        <v>28955449.29000029</v>
      </c>
      <c r="P42" s="33">
        <f>_xlfn.XLOOKUP($D42,'consolidated tracker'!$D:$D,'consolidated tracker'!O:O)</f>
        <v>155953656.58000001</v>
      </c>
      <c r="Q42" s="33">
        <f>_xlfn.XLOOKUP($D42,'consolidated tracker'!$D:$D,'consolidated tracker'!P:P)</f>
        <v>0</v>
      </c>
      <c r="R42" s="33">
        <f>_xlfn.XLOOKUP($D42,'consolidated tracker'!$D:$D,'consolidated tracker'!Q:Q)</f>
        <v>0</v>
      </c>
      <c r="S42" s="33">
        <f>_xlfn.XLOOKUP($D42,'consolidated tracker'!$D:$D,'consolidated tracker'!R:R)</f>
        <v>0</v>
      </c>
      <c r="T42" s="33">
        <f>_xlfn.XLOOKUP($D42,'consolidated tracker'!$D:$D,'consolidated tracker'!S:S)</f>
        <v>0</v>
      </c>
      <c r="U42" s="33">
        <f>_xlfn.XLOOKUP($D42,'consolidated tracker'!$D:$D,'consolidated tracker'!T:T)</f>
        <v>0</v>
      </c>
      <c r="V42" s="33">
        <f>_xlfn.XLOOKUP($D42,'consolidated tracker'!$D:$D,'consolidated tracker'!U:U)</f>
        <v>0</v>
      </c>
      <c r="W42" s="33">
        <f>_xlfn.XLOOKUP($D42,'consolidated tracker'!$D:$D,'consolidated tracker'!V:V)</f>
        <v>0</v>
      </c>
      <c r="X42" s="33">
        <f>_xlfn.XLOOKUP($D42,'consolidated tracker'!$D:$D,'consolidated tracker'!W:W)</f>
        <v>0</v>
      </c>
      <c r="Y42" s="17"/>
      <c r="Z42" s="17"/>
      <c r="AA42" s="11"/>
      <c r="AB42" s="16"/>
    </row>
    <row r="43" spans="1:28" s="7" customFormat="1" ht="150" hidden="1" customHeight="1" outlineLevel="1" x14ac:dyDescent="1.25">
      <c r="A43" s="4"/>
      <c r="C43" s="77"/>
      <c r="D43" s="94" t="s">
        <v>150</v>
      </c>
      <c r="E43" s="49" t="str">
        <f>_xlfn.XLOOKUP(D43,'consolidated tracker'!D:D,'consolidated tracker'!E:E)</f>
        <v>RERA</v>
      </c>
      <c r="F43" s="134" t="s">
        <v>232</v>
      </c>
      <c r="G43" s="33">
        <f>_xlfn.XLOOKUP(D43,'consolidated tracker'!D:D,'consolidated tracker'!F:F)</f>
        <v>12</v>
      </c>
      <c r="H43" s="33">
        <f>_xlfn.XLOOKUP(D43,'consolidated tracker'!D:D,'consolidated tracker'!G:G)</f>
        <v>104580000</v>
      </c>
      <c r="I43" s="33">
        <f>_xlfn.XLOOKUP(D43,'consolidated tracker'!D:D,'consolidated tracker'!H:H)</f>
        <v>25595997</v>
      </c>
      <c r="J43" s="33">
        <f>_xlfn.XLOOKUP(D43,'consolidated tracker'!D:D,'consolidated tracker'!I:I)</f>
        <v>25305091.899999999</v>
      </c>
      <c r="K43" s="33">
        <f>_xlfn.XLOOKUP(D43,'consolidated tracker'!D:D,'consolidated tracker'!J:J)</f>
        <v>598750.26</v>
      </c>
      <c r="L43" s="34">
        <f>_xlfn.XLOOKUP(D43,'consolidated tracker'!D:D,'consolidated tracker'!K:K)</f>
        <v>0.9886347423778804</v>
      </c>
      <c r="M43" s="36">
        <f>_xlfn.XLOOKUP('consolidated - Offplan'!D43,'consolidated tracker'!D:D,'consolidated tracker'!L:L)</f>
        <v>290905.09999999998</v>
      </c>
      <c r="N43" s="30">
        <f>_xlfn.XLOOKUP($D43,'consolidated tracker'!$D:$D,'consolidated tracker'!M:M)</f>
        <v>78385252.739999995</v>
      </c>
      <c r="O43" s="40">
        <f>_xlfn.XLOOKUP($D43,'consolidated tracker'!$D:$D,'consolidated tracker'!N:N)</f>
        <v>15787749.239999995</v>
      </c>
      <c r="P43" s="33">
        <f>_xlfn.XLOOKUP($D43,'consolidated tracker'!$D:$D,'consolidated tracker'!O:O)</f>
        <v>62597503.5</v>
      </c>
      <c r="Q43" s="33">
        <f>_xlfn.XLOOKUP($D43,'consolidated tracker'!$D:$D,'consolidated tracker'!P:P)</f>
        <v>0</v>
      </c>
      <c r="R43" s="33">
        <f>_xlfn.XLOOKUP($D43,'consolidated tracker'!$D:$D,'consolidated tracker'!Q:Q)</f>
        <v>0</v>
      </c>
      <c r="S43" s="33">
        <f>_xlfn.XLOOKUP($D43,'consolidated tracker'!$D:$D,'consolidated tracker'!R:R)</f>
        <v>0</v>
      </c>
      <c r="T43" s="33">
        <f>_xlfn.XLOOKUP($D43,'consolidated tracker'!$D:$D,'consolidated tracker'!S:S)</f>
        <v>0</v>
      </c>
      <c r="U43" s="33">
        <f>_xlfn.XLOOKUP($D43,'consolidated tracker'!$D:$D,'consolidated tracker'!T:T)</f>
        <v>0</v>
      </c>
      <c r="V43" s="33">
        <f>_xlfn.XLOOKUP($D43,'consolidated tracker'!$D:$D,'consolidated tracker'!U:U)</f>
        <v>0</v>
      </c>
      <c r="W43" s="33">
        <f>_xlfn.XLOOKUP($D43,'consolidated tracker'!$D:$D,'consolidated tracker'!V:V)</f>
        <v>0</v>
      </c>
      <c r="X43" s="33">
        <f>_xlfn.XLOOKUP($D43,'consolidated tracker'!$D:$D,'consolidated tracker'!W:W)</f>
        <v>0</v>
      </c>
      <c r="Y43" s="17"/>
      <c r="Z43" s="17"/>
      <c r="AA43" s="11"/>
      <c r="AB43" s="16"/>
    </row>
    <row r="44" spans="1:28" s="7" customFormat="1" ht="150" customHeight="1" collapsed="1" x14ac:dyDescent="1.25">
      <c r="A44" s="4"/>
      <c r="C44" s="77">
        <v>10</v>
      </c>
      <c r="D44" s="76" t="s">
        <v>149</v>
      </c>
      <c r="E44" s="49" t="str">
        <f>_xlfn.XLOOKUP(D44,'consolidated tracker'!D:D,'consolidated tracker'!E:E)</f>
        <v>RERA</v>
      </c>
      <c r="F44" s="134" t="s">
        <v>232</v>
      </c>
      <c r="G44" s="33">
        <f>_xlfn.XLOOKUP(D44,'consolidated tracker'!D:D,'consolidated tracker'!F:F)</f>
        <v>1445</v>
      </c>
      <c r="H44" s="33">
        <f>_xlfn.XLOOKUP(D44,'consolidated tracker'!D:D,'consolidated tracker'!G:G)</f>
        <v>3839886319.8000002</v>
      </c>
      <c r="I44" s="33">
        <f>_xlfn.XLOOKUP(D44,'consolidated tracker'!D:D,'consolidated tracker'!H:H)</f>
        <v>1045588601.7500001</v>
      </c>
      <c r="J44" s="33">
        <f>_xlfn.XLOOKUP(D44,'consolidated tracker'!D:D,'consolidated tracker'!I:I)</f>
        <v>1005409411.4799995</v>
      </c>
      <c r="K44" s="33">
        <f>_xlfn.XLOOKUP(D44,'consolidated tracker'!D:D,'consolidated tracker'!J:J)</f>
        <v>150309394.14999992</v>
      </c>
      <c r="L44" s="34">
        <f>_xlfn.XLOOKUP(D44,'consolidated tracker'!D:D,'consolidated tracker'!K:K)</f>
        <v>0.96157265849804341</v>
      </c>
      <c r="M44" s="36">
        <f>_xlfn.XLOOKUP('consolidated - Offplan'!D44,'consolidated tracker'!D:D,'consolidated tracker'!L:L)</f>
        <v>40179190.149999999</v>
      </c>
      <c r="N44" s="30">
        <f>_xlfn.XLOOKUP($D44,'consolidated tracker'!$D:$D,'consolidated tracker'!M:M)</f>
        <v>2643988323.9000001</v>
      </c>
      <c r="O44" s="40">
        <f>_xlfn.XLOOKUP($D44,'consolidated tracker'!$D:$D,'consolidated tracker'!N:N)</f>
        <v>331592429.57999897</v>
      </c>
      <c r="P44" s="33">
        <f>_xlfn.XLOOKUP($D44,'consolidated tracker'!$D:$D,'consolidated tracker'!O:O)</f>
        <v>552559356.07000017</v>
      </c>
      <c r="Q44" s="33">
        <f>_xlfn.XLOOKUP($D44,'consolidated tracker'!$D:$D,'consolidated tracker'!P:P)</f>
        <v>1759836538.250001</v>
      </c>
      <c r="R44" s="33">
        <f>_xlfn.XLOOKUP($D44,'consolidated tracker'!$D:$D,'consolidated tracker'!Q:Q)</f>
        <v>0</v>
      </c>
      <c r="S44" s="33">
        <f>_xlfn.XLOOKUP($D44,'consolidated tracker'!$D:$D,'consolidated tracker'!R:R)</f>
        <v>0</v>
      </c>
      <c r="T44" s="33">
        <f>_xlfn.XLOOKUP($D44,'consolidated tracker'!$D:$D,'consolidated tracker'!S:S)</f>
        <v>0</v>
      </c>
      <c r="U44" s="33">
        <f>_xlfn.XLOOKUP($D44,'consolidated tracker'!$D:$D,'consolidated tracker'!T:T)</f>
        <v>0</v>
      </c>
      <c r="V44" s="33">
        <f>_xlfn.XLOOKUP($D44,'consolidated tracker'!$D:$D,'consolidated tracker'!U:U)</f>
        <v>0</v>
      </c>
      <c r="W44" s="33">
        <f>_xlfn.XLOOKUP($D44,'consolidated tracker'!$D:$D,'consolidated tracker'!V:V)</f>
        <v>0</v>
      </c>
      <c r="X44" s="33">
        <f>_xlfn.XLOOKUP($D44,'consolidated tracker'!$D:$D,'consolidated tracker'!W:W)</f>
        <v>0</v>
      </c>
      <c r="Y44" s="17"/>
      <c r="Z44" s="17"/>
      <c r="AA44" s="11"/>
      <c r="AB44" s="16"/>
    </row>
    <row r="45" spans="1:28" s="7" customFormat="1" ht="150" hidden="1" customHeight="1" outlineLevel="1" x14ac:dyDescent="1.25">
      <c r="A45" s="4"/>
      <c r="C45" s="77"/>
      <c r="D45" s="94" t="s">
        <v>148</v>
      </c>
      <c r="E45" s="49" t="str">
        <f>_xlfn.XLOOKUP(D45,'consolidated tracker'!D:D,'consolidated tracker'!E:E)</f>
        <v>RERA</v>
      </c>
      <c r="F45" s="134">
        <v>47118</v>
      </c>
      <c r="G45" s="33">
        <f>_xlfn.XLOOKUP(D45,'consolidated tracker'!D:D,'consolidated tracker'!F:F)</f>
        <v>478</v>
      </c>
      <c r="H45" s="33">
        <f>_xlfn.XLOOKUP(D45,'consolidated tracker'!D:D,'consolidated tracker'!G:G)</f>
        <v>1204568671.5399995</v>
      </c>
      <c r="I45" s="33">
        <f>_xlfn.XLOOKUP(D45,'consolidated tracker'!D:D,'consolidated tracker'!H:H)</f>
        <v>324248300.53999984</v>
      </c>
      <c r="J45" s="33">
        <f>_xlfn.XLOOKUP(D45,'consolidated tracker'!D:D,'consolidated tracker'!I:I)</f>
        <v>313302488.40999979</v>
      </c>
      <c r="K45" s="33">
        <f>_xlfn.XLOOKUP(D45,'consolidated tracker'!D:D,'consolidated tracker'!J:J)</f>
        <v>67276427.449999988</v>
      </c>
      <c r="L45" s="34">
        <f>_xlfn.XLOOKUP(D45,'consolidated tracker'!D:D,'consolidated tracker'!K:K)</f>
        <v>0.9662424996159702</v>
      </c>
      <c r="M45" s="36">
        <f>_xlfn.XLOOKUP('consolidated - Offplan'!D45,'consolidated tracker'!D:D,'consolidated tracker'!L:L)</f>
        <v>10945812.010000002</v>
      </c>
      <c r="N45" s="30">
        <f>_xlfn.XLOOKUP($D45,'consolidated tracker'!$D:$D,'consolidated tracker'!M:M)</f>
        <v>813043943.54999971</v>
      </c>
      <c r="O45" s="40">
        <f>_xlfn.XLOOKUP($D45,'consolidated tracker'!$D:$D,'consolidated tracker'!N:N)</f>
        <v>122913193.43999946</v>
      </c>
      <c r="P45" s="33">
        <f>_xlfn.XLOOKUP($D45,'consolidated tracker'!$D:$D,'consolidated tracker'!O:O)</f>
        <v>150972360.40000007</v>
      </c>
      <c r="Q45" s="33">
        <f>_xlfn.XLOOKUP($D45,'consolidated tracker'!$D:$D,'consolidated tracker'!P:P)</f>
        <v>539158389.71000016</v>
      </c>
      <c r="R45" s="33">
        <f>_xlfn.XLOOKUP($D45,'consolidated tracker'!$D:$D,'consolidated tracker'!Q:Q)</f>
        <v>0</v>
      </c>
      <c r="S45" s="33">
        <f>_xlfn.XLOOKUP($D45,'consolidated tracker'!$D:$D,'consolidated tracker'!R:R)</f>
        <v>0</v>
      </c>
      <c r="T45" s="33">
        <f>_xlfn.XLOOKUP($D45,'consolidated tracker'!$D:$D,'consolidated tracker'!S:S)</f>
        <v>0</v>
      </c>
      <c r="U45" s="33">
        <f>_xlfn.XLOOKUP($D45,'consolidated tracker'!$D:$D,'consolidated tracker'!T:T)</f>
        <v>0</v>
      </c>
      <c r="V45" s="33">
        <f>_xlfn.XLOOKUP($D45,'consolidated tracker'!$D:$D,'consolidated tracker'!U:U)</f>
        <v>0</v>
      </c>
      <c r="W45" s="33">
        <f>_xlfn.XLOOKUP($D45,'consolidated tracker'!$D:$D,'consolidated tracker'!V:V)</f>
        <v>0</v>
      </c>
      <c r="X45" s="33">
        <f>_xlfn.XLOOKUP($D45,'consolidated tracker'!$D:$D,'consolidated tracker'!W:W)</f>
        <v>0</v>
      </c>
      <c r="Y45" s="17"/>
      <c r="Z45" s="17"/>
      <c r="AA45" s="11"/>
      <c r="AB45" s="16"/>
    </row>
    <row r="46" spans="1:28" s="7" customFormat="1" ht="150" hidden="1" customHeight="1" outlineLevel="1" x14ac:dyDescent="1.25">
      <c r="A46" s="4"/>
      <c r="C46" s="77"/>
      <c r="D46" s="94" t="s">
        <v>147</v>
      </c>
      <c r="E46" s="49" t="str">
        <f>_xlfn.XLOOKUP(D46,'consolidated tracker'!D:D,'consolidated tracker'!E:E)</f>
        <v>RERA</v>
      </c>
      <c r="F46" s="134">
        <v>47118</v>
      </c>
      <c r="G46" s="33">
        <f>_xlfn.XLOOKUP(D46,'consolidated tracker'!D:D,'consolidated tracker'!F:F)</f>
        <v>373</v>
      </c>
      <c r="H46" s="33">
        <f>_xlfn.XLOOKUP(D46,'consolidated tracker'!D:D,'consolidated tracker'!G:G)</f>
        <v>934429390.42000055</v>
      </c>
      <c r="I46" s="33">
        <f>_xlfn.XLOOKUP(D46,'consolidated tracker'!D:D,'consolidated tracker'!H:H)</f>
        <v>255367785.73999977</v>
      </c>
      <c r="J46" s="33">
        <f>_xlfn.XLOOKUP(D46,'consolidated tracker'!D:D,'consolidated tracker'!I:I)</f>
        <v>248328378.34999999</v>
      </c>
      <c r="K46" s="33">
        <f>_xlfn.XLOOKUP(D46,'consolidated tracker'!D:D,'consolidated tracker'!J:J)</f>
        <v>36450225.639999986</v>
      </c>
      <c r="L46" s="34">
        <f>_xlfn.XLOOKUP(D46,'consolidated tracker'!D:D,'consolidated tracker'!K:K)</f>
        <v>0.9724342388386964</v>
      </c>
      <c r="M46" s="36">
        <f>_xlfn.XLOOKUP('consolidated - Offplan'!D46,'consolidated tracker'!D:D,'consolidated tracker'!L:L)</f>
        <v>7039407.3900000006</v>
      </c>
      <c r="N46" s="30">
        <f>_xlfn.XLOOKUP($D46,'consolidated tracker'!$D:$D,'consolidated tracker'!M:M)</f>
        <v>642611379.0400008</v>
      </c>
      <c r="O46" s="40">
        <f>_xlfn.XLOOKUP($D46,'consolidated tracker'!$D:$D,'consolidated tracker'!N:N)</f>
        <v>76218885.460001111</v>
      </c>
      <c r="P46" s="33">
        <f>_xlfn.XLOOKUP($D46,'consolidated tracker'!$D:$D,'consolidated tracker'!O:O)</f>
        <v>133485741.80999988</v>
      </c>
      <c r="Q46" s="33">
        <f>_xlfn.XLOOKUP($D46,'consolidated tracker'!$D:$D,'consolidated tracker'!P:P)</f>
        <v>432906751.76999986</v>
      </c>
      <c r="R46" s="33">
        <f>_xlfn.XLOOKUP($D46,'consolidated tracker'!$D:$D,'consolidated tracker'!Q:Q)</f>
        <v>0</v>
      </c>
      <c r="S46" s="33">
        <f>_xlfn.XLOOKUP($D46,'consolidated tracker'!$D:$D,'consolidated tracker'!R:R)</f>
        <v>0</v>
      </c>
      <c r="T46" s="33">
        <f>_xlfn.XLOOKUP($D46,'consolidated tracker'!$D:$D,'consolidated tracker'!S:S)</f>
        <v>0</v>
      </c>
      <c r="U46" s="33">
        <f>_xlfn.XLOOKUP($D46,'consolidated tracker'!$D:$D,'consolidated tracker'!T:T)</f>
        <v>0</v>
      </c>
      <c r="V46" s="33">
        <f>_xlfn.XLOOKUP($D46,'consolidated tracker'!$D:$D,'consolidated tracker'!U:U)</f>
        <v>0</v>
      </c>
      <c r="W46" s="33">
        <f>_xlfn.XLOOKUP($D46,'consolidated tracker'!$D:$D,'consolidated tracker'!V:V)</f>
        <v>0</v>
      </c>
      <c r="X46" s="33">
        <f>_xlfn.XLOOKUP($D46,'consolidated tracker'!$D:$D,'consolidated tracker'!W:W)</f>
        <v>0</v>
      </c>
      <c r="Y46" s="17"/>
      <c r="Z46" s="17"/>
      <c r="AA46" s="11"/>
      <c r="AB46" s="16"/>
    </row>
    <row r="47" spans="1:28" s="7" customFormat="1" ht="150" hidden="1" customHeight="1" outlineLevel="1" x14ac:dyDescent="1.25">
      <c r="A47" s="4"/>
      <c r="C47" s="77"/>
      <c r="D47" s="94" t="s">
        <v>146</v>
      </c>
      <c r="E47" s="49" t="str">
        <f>_xlfn.XLOOKUP(D47,'consolidated tracker'!D:D,'consolidated tracker'!E:E)</f>
        <v>RERA</v>
      </c>
      <c r="F47" s="134">
        <v>47118</v>
      </c>
      <c r="G47" s="33">
        <f>_xlfn.XLOOKUP(D47,'consolidated tracker'!D:D,'consolidated tracker'!F:F)</f>
        <v>594</v>
      </c>
      <c r="H47" s="33">
        <f>_xlfn.XLOOKUP(D47,'consolidated tracker'!D:D,'consolidated tracker'!G:G)</f>
        <v>1700888257.8400002</v>
      </c>
      <c r="I47" s="33">
        <f>_xlfn.XLOOKUP(D47,'consolidated tracker'!D:D,'consolidated tracker'!H:H)</f>
        <v>465972515.47000051</v>
      </c>
      <c r="J47" s="33">
        <f>_xlfn.XLOOKUP(D47,'consolidated tracker'!D:D,'consolidated tracker'!I:I)</f>
        <v>443778544.71999985</v>
      </c>
      <c r="K47" s="33">
        <f>_xlfn.XLOOKUP(D47,'consolidated tracker'!D:D,'consolidated tracker'!J:J)</f>
        <v>46582741.059999958</v>
      </c>
      <c r="L47" s="34">
        <f>_xlfn.XLOOKUP(D47,'consolidated tracker'!D:D,'consolidated tracker'!K:K)</f>
        <v>0.95237064416210293</v>
      </c>
      <c r="M47" s="36">
        <f>_xlfn.XLOOKUP('consolidated - Offplan'!D47,'consolidated tracker'!D:D,'consolidated tracker'!L:L)</f>
        <v>22193970.749999996</v>
      </c>
      <c r="N47" s="30">
        <f>_xlfn.XLOOKUP($D47,'consolidated tracker'!$D:$D,'consolidated tracker'!M:M)</f>
        <v>1188333001.3099997</v>
      </c>
      <c r="O47" s="40">
        <f>_xlfn.XLOOKUP($D47,'consolidated tracker'!$D:$D,'consolidated tracker'!N:N)</f>
        <v>132460350.6799984</v>
      </c>
      <c r="P47" s="33">
        <f>_xlfn.XLOOKUP($D47,'consolidated tracker'!$D:$D,'consolidated tracker'!O:O)</f>
        <v>268101253.86000019</v>
      </c>
      <c r="Q47" s="33">
        <f>_xlfn.XLOOKUP($D47,'consolidated tracker'!$D:$D,'consolidated tracker'!P:P)</f>
        <v>787771396.77000105</v>
      </c>
      <c r="R47" s="33">
        <f>_xlfn.XLOOKUP($D47,'consolidated tracker'!$D:$D,'consolidated tracker'!Q:Q)</f>
        <v>0</v>
      </c>
      <c r="S47" s="33">
        <f>_xlfn.XLOOKUP($D47,'consolidated tracker'!$D:$D,'consolidated tracker'!R:R)</f>
        <v>0</v>
      </c>
      <c r="T47" s="33">
        <f>_xlfn.XLOOKUP($D47,'consolidated tracker'!$D:$D,'consolidated tracker'!S:S)</f>
        <v>0</v>
      </c>
      <c r="U47" s="33">
        <f>_xlfn.XLOOKUP($D47,'consolidated tracker'!$D:$D,'consolidated tracker'!T:T)</f>
        <v>0</v>
      </c>
      <c r="V47" s="33">
        <f>_xlfn.XLOOKUP($D47,'consolidated tracker'!$D:$D,'consolidated tracker'!U:U)</f>
        <v>0</v>
      </c>
      <c r="W47" s="33">
        <f>_xlfn.XLOOKUP($D47,'consolidated tracker'!$D:$D,'consolidated tracker'!V:V)</f>
        <v>0</v>
      </c>
      <c r="X47" s="33">
        <f>_xlfn.XLOOKUP($D47,'consolidated tracker'!$D:$D,'consolidated tracker'!W:W)</f>
        <v>0</v>
      </c>
      <c r="Y47" s="17"/>
      <c r="Z47" s="17"/>
      <c r="AA47" s="11"/>
      <c r="AB47" s="16"/>
    </row>
    <row r="48" spans="1:28" s="7" customFormat="1" ht="150" customHeight="1" collapsed="1" x14ac:dyDescent="1.25">
      <c r="A48" s="4"/>
      <c r="C48" s="77">
        <v>11</v>
      </c>
      <c r="D48" s="76" t="s">
        <v>145</v>
      </c>
      <c r="E48" s="49" t="str">
        <f>_xlfn.XLOOKUP(D48,'consolidated tracker'!D:D,'consolidated tracker'!E:E)</f>
        <v>RERA</v>
      </c>
      <c r="F48" s="134" t="s">
        <v>232</v>
      </c>
      <c r="G48" s="33">
        <f>_xlfn.XLOOKUP(D48,'consolidated tracker'!D:D,'consolidated tracker'!F:F)</f>
        <v>175</v>
      </c>
      <c r="H48" s="33">
        <f>_xlfn.XLOOKUP(D48,'consolidated tracker'!D:D,'consolidated tracker'!G:G)</f>
        <v>2576602179.7700005</v>
      </c>
      <c r="I48" s="33">
        <f>_xlfn.XLOOKUP(D48,'consolidated tracker'!D:D,'consolidated tracker'!H:H)</f>
        <v>756395215.1499989</v>
      </c>
      <c r="J48" s="33">
        <f>_xlfn.XLOOKUP(D48,'consolidated tracker'!D:D,'consolidated tracker'!I:I)</f>
        <v>681960575.27999997</v>
      </c>
      <c r="K48" s="33">
        <f>_xlfn.XLOOKUP(D48,'consolidated tracker'!D:D,'consolidated tracker'!J:J)</f>
        <v>49385303.180000007</v>
      </c>
      <c r="L48" s="34">
        <f>_xlfn.XLOOKUP(D48,'consolidated tracker'!D:D,'consolidated tracker'!K:K)</f>
        <v>0.90159292605356056</v>
      </c>
      <c r="M48" s="36">
        <f>_xlfn.XLOOKUP('consolidated - Offplan'!D48,'consolidated tracker'!D:D,'consolidated tracker'!L:L)</f>
        <v>74434639.870000005</v>
      </c>
      <c r="N48" s="30">
        <f>_xlfn.XLOOKUP($D48,'consolidated tracker'!$D:$D,'consolidated tracker'!M:M)</f>
        <v>1770821661.4400015</v>
      </c>
      <c r="O48" s="40">
        <f>_xlfn.XLOOKUP($D48,'consolidated tracker'!$D:$D,'consolidated tracker'!N:N)</f>
        <v>265014038.25000167</v>
      </c>
      <c r="P48" s="33">
        <f>_xlfn.XLOOKUP($D48,'consolidated tracker'!$D:$D,'consolidated tracker'!O:O)</f>
        <v>632109373.8499999</v>
      </c>
      <c r="Q48" s="33">
        <f>_xlfn.XLOOKUP($D48,'consolidated tracker'!$D:$D,'consolidated tracker'!P:P)</f>
        <v>866778492.53999996</v>
      </c>
      <c r="R48" s="33">
        <f>_xlfn.XLOOKUP($D48,'consolidated tracker'!$D:$D,'consolidated tracker'!Q:Q)</f>
        <v>6919756.7999999998</v>
      </c>
      <c r="S48" s="33">
        <f>_xlfn.XLOOKUP($D48,'consolidated tracker'!$D:$D,'consolidated tracker'!R:R)</f>
        <v>0</v>
      </c>
      <c r="T48" s="33">
        <f>_xlfn.XLOOKUP($D48,'consolidated tracker'!$D:$D,'consolidated tracker'!S:S)</f>
        <v>0</v>
      </c>
      <c r="U48" s="33">
        <f>_xlfn.XLOOKUP($D48,'consolidated tracker'!$D:$D,'consolidated tracker'!T:T)</f>
        <v>0</v>
      </c>
      <c r="V48" s="33">
        <f>_xlfn.XLOOKUP($D48,'consolidated tracker'!$D:$D,'consolidated tracker'!U:U)</f>
        <v>0</v>
      </c>
      <c r="W48" s="33">
        <f>_xlfn.XLOOKUP($D48,'consolidated tracker'!$D:$D,'consolidated tracker'!V:V)</f>
        <v>0</v>
      </c>
      <c r="X48" s="33">
        <f>_xlfn.XLOOKUP($D48,'consolidated tracker'!$D:$D,'consolidated tracker'!W:W)</f>
        <v>0</v>
      </c>
      <c r="Y48" s="17"/>
      <c r="Z48" s="17"/>
      <c r="AA48" s="11"/>
      <c r="AB48" s="16"/>
    </row>
    <row r="49" spans="1:28" s="7" customFormat="1" ht="150" hidden="1" customHeight="1" outlineLevel="1" x14ac:dyDescent="1.25">
      <c r="A49" s="4"/>
      <c r="C49" s="77"/>
      <c r="D49" s="94" t="s">
        <v>144</v>
      </c>
      <c r="E49" s="49" t="str">
        <f>_xlfn.XLOOKUP(D49,'consolidated tracker'!D:D,'consolidated tracker'!E:E)</f>
        <v>RERA</v>
      </c>
      <c r="F49" s="134">
        <v>46934</v>
      </c>
      <c r="G49" s="33">
        <f>_xlfn.XLOOKUP(D49,'consolidated tracker'!D:D,'consolidated tracker'!F:F)</f>
        <v>137</v>
      </c>
      <c r="H49" s="33">
        <f>_xlfn.XLOOKUP(D49,'consolidated tracker'!D:D,'consolidated tracker'!G:G)</f>
        <v>1849700766.1800001</v>
      </c>
      <c r="I49" s="33">
        <f>_xlfn.XLOOKUP(D49,'consolidated tracker'!D:D,'consolidated tracker'!H:H)</f>
        <v>557175564.50999892</v>
      </c>
      <c r="J49" s="33">
        <f>_xlfn.XLOOKUP(D49,'consolidated tracker'!D:D,'consolidated tracker'!I:I)</f>
        <v>504545324.44000006</v>
      </c>
      <c r="K49" s="33">
        <f>_xlfn.XLOOKUP(D49,'consolidated tracker'!D:D,'consolidated tracker'!J:J)</f>
        <v>25258580.270000003</v>
      </c>
      <c r="L49" s="34">
        <f>_xlfn.XLOOKUP(D49,'consolidated tracker'!D:D,'consolidated tracker'!K:K)</f>
        <v>0.90554101180606539</v>
      </c>
      <c r="M49" s="36">
        <f>_xlfn.XLOOKUP('consolidated - Offplan'!D49,'consolidated tracker'!D:D,'consolidated tracker'!L:L)</f>
        <v>52630240.069999993</v>
      </c>
      <c r="N49" s="30">
        <f>_xlfn.XLOOKUP($D49,'consolidated tracker'!$D:$D,'consolidated tracker'!M:M)</f>
        <v>1267266621.400001</v>
      </c>
      <c r="O49" s="40">
        <f>_xlfn.XLOOKUP($D49,'consolidated tracker'!$D:$D,'consolidated tracker'!N:N)</f>
        <v>190993757.16000128</v>
      </c>
      <c r="P49" s="33">
        <f>_xlfn.XLOOKUP($D49,'consolidated tracker'!$D:$D,'consolidated tracker'!O:O)</f>
        <v>540370187.89999986</v>
      </c>
      <c r="Q49" s="33">
        <f>_xlfn.XLOOKUP($D49,'consolidated tracker'!$D:$D,'consolidated tracker'!P:P)</f>
        <v>528982919.54000002</v>
      </c>
      <c r="R49" s="33">
        <f>_xlfn.XLOOKUP($D49,'consolidated tracker'!$D:$D,'consolidated tracker'!Q:Q)</f>
        <v>6919756.7999999998</v>
      </c>
      <c r="S49" s="33">
        <f>_xlfn.XLOOKUP($D49,'consolidated tracker'!$D:$D,'consolidated tracker'!R:R)</f>
        <v>0</v>
      </c>
      <c r="T49" s="33">
        <f>_xlfn.XLOOKUP($D49,'consolidated tracker'!$D:$D,'consolidated tracker'!S:S)</f>
        <v>0</v>
      </c>
      <c r="U49" s="33">
        <f>_xlfn.XLOOKUP($D49,'consolidated tracker'!$D:$D,'consolidated tracker'!T:T)</f>
        <v>0</v>
      </c>
      <c r="V49" s="33">
        <f>_xlfn.XLOOKUP($D49,'consolidated tracker'!$D:$D,'consolidated tracker'!U:U)</f>
        <v>0</v>
      </c>
      <c r="W49" s="33">
        <f>_xlfn.XLOOKUP($D49,'consolidated tracker'!$D:$D,'consolidated tracker'!V:V)</f>
        <v>0</v>
      </c>
      <c r="X49" s="33">
        <f>_xlfn.XLOOKUP($D49,'consolidated tracker'!$D:$D,'consolidated tracker'!W:W)</f>
        <v>0</v>
      </c>
      <c r="Y49" s="17"/>
      <c r="Z49" s="17"/>
      <c r="AA49" s="11"/>
      <c r="AB49" s="16"/>
    </row>
    <row r="50" spans="1:28" s="7" customFormat="1" ht="150" hidden="1" customHeight="1" outlineLevel="1" x14ac:dyDescent="1.25">
      <c r="A50" s="4"/>
      <c r="C50" s="77"/>
      <c r="D50" s="94" t="s">
        <v>143</v>
      </c>
      <c r="E50" s="49" t="str">
        <f>_xlfn.XLOOKUP(D50,'consolidated tracker'!D:D,'consolidated tracker'!E:E)</f>
        <v>RERA</v>
      </c>
      <c r="F50" s="134">
        <v>46934</v>
      </c>
      <c r="G50" s="33">
        <f>_xlfn.XLOOKUP(D50,'consolidated tracker'!D:D,'consolidated tracker'!F:F)</f>
        <v>23</v>
      </c>
      <c r="H50" s="33">
        <f>_xlfn.XLOOKUP(D50,'consolidated tracker'!D:D,'consolidated tracker'!G:G)</f>
        <v>408560860.88999999</v>
      </c>
      <c r="I50" s="33">
        <f>_xlfn.XLOOKUP(D50,'consolidated tracker'!D:D,'consolidated tracker'!H:H)</f>
        <v>105301636.58999993</v>
      </c>
      <c r="J50" s="33">
        <f>_xlfn.XLOOKUP(D50,'consolidated tracker'!D:D,'consolidated tracker'!I:I)</f>
        <v>92337579.919999987</v>
      </c>
      <c r="K50" s="33">
        <f>_xlfn.XLOOKUP(D50,'consolidated tracker'!D:D,'consolidated tracker'!J:J)</f>
        <v>11313254.830000002</v>
      </c>
      <c r="L50" s="34">
        <f>_xlfn.XLOOKUP(D50,'consolidated tracker'!D:D,'consolidated tracker'!K:K)</f>
        <v>0.87688646549268268</v>
      </c>
      <c r="M50" s="36">
        <f>_xlfn.XLOOKUP('consolidated - Offplan'!D50,'consolidated tracker'!D:D,'consolidated tracker'!L:L)</f>
        <v>12964056.67</v>
      </c>
      <c r="N50" s="30">
        <f>_xlfn.XLOOKUP($D50,'consolidated tracker'!$D:$D,'consolidated tracker'!M:M)</f>
        <v>291945969.47000003</v>
      </c>
      <c r="O50" s="40">
        <f>_xlfn.XLOOKUP($D50,'consolidated tracker'!$D:$D,'consolidated tracker'!N:N)</f>
        <v>44150327.02000007</v>
      </c>
      <c r="P50" s="33">
        <f>_xlfn.XLOOKUP($D50,'consolidated tracker'!$D:$D,'consolidated tracker'!O:O)</f>
        <v>48947930.940000005</v>
      </c>
      <c r="Q50" s="33">
        <f>_xlfn.XLOOKUP($D50,'consolidated tracker'!$D:$D,'consolidated tracker'!P:P)</f>
        <v>198847711.50999996</v>
      </c>
      <c r="R50" s="33">
        <f>_xlfn.XLOOKUP($D50,'consolidated tracker'!$D:$D,'consolidated tracker'!Q:Q)</f>
        <v>0</v>
      </c>
      <c r="S50" s="33">
        <f>_xlfn.XLOOKUP($D50,'consolidated tracker'!$D:$D,'consolidated tracker'!R:R)</f>
        <v>0</v>
      </c>
      <c r="T50" s="33">
        <f>_xlfn.XLOOKUP($D50,'consolidated tracker'!$D:$D,'consolidated tracker'!S:S)</f>
        <v>0</v>
      </c>
      <c r="U50" s="33">
        <f>_xlfn.XLOOKUP($D50,'consolidated tracker'!$D:$D,'consolidated tracker'!T:T)</f>
        <v>0</v>
      </c>
      <c r="V50" s="33">
        <f>_xlfn.XLOOKUP($D50,'consolidated tracker'!$D:$D,'consolidated tracker'!U:U)</f>
        <v>0</v>
      </c>
      <c r="W50" s="33">
        <f>_xlfn.XLOOKUP($D50,'consolidated tracker'!$D:$D,'consolidated tracker'!V:V)</f>
        <v>0</v>
      </c>
      <c r="X50" s="33">
        <f>_xlfn.XLOOKUP($D50,'consolidated tracker'!$D:$D,'consolidated tracker'!W:W)</f>
        <v>0</v>
      </c>
      <c r="Y50" s="17"/>
      <c r="Z50" s="17"/>
      <c r="AA50" s="11"/>
      <c r="AB50" s="16"/>
    </row>
    <row r="51" spans="1:28" s="7" customFormat="1" ht="150" hidden="1" customHeight="1" outlineLevel="1" x14ac:dyDescent="1.25">
      <c r="A51" s="4"/>
      <c r="C51" s="77"/>
      <c r="D51" s="94" t="s">
        <v>141</v>
      </c>
      <c r="E51" s="49" t="str">
        <f>_xlfn.XLOOKUP(D51,'consolidated tracker'!D:D,'consolidated tracker'!E:E)</f>
        <v>RERA</v>
      </c>
      <c r="F51" s="134">
        <v>46934</v>
      </c>
      <c r="G51" s="33">
        <f>_xlfn.XLOOKUP(D51,'consolidated tracker'!D:D,'consolidated tracker'!F:F)</f>
        <v>0</v>
      </c>
      <c r="H51" s="33">
        <f>_xlfn.XLOOKUP(D51,'consolidated tracker'!D:D,'consolidated tracker'!G:G)</f>
        <v>0</v>
      </c>
      <c r="I51" s="33">
        <f>_xlfn.XLOOKUP(D51,'consolidated tracker'!D:D,'consolidated tracker'!H:H)</f>
        <v>0</v>
      </c>
      <c r="J51" s="33">
        <f>_xlfn.XLOOKUP(D51,'consolidated tracker'!D:D,'consolidated tracker'!I:I)</f>
        <v>0</v>
      </c>
      <c r="K51" s="33">
        <f>_xlfn.XLOOKUP(D51,'consolidated tracker'!D:D,'consolidated tracker'!J:J)</f>
        <v>0</v>
      </c>
      <c r="L51" s="34">
        <f>_xlfn.XLOOKUP(D51,'consolidated tracker'!D:D,'consolidated tracker'!K:K)</f>
        <v>0</v>
      </c>
      <c r="M51" s="36">
        <f>_xlfn.XLOOKUP('consolidated - Offplan'!D51,'consolidated tracker'!D:D,'consolidated tracker'!L:L)</f>
        <v>0</v>
      </c>
      <c r="N51" s="30">
        <f>_xlfn.XLOOKUP($D51,'consolidated tracker'!$D:$D,'consolidated tracker'!M:M)</f>
        <v>0</v>
      </c>
      <c r="O51" s="40">
        <f>_xlfn.XLOOKUP($D51,'consolidated tracker'!$D:$D,'consolidated tracker'!N:N)</f>
        <v>0</v>
      </c>
      <c r="P51" s="33">
        <f>_xlfn.XLOOKUP($D51,'consolidated tracker'!$D:$D,'consolidated tracker'!O:O)</f>
        <v>0</v>
      </c>
      <c r="Q51" s="33">
        <f>_xlfn.XLOOKUP($D51,'consolidated tracker'!$D:$D,'consolidated tracker'!P:P)</f>
        <v>0</v>
      </c>
      <c r="R51" s="33">
        <f>_xlfn.XLOOKUP($D51,'consolidated tracker'!$D:$D,'consolidated tracker'!Q:Q)</f>
        <v>0</v>
      </c>
      <c r="S51" s="33">
        <f>_xlfn.XLOOKUP($D51,'consolidated tracker'!$D:$D,'consolidated tracker'!R:R)</f>
        <v>0</v>
      </c>
      <c r="T51" s="33">
        <f>_xlfn.XLOOKUP($D51,'consolidated tracker'!$D:$D,'consolidated tracker'!S:S)</f>
        <v>0</v>
      </c>
      <c r="U51" s="33">
        <f>_xlfn.XLOOKUP($D51,'consolidated tracker'!$D:$D,'consolidated tracker'!T:T)</f>
        <v>0</v>
      </c>
      <c r="V51" s="33">
        <f>_xlfn.XLOOKUP($D51,'consolidated tracker'!$D:$D,'consolidated tracker'!U:U)</f>
        <v>0</v>
      </c>
      <c r="W51" s="33">
        <f>_xlfn.XLOOKUP($D51,'consolidated tracker'!$D:$D,'consolidated tracker'!V:V)</f>
        <v>0</v>
      </c>
      <c r="X51" s="33">
        <f>_xlfn.XLOOKUP($D51,'consolidated tracker'!$D:$D,'consolidated tracker'!W:W)</f>
        <v>0</v>
      </c>
      <c r="Y51" s="17"/>
      <c r="Z51" s="17"/>
      <c r="AA51" s="11"/>
      <c r="AB51" s="16"/>
    </row>
    <row r="52" spans="1:28" s="7" customFormat="1" ht="150" customHeight="1" collapsed="1" x14ac:dyDescent="1.25">
      <c r="A52" s="4"/>
      <c r="C52" s="77">
        <v>12</v>
      </c>
      <c r="D52" s="79" t="s">
        <v>140</v>
      </c>
      <c r="E52" s="49" t="str">
        <f>_xlfn.XLOOKUP(D52,'consolidated tracker'!D:D,'consolidated tracker'!E:E)</f>
        <v>RERA</v>
      </c>
      <c r="F52" s="134">
        <v>46568</v>
      </c>
      <c r="G52" s="33">
        <f>_xlfn.XLOOKUP(D52,'consolidated tracker'!D:D,'consolidated tracker'!F:F)</f>
        <v>221</v>
      </c>
      <c r="H52" s="33">
        <f>_xlfn.XLOOKUP(D52,'consolidated tracker'!D:D,'consolidated tracker'!G:G)</f>
        <v>1954312376.55</v>
      </c>
      <c r="I52" s="33">
        <f>_xlfn.XLOOKUP(D52,'consolidated tracker'!D:D,'consolidated tracker'!H:H)</f>
        <v>768457079.78999925</v>
      </c>
      <c r="J52" s="33">
        <f>_xlfn.XLOOKUP(D52,'consolidated tracker'!D:D,'consolidated tracker'!I:I)</f>
        <v>701877883.23999989</v>
      </c>
      <c r="K52" s="33">
        <f>_xlfn.XLOOKUP(D52,'consolidated tracker'!D:D,'consolidated tracker'!J:J)</f>
        <v>59776025.799999997</v>
      </c>
      <c r="L52" s="34">
        <f>_xlfn.XLOOKUP(D52,'consolidated tracker'!D:D,'consolidated tracker'!K:K)</f>
        <v>0.91335990219753871</v>
      </c>
      <c r="M52" s="36">
        <f>_xlfn.XLOOKUP('consolidated - Offplan'!D52,'consolidated tracker'!D:D,'consolidated tracker'!L:L)</f>
        <v>66579196.550000019</v>
      </c>
      <c r="N52" s="30">
        <f>_xlfn.XLOOKUP($D52,'consolidated tracker'!$D:$D,'consolidated tracker'!M:M)</f>
        <v>1126079270.9600008</v>
      </c>
      <c r="O52" s="40">
        <f>_xlfn.XLOOKUP($D52,'consolidated tracker'!$D:$D,'consolidated tracker'!N:N)</f>
        <v>227945653.66000068</v>
      </c>
      <c r="P52" s="33">
        <f>_xlfn.XLOOKUP($D52,'consolidated tracker'!$D:$D,'consolidated tracker'!O:O)</f>
        <v>898133617.30000007</v>
      </c>
      <c r="Q52" s="33">
        <f>_xlfn.XLOOKUP($D52,'consolidated tracker'!$D:$D,'consolidated tracker'!P:P)</f>
        <v>0</v>
      </c>
      <c r="R52" s="33">
        <f>_xlfn.XLOOKUP($D52,'consolidated tracker'!$D:$D,'consolidated tracker'!Q:Q)</f>
        <v>0</v>
      </c>
      <c r="S52" s="33">
        <f>_xlfn.XLOOKUP($D52,'consolidated tracker'!$D:$D,'consolidated tracker'!R:R)</f>
        <v>0</v>
      </c>
      <c r="T52" s="33">
        <f>_xlfn.XLOOKUP($D52,'consolidated tracker'!$D:$D,'consolidated tracker'!S:S)</f>
        <v>0</v>
      </c>
      <c r="U52" s="33">
        <f>_xlfn.XLOOKUP($D52,'consolidated tracker'!$D:$D,'consolidated tracker'!T:T)</f>
        <v>0</v>
      </c>
      <c r="V52" s="33">
        <f>_xlfn.XLOOKUP($D52,'consolidated tracker'!$D:$D,'consolidated tracker'!U:U)</f>
        <v>0</v>
      </c>
      <c r="W52" s="33">
        <f>_xlfn.XLOOKUP($D52,'consolidated tracker'!$D:$D,'consolidated tracker'!V:V)</f>
        <v>0</v>
      </c>
      <c r="X52" s="33">
        <f>_xlfn.XLOOKUP($D52,'consolidated tracker'!$D:$D,'consolidated tracker'!W:W)</f>
        <v>0</v>
      </c>
      <c r="Y52" s="17"/>
      <c r="Z52" s="17"/>
      <c r="AA52" s="11"/>
      <c r="AB52" s="16"/>
    </row>
    <row r="53" spans="1:28" s="7" customFormat="1" ht="150" customHeight="1" x14ac:dyDescent="1.25">
      <c r="A53" s="4"/>
      <c r="C53" s="77">
        <v>13</v>
      </c>
      <c r="D53" s="79" t="s">
        <v>139</v>
      </c>
      <c r="E53" s="49" t="str">
        <f>_xlfn.XLOOKUP(D53,'consolidated tracker'!D:D,'consolidated tracker'!E:E)</f>
        <v>RERA</v>
      </c>
      <c r="F53" s="134">
        <v>46934</v>
      </c>
      <c r="G53" s="33">
        <f>_xlfn.XLOOKUP(D53,'consolidated tracker'!D:D,'consolidated tracker'!F:F)</f>
        <v>27</v>
      </c>
      <c r="H53" s="33">
        <f>_xlfn.XLOOKUP(D53,'consolidated tracker'!D:D,'consolidated tracker'!G:G)</f>
        <v>294914060</v>
      </c>
      <c r="I53" s="33">
        <f>_xlfn.XLOOKUP(D53,'consolidated tracker'!D:D,'consolidated tracker'!H:H)</f>
        <v>57991284</v>
      </c>
      <c r="J53" s="33">
        <f>_xlfn.XLOOKUP(D53,'consolidated tracker'!D:D,'consolidated tracker'!I:I)</f>
        <v>50210980</v>
      </c>
      <c r="K53" s="33">
        <f>_xlfn.XLOOKUP(D53,'consolidated tracker'!D:D,'consolidated tracker'!J:J)</f>
        <v>9851943.7400000002</v>
      </c>
      <c r="L53" s="34">
        <f>_xlfn.XLOOKUP(D53,'consolidated tracker'!D:D,'consolidated tracker'!K:K)</f>
        <v>0.86583666607554333</v>
      </c>
      <c r="M53" s="36">
        <f>_xlfn.XLOOKUP('consolidated - Offplan'!D53,'consolidated tracker'!D:D,'consolidated tracker'!L:L)</f>
        <v>7780304</v>
      </c>
      <c r="N53" s="30">
        <f>_xlfn.XLOOKUP($D53,'consolidated tracker'!$D:$D,'consolidated tracker'!M:M)</f>
        <v>227070832.25999999</v>
      </c>
      <c r="O53" s="40">
        <f>_xlfn.XLOOKUP($D53,'consolidated tracker'!$D:$D,'consolidated tracker'!N:N)</f>
        <v>41969799.75</v>
      </c>
      <c r="P53" s="33">
        <f>_xlfn.XLOOKUP($D53,'consolidated tracker'!$D:$D,'consolidated tracker'!O:O)</f>
        <v>64002876.509999998</v>
      </c>
      <c r="Q53" s="33">
        <f>_xlfn.XLOOKUP($D53,'consolidated tracker'!$D:$D,'consolidated tracker'!P:P)</f>
        <v>121098156</v>
      </c>
      <c r="R53" s="33">
        <f>_xlfn.XLOOKUP($D53,'consolidated tracker'!$D:$D,'consolidated tracker'!Q:Q)</f>
        <v>0</v>
      </c>
      <c r="S53" s="33">
        <f>_xlfn.XLOOKUP($D53,'consolidated tracker'!$D:$D,'consolidated tracker'!R:R)</f>
        <v>0</v>
      </c>
      <c r="T53" s="33">
        <f>_xlfn.XLOOKUP($D53,'consolidated tracker'!$D:$D,'consolidated tracker'!S:S)</f>
        <v>0</v>
      </c>
      <c r="U53" s="33">
        <f>_xlfn.XLOOKUP($D53,'consolidated tracker'!$D:$D,'consolidated tracker'!T:T)</f>
        <v>0</v>
      </c>
      <c r="V53" s="33">
        <f>_xlfn.XLOOKUP($D53,'consolidated tracker'!$D:$D,'consolidated tracker'!U:U)</f>
        <v>0</v>
      </c>
      <c r="W53" s="33">
        <f>_xlfn.XLOOKUP($D53,'consolidated tracker'!$D:$D,'consolidated tracker'!V:V)</f>
        <v>0</v>
      </c>
      <c r="X53" s="33">
        <f>_xlfn.XLOOKUP($D53,'consolidated tracker'!$D:$D,'consolidated tracker'!W:W)</f>
        <v>0</v>
      </c>
      <c r="Y53" s="17"/>
      <c r="Z53" s="17"/>
      <c r="AA53" s="11"/>
      <c r="AB53" s="16"/>
    </row>
    <row r="54" spans="1:28" s="7" customFormat="1" ht="150" customHeight="1" x14ac:dyDescent="1.25">
      <c r="A54" s="4"/>
      <c r="C54" s="77">
        <v>14</v>
      </c>
      <c r="D54" s="76" t="s">
        <v>138</v>
      </c>
      <c r="E54" s="49" t="str">
        <f>_xlfn.XLOOKUP(D54,'consolidated tracker'!D:D,'consolidated tracker'!E:E)</f>
        <v>RERA</v>
      </c>
      <c r="F54" s="134" t="s">
        <v>232</v>
      </c>
      <c r="G54" s="33">
        <f>_xlfn.XLOOKUP(D54,'consolidated tracker'!D:D,'consolidated tracker'!F:F)</f>
        <v>2128</v>
      </c>
      <c r="H54" s="33">
        <f>_xlfn.XLOOKUP(D54,'consolidated tracker'!D:D,'consolidated tracker'!G:G)</f>
        <v>2655913536.2199993</v>
      </c>
      <c r="I54" s="33">
        <f>_xlfn.XLOOKUP(D54,'consolidated tracker'!D:D,'consolidated tracker'!H:H)</f>
        <v>843400732.57999992</v>
      </c>
      <c r="J54" s="33">
        <f>_xlfn.XLOOKUP(D54,'consolidated tracker'!D:D,'consolidated tracker'!I:I)</f>
        <v>802824204.00999975</v>
      </c>
      <c r="K54" s="33">
        <f>_xlfn.XLOOKUP(D54,'consolidated tracker'!D:D,'consolidated tracker'!J:J)</f>
        <v>52176492.309999995</v>
      </c>
      <c r="L54" s="34">
        <f>_xlfn.XLOOKUP(D54,'consolidated tracker'!D:D,'consolidated tracker'!K:K)</f>
        <v>0.95188938424813219</v>
      </c>
      <c r="M54" s="36">
        <f>_xlfn.XLOOKUP('consolidated - Offplan'!D54,'consolidated tracker'!D:D,'consolidated tracker'!L:L)</f>
        <v>40576528.490000002</v>
      </c>
      <c r="N54" s="30">
        <f>_xlfn.XLOOKUP($D54,'consolidated tracker'!$D:$D,'consolidated tracker'!M:M)</f>
        <v>1760336311.3299994</v>
      </c>
      <c r="O54" s="40">
        <f>_xlfn.XLOOKUP($D54,'consolidated tracker'!$D:$D,'consolidated tracker'!N:N)</f>
        <v>1760336311.3299994</v>
      </c>
      <c r="P54" s="33">
        <f>_xlfn.XLOOKUP($D54,'consolidated tracker'!$D:$D,'consolidated tracker'!O:O)</f>
        <v>0</v>
      </c>
      <c r="Q54" s="33">
        <f>_xlfn.XLOOKUP($D54,'consolidated tracker'!$D:$D,'consolidated tracker'!P:P)</f>
        <v>0</v>
      </c>
      <c r="R54" s="33">
        <f>_xlfn.XLOOKUP($D54,'consolidated tracker'!$D:$D,'consolidated tracker'!Q:Q)</f>
        <v>0</v>
      </c>
      <c r="S54" s="33">
        <f>_xlfn.XLOOKUP($D54,'consolidated tracker'!$D:$D,'consolidated tracker'!R:R)</f>
        <v>0</v>
      </c>
      <c r="T54" s="33">
        <f>_xlfn.XLOOKUP($D54,'consolidated tracker'!$D:$D,'consolidated tracker'!S:S)</f>
        <v>0</v>
      </c>
      <c r="U54" s="33">
        <f>_xlfn.XLOOKUP($D54,'consolidated tracker'!$D:$D,'consolidated tracker'!T:T)</f>
        <v>0</v>
      </c>
      <c r="V54" s="33">
        <f>_xlfn.XLOOKUP($D54,'consolidated tracker'!$D:$D,'consolidated tracker'!U:U)</f>
        <v>0</v>
      </c>
      <c r="W54" s="33">
        <f>_xlfn.XLOOKUP($D54,'consolidated tracker'!$D:$D,'consolidated tracker'!V:V)</f>
        <v>0</v>
      </c>
      <c r="X54" s="33">
        <f>_xlfn.XLOOKUP($D54,'consolidated tracker'!$D:$D,'consolidated tracker'!W:W)</f>
        <v>0</v>
      </c>
      <c r="Y54" s="17"/>
      <c r="Z54" s="17"/>
      <c r="AA54" s="11"/>
      <c r="AB54" s="16"/>
    </row>
    <row r="55" spans="1:28" s="7" customFormat="1" ht="150" hidden="1" customHeight="1" outlineLevel="1" x14ac:dyDescent="1.25">
      <c r="A55" s="4"/>
      <c r="C55" s="77"/>
      <c r="D55" s="94" t="s">
        <v>137</v>
      </c>
      <c r="E55" s="49" t="str">
        <f>_xlfn.XLOOKUP(D55,'consolidated tracker'!D:D,'consolidated tracker'!E:E)</f>
        <v>RERA</v>
      </c>
      <c r="F55" s="134">
        <v>46752</v>
      </c>
      <c r="G55" s="33">
        <f>_xlfn.XLOOKUP(D55,'consolidated tracker'!D:D,'consolidated tracker'!F:F)</f>
        <v>727</v>
      </c>
      <c r="H55" s="33">
        <f>_xlfn.XLOOKUP(D55,'consolidated tracker'!D:D,'consolidated tracker'!G:G)</f>
        <v>872847820.75999939</v>
      </c>
      <c r="I55" s="33">
        <f>_xlfn.XLOOKUP(D55,'consolidated tracker'!D:D,'consolidated tracker'!H:H)</f>
        <v>306736410.64999938</v>
      </c>
      <c r="J55" s="33">
        <f>_xlfn.XLOOKUP(D55,'consolidated tracker'!D:D,'consolidated tracker'!I:I)</f>
        <v>292047027.54999977</v>
      </c>
      <c r="K55" s="33">
        <f>_xlfn.XLOOKUP(D55,'consolidated tracker'!D:D,'consolidated tracker'!J:J)</f>
        <v>18155469.450000003</v>
      </c>
      <c r="L55" s="34">
        <f>_xlfn.XLOOKUP(D55,'consolidated tracker'!D:D,'consolidated tracker'!K:K)</f>
        <v>0.95211072898430416</v>
      </c>
      <c r="M55" s="36">
        <f>_xlfn.XLOOKUP('consolidated - Offplan'!D55,'consolidated tracker'!D:D,'consolidated tracker'!L:L)</f>
        <v>14689383.100000003</v>
      </c>
      <c r="N55" s="30">
        <f>_xlfn.XLOOKUP($D55,'consolidated tracker'!$D:$D,'consolidated tracker'!M:M)</f>
        <v>547955940.66000009</v>
      </c>
      <c r="O55" s="40">
        <f>_xlfn.XLOOKUP($D55,'consolidated tracker'!$D:$D,'consolidated tracker'!N:N)</f>
        <v>94128157.600000083</v>
      </c>
      <c r="P55" s="33">
        <f>_xlfn.XLOOKUP($D55,'consolidated tracker'!$D:$D,'consolidated tracker'!O:O)</f>
        <v>453827783.06</v>
      </c>
      <c r="Q55" s="33">
        <f>_xlfn.XLOOKUP($D55,'consolidated tracker'!$D:$D,'consolidated tracker'!P:P)</f>
        <v>0</v>
      </c>
      <c r="R55" s="33">
        <f>_xlfn.XLOOKUP($D55,'consolidated tracker'!$D:$D,'consolidated tracker'!Q:Q)</f>
        <v>0</v>
      </c>
      <c r="S55" s="33">
        <f>_xlfn.XLOOKUP($D55,'consolidated tracker'!$D:$D,'consolidated tracker'!R:R)</f>
        <v>0</v>
      </c>
      <c r="T55" s="33">
        <f>_xlfn.XLOOKUP($D55,'consolidated tracker'!$D:$D,'consolidated tracker'!S:S)</f>
        <v>0</v>
      </c>
      <c r="U55" s="33">
        <f>_xlfn.XLOOKUP($D55,'consolidated tracker'!$D:$D,'consolidated tracker'!T:T)</f>
        <v>0</v>
      </c>
      <c r="V55" s="33">
        <f>_xlfn.XLOOKUP($D55,'consolidated tracker'!$D:$D,'consolidated tracker'!U:U)</f>
        <v>0</v>
      </c>
      <c r="W55" s="33">
        <f>_xlfn.XLOOKUP($D55,'consolidated tracker'!$D:$D,'consolidated tracker'!V:V)</f>
        <v>0</v>
      </c>
      <c r="X55" s="33">
        <f>_xlfn.XLOOKUP($D55,'consolidated tracker'!$D:$D,'consolidated tracker'!W:W)</f>
        <v>0</v>
      </c>
      <c r="Y55" s="17"/>
      <c r="Z55" s="17"/>
      <c r="AA55" s="11"/>
      <c r="AB55" s="16"/>
    </row>
    <row r="56" spans="1:28" s="7" customFormat="1" ht="150" hidden="1" customHeight="1" outlineLevel="1" x14ac:dyDescent="1.25">
      <c r="A56" s="4"/>
      <c r="C56" s="77"/>
      <c r="D56" s="94" t="s">
        <v>136</v>
      </c>
      <c r="E56" s="49" t="str">
        <f>_xlfn.XLOOKUP(D56,'consolidated tracker'!D:D,'consolidated tracker'!E:E)</f>
        <v>RERA</v>
      </c>
      <c r="F56" s="134">
        <v>46752</v>
      </c>
      <c r="G56" s="33">
        <f>_xlfn.XLOOKUP(D56,'consolidated tracker'!D:D,'consolidated tracker'!F:F)</f>
        <v>604</v>
      </c>
      <c r="H56" s="33">
        <f>_xlfn.XLOOKUP(D56,'consolidated tracker'!D:D,'consolidated tracker'!G:G)</f>
        <v>752157920.16000009</v>
      </c>
      <c r="I56" s="33">
        <f>_xlfn.XLOOKUP(D56,'consolidated tracker'!D:D,'consolidated tracker'!H:H)</f>
        <v>227399445.8400006</v>
      </c>
      <c r="J56" s="33">
        <f>_xlfn.XLOOKUP(D56,'consolidated tracker'!D:D,'consolidated tracker'!I:I)</f>
        <v>217912823.7100001</v>
      </c>
      <c r="K56" s="33">
        <f>_xlfn.XLOOKUP(D56,'consolidated tracker'!D:D,'consolidated tracker'!J:J)</f>
        <v>16447481.040000001</v>
      </c>
      <c r="L56" s="34">
        <f>_xlfn.XLOOKUP(D56,'consolidated tracker'!D:D,'consolidated tracker'!K:K)</f>
        <v>0.95828212291829706</v>
      </c>
      <c r="M56" s="36">
        <f>_xlfn.XLOOKUP('consolidated - Offplan'!D56,'consolidated tracker'!D:D,'consolidated tracker'!L:L)</f>
        <v>9486622.0499999989</v>
      </c>
      <c r="N56" s="30">
        <f>_xlfn.XLOOKUP($D56,'consolidated tracker'!$D:$D,'consolidated tracker'!M:M)</f>
        <v>508310993.27999949</v>
      </c>
      <c r="O56" s="40">
        <f>_xlfn.XLOOKUP($D56,'consolidated tracker'!$D:$D,'consolidated tracker'!N:N)</f>
        <v>74470539.549999177</v>
      </c>
      <c r="P56" s="33">
        <f>_xlfn.XLOOKUP($D56,'consolidated tracker'!$D:$D,'consolidated tracker'!O:O)</f>
        <v>433840453.73000032</v>
      </c>
      <c r="Q56" s="33">
        <f>_xlfn.XLOOKUP($D56,'consolidated tracker'!$D:$D,'consolidated tracker'!P:P)</f>
        <v>0</v>
      </c>
      <c r="R56" s="33">
        <f>_xlfn.XLOOKUP($D56,'consolidated tracker'!$D:$D,'consolidated tracker'!Q:Q)</f>
        <v>0</v>
      </c>
      <c r="S56" s="33">
        <f>_xlfn.XLOOKUP($D56,'consolidated tracker'!$D:$D,'consolidated tracker'!R:R)</f>
        <v>0</v>
      </c>
      <c r="T56" s="33">
        <f>_xlfn.XLOOKUP($D56,'consolidated tracker'!$D:$D,'consolidated tracker'!S:S)</f>
        <v>0</v>
      </c>
      <c r="U56" s="33">
        <f>_xlfn.XLOOKUP($D56,'consolidated tracker'!$D:$D,'consolidated tracker'!T:T)</f>
        <v>0</v>
      </c>
      <c r="V56" s="33">
        <f>_xlfn.XLOOKUP($D56,'consolidated tracker'!$D:$D,'consolidated tracker'!U:U)</f>
        <v>0</v>
      </c>
      <c r="W56" s="33">
        <f>_xlfn.XLOOKUP($D56,'consolidated tracker'!$D:$D,'consolidated tracker'!V:V)</f>
        <v>0</v>
      </c>
      <c r="X56" s="33">
        <f>_xlfn.XLOOKUP($D56,'consolidated tracker'!$D:$D,'consolidated tracker'!W:W)</f>
        <v>0</v>
      </c>
      <c r="Y56" s="17"/>
      <c r="Z56" s="17"/>
      <c r="AA56" s="11"/>
      <c r="AB56" s="16"/>
    </row>
    <row r="57" spans="1:28" s="7" customFormat="1" ht="150" hidden="1" customHeight="1" outlineLevel="1" x14ac:dyDescent="1.25">
      <c r="A57" s="4"/>
      <c r="C57" s="77"/>
      <c r="D57" s="94" t="s">
        <v>135</v>
      </c>
      <c r="E57" s="49" t="str">
        <f>_xlfn.XLOOKUP(D57,'consolidated tracker'!D:D,'consolidated tracker'!E:E)</f>
        <v>RERA</v>
      </c>
      <c r="F57" s="134">
        <v>46752</v>
      </c>
      <c r="G57" s="33">
        <f>_xlfn.XLOOKUP(D57,'consolidated tracker'!D:D,'consolidated tracker'!F:F)</f>
        <v>491</v>
      </c>
      <c r="H57" s="33">
        <f>_xlfn.XLOOKUP(D57,'consolidated tracker'!D:D,'consolidated tracker'!G:G)</f>
        <v>588273562.0200001</v>
      </c>
      <c r="I57" s="33">
        <f>_xlfn.XLOOKUP(D57,'consolidated tracker'!D:D,'consolidated tracker'!H:H)</f>
        <v>173728307.50000012</v>
      </c>
      <c r="J57" s="33">
        <f>_xlfn.XLOOKUP(D57,'consolidated tracker'!D:D,'consolidated tracker'!I:I)</f>
        <v>166835480.58999985</v>
      </c>
      <c r="K57" s="33">
        <f>_xlfn.XLOOKUP(D57,'consolidated tracker'!D:D,'consolidated tracker'!J:J)</f>
        <v>7709442.9399999967</v>
      </c>
      <c r="L57" s="34">
        <f>_xlfn.XLOOKUP(D57,'consolidated tracker'!D:D,'consolidated tracker'!K:K)</f>
        <v>0.96032410026212767</v>
      </c>
      <c r="M57" s="36">
        <f>_xlfn.XLOOKUP('consolidated - Offplan'!D57,'consolidated tracker'!D:D,'consolidated tracker'!L:L)</f>
        <v>6892826.910000002</v>
      </c>
      <c r="N57" s="30">
        <f>_xlfn.XLOOKUP($D57,'consolidated tracker'!$D:$D,'consolidated tracker'!M:M)</f>
        <v>406835811.57999998</v>
      </c>
      <c r="O57" s="40">
        <f>_xlfn.XLOOKUP($D57,'consolidated tracker'!$D:$D,'consolidated tracker'!N:N)</f>
        <v>57813038.779999971</v>
      </c>
      <c r="P57" s="33">
        <f>_xlfn.XLOOKUP($D57,'consolidated tracker'!$D:$D,'consolidated tracker'!O:O)</f>
        <v>349022772.80000001</v>
      </c>
      <c r="Q57" s="33">
        <f>_xlfn.XLOOKUP($D57,'consolidated tracker'!$D:$D,'consolidated tracker'!P:P)</f>
        <v>0</v>
      </c>
      <c r="R57" s="33">
        <f>_xlfn.XLOOKUP($D57,'consolidated tracker'!$D:$D,'consolidated tracker'!Q:Q)</f>
        <v>0</v>
      </c>
      <c r="S57" s="33">
        <f>_xlfn.XLOOKUP($D57,'consolidated tracker'!$D:$D,'consolidated tracker'!R:R)</f>
        <v>0</v>
      </c>
      <c r="T57" s="33">
        <f>_xlfn.XLOOKUP($D57,'consolidated tracker'!$D:$D,'consolidated tracker'!S:S)</f>
        <v>0</v>
      </c>
      <c r="U57" s="33">
        <f>_xlfn.XLOOKUP($D57,'consolidated tracker'!$D:$D,'consolidated tracker'!T:T)</f>
        <v>0</v>
      </c>
      <c r="V57" s="33">
        <f>_xlfn.XLOOKUP($D57,'consolidated tracker'!$D:$D,'consolidated tracker'!U:U)</f>
        <v>0</v>
      </c>
      <c r="W57" s="33">
        <f>_xlfn.XLOOKUP($D57,'consolidated tracker'!$D:$D,'consolidated tracker'!V:V)</f>
        <v>0</v>
      </c>
      <c r="X57" s="33">
        <f>_xlfn.XLOOKUP($D57,'consolidated tracker'!$D:$D,'consolidated tracker'!W:W)</f>
        <v>0</v>
      </c>
      <c r="Y57" s="17"/>
      <c r="Z57" s="17"/>
      <c r="AA57" s="11"/>
      <c r="AB57" s="16"/>
    </row>
    <row r="58" spans="1:28" s="7" customFormat="1" ht="150" hidden="1" customHeight="1" outlineLevel="1" x14ac:dyDescent="1.25">
      <c r="A58" s="4"/>
      <c r="C58" s="77"/>
      <c r="D58" s="94" t="s">
        <v>134</v>
      </c>
      <c r="E58" s="49" t="str">
        <f>_xlfn.XLOOKUP(D58,'consolidated tracker'!D:D,'consolidated tracker'!E:E)</f>
        <v>RERA</v>
      </c>
      <c r="F58" s="134">
        <v>46752</v>
      </c>
      <c r="G58" s="33">
        <f>_xlfn.XLOOKUP(D58,'consolidated tracker'!D:D,'consolidated tracker'!F:F)</f>
        <v>306</v>
      </c>
      <c r="H58" s="33">
        <f>_xlfn.XLOOKUP(D58,'consolidated tracker'!D:D,'consolidated tracker'!G:G)</f>
        <v>442634233.27999991</v>
      </c>
      <c r="I58" s="33">
        <f>_xlfn.XLOOKUP(D58,'consolidated tracker'!D:D,'consolidated tracker'!H:H)</f>
        <v>135536568.58999974</v>
      </c>
      <c r="J58" s="33">
        <f>_xlfn.XLOOKUP(D58,'consolidated tracker'!D:D,'consolidated tracker'!I:I)</f>
        <v>126028872.16000004</v>
      </c>
      <c r="K58" s="33">
        <f>_xlfn.XLOOKUP(D58,'consolidated tracker'!D:D,'consolidated tracker'!J:J)</f>
        <v>9864098.8799999971</v>
      </c>
      <c r="L58" s="34">
        <f>_xlfn.XLOOKUP(D58,'consolidated tracker'!D:D,'consolidated tracker'!K:K)</f>
        <v>0.92985143028992689</v>
      </c>
      <c r="M58" s="36">
        <f>_xlfn.XLOOKUP('consolidated - Offplan'!D58,'consolidated tracker'!D:D,'consolidated tracker'!L:L)</f>
        <v>9507696.4299999978</v>
      </c>
      <c r="N58" s="30">
        <f>_xlfn.XLOOKUP($D58,'consolidated tracker'!$D:$D,'consolidated tracker'!M:M)</f>
        <v>297233565.81000018</v>
      </c>
      <c r="O58" s="40">
        <f>_xlfn.XLOOKUP($D58,'consolidated tracker'!$D:$D,'consolidated tracker'!N:N)</f>
        <v>45342048.770000488</v>
      </c>
      <c r="P58" s="33">
        <f>_xlfn.XLOOKUP($D58,'consolidated tracker'!$D:$D,'consolidated tracker'!O:O)</f>
        <v>251891517.03999969</v>
      </c>
      <c r="Q58" s="33">
        <f>_xlfn.XLOOKUP($D58,'consolidated tracker'!$D:$D,'consolidated tracker'!P:P)</f>
        <v>0</v>
      </c>
      <c r="R58" s="33">
        <f>_xlfn.XLOOKUP($D58,'consolidated tracker'!$D:$D,'consolidated tracker'!Q:Q)</f>
        <v>0</v>
      </c>
      <c r="S58" s="33">
        <f>_xlfn.XLOOKUP($D58,'consolidated tracker'!$D:$D,'consolidated tracker'!R:R)</f>
        <v>0</v>
      </c>
      <c r="T58" s="33">
        <f>_xlfn.XLOOKUP($D58,'consolidated tracker'!$D:$D,'consolidated tracker'!S:S)</f>
        <v>0</v>
      </c>
      <c r="U58" s="33">
        <f>_xlfn.XLOOKUP($D58,'consolidated tracker'!$D:$D,'consolidated tracker'!T:T)</f>
        <v>0</v>
      </c>
      <c r="V58" s="33">
        <f>_xlfn.XLOOKUP($D58,'consolidated tracker'!$D:$D,'consolidated tracker'!U:U)</f>
        <v>0</v>
      </c>
      <c r="W58" s="33">
        <f>_xlfn.XLOOKUP($D58,'consolidated tracker'!$D:$D,'consolidated tracker'!V:V)</f>
        <v>0</v>
      </c>
      <c r="X58" s="33">
        <f>_xlfn.XLOOKUP($D58,'consolidated tracker'!$D:$D,'consolidated tracker'!W:W)</f>
        <v>0</v>
      </c>
      <c r="Y58" s="17"/>
      <c r="Z58" s="17"/>
      <c r="AA58" s="11"/>
      <c r="AB58" s="16"/>
    </row>
    <row r="59" spans="1:28" s="7" customFormat="1" ht="150" customHeight="1" collapsed="1" x14ac:dyDescent="1.25">
      <c r="A59" s="4"/>
      <c r="C59" s="77">
        <v>15</v>
      </c>
      <c r="D59" s="76" t="s">
        <v>133</v>
      </c>
      <c r="E59" s="49" t="str">
        <f>_xlfn.XLOOKUP(D59,'consolidated tracker'!D:D,'consolidated tracker'!E:E)</f>
        <v>RERA</v>
      </c>
      <c r="F59" s="134">
        <v>47118</v>
      </c>
      <c r="G59" s="33">
        <f>_xlfn.XLOOKUP(D59,'consolidated tracker'!D:D,'consolidated tracker'!F:F)</f>
        <v>258</v>
      </c>
      <c r="H59" s="33">
        <f>_xlfn.XLOOKUP(D59,'consolidated tracker'!D:D,'consolidated tracker'!G:G)</f>
        <v>948166135.37000036</v>
      </c>
      <c r="I59" s="33">
        <f>_xlfn.XLOOKUP(D59,'consolidated tracker'!D:D,'consolidated tracker'!H:H)</f>
        <v>242744868.43000039</v>
      </c>
      <c r="J59" s="33">
        <f>_xlfn.XLOOKUP(D59,'consolidated tracker'!D:D,'consolidated tracker'!I:I)</f>
        <v>223599095.42999998</v>
      </c>
      <c r="K59" s="33">
        <f>_xlfn.XLOOKUP(D59,'consolidated tracker'!D:D,'consolidated tracker'!J:J)</f>
        <v>19307987.160000004</v>
      </c>
      <c r="L59" s="34">
        <f>_xlfn.XLOOKUP(D59,'consolidated tracker'!D:D,'consolidated tracker'!K:K)</f>
        <v>0.92112800108266168</v>
      </c>
      <c r="M59" s="36">
        <f>_xlfn.XLOOKUP('consolidated - Offplan'!D59,'consolidated tracker'!D:D,'consolidated tracker'!L:L)</f>
        <v>19145773</v>
      </c>
      <c r="N59" s="30">
        <f>_xlfn.XLOOKUP($D59,'consolidated tracker'!$D:$D,'consolidated tracker'!M:M)</f>
        <v>686113279.77999997</v>
      </c>
      <c r="O59" s="40">
        <f>_xlfn.XLOOKUP($D59,'consolidated tracker'!$D:$D,'consolidated tracker'!N:N)</f>
        <v>81920610.740000367</v>
      </c>
      <c r="P59" s="33">
        <f>_xlfn.XLOOKUP($D59,'consolidated tracker'!$D:$D,'consolidated tracker'!O:O)</f>
        <v>157365938.28999999</v>
      </c>
      <c r="Q59" s="33">
        <f>_xlfn.XLOOKUP($D59,'consolidated tracker'!$D:$D,'consolidated tracker'!P:P)</f>
        <v>444895904.74999958</v>
      </c>
      <c r="R59" s="136">
        <f>_xlfn.XLOOKUP($D59,'consolidated tracker'!$D:$D,'consolidated tracker'!Q:Q)</f>
        <v>1930826</v>
      </c>
      <c r="S59" s="136">
        <f>_xlfn.XLOOKUP($D59,'consolidated tracker'!$D:$D,'consolidated tracker'!R:R)</f>
        <v>0</v>
      </c>
      <c r="T59" s="136">
        <f>_xlfn.XLOOKUP($D59,'consolidated tracker'!$D:$D,'consolidated tracker'!S:S)</f>
        <v>0</v>
      </c>
      <c r="U59" s="136">
        <f>_xlfn.XLOOKUP($D59,'consolidated tracker'!$D:$D,'consolidated tracker'!T:T)</f>
        <v>0</v>
      </c>
      <c r="V59" s="136">
        <f>_xlfn.XLOOKUP($D59,'consolidated tracker'!$D:$D,'consolidated tracker'!U:U)</f>
        <v>0</v>
      </c>
      <c r="W59" s="136">
        <f>_xlfn.XLOOKUP($D59,'consolidated tracker'!$D:$D,'consolidated tracker'!V:V)</f>
        <v>0</v>
      </c>
      <c r="X59" s="136">
        <f>_xlfn.XLOOKUP($D59,'consolidated tracker'!$D:$D,'consolidated tracker'!W:W)</f>
        <v>0</v>
      </c>
      <c r="Y59" s="17"/>
      <c r="Z59" s="17"/>
      <c r="AA59" s="11"/>
      <c r="AB59" s="16"/>
    </row>
    <row r="60" spans="1:28" s="7" customFormat="1" ht="150" customHeight="1" x14ac:dyDescent="1.25">
      <c r="A60" s="4"/>
      <c r="C60" s="77">
        <v>16</v>
      </c>
      <c r="D60" s="76" t="s">
        <v>132</v>
      </c>
      <c r="E60" s="49" t="str">
        <f>_xlfn.XLOOKUP(D60,'consolidated tracker'!D:D,'consolidated tracker'!E:E)</f>
        <v>RERA</v>
      </c>
      <c r="F60" s="134" t="s">
        <v>232</v>
      </c>
      <c r="G60" s="33">
        <f>_xlfn.XLOOKUP(D60,'consolidated tracker'!D:D,'consolidated tracker'!F:F)</f>
        <v>2068</v>
      </c>
      <c r="H60" s="33">
        <f>_xlfn.XLOOKUP(D60,'consolidated tracker'!D:D,'consolidated tracker'!G:G)</f>
        <v>4707104548.2700014</v>
      </c>
      <c r="I60" s="33">
        <f>_xlfn.XLOOKUP(D60,'consolidated tracker'!D:D,'consolidated tracker'!H:H)</f>
        <v>1201503819.1500008</v>
      </c>
      <c r="J60" s="33">
        <f>_xlfn.XLOOKUP(D60,'consolidated tracker'!D:D,'consolidated tracker'!I:I)</f>
        <v>1110390649.8599992</v>
      </c>
      <c r="K60" s="33">
        <f>_xlfn.XLOOKUP(D60,'consolidated tracker'!D:D,'consolidated tracker'!J:J)</f>
        <v>85541920.189999968</v>
      </c>
      <c r="L60" s="34">
        <f>_xlfn.XLOOKUP(D60,'consolidated tracker'!D:D,'consolidated tracker'!K:K)</f>
        <v>0.92416739103296464</v>
      </c>
      <c r="M60" s="36">
        <f>_xlfn.XLOOKUP('consolidated - Offplan'!D60,'consolidated tracker'!D:D,'consolidated tracker'!L:L)</f>
        <v>91113169.230000049</v>
      </c>
      <c r="N60" s="30">
        <f>_xlfn.XLOOKUP($D60,'consolidated tracker'!$D:$D,'consolidated tracker'!M:M)</f>
        <v>3420058808.9300003</v>
      </c>
      <c r="O60" s="40">
        <f>_xlfn.XLOOKUP($D60,'consolidated tracker'!$D:$D,'consolidated tracker'!N:N)</f>
        <v>225615022.57000291</v>
      </c>
      <c r="P60" s="33">
        <f>_xlfn.XLOOKUP($D60,'consolidated tracker'!$D:$D,'consolidated tracker'!O:O)</f>
        <v>449963200.78999954</v>
      </c>
      <c r="Q60" s="33">
        <f>_xlfn.XLOOKUP($D60,'consolidated tracker'!$D:$D,'consolidated tracker'!P:P)</f>
        <v>699059119.08999979</v>
      </c>
      <c r="R60" s="33">
        <f>_xlfn.XLOOKUP($D60,'consolidated tracker'!$D:$D,'consolidated tracker'!Q:Q)</f>
        <v>1664465059.809999</v>
      </c>
      <c r="S60" s="33">
        <f>_xlfn.XLOOKUP($D60,'consolidated tracker'!$D:$D,'consolidated tracker'!R:R)</f>
        <v>380956406.66999984</v>
      </c>
      <c r="T60" s="33">
        <f>_xlfn.XLOOKUP($D60,'consolidated tracker'!$D:$D,'consolidated tracker'!S:S)</f>
        <v>0</v>
      </c>
      <c r="U60" s="33">
        <f>_xlfn.XLOOKUP($D60,'consolidated tracker'!$D:$D,'consolidated tracker'!T:T)</f>
        <v>0</v>
      </c>
      <c r="V60" s="33">
        <f>_xlfn.XLOOKUP($D60,'consolidated tracker'!$D:$D,'consolidated tracker'!U:U)</f>
        <v>0</v>
      </c>
      <c r="W60" s="33">
        <f>_xlfn.XLOOKUP($D60,'consolidated tracker'!$D:$D,'consolidated tracker'!V:V)</f>
        <v>0</v>
      </c>
      <c r="X60" s="33">
        <f>_xlfn.XLOOKUP($D60,'consolidated tracker'!$D:$D,'consolidated tracker'!W:W)</f>
        <v>0</v>
      </c>
      <c r="Y60" s="17"/>
      <c r="Z60" s="17"/>
      <c r="AA60" s="11"/>
      <c r="AB60" s="16"/>
    </row>
    <row r="61" spans="1:28" s="7" customFormat="1" ht="150" hidden="1" customHeight="1" outlineLevel="1" x14ac:dyDescent="1.25">
      <c r="A61" s="4"/>
      <c r="C61" s="77"/>
      <c r="D61" s="94" t="s">
        <v>131</v>
      </c>
      <c r="E61" s="49" t="str">
        <f>_xlfn.XLOOKUP(D61,'consolidated tracker'!D:D,'consolidated tracker'!E:E)</f>
        <v>RERA</v>
      </c>
      <c r="F61" s="134">
        <v>47208</v>
      </c>
      <c r="G61" s="33">
        <f>_xlfn.XLOOKUP(D61,'consolidated tracker'!D:D,'consolidated tracker'!F:F)</f>
        <v>653</v>
      </c>
      <c r="H61" s="33">
        <f>_xlfn.XLOOKUP(D61,'consolidated tracker'!D:D,'consolidated tracker'!G:G)</f>
        <v>1368413533.6900022</v>
      </c>
      <c r="I61" s="33">
        <f>_xlfn.XLOOKUP(D61,'consolidated tracker'!D:D,'consolidated tracker'!H:H)</f>
        <v>398485949.59000134</v>
      </c>
      <c r="J61" s="33">
        <f>_xlfn.XLOOKUP(D61,'consolidated tracker'!D:D,'consolidated tracker'!I:I)</f>
        <v>381136194.98999941</v>
      </c>
      <c r="K61" s="33">
        <f>_xlfn.XLOOKUP(D61,'consolidated tracker'!D:D,'consolidated tracker'!J:J)</f>
        <v>25459825.039999984</v>
      </c>
      <c r="L61" s="34">
        <f>_xlfn.XLOOKUP(D61,'consolidated tracker'!D:D,'consolidated tracker'!K:K)</f>
        <v>0.95646081218709733</v>
      </c>
      <c r="M61" s="36">
        <f>_xlfn.XLOOKUP('consolidated - Offplan'!D61,'consolidated tracker'!D:D,'consolidated tracker'!L:L)</f>
        <v>17349754.600000005</v>
      </c>
      <c r="N61" s="30">
        <f>_xlfn.XLOOKUP($D61,'consolidated tracker'!$D:$D,'consolidated tracker'!M:M)</f>
        <v>944467759.0600009</v>
      </c>
      <c r="O61" s="40">
        <f>_xlfn.XLOOKUP($D61,'consolidated tracker'!$D:$D,'consolidated tracker'!N:N)</f>
        <v>77748723.380001783</v>
      </c>
      <c r="P61" s="33">
        <f>_xlfn.XLOOKUP($D61,'consolidated tracker'!$D:$D,'consolidated tracker'!O:O)</f>
        <v>132496277.25999966</v>
      </c>
      <c r="Q61" s="33">
        <f>_xlfn.XLOOKUP($D61,'consolidated tracker'!$D:$D,'consolidated tracker'!P:P)</f>
        <v>184889622.82999995</v>
      </c>
      <c r="R61" s="33">
        <f>_xlfn.XLOOKUP($D61,'consolidated tracker'!$D:$D,'consolidated tracker'!Q:Q)</f>
        <v>549333135.58999944</v>
      </c>
      <c r="S61" s="33">
        <f>_xlfn.XLOOKUP($D61,'consolidated tracker'!$D:$D,'consolidated tracker'!R:R)</f>
        <v>0</v>
      </c>
      <c r="T61" s="33">
        <f>_xlfn.XLOOKUP($D61,'consolidated tracker'!$D:$D,'consolidated tracker'!S:S)</f>
        <v>0</v>
      </c>
      <c r="U61" s="33">
        <f>_xlfn.XLOOKUP($D61,'consolidated tracker'!$D:$D,'consolidated tracker'!T:T)</f>
        <v>0</v>
      </c>
      <c r="V61" s="33">
        <f>_xlfn.XLOOKUP($D61,'consolidated tracker'!$D:$D,'consolidated tracker'!U:U)</f>
        <v>0</v>
      </c>
      <c r="W61" s="33">
        <f>_xlfn.XLOOKUP($D61,'consolidated tracker'!$D:$D,'consolidated tracker'!V:V)</f>
        <v>0</v>
      </c>
      <c r="X61" s="33">
        <f>_xlfn.XLOOKUP($D61,'consolidated tracker'!$D:$D,'consolidated tracker'!W:W)</f>
        <v>0</v>
      </c>
      <c r="Y61" s="17"/>
      <c r="Z61" s="17"/>
      <c r="AA61" s="11"/>
      <c r="AB61" s="16"/>
    </row>
    <row r="62" spans="1:28" s="7" customFormat="1" ht="150" hidden="1" customHeight="1" outlineLevel="1" x14ac:dyDescent="1.25">
      <c r="A62" s="4"/>
      <c r="C62" s="77"/>
      <c r="D62" s="94" t="s">
        <v>130</v>
      </c>
      <c r="E62" s="49" t="str">
        <f>_xlfn.XLOOKUP(D62,'consolidated tracker'!D:D,'consolidated tracker'!E:E)</f>
        <v>RERA</v>
      </c>
      <c r="F62" s="134">
        <v>47208</v>
      </c>
      <c r="G62" s="33">
        <f>_xlfn.XLOOKUP(D62,'consolidated tracker'!D:D,'consolidated tracker'!F:F)</f>
        <v>446</v>
      </c>
      <c r="H62" s="33">
        <f>_xlfn.XLOOKUP(D62,'consolidated tracker'!D:D,'consolidated tracker'!G:G)</f>
        <v>943836669.27999902</v>
      </c>
      <c r="I62" s="33">
        <f>_xlfn.XLOOKUP(D62,'consolidated tracker'!D:D,'consolidated tracker'!H:H)</f>
        <v>258471428.14999917</v>
      </c>
      <c r="J62" s="33">
        <f>_xlfn.XLOOKUP(D62,'consolidated tracker'!D:D,'consolidated tracker'!I:I)</f>
        <v>238303679.15999991</v>
      </c>
      <c r="K62" s="33">
        <f>_xlfn.XLOOKUP(D62,'consolidated tracker'!D:D,'consolidated tracker'!J:J)</f>
        <v>29859692.299999993</v>
      </c>
      <c r="L62" s="34">
        <f>_xlfn.XLOOKUP(D62,'consolidated tracker'!D:D,'consolidated tracker'!K:K)</f>
        <v>0.92197300438834084</v>
      </c>
      <c r="M62" s="36">
        <f>_xlfn.XLOOKUP('consolidated - Offplan'!D62,'consolidated tracker'!D:D,'consolidated tracker'!L:L)</f>
        <v>20167748.99000001</v>
      </c>
      <c r="N62" s="30">
        <f>_xlfn.XLOOKUP($D62,'consolidated tracker'!$D:$D,'consolidated tracker'!M:M)</f>
        <v>655505548.82999992</v>
      </c>
      <c r="O62" s="40">
        <f>_xlfn.XLOOKUP($D62,'consolidated tracker'!$D:$D,'consolidated tracker'!N:N)</f>
        <v>18846876.860000134</v>
      </c>
      <c r="P62" s="33">
        <f>_xlfn.XLOOKUP($D62,'consolidated tracker'!$D:$D,'consolidated tracker'!O:O)</f>
        <v>86011781.670000002</v>
      </c>
      <c r="Q62" s="33">
        <f>_xlfn.XLOOKUP($D62,'consolidated tracker'!$D:$D,'consolidated tracker'!P:P)</f>
        <v>175774532.53999987</v>
      </c>
      <c r="R62" s="33">
        <f>_xlfn.XLOOKUP($D62,'consolidated tracker'!$D:$D,'consolidated tracker'!Q:Q)</f>
        <v>374872357.75999993</v>
      </c>
      <c r="S62" s="33">
        <f>_xlfn.XLOOKUP($D62,'consolidated tracker'!$D:$D,'consolidated tracker'!R:R)</f>
        <v>0</v>
      </c>
      <c r="T62" s="33">
        <f>_xlfn.XLOOKUP($D62,'consolidated tracker'!$D:$D,'consolidated tracker'!S:S)</f>
        <v>0</v>
      </c>
      <c r="U62" s="33">
        <f>_xlfn.XLOOKUP($D62,'consolidated tracker'!$D:$D,'consolidated tracker'!T:T)</f>
        <v>0</v>
      </c>
      <c r="V62" s="33">
        <f>_xlfn.XLOOKUP($D62,'consolidated tracker'!$D:$D,'consolidated tracker'!U:U)</f>
        <v>0</v>
      </c>
      <c r="W62" s="33">
        <f>_xlfn.XLOOKUP($D62,'consolidated tracker'!$D:$D,'consolidated tracker'!V:V)</f>
        <v>0</v>
      </c>
      <c r="X62" s="33">
        <f>_xlfn.XLOOKUP($D62,'consolidated tracker'!$D:$D,'consolidated tracker'!W:W)</f>
        <v>0</v>
      </c>
      <c r="Y62" s="17"/>
      <c r="Z62" s="17"/>
      <c r="AA62" s="11"/>
      <c r="AB62" s="16"/>
    </row>
    <row r="63" spans="1:28" s="7" customFormat="1" ht="150" hidden="1" customHeight="1" outlineLevel="1" x14ac:dyDescent="1.25">
      <c r="A63" s="4"/>
      <c r="C63" s="77"/>
      <c r="D63" s="94" t="s">
        <v>129</v>
      </c>
      <c r="E63" s="49" t="str">
        <f>_xlfn.XLOOKUP(D63,'consolidated tracker'!D:D,'consolidated tracker'!E:E)</f>
        <v>RERA</v>
      </c>
      <c r="F63" s="134">
        <v>47208</v>
      </c>
      <c r="G63" s="33">
        <f>_xlfn.XLOOKUP(D63,'consolidated tracker'!D:D,'consolidated tracker'!F:F)</f>
        <v>560</v>
      </c>
      <c r="H63" s="33">
        <f>_xlfn.XLOOKUP(D63,'consolidated tracker'!D:D,'consolidated tracker'!G:G)</f>
        <v>1486271076.660001</v>
      </c>
      <c r="I63" s="33">
        <f>_xlfn.XLOOKUP(D63,'consolidated tracker'!D:D,'consolidated tracker'!H:H)</f>
        <v>376678878.78000033</v>
      </c>
      <c r="J63" s="33">
        <f>_xlfn.XLOOKUP(D63,'consolidated tracker'!D:D,'consolidated tracker'!I:I)</f>
        <v>335092426.60999995</v>
      </c>
      <c r="K63" s="33">
        <f>_xlfn.XLOOKUP(D63,'consolidated tracker'!D:D,'consolidated tracker'!J:J)</f>
        <v>23472938.319999993</v>
      </c>
      <c r="L63" s="34">
        <f>_xlfn.XLOOKUP(D63,'consolidated tracker'!D:D,'consolidated tracker'!K:K)</f>
        <v>0.88959706924717441</v>
      </c>
      <c r="M63" s="36">
        <f>_xlfn.XLOOKUP('consolidated - Offplan'!D63,'consolidated tracker'!D:D,'consolidated tracker'!L:L)</f>
        <v>41586452.110000022</v>
      </c>
      <c r="N63" s="30">
        <f>_xlfn.XLOOKUP($D63,'consolidated tracker'!$D:$D,'consolidated tracker'!M:M)</f>
        <v>1086119259.5600007</v>
      </c>
      <c r="O63" s="40">
        <f>_xlfn.XLOOKUP($D63,'consolidated tracker'!$D:$D,'consolidated tracker'!N:N)</f>
        <v>63750006.060001612</v>
      </c>
      <c r="P63" s="33">
        <f>_xlfn.XLOOKUP($D63,'consolidated tracker'!$D:$D,'consolidated tracker'!O:O)</f>
        <v>136902917.41999984</v>
      </c>
      <c r="Q63" s="33">
        <f>_xlfn.XLOOKUP($D63,'consolidated tracker'!$D:$D,'consolidated tracker'!P:P)</f>
        <v>246964678.73999983</v>
      </c>
      <c r="R63" s="33">
        <f>_xlfn.XLOOKUP($D63,'consolidated tracker'!$D:$D,'consolidated tracker'!Q:Q)</f>
        <v>638501657.33999944</v>
      </c>
      <c r="S63" s="33">
        <f>_xlfn.XLOOKUP($D63,'consolidated tracker'!$D:$D,'consolidated tracker'!R:R)</f>
        <v>0</v>
      </c>
      <c r="T63" s="33">
        <f>_xlfn.XLOOKUP($D63,'consolidated tracker'!$D:$D,'consolidated tracker'!S:S)</f>
        <v>0</v>
      </c>
      <c r="U63" s="33">
        <f>_xlfn.XLOOKUP($D63,'consolidated tracker'!$D:$D,'consolidated tracker'!T:T)</f>
        <v>0</v>
      </c>
      <c r="V63" s="33">
        <f>_xlfn.XLOOKUP($D63,'consolidated tracker'!$D:$D,'consolidated tracker'!U:U)</f>
        <v>0</v>
      </c>
      <c r="W63" s="33">
        <f>_xlfn.XLOOKUP($D63,'consolidated tracker'!$D:$D,'consolidated tracker'!V:V)</f>
        <v>0</v>
      </c>
      <c r="X63" s="33">
        <f>_xlfn.XLOOKUP($D63,'consolidated tracker'!$D:$D,'consolidated tracker'!W:W)</f>
        <v>0</v>
      </c>
      <c r="Y63" s="17"/>
      <c r="Z63" s="17"/>
      <c r="AA63" s="11"/>
      <c r="AB63" s="16"/>
    </row>
    <row r="64" spans="1:28" s="7" customFormat="1" ht="150" hidden="1" customHeight="1" outlineLevel="1" x14ac:dyDescent="1.25">
      <c r="A64" s="4"/>
      <c r="C64" s="77"/>
      <c r="D64" s="94" t="s">
        <v>128</v>
      </c>
      <c r="E64" s="49" t="str">
        <f>_xlfn.XLOOKUP(D64,'consolidated tracker'!D:D,'consolidated tracker'!E:E)</f>
        <v>RERA</v>
      </c>
      <c r="F64" s="134">
        <v>47664</v>
      </c>
      <c r="G64" s="33">
        <f>_xlfn.XLOOKUP(D64,'consolidated tracker'!D:D,'consolidated tracker'!F:F)</f>
        <v>409</v>
      </c>
      <c r="H64" s="33">
        <f>_xlfn.XLOOKUP(D64,'consolidated tracker'!D:D,'consolidated tracker'!G:G)</f>
        <v>908583268.63999951</v>
      </c>
      <c r="I64" s="33">
        <f>_xlfn.XLOOKUP(D64,'consolidated tracker'!D:D,'consolidated tracker'!H:H)</f>
        <v>167867562.63000005</v>
      </c>
      <c r="J64" s="33">
        <f>_xlfn.XLOOKUP(D64,'consolidated tracker'!D:D,'consolidated tracker'!I:I)</f>
        <v>155858349.09999996</v>
      </c>
      <c r="K64" s="33">
        <f>_xlfn.XLOOKUP(D64,'consolidated tracker'!D:D,'consolidated tracker'!J:J)</f>
        <v>6749464.5299999975</v>
      </c>
      <c r="L64" s="34">
        <f>_xlfn.XLOOKUP(D64,'consolidated tracker'!D:D,'consolidated tracker'!K:K)</f>
        <v>0.92846019003403402</v>
      </c>
      <c r="M64" s="36">
        <f>_xlfn.XLOOKUP('consolidated - Offplan'!D64,'consolidated tracker'!D:D,'consolidated tracker'!L:L)</f>
        <v>12009213.530000001</v>
      </c>
      <c r="N64" s="30">
        <f>_xlfn.XLOOKUP($D64,'consolidated tracker'!$D:$D,'consolidated tracker'!M:M)</f>
        <v>733966241.47999942</v>
      </c>
      <c r="O64" s="40">
        <f>_xlfn.XLOOKUP($D64,'consolidated tracker'!$D:$D,'consolidated tracker'!N:N)</f>
        <v>65269416.269999385</v>
      </c>
      <c r="P64" s="33">
        <f>_xlfn.XLOOKUP($D64,'consolidated tracker'!$D:$D,'consolidated tracker'!O:O)</f>
        <v>94552224.440000072</v>
      </c>
      <c r="Q64" s="33">
        <f>_xlfn.XLOOKUP($D64,'consolidated tracker'!$D:$D,'consolidated tracker'!P:P)</f>
        <v>91430284.980000138</v>
      </c>
      <c r="R64" s="33">
        <f>_xlfn.XLOOKUP($D64,'consolidated tracker'!$D:$D,'consolidated tracker'!Q:Q)</f>
        <v>101757909.12000005</v>
      </c>
      <c r="S64" s="33">
        <f>_xlfn.XLOOKUP($D64,'consolidated tracker'!$D:$D,'consolidated tracker'!R:R)</f>
        <v>380956406.66999984</v>
      </c>
      <c r="T64" s="33">
        <f>_xlfn.XLOOKUP($D64,'consolidated tracker'!$D:$D,'consolidated tracker'!S:S)</f>
        <v>0</v>
      </c>
      <c r="U64" s="33">
        <f>_xlfn.XLOOKUP($D64,'consolidated tracker'!$D:$D,'consolidated tracker'!T:T)</f>
        <v>0</v>
      </c>
      <c r="V64" s="33">
        <f>_xlfn.XLOOKUP($D64,'consolidated tracker'!$D:$D,'consolidated tracker'!U:U)</f>
        <v>0</v>
      </c>
      <c r="W64" s="33">
        <f>_xlfn.XLOOKUP($D64,'consolidated tracker'!$D:$D,'consolidated tracker'!V:V)</f>
        <v>0</v>
      </c>
      <c r="X64" s="33">
        <f>_xlfn.XLOOKUP($D64,'consolidated tracker'!$D:$D,'consolidated tracker'!W:W)</f>
        <v>0</v>
      </c>
      <c r="Y64" s="17"/>
      <c r="Z64" s="17"/>
      <c r="AA64" s="11"/>
      <c r="AB64" s="16"/>
    </row>
    <row r="65" spans="1:28" s="7" customFormat="1" ht="150" customHeight="1" collapsed="1" x14ac:dyDescent="1.25">
      <c r="A65" s="4"/>
      <c r="C65" s="77">
        <v>17</v>
      </c>
      <c r="D65" s="76" t="s">
        <v>127</v>
      </c>
      <c r="E65" s="49" t="str">
        <f>_xlfn.XLOOKUP(D65,'consolidated tracker'!D:D,'consolidated tracker'!E:E)</f>
        <v>RERA</v>
      </c>
      <c r="F65" s="134" t="s">
        <v>232</v>
      </c>
      <c r="G65" s="33">
        <f>_xlfn.XLOOKUP(D65,'consolidated tracker'!D:D,'consolidated tracker'!F:F)</f>
        <v>708</v>
      </c>
      <c r="H65" s="33">
        <f>_xlfn.XLOOKUP(D65,'consolidated tracker'!D:D,'consolidated tracker'!G:G)</f>
        <v>1000236910.3999999</v>
      </c>
      <c r="I65" s="33">
        <f>_xlfn.XLOOKUP(D65,'consolidated tracker'!D:D,'consolidated tracker'!H:H)</f>
        <v>278916052.25000012</v>
      </c>
      <c r="J65" s="33">
        <f>_xlfn.XLOOKUP(D65,'consolidated tracker'!D:D,'consolidated tracker'!I:I)</f>
        <v>262910344.92999995</v>
      </c>
      <c r="K65" s="33">
        <f>_xlfn.XLOOKUP(D65,'consolidated tracker'!D:D,'consolidated tracker'!J:J)</f>
        <v>28797548.059999991</v>
      </c>
      <c r="L65" s="34">
        <f>_xlfn.XLOOKUP(D65,'consolidated tracker'!D:D,'consolidated tracker'!K:K)</f>
        <v>0.94261460682924836</v>
      </c>
      <c r="M65" s="36">
        <f>_xlfn.XLOOKUP('consolidated - Offplan'!D65,'consolidated tracker'!D:D,'consolidated tracker'!L:L)</f>
        <v>16005707.289999999</v>
      </c>
      <c r="N65" s="30">
        <f>_xlfn.XLOOKUP($D65,'consolidated tracker'!$D:$D,'consolidated tracker'!M:M)</f>
        <v>692523310.08999968</v>
      </c>
      <c r="O65" s="40">
        <f>_xlfn.XLOOKUP($D65,'consolidated tracker'!$D:$D,'consolidated tracker'!N:N)</f>
        <v>129748476.5599997</v>
      </c>
      <c r="P65" s="33">
        <f>_xlfn.XLOOKUP($D65,'consolidated tracker'!$D:$D,'consolidated tracker'!O:O)</f>
        <v>136318732.25000003</v>
      </c>
      <c r="Q65" s="33">
        <f>_xlfn.XLOOKUP($D65,'consolidated tracker'!$D:$D,'consolidated tracker'!P:P)</f>
        <v>426456101.27999997</v>
      </c>
      <c r="R65" s="33">
        <f>_xlfn.XLOOKUP($D65,'consolidated tracker'!$D:$D,'consolidated tracker'!Q:Q)</f>
        <v>0</v>
      </c>
      <c r="S65" s="33">
        <f>_xlfn.XLOOKUP($D65,'consolidated tracker'!$D:$D,'consolidated tracker'!R:R)</f>
        <v>0</v>
      </c>
      <c r="T65" s="33">
        <f>_xlfn.XLOOKUP($D65,'consolidated tracker'!$D:$D,'consolidated tracker'!S:S)</f>
        <v>0</v>
      </c>
      <c r="U65" s="33">
        <f>_xlfn.XLOOKUP($D65,'consolidated tracker'!$D:$D,'consolidated tracker'!T:T)</f>
        <v>0</v>
      </c>
      <c r="V65" s="33">
        <f>_xlfn.XLOOKUP($D65,'consolidated tracker'!$D:$D,'consolidated tracker'!U:U)</f>
        <v>0</v>
      </c>
      <c r="W65" s="33">
        <f>_xlfn.XLOOKUP($D65,'consolidated tracker'!$D:$D,'consolidated tracker'!V:V)</f>
        <v>0</v>
      </c>
      <c r="X65" s="33">
        <f>_xlfn.XLOOKUP($D65,'consolidated tracker'!$D:$D,'consolidated tracker'!W:W)</f>
        <v>0</v>
      </c>
      <c r="Y65" s="17"/>
      <c r="Z65" s="17"/>
      <c r="AA65" s="11"/>
      <c r="AB65" s="16"/>
    </row>
    <row r="66" spans="1:28" s="7" customFormat="1" ht="150" hidden="1" customHeight="1" outlineLevel="1" x14ac:dyDescent="1.25">
      <c r="A66" s="4"/>
      <c r="C66" s="77"/>
      <c r="D66" s="104" t="s">
        <v>126</v>
      </c>
      <c r="E66" s="49" t="str">
        <f>_xlfn.XLOOKUP(D66,'consolidated tracker'!D:D,'consolidated tracker'!E:E)</f>
        <v>RERA</v>
      </c>
      <c r="F66" s="134">
        <v>46934</v>
      </c>
      <c r="G66" s="33">
        <f>_xlfn.XLOOKUP(D66,'consolidated tracker'!D:D,'consolidated tracker'!F:F)</f>
        <v>305</v>
      </c>
      <c r="H66" s="33">
        <f>_xlfn.XLOOKUP(D66,'consolidated tracker'!D:D,'consolidated tracker'!G:G)</f>
        <v>432495610.51000011</v>
      </c>
      <c r="I66" s="33">
        <f>_xlfn.XLOOKUP(D66,'consolidated tracker'!D:D,'consolidated tracker'!H:H)</f>
        <v>117738816.98000003</v>
      </c>
      <c r="J66" s="33">
        <f>_xlfn.XLOOKUP(D66,'consolidated tracker'!D:D,'consolidated tracker'!I:I)</f>
        <v>111460705.22999994</v>
      </c>
      <c r="K66" s="33">
        <f>_xlfn.XLOOKUP(D66,'consolidated tracker'!D:D,'consolidated tracker'!J:J)</f>
        <v>17410617.129999992</v>
      </c>
      <c r="L66" s="34">
        <f>_xlfn.XLOOKUP(D66,'consolidated tracker'!D:D,'consolidated tracker'!K:K)</f>
        <v>0.94667763859843657</v>
      </c>
      <c r="M66" s="36">
        <f>_xlfn.XLOOKUP('consolidated - Offplan'!D66,'consolidated tracker'!D:D,'consolidated tracker'!L:L)</f>
        <v>6278111.7200000007</v>
      </c>
      <c r="N66" s="30">
        <f>_xlfn.XLOOKUP($D66,'consolidated tracker'!$D:$D,'consolidated tracker'!M:M)</f>
        <v>297346176.4000001</v>
      </c>
      <c r="O66" s="40">
        <f>_xlfn.XLOOKUP($D66,'consolidated tracker'!$D:$D,'consolidated tracker'!N:N)</f>
        <v>53733959.850000173</v>
      </c>
      <c r="P66" s="33">
        <f>_xlfn.XLOOKUP($D66,'consolidated tracker'!$D:$D,'consolidated tracker'!O:O)</f>
        <v>58853132.390000023</v>
      </c>
      <c r="Q66" s="33">
        <f>_xlfn.XLOOKUP($D66,'consolidated tracker'!$D:$D,'consolidated tracker'!P:P)</f>
        <v>184759084.15999991</v>
      </c>
      <c r="R66" s="33">
        <f>_xlfn.XLOOKUP($D66,'consolidated tracker'!$D:$D,'consolidated tracker'!Q:Q)</f>
        <v>0</v>
      </c>
      <c r="S66" s="33">
        <f>_xlfn.XLOOKUP($D66,'consolidated tracker'!$D:$D,'consolidated tracker'!R:R)</f>
        <v>0</v>
      </c>
      <c r="T66" s="33">
        <f>_xlfn.XLOOKUP($D66,'consolidated tracker'!$D:$D,'consolidated tracker'!S:S)</f>
        <v>0</v>
      </c>
      <c r="U66" s="33">
        <f>_xlfn.XLOOKUP($D66,'consolidated tracker'!$D:$D,'consolidated tracker'!T:T)</f>
        <v>0</v>
      </c>
      <c r="V66" s="33">
        <f>_xlfn.XLOOKUP($D66,'consolidated tracker'!$D:$D,'consolidated tracker'!U:U)</f>
        <v>0</v>
      </c>
      <c r="W66" s="33">
        <f>_xlfn.XLOOKUP($D66,'consolidated tracker'!$D:$D,'consolidated tracker'!V:V)</f>
        <v>0</v>
      </c>
      <c r="X66" s="33">
        <f>_xlfn.XLOOKUP($D66,'consolidated tracker'!$D:$D,'consolidated tracker'!W:W)</f>
        <v>0</v>
      </c>
      <c r="Y66" s="17"/>
      <c r="Z66" s="17"/>
      <c r="AA66" s="11"/>
      <c r="AB66" s="16"/>
    </row>
    <row r="67" spans="1:28" s="7" customFormat="1" ht="150" hidden="1" customHeight="1" outlineLevel="1" x14ac:dyDescent="1.25">
      <c r="A67" s="4"/>
      <c r="C67" s="77"/>
      <c r="D67" s="94" t="s">
        <v>125</v>
      </c>
      <c r="E67" s="49" t="str">
        <f>_xlfn.XLOOKUP(D67,'consolidated tracker'!D:D,'consolidated tracker'!E:E)</f>
        <v>RERA</v>
      </c>
      <c r="F67" s="134">
        <v>46934</v>
      </c>
      <c r="G67" s="33">
        <f>_xlfn.XLOOKUP(D67,'consolidated tracker'!D:D,'consolidated tracker'!F:F)</f>
        <v>216</v>
      </c>
      <c r="H67" s="33">
        <f>_xlfn.XLOOKUP(D67,'consolidated tracker'!D:D,'consolidated tracker'!G:G)</f>
        <v>301629919.64999968</v>
      </c>
      <c r="I67" s="33">
        <f>_xlfn.XLOOKUP(D67,'consolidated tracker'!D:D,'consolidated tracker'!H:H)</f>
        <v>82270210.280000076</v>
      </c>
      <c r="J67" s="33">
        <f>_xlfn.XLOOKUP(D67,'consolidated tracker'!D:D,'consolidated tracker'!I:I)</f>
        <v>78228180.019999981</v>
      </c>
      <c r="K67" s="33">
        <f>_xlfn.XLOOKUP(D67,'consolidated tracker'!D:D,'consolidated tracker'!J:J)</f>
        <v>6266361.2000000011</v>
      </c>
      <c r="L67" s="34">
        <f>_xlfn.XLOOKUP(D67,'consolidated tracker'!D:D,'consolidated tracker'!K:K)</f>
        <v>0.95086884734774146</v>
      </c>
      <c r="M67" s="36">
        <f>_xlfn.XLOOKUP('consolidated - Offplan'!D67,'consolidated tracker'!D:D,'consolidated tracker'!L:L)</f>
        <v>4042030.26</v>
      </c>
      <c r="N67" s="30">
        <f>_xlfn.XLOOKUP($D67,'consolidated tracker'!$D:$D,'consolidated tracker'!M:M)</f>
        <v>213093348.1699996</v>
      </c>
      <c r="O67" s="40">
        <f>_xlfn.XLOOKUP($D67,'consolidated tracker'!$D:$D,'consolidated tracker'!N:N)</f>
        <v>39185501.739999473</v>
      </c>
      <c r="P67" s="33">
        <f>_xlfn.XLOOKUP($D67,'consolidated tracker'!$D:$D,'consolidated tracker'!O:O)</f>
        <v>43208141.860000014</v>
      </c>
      <c r="Q67" s="33">
        <f>_xlfn.XLOOKUP($D67,'consolidated tracker'!$D:$D,'consolidated tracker'!P:P)</f>
        <v>130699704.5700001</v>
      </c>
      <c r="R67" s="33">
        <f>_xlfn.XLOOKUP($D67,'consolidated tracker'!$D:$D,'consolidated tracker'!Q:Q)</f>
        <v>0</v>
      </c>
      <c r="S67" s="33">
        <f>_xlfn.XLOOKUP($D67,'consolidated tracker'!$D:$D,'consolidated tracker'!R:R)</f>
        <v>0</v>
      </c>
      <c r="T67" s="33">
        <f>_xlfn.XLOOKUP($D67,'consolidated tracker'!$D:$D,'consolidated tracker'!S:S)</f>
        <v>0</v>
      </c>
      <c r="U67" s="33">
        <f>_xlfn.XLOOKUP($D67,'consolidated tracker'!$D:$D,'consolidated tracker'!T:T)</f>
        <v>0</v>
      </c>
      <c r="V67" s="33">
        <f>_xlfn.XLOOKUP($D67,'consolidated tracker'!$D:$D,'consolidated tracker'!U:U)</f>
        <v>0</v>
      </c>
      <c r="W67" s="33">
        <f>_xlfn.XLOOKUP($D67,'consolidated tracker'!$D:$D,'consolidated tracker'!V:V)</f>
        <v>0</v>
      </c>
      <c r="X67" s="33">
        <f>_xlfn.XLOOKUP($D67,'consolidated tracker'!$D:$D,'consolidated tracker'!W:W)</f>
        <v>0</v>
      </c>
      <c r="Y67" s="17"/>
      <c r="Z67" s="17"/>
      <c r="AA67" s="11"/>
      <c r="AB67" s="16"/>
    </row>
    <row r="68" spans="1:28" s="7" customFormat="1" ht="150" hidden="1" customHeight="1" outlineLevel="1" x14ac:dyDescent="1.25">
      <c r="A68" s="4"/>
      <c r="C68" s="77"/>
      <c r="D68" s="94" t="s">
        <v>124</v>
      </c>
      <c r="E68" s="49" t="str">
        <f>_xlfn.XLOOKUP(D68,'consolidated tracker'!D:D,'consolidated tracker'!E:E)</f>
        <v>RERA</v>
      </c>
      <c r="F68" s="134">
        <v>46934</v>
      </c>
      <c r="G68" s="33">
        <f>_xlfn.XLOOKUP(D68,'consolidated tracker'!D:D,'consolidated tracker'!F:F)</f>
        <v>187</v>
      </c>
      <c r="H68" s="33">
        <f>_xlfn.XLOOKUP(D68,'consolidated tracker'!D:D,'consolidated tracker'!G:G)</f>
        <v>266111380.24000001</v>
      </c>
      <c r="I68" s="33">
        <f>_xlfn.XLOOKUP(D68,'consolidated tracker'!D:D,'consolidated tracker'!H:H)</f>
        <v>78907024.99000001</v>
      </c>
      <c r="J68" s="33">
        <f>_xlfn.XLOOKUP(D68,'consolidated tracker'!D:D,'consolidated tracker'!I:I)</f>
        <v>73221459.680000007</v>
      </c>
      <c r="K68" s="33">
        <f>_xlfn.XLOOKUP(D68,'consolidated tracker'!D:D,'consolidated tracker'!J:J)</f>
        <v>5120569.7300000014</v>
      </c>
      <c r="L68" s="34">
        <f>_xlfn.XLOOKUP(D68,'consolidated tracker'!D:D,'consolidated tracker'!K:K)</f>
        <v>0.92794601861215098</v>
      </c>
      <c r="M68" s="36">
        <f>_xlfn.XLOOKUP('consolidated - Offplan'!D68,'consolidated tracker'!D:D,'consolidated tracker'!L:L)</f>
        <v>5685565.3099999996</v>
      </c>
      <c r="N68" s="30">
        <f>_xlfn.XLOOKUP($D68,'consolidated tracker'!$D:$D,'consolidated tracker'!M:M)</f>
        <v>182083785.51999998</v>
      </c>
      <c r="O68" s="40">
        <f>_xlfn.XLOOKUP($D68,'consolidated tracker'!$D:$D,'consolidated tracker'!N:N)</f>
        <v>36829014.969999999</v>
      </c>
      <c r="P68" s="33">
        <f>_xlfn.XLOOKUP($D68,'consolidated tracker'!$D:$D,'consolidated tracker'!O:O)</f>
        <v>34257458.000000007</v>
      </c>
      <c r="Q68" s="33">
        <f>_xlfn.XLOOKUP($D68,'consolidated tracker'!$D:$D,'consolidated tracker'!P:P)</f>
        <v>110997312.54999997</v>
      </c>
      <c r="R68" s="33">
        <f>_xlfn.XLOOKUP($D68,'consolidated tracker'!$D:$D,'consolidated tracker'!Q:Q)</f>
        <v>0</v>
      </c>
      <c r="S68" s="33">
        <f>_xlfn.XLOOKUP($D68,'consolidated tracker'!$D:$D,'consolidated tracker'!R:R)</f>
        <v>0</v>
      </c>
      <c r="T68" s="33">
        <f>_xlfn.XLOOKUP($D68,'consolidated tracker'!$D:$D,'consolidated tracker'!S:S)</f>
        <v>0</v>
      </c>
      <c r="U68" s="33">
        <f>_xlfn.XLOOKUP($D68,'consolidated tracker'!$D:$D,'consolidated tracker'!T:T)</f>
        <v>0</v>
      </c>
      <c r="V68" s="33">
        <f>_xlfn.XLOOKUP($D68,'consolidated tracker'!$D:$D,'consolidated tracker'!U:U)</f>
        <v>0</v>
      </c>
      <c r="W68" s="33">
        <f>_xlfn.XLOOKUP($D68,'consolidated tracker'!$D:$D,'consolidated tracker'!V:V)</f>
        <v>0</v>
      </c>
      <c r="X68" s="33">
        <f>_xlfn.XLOOKUP($D68,'consolidated tracker'!$D:$D,'consolidated tracker'!W:W)</f>
        <v>0</v>
      </c>
      <c r="Y68" s="17"/>
      <c r="Z68" s="17"/>
      <c r="AA68" s="11"/>
      <c r="AB68" s="16"/>
    </row>
    <row r="69" spans="1:28" s="7" customFormat="1" ht="150" customHeight="1" collapsed="1" x14ac:dyDescent="1.25">
      <c r="A69" s="4"/>
      <c r="C69" s="77">
        <v>18</v>
      </c>
      <c r="D69" s="76" t="s">
        <v>123</v>
      </c>
      <c r="E69" s="49" t="str">
        <f>_xlfn.XLOOKUP(D69,'consolidated tracker'!D:D,'consolidated tracker'!E:E)</f>
        <v>RERA</v>
      </c>
      <c r="F69" s="134">
        <v>47483</v>
      </c>
      <c r="G69" s="33">
        <f>_xlfn.XLOOKUP(D69,'consolidated tracker'!D:D,'consolidated tracker'!F:F)</f>
        <v>672</v>
      </c>
      <c r="H69" s="33">
        <f>_xlfn.XLOOKUP(D69,'consolidated tracker'!D:D,'consolidated tracker'!G:G)</f>
        <v>1599366651.0000005</v>
      </c>
      <c r="I69" s="33">
        <f>_xlfn.XLOOKUP(D69,'consolidated tracker'!D:D,'consolidated tracker'!H:H)</f>
        <v>315579971.6600005</v>
      </c>
      <c r="J69" s="33">
        <f>_xlfn.XLOOKUP(D69,'consolidated tracker'!D:D,'consolidated tracker'!I:I)</f>
        <v>309757309.13999975</v>
      </c>
      <c r="K69" s="33">
        <f>_xlfn.XLOOKUP(D69,'consolidated tracker'!D:D,'consolidated tracker'!J:J)</f>
        <v>47734481.490000054</v>
      </c>
      <c r="L69" s="34">
        <f>_xlfn.XLOOKUP(D69,'consolidated tracker'!D:D,'consolidated tracker'!K:K)</f>
        <v>0.98154932808513595</v>
      </c>
      <c r="M69" s="36">
        <f>_xlfn.XLOOKUP('consolidated - Offplan'!D69,'consolidated tracker'!D:D,'consolidated tracker'!L:L)</f>
        <v>5822662.3200000003</v>
      </c>
      <c r="N69" s="30">
        <f>_xlfn.XLOOKUP($D69,'consolidated tracker'!$D:$D,'consolidated tracker'!M:M)</f>
        <v>1236052197.8499999</v>
      </c>
      <c r="O69" s="40">
        <f>_xlfn.XLOOKUP($D69,'consolidated tracker'!$D:$D,'consolidated tracker'!N:N)</f>
        <v>133071202.69000101</v>
      </c>
      <c r="P69" s="33">
        <f>_xlfn.XLOOKUP($D69,'consolidated tracker'!$D:$D,'consolidated tracker'!O:O)</f>
        <v>154417417.26999974</v>
      </c>
      <c r="Q69" s="33">
        <f>_xlfn.XLOOKUP($D69,'consolidated tracker'!$D:$D,'consolidated tracker'!P:P)</f>
        <v>254592072.25000003</v>
      </c>
      <c r="R69" s="33">
        <f>_xlfn.XLOOKUP($D69,'consolidated tracker'!$D:$D,'consolidated tracker'!Q:Q)</f>
        <v>693971505.63999903</v>
      </c>
      <c r="S69" s="33">
        <f>_xlfn.XLOOKUP($D69,'consolidated tracker'!$D:$D,'consolidated tracker'!R:R)</f>
        <v>0</v>
      </c>
      <c r="T69" s="33">
        <f>_xlfn.XLOOKUP($D69,'consolidated tracker'!$D:$D,'consolidated tracker'!S:S)</f>
        <v>0</v>
      </c>
      <c r="U69" s="33">
        <f>_xlfn.XLOOKUP($D69,'consolidated tracker'!$D:$D,'consolidated tracker'!T:T)</f>
        <v>0</v>
      </c>
      <c r="V69" s="33">
        <f>_xlfn.XLOOKUP($D69,'consolidated tracker'!$D:$D,'consolidated tracker'!U:U)</f>
        <v>0</v>
      </c>
      <c r="W69" s="33">
        <f>_xlfn.XLOOKUP($D69,'consolidated tracker'!$D:$D,'consolidated tracker'!V:V)</f>
        <v>0</v>
      </c>
      <c r="X69" s="33">
        <f>_xlfn.XLOOKUP($D69,'consolidated tracker'!$D:$D,'consolidated tracker'!W:W)</f>
        <v>0</v>
      </c>
      <c r="Y69" s="17"/>
      <c r="Z69" s="17"/>
      <c r="AA69" s="11"/>
      <c r="AB69" s="16"/>
    </row>
    <row r="70" spans="1:28" s="7" customFormat="1" ht="150" customHeight="1" x14ac:dyDescent="1.25">
      <c r="A70" s="4"/>
      <c r="C70" s="77">
        <v>19</v>
      </c>
      <c r="D70" s="76" t="s">
        <v>122</v>
      </c>
      <c r="E70" s="49" t="str">
        <f>_xlfn.XLOOKUP(D70,'consolidated tracker'!D:D,'consolidated tracker'!E:E)</f>
        <v>RERA</v>
      </c>
      <c r="F70" s="134">
        <v>47483</v>
      </c>
      <c r="G70" s="33">
        <f>_xlfn.XLOOKUP(D70,'consolidated tracker'!D:D,'consolidated tracker'!F:F)</f>
        <v>368</v>
      </c>
      <c r="H70" s="33">
        <f>_xlfn.XLOOKUP(D70,'consolidated tracker'!D:D,'consolidated tracker'!G:G)</f>
        <v>815006748.8999995</v>
      </c>
      <c r="I70" s="33">
        <f>_xlfn.XLOOKUP(D70,'consolidated tracker'!D:D,'consolidated tracker'!H:H)</f>
        <v>162408311.98000008</v>
      </c>
      <c r="J70" s="33">
        <f>_xlfn.XLOOKUP(D70,'consolidated tracker'!D:D,'consolidated tracker'!I:I)</f>
        <v>159823019.47000015</v>
      </c>
      <c r="K70" s="33">
        <f>_xlfn.XLOOKUP(D70,'consolidated tracker'!D:D,'consolidated tracker'!J:J)</f>
        <v>9155167.0500000026</v>
      </c>
      <c r="L70" s="34">
        <f>_xlfn.XLOOKUP(D70,'consolidated tracker'!D:D,'consolidated tracker'!K:K)</f>
        <v>0.98408152588693676</v>
      </c>
      <c r="M70" s="36">
        <f>_xlfn.XLOOKUP('consolidated - Offplan'!D70,'consolidated tracker'!D:D,'consolidated tracker'!L:L)</f>
        <v>2585292.5100000002</v>
      </c>
      <c r="N70" s="30">
        <f>_xlfn.XLOOKUP($D70,'consolidated tracker'!$D:$D,'consolidated tracker'!M:M)</f>
        <v>643443269.86999941</v>
      </c>
      <c r="O70" s="40">
        <f>_xlfn.XLOOKUP($D70,'consolidated tracker'!$D:$D,'consolidated tracker'!N:N)</f>
        <v>72696838.599998951</v>
      </c>
      <c r="P70" s="33">
        <f>_xlfn.XLOOKUP($D70,'consolidated tracker'!$D:$D,'consolidated tracker'!O:O)</f>
        <v>79684748.500000015</v>
      </c>
      <c r="Q70" s="33">
        <f>_xlfn.XLOOKUP($D70,'consolidated tracker'!$D:$D,'consolidated tracker'!P:P)</f>
        <v>127979495.55000024</v>
      </c>
      <c r="R70" s="33">
        <f>_xlfn.XLOOKUP($D70,'consolidated tracker'!$D:$D,'consolidated tracker'!Q:Q)</f>
        <v>363082187.22000021</v>
      </c>
      <c r="S70" s="33">
        <f>_xlfn.XLOOKUP($D70,'consolidated tracker'!$D:$D,'consolidated tracker'!R:R)</f>
        <v>0</v>
      </c>
      <c r="T70" s="33">
        <f>_xlfn.XLOOKUP($D70,'consolidated tracker'!$D:$D,'consolidated tracker'!S:S)</f>
        <v>0</v>
      </c>
      <c r="U70" s="33">
        <f>_xlfn.XLOOKUP($D70,'consolidated tracker'!$D:$D,'consolidated tracker'!T:T)</f>
        <v>0</v>
      </c>
      <c r="V70" s="33">
        <f>_xlfn.XLOOKUP($D70,'consolidated tracker'!$D:$D,'consolidated tracker'!U:U)</f>
        <v>0</v>
      </c>
      <c r="W70" s="33">
        <f>_xlfn.XLOOKUP($D70,'consolidated tracker'!$D:$D,'consolidated tracker'!V:V)</f>
        <v>0</v>
      </c>
      <c r="X70" s="33">
        <f>_xlfn.XLOOKUP($D70,'consolidated tracker'!$D:$D,'consolidated tracker'!W:W)</f>
        <v>0</v>
      </c>
      <c r="Y70" s="17"/>
      <c r="Z70" s="17"/>
      <c r="AA70" s="11"/>
      <c r="AB70" s="16"/>
    </row>
    <row r="71" spans="1:28" s="7" customFormat="1" ht="150" customHeight="1" thickBot="1" x14ac:dyDescent="1.3">
      <c r="A71" s="4"/>
      <c r="C71" s="77">
        <v>20</v>
      </c>
      <c r="D71" s="76" t="s">
        <v>121</v>
      </c>
      <c r="E71" s="49" t="str">
        <f>_xlfn.XLOOKUP(D71,'consolidated tracker'!D:D,'consolidated tracker'!E:E)</f>
        <v>RERA</v>
      </c>
      <c r="F71" s="134" t="s">
        <v>232</v>
      </c>
      <c r="G71" s="33">
        <f>_xlfn.XLOOKUP(D71,'consolidated tracker'!D:D,'consolidated tracker'!F:F)</f>
        <v>3423</v>
      </c>
      <c r="H71" s="33">
        <f>_xlfn.XLOOKUP(D71,'consolidated tracker'!D:D,'consolidated tracker'!G:G)</f>
        <v>6111875456.7699995</v>
      </c>
      <c r="I71" s="33">
        <f>_xlfn.XLOOKUP(D71,'consolidated tracker'!D:D,'consolidated tracker'!H:H)</f>
        <v>2297616634.4300003</v>
      </c>
      <c r="J71" s="33">
        <f>_xlfn.XLOOKUP(D71,'consolidated tracker'!D:D,'consolidated tracker'!I:I)</f>
        <v>2192217726.75</v>
      </c>
      <c r="K71" s="33">
        <f>_xlfn.XLOOKUP(D71,'consolidated tracker'!D:D,'consolidated tracker'!J:J)</f>
        <v>148563911.60000002</v>
      </c>
      <c r="L71" s="34">
        <f>_xlfn.XLOOKUP(D71,'consolidated tracker'!D:D,'consolidated tracker'!K:K)</f>
        <v>0.95412685210378967</v>
      </c>
      <c r="M71" s="36">
        <f>_xlfn.XLOOKUP('consolidated - Offplan'!D71,'consolidated tracker'!D:D,'consolidated tracker'!L:L)</f>
        <v>105491297.08000001</v>
      </c>
      <c r="N71" s="30">
        <f>_xlfn.XLOOKUP($D71,'consolidated tracker'!$D:$D,'consolidated tracker'!M:M)</f>
        <v>3665694910.7399993</v>
      </c>
      <c r="O71" s="40">
        <f>_xlfn.XLOOKUP($D71,'consolidated tracker'!$D:$D,'consolidated tracker'!N:N)</f>
        <v>706203550.33999908</v>
      </c>
      <c r="P71" s="33">
        <f>_xlfn.XLOOKUP($D71,'consolidated tracker'!$D:$D,'consolidated tracker'!O:O)</f>
        <v>1123206432.1900005</v>
      </c>
      <c r="Q71" s="33">
        <f>_xlfn.XLOOKUP($D71,'consolidated tracker'!$D:$D,'consolidated tracker'!P:P)</f>
        <v>1351594632</v>
      </c>
      <c r="R71" s="33">
        <f>_xlfn.XLOOKUP($D71,'consolidated tracker'!$D:$D,'consolidated tracker'!Q:Q)</f>
        <v>447289209.63999999</v>
      </c>
      <c r="S71" s="33">
        <f>_xlfn.XLOOKUP($D71,'consolidated tracker'!$D:$D,'consolidated tracker'!R:R)</f>
        <v>37401086.57</v>
      </c>
      <c r="T71" s="33">
        <f>_xlfn.XLOOKUP($D71,'consolidated tracker'!$D:$D,'consolidated tracker'!S:S)</f>
        <v>0</v>
      </c>
      <c r="U71" s="33">
        <f>_xlfn.XLOOKUP($D71,'consolidated tracker'!$D:$D,'consolidated tracker'!T:T)</f>
        <v>0</v>
      </c>
      <c r="V71" s="33">
        <f>_xlfn.XLOOKUP($D71,'consolidated tracker'!$D:$D,'consolidated tracker'!U:U)</f>
        <v>0</v>
      </c>
      <c r="W71" s="33">
        <f>_xlfn.XLOOKUP($D71,'consolidated tracker'!$D:$D,'consolidated tracker'!V:V)</f>
        <v>0</v>
      </c>
      <c r="X71" s="33">
        <f>_xlfn.XLOOKUP($D71,'consolidated tracker'!$D:$D,'consolidated tracker'!W:W)</f>
        <v>0</v>
      </c>
      <c r="Y71" s="17"/>
      <c r="Z71" s="17"/>
      <c r="AA71" s="11"/>
      <c r="AB71" s="16"/>
    </row>
    <row r="72" spans="1:28" s="7" customFormat="1" ht="150" hidden="1" customHeight="1" outlineLevel="1" x14ac:dyDescent="1.25">
      <c r="A72" s="4"/>
      <c r="C72" s="77"/>
      <c r="D72" s="135" t="s">
        <v>120</v>
      </c>
      <c r="E72" s="49" t="str">
        <f>_xlfn.XLOOKUP(D72,'consolidated tracker'!D:D,'consolidated tracker'!E:E)</f>
        <v>RERA</v>
      </c>
      <c r="F72" s="134" t="s">
        <v>232</v>
      </c>
      <c r="G72" s="33">
        <f>_xlfn.XLOOKUP(D72,'consolidated tracker'!D:D,'consolidated tracker'!F:F)</f>
        <v>527</v>
      </c>
      <c r="H72" s="33">
        <f>_xlfn.XLOOKUP(D72,'consolidated tracker'!D:D,'consolidated tracker'!G:G)</f>
        <v>851990943.81999958</v>
      </c>
      <c r="I72" s="33">
        <f>_xlfn.XLOOKUP(D72,'consolidated tracker'!D:D,'consolidated tracker'!H:H)</f>
        <v>389768741.93000019</v>
      </c>
      <c r="J72" s="33">
        <f>_xlfn.XLOOKUP(D72,'consolidated tracker'!D:D,'consolidated tracker'!I:I)</f>
        <v>374607675.94000012</v>
      </c>
      <c r="K72" s="33">
        <f>_xlfn.XLOOKUP(D72,'consolidated tracker'!D:D,'consolidated tracker'!J:J)</f>
        <v>13696896.129999999</v>
      </c>
      <c r="L72" s="34">
        <f>_xlfn.XLOOKUP(D72,'consolidated tracker'!D:D,'consolidated tracker'!K:K)</f>
        <v>0.96110240673757541</v>
      </c>
      <c r="M72" s="36">
        <f>_xlfn.XLOOKUP('consolidated - Offplan'!D72,'consolidated tracker'!D:D,'consolidated tracker'!L:L)</f>
        <v>15161065.989999998</v>
      </c>
      <c r="N72" s="30">
        <f>_xlfn.XLOOKUP($D72,'consolidated tracker'!$D:$D,'consolidated tracker'!M:M)</f>
        <v>448525305.75999939</v>
      </c>
      <c r="O72" s="40">
        <f>_xlfn.XLOOKUP($D72,'consolidated tracker'!$D:$D,'consolidated tracker'!N:N)</f>
        <v>87772944.179999322</v>
      </c>
      <c r="P72" s="33">
        <f>_xlfn.XLOOKUP($D72,'consolidated tracker'!$D:$D,'consolidated tracker'!O:O)</f>
        <v>360752361.58000004</v>
      </c>
      <c r="Q72" s="33">
        <f>_xlfn.XLOOKUP($D72,'consolidated tracker'!$D:$D,'consolidated tracker'!P:P)</f>
        <v>0</v>
      </c>
      <c r="R72" s="33">
        <f>_xlfn.XLOOKUP($D72,'consolidated tracker'!$D:$D,'consolidated tracker'!Q:Q)</f>
        <v>0</v>
      </c>
      <c r="S72" s="33">
        <f>_xlfn.XLOOKUP($D72,'consolidated tracker'!$D:$D,'consolidated tracker'!R:R)</f>
        <v>0</v>
      </c>
      <c r="T72" s="33">
        <f>_xlfn.XLOOKUP($D72,'consolidated tracker'!$D:$D,'consolidated tracker'!S:S)</f>
        <v>0</v>
      </c>
      <c r="U72" s="33">
        <f>_xlfn.XLOOKUP($D72,'consolidated tracker'!$D:$D,'consolidated tracker'!T:T)</f>
        <v>0</v>
      </c>
      <c r="V72" s="33">
        <f>_xlfn.XLOOKUP($D72,'consolidated tracker'!$D:$D,'consolidated tracker'!U:U)</f>
        <v>0</v>
      </c>
      <c r="W72" s="33">
        <f>_xlfn.XLOOKUP($D72,'consolidated tracker'!$D:$D,'consolidated tracker'!V:V)</f>
        <v>0</v>
      </c>
      <c r="X72" s="33">
        <f>_xlfn.XLOOKUP($D72,'consolidated tracker'!$D:$D,'consolidated tracker'!W:W)</f>
        <v>0</v>
      </c>
      <c r="Y72" s="17"/>
      <c r="Z72" s="17"/>
      <c r="AA72" s="11"/>
      <c r="AB72" s="16"/>
    </row>
    <row r="73" spans="1:28" s="7" customFormat="1" ht="150" hidden="1" customHeight="1" outlineLevel="2" x14ac:dyDescent="1.25">
      <c r="A73" s="4"/>
      <c r="C73" s="77"/>
      <c r="D73" s="135" t="s">
        <v>119</v>
      </c>
      <c r="E73" s="49" t="str">
        <f>_xlfn.XLOOKUP(D73,'consolidated tracker'!D:D,'consolidated tracker'!E:E)</f>
        <v>RERA</v>
      </c>
      <c r="F73" s="134">
        <v>46752</v>
      </c>
      <c r="G73" s="33">
        <f>_xlfn.XLOOKUP(D73,'consolidated tracker'!D:D,'consolidated tracker'!F:F)</f>
        <v>113</v>
      </c>
      <c r="H73" s="33">
        <f>_xlfn.XLOOKUP(D73,'consolidated tracker'!D:D,'consolidated tracker'!G:G)</f>
        <v>170716643.01999995</v>
      </c>
      <c r="I73" s="33">
        <f>_xlfn.XLOOKUP(D73,'consolidated tracker'!D:D,'consolidated tracker'!H:H)</f>
        <v>77822635.330000117</v>
      </c>
      <c r="J73" s="33">
        <f>_xlfn.XLOOKUP(D73,'consolidated tracker'!D:D,'consolidated tracker'!I:I)</f>
        <v>74900557.380000025</v>
      </c>
      <c r="K73" s="33">
        <f>_xlfn.XLOOKUP(D73,'consolidated tracker'!D:D,'consolidated tracker'!J:J)</f>
        <v>1929415.8199999998</v>
      </c>
      <c r="L73" s="34">
        <f>_xlfn.XLOOKUP(D73,'consolidated tracker'!D:D,'consolidated tracker'!K:K)</f>
        <v>0.96245208174190866</v>
      </c>
      <c r="M73" s="36">
        <f>_xlfn.XLOOKUP('consolidated - Offplan'!D73,'consolidated tracker'!D:D,'consolidated tracker'!L:L)</f>
        <v>2922077.95</v>
      </c>
      <c r="N73" s="30">
        <f>_xlfn.XLOOKUP($D73,'consolidated tracker'!$D:$D,'consolidated tracker'!M:M)</f>
        <v>90964591.869999841</v>
      </c>
      <c r="O73" s="40">
        <f>_xlfn.XLOOKUP($D73,'consolidated tracker'!$D:$D,'consolidated tracker'!N:N)</f>
        <v>18811683.489999831</v>
      </c>
      <c r="P73" s="33">
        <f>_xlfn.XLOOKUP($D73,'consolidated tracker'!$D:$D,'consolidated tracker'!O:O)</f>
        <v>72152908.38000001</v>
      </c>
      <c r="Q73" s="33">
        <f>_xlfn.XLOOKUP($D73,'consolidated tracker'!$D:$D,'consolidated tracker'!P:P)</f>
        <v>0</v>
      </c>
      <c r="R73" s="33">
        <f>_xlfn.XLOOKUP($D73,'consolidated tracker'!$D:$D,'consolidated tracker'!Q:Q)</f>
        <v>0</v>
      </c>
      <c r="S73" s="33">
        <f>_xlfn.XLOOKUP($D73,'consolidated tracker'!$D:$D,'consolidated tracker'!R:R)</f>
        <v>0</v>
      </c>
      <c r="T73" s="33">
        <f>_xlfn.XLOOKUP($D73,'consolidated tracker'!$D:$D,'consolidated tracker'!S:S)</f>
        <v>0</v>
      </c>
      <c r="U73" s="33">
        <f>_xlfn.XLOOKUP($D73,'consolidated tracker'!$D:$D,'consolidated tracker'!T:T)</f>
        <v>0</v>
      </c>
      <c r="V73" s="33">
        <f>_xlfn.XLOOKUP($D73,'consolidated tracker'!$D:$D,'consolidated tracker'!U:U)</f>
        <v>0</v>
      </c>
      <c r="W73" s="33">
        <f>_xlfn.XLOOKUP($D73,'consolidated tracker'!$D:$D,'consolidated tracker'!V:V)</f>
        <v>0</v>
      </c>
      <c r="X73" s="33">
        <f>_xlfn.XLOOKUP($D73,'consolidated tracker'!$D:$D,'consolidated tracker'!W:W)</f>
        <v>0</v>
      </c>
      <c r="Y73" s="17"/>
      <c r="Z73" s="17"/>
      <c r="AA73" s="11"/>
      <c r="AB73" s="16"/>
    </row>
    <row r="74" spans="1:28" s="7" customFormat="1" ht="150" hidden="1" customHeight="1" outlineLevel="2" x14ac:dyDescent="1.25">
      <c r="A74" s="4"/>
      <c r="C74" s="77"/>
      <c r="D74" s="135" t="s">
        <v>118</v>
      </c>
      <c r="E74" s="49" t="str">
        <f>_xlfn.XLOOKUP(D74,'consolidated tracker'!D:D,'consolidated tracker'!E:E)</f>
        <v>RERA</v>
      </c>
      <c r="F74" s="134">
        <v>46752</v>
      </c>
      <c r="G74" s="33">
        <f>_xlfn.XLOOKUP(D74,'consolidated tracker'!D:D,'consolidated tracker'!F:F)</f>
        <v>281</v>
      </c>
      <c r="H74" s="33">
        <f>_xlfn.XLOOKUP(D74,'consolidated tracker'!D:D,'consolidated tracker'!G:G)</f>
        <v>406691809.55999959</v>
      </c>
      <c r="I74" s="33">
        <f>_xlfn.XLOOKUP(D74,'consolidated tracker'!D:D,'consolidated tracker'!H:H)</f>
        <v>187198845.75999978</v>
      </c>
      <c r="J74" s="33">
        <f>_xlfn.XLOOKUP(D74,'consolidated tracker'!D:D,'consolidated tracker'!I:I)</f>
        <v>179308748.24000004</v>
      </c>
      <c r="K74" s="33">
        <f>_xlfn.XLOOKUP(D74,'consolidated tracker'!D:D,'consolidated tracker'!J:J)</f>
        <v>4535574.1499999994</v>
      </c>
      <c r="L74" s="34">
        <f>_xlfn.XLOOKUP(D74,'consolidated tracker'!D:D,'consolidated tracker'!K:K)</f>
        <v>0.95785178328441556</v>
      </c>
      <c r="M74" s="36">
        <f>_xlfn.XLOOKUP('consolidated - Offplan'!D74,'consolidated tracker'!D:D,'consolidated tracker'!L:L)</f>
        <v>7890097.5199999996</v>
      </c>
      <c r="N74" s="30">
        <f>_xlfn.XLOOKUP($D74,'consolidated tracker'!$D:$D,'consolidated tracker'!M:M)</f>
        <v>214957389.6499998</v>
      </c>
      <c r="O74" s="40">
        <f>_xlfn.XLOOKUP($D74,'consolidated tracker'!$D:$D,'consolidated tracker'!N:N)</f>
        <v>40717952.579999715</v>
      </c>
      <c r="P74" s="33">
        <f>_xlfn.XLOOKUP($D74,'consolidated tracker'!$D:$D,'consolidated tracker'!O:O)</f>
        <v>174239437.07000008</v>
      </c>
      <c r="Q74" s="33">
        <f>_xlfn.XLOOKUP($D74,'consolidated tracker'!$D:$D,'consolidated tracker'!P:P)</f>
        <v>0</v>
      </c>
      <c r="R74" s="33">
        <f>_xlfn.XLOOKUP($D74,'consolidated tracker'!$D:$D,'consolidated tracker'!Q:Q)</f>
        <v>0</v>
      </c>
      <c r="S74" s="33">
        <f>_xlfn.XLOOKUP($D74,'consolidated tracker'!$D:$D,'consolidated tracker'!R:R)</f>
        <v>0</v>
      </c>
      <c r="T74" s="33">
        <f>_xlfn.XLOOKUP($D74,'consolidated tracker'!$D:$D,'consolidated tracker'!S:S)</f>
        <v>0</v>
      </c>
      <c r="U74" s="33">
        <f>_xlfn.XLOOKUP($D74,'consolidated tracker'!$D:$D,'consolidated tracker'!T:T)</f>
        <v>0</v>
      </c>
      <c r="V74" s="33">
        <f>_xlfn.XLOOKUP($D74,'consolidated tracker'!$D:$D,'consolidated tracker'!U:U)</f>
        <v>0</v>
      </c>
      <c r="W74" s="33">
        <f>_xlfn.XLOOKUP($D74,'consolidated tracker'!$D:$D,'consolidated tracker'!V:V)</f>
        <v>0</v>
      </c>
      <c r="X74" s="33">
        <f>_xlfn.XLOOKUP($D74,'consolidated tracker'!$D:$D,'consolidated tracker'!W:W)</f>
        <v>0</v>
      </c>
      <c r="Y74" s="17"/>
      <c r="Z74" s="17"/>
      <c r="AA74" s="11"/>
      <c r="AB74" s="16"/>
    </row>
    <row r="75" spans="1:28" s="7" customFormat="1" ht="150" hidden="1" customHeight="1" outlineLevel="2" x14ac:dyDescent="1.25">
      <c r="A75" s="4"/>
      <c r="C75" s="77"/>
      <c r="D75" s="135" t="s">
        <v>117</v>
      </c>
      <c r="E75" s="49" t="str">
        <f>_xlfn.XLOOKUP(D75,'consolidated tracker'!D:D,'consolidated tracker'!E:E)</f>
        <v>RERA</v>
      </c>
      <c r="F75" s="134">
        <v>46752</v>
      </c>
      <c r="G75" s="33">
        <f>_xlfn.XLOOKUP(D75,'consolidated tracker'!D:D,'consolidated tracker'!F:F)</f>
        <v>109</v>
      </c>
      <c r="H75" s="33">
        <f>_xlfn.XLOOKUP(D75,'consolidated tracker'!D:D,'consolidated tracker'!G:G)</f>
        <v>173058462.76000002</v>
      </c>
      <c r="I75" s="33">
        <f>_xlfn.XLOOKUP(D75,'consolidated tracker'!D:D,'consolidated tracker'!H:H)</f>
        <v>78637602.500000224</v>
      </c>
      <c r="J75" s="33">
        <f>_xlfn.XLOOKUP(D75,'consolidated tracker'!D:D,'consolidated tracker'!I:I)</f>
        <v>75648736.50000003</v>
      </c>
      <c r="K75" s="33">
        <f>_xlfn.XLOOKUP(D75,'consolidated tracker'!D:D,'consolidated tracker'!J:J)</f>
        <v>3575929.5300000007</v>
      </c>
      <c r="L75" s="34">
        <f>_xlfn.XLOOKUP(D75,'consolidated tracker'!D:D,'consolidated tracker'!K:K)</f>
        <v>0.96199189821434106</v>
      </c>
      <c r="M75" s="36">
        <f>_xlfn.XLOOKUP('consolidated - Offplan'!D75,'consolidated tracker'!D:D,'consolidated tracker'!L:L)</f>
        <v>2988866</v>
      </c>
      <c r="N75" s="30">
        <f>_xlfn.XLOOKUP($D75,'consolidated tracker'!$D:$D,'consolidated tracker'!M:M)</f>
        <v>90844930.729999796</v>
      </c>
      <c r="O75" s="40">
        <f>_xlfn.XLOOKUP($D75,'consolidated tracker'!$D:$D,'consolidated tracker'!N:N)</f>
        <v>18186741.879999802</v>
      </c>
      <c r="P75" s="33">
        <f>_xlfn.XLOOKUP($D75,'consolidated tracker'!$D:$D,'consolidated tracker'!O:O)</f>
        <v>72658188.849999994</v>
      </c>
      <c r="Q75" s="33">
        <f>_xlfn.XLOOKUP($D75,'consolidated tracker'!$D:$D,'consolidated tracker'!P:P)</f>
        <v>0</v>
      </c>
      <c r="R75" s="33">
        <f>_xlfn.XLOOKUP($D75,'consolidated tracker'!$D:$D,'consolidated tracker'!Q:Q)</f>
        <v>0</v>
      </c>
      <c r="S75" s="33">
        <f>_xlfn.XLOOKUP($D75,'consolidated tracker'!$D:$D,'consolidated tracker'!R:R)</f>
        <v>0</v>
      </c>
      <c r="T75" s="33">
        <f>_xlfn.XLOOKUP($D75,'consolidated tracker'!$D:$D,'consolidated tracker'!S:S)</f>
        <v>0</v>
      </c>
      <c r="U75" s="33">
        <f>_xlfn.XLOOKUP($D75,'consolidated tracker'!$D:$D,'consolidated tracker'!T:T)</f>
        <v>0</v>
      </c>
      <c r="V75" s="33">
        <f>_xlfn.XLOOKUP($D75,'consolidated tracker'!$D:$D,'consolidated tracker'!U:U)</f>
        <v>0</v>
      </c>
      <c r="W75" s="33">
        <f>_xlfn.XLOOKUP($D75,'consolidated tracker'!$D:$D,'consolidated tracker'!V:V)</f>
        <v>0</v>
      </c>
      <c r="X75" s="33">
        <f>_xlfn.XLOOKUP($D75,'consolidated tracker'!$D:$D,'consolidated tracker'!W:W)</f>
        <v>0</v>
      </c>
      <c r="Y75" s="17"/>
      <c r="Z75" s="17"/>
      <c r="AA75" s="11"/>
      <c r="AB75" s="16"/>
    </row>
    <row r="76" spans="1:28" s="7" customFormat="1" ht="150" hidden="1" customHeight="1" outlineLevel="2" x14ac:dyDescent="1.25">
      <c r="A76" s="4"/>
      <c r="C76" s="77"/>
      <c r="D76" s="135" t="s">
        <v>116</v>
      </c>
      <c r="E76" s="49" t="str">
        <f>_xlfn.XLOOKUP(D76,'consolidated tracker'!D:D,'consolidated tracker'!E:E)</f>
        <v>RERA</v>
      </c>
      <c r="F76" s="134">
        <v>46752</v>
      </c>
      <c r="G76" s="33">
        <f>_xlfn.XLOOKUP(D76,'consolidated tracker'!D:D,'consolidated tracker'!F:F)</f>
        <v>24</v>
      </c>
      <c r="H76" s="33">
        <f>_xlfn.XLOOKUP(D76,'consolidated tracker'!D:D,'consolidated tracker'!G:G)</f>
        <v>101524028.48000002</v>
      </c>
      <c r="I76" s="33">
        <f>_xlfn.XLOOKUP(D76,'consolidated tracker'!D:D,'consolidated tracker'!H:H)</f>
        <v>46109658.340000048</v>
      </c>
      <c r="J76" s="33">
        <f>_xlfn.XLOOKUP(D76,'consolidated tracker'!D:D,'consolidated tracker'!I:I)</f>
        <v>44749633.82</v>
      </c>
      <c r="K76" s="33">
        <f>_xlfn.XLOOKUP(D76,'consolidated tracker'!D:D,'consolidated tracker'!J:J)</f>
        <v>3655976.63</v>
      </c>
      <c r="L76" s="34">
        <f>_xlfn.XLOOKUP(D76,'consolidated tracker'!D:D,'consolidated tracker'!K:K)</f>
        <v>0.97050456305766575</v>
      </c>
      <c r="M76" s="36">
        <f>_xlfn.XLOOKUP('consolidated - Offplan'!D76,'consolidated tracker'!D:D,'consolidated tracker'!L:L)</f>
        <v>1360024.52</v>
      </c>
      <c r="N76" s="30">
        <f>_xlfn.XLOOKUP($D76,'consolidated tracker'!$D:$D,'consolidated tracker'!M:M)</f>
        <v>51758393.509999968</v>
      </c>
      <c r="O76" s="40">
        <f>_xlfn.XLOOKUP($D76,'consolidated tracker'!$D:$D,'consolidated tracker'!N:N)</f>
        <v>10056566.229999974</v>
      </c>
      <c r="P76" s="33">
        <f>_xlfn.XLOOKUP($D76,'consolidated tracker'!$D:$D,'consolidated tracker'!O:O)</f>
        <v>41701827.279999994</v>
      </c>
      <c r="Q76" s="33">
        <f>_xlfn.XLOOKUP($D76,'consolidated tracker'!$D:$D,'consolidated tracker'!P:P)</f>
        <v>0</v>
      </c>
      <c r="R76" s="33">
        <f>_xlfn.XLOOKUP($D76,'consolidated tracker'!$D:$D,'consolidated tracker'!Q:Q)</f>
        <v>0</v>
      </c>
      <c r="S76" s="33">
        <f>_xlfn.XLOOKUP($D76,'consolidated tracker'!$D:$D,'consolidated tracker'!R:R)</f>
        <v>0</v>
      </c>
      <c r="T76" s="33">
        <f>_xlfn.XLOOKUP($D76,'consolidated tracker'!$D:$D,'consolidated tracker'!S:S)</f>
        <v>0</v>
      </c>
      <c r="U76" s="33">
        <f>_xlfn.XLOOKUP($D76,'consolidated tracker'!$D:$D,'consolidated tracker'!T:T)</f>
        <v>0</v>
      </c>
      <c r="V76" s="33">
        <f>_xlfn.XLOOKUP($D76,'consolidated tracker'!$D:$D,'consolidated tracker'!U:U)</f>
        <v>0</v>
      </c>
      <c r="W76" s="33">
        <f>_xlfn.XLOOKUP($D76,'consolidated tracker'!$D:$D,'consolidated tracker'!V:V)</f>
        <v>0</v>
      </c>
      <c r="X76" s="33">
        <f>_xlfn.XLOOKUP($D76,'consolidated tracker'!$D:$D,'consolidated tracker'!W:W)</f>
        <v>0</v>
      </c>
      <c r="Y76" s="17"/>
      <c r="Z76" s="17"/>
      <c r="AA76" s="11"/>
      <c r="AB76" s="16"/>
    </row>
    <row r="77" spans="1:28" s="7" customFormat="1" ht="150" hidden="1" customHeight="1" outlineLevel="1" x14ac:dyDescent="1.25">
      <c r="A77" s="4"/>
      <c r="C77" s="77"/>
      <c r="D77" s="94" t="s">
        <v>115</v>
      </c>
      <c r="E77" s="49" t="str">
        <f>_xlfn.XLOOKUP(D77,'consolidated tracker'!D:D,'consolidated tracker'!E:E)</f>
        <v>RERA</v>
      </c>
      <c r="F77" s="134" t="s">
        <v>232</v>
      </c>
      <c r="G77" s="33">
        <f>_xlfn.XLOOKUP(D77,'consolidated tracker'!D:D,'consolidated tracker'!F:F)</f>
        <v>569</v>
      </c>
      <c r="H77" s="33">
        <f>_xlfn.XLOOKUP(D77,'consolidated tracker'!D:D,'consolidated tracker'!G:G)</f>
        <v>904102269.01999962</v>
      </c>
      <c r="I77" s="33">
        <f>_xlfn.XLOOKUP(D77,'consolidated tracker'!D:D,'consolidated tracker'!H:H)</f>
        <v>391734953.66000044</v>
      </c>
      <c r="J77" s="33">
        <f>_xlfn.XLOOKUP(D77,'consolidated tracker'!D:D,'consolidated tracker'!I:I)</f>
        <v>370293483.80000007</v>
      </c>
      <c r="K77" s="33">
        <f>_xlfn.XLOOKUP(D77,'consolidated tracker'!D:D,'consolidated tracker'!J:J)</f>
        <v>20594348.380000003</v>
      </c>
      <c r="L77" s="34">
        <f>_xlfn.XLOOKUP(D77,'consolidated tracker'!D:D,'consolidated tracker'!K:K)</f>
        <v>0.94526536460514543</v>
      </c>
      <c r="M77" s="36">
        <f>_xlfn.XLOOKUP('consolidated - Offplan'!D77,'consolidated tracker'!D:D,'consolidated tracker'!L:L)</f>
        <v>21441469.860000007</v>
      </c>
      <c r="N77" s="30">
        <f>_xlfn.XLOOKUP($D77,'consolidated tracker'!$D:$D,'consolidated tracker'!M:M)</f>
        <v>491772966.97999918</v>
      </c>
      <c r="O77" s="40">
        <f>_xlfn.XLOOKUP($D77,'consolidated tracker'!$D:$D,'consolidated tracker'!N:N)</f>
        <v>96649185.919998944</v>
      </c>
      <c r="P77" s="33">
        <f>_xlfn.XLOOKUP($D77,'consolidated tracker'!$D:$D,'consolidated tracker'!O:O)</f>
        <v>395123781.06000024</v>
      </c>
      <c r="Q77" s="33">
        <f>_xlfn.XLOOKUP($D77,'consolidated tracker'!$D:$D,'consolidated tracker'!P:P)</f>
        <v>0</v>
      </c>
      <c r="R77" s="33">
        <f>_xlfn.XLOOKUP($D77,'consolidated tracker'!$D:$D,'consolidated tracker'!Q:Q)</f>
        <v>0</v>
      </c>
      <c r="S77" s="33">
        <f>_xlfn.XLOOKUP($D77,'consolidated tracker'!$D:$D,'consolidated tracker'!R:R)</f>
        <v>0</v>
      </c>
      <c r="T77" s="33">
        <f>_xlfn.XLOOKUP($D77,'consolidated tracker'!$D:$D,'consolidated tracker'!S:S)</f>
        <v>0</v>
      </c>
      <c r="U77" s="33">
        <f>_xlfn.XLOOKUP($D77,'consolidated tracker'!$D:$D,'consolidated tracker'!T:T)</f>
        <v>0</v>
      </c>
      <c r="V77" s="33">
        <f>_xlfn.XLOOKUP($D77,'consolidated tracker'!$D:$D,'consolidated tracker'!U:U)</f>
        <v>0</v>
      </c>
      <c r="W77" s="33">
        <f>_xlfn.XLOOKUP($D77,'consolidated tracker'!$D:$D,'consolidated tracker'!V:V)</f>
        <v>0</v>
      </c>
      <c r="X77" s="33">
        <f>_xlfn.XLOOKUP($D77,'consolidated tracker'!$D:$D,'consolidated tracker'!W:W)</f>
        <v>0</v>
      </c>
      <c r="Y77" s="17"/>
      <c r="Z77" s="17"/>
      <c r="AA77" s="11"/>
      <c r="AB77" s="16"/>
    </row>
    <row r="78" spans="1:28" s="7" customFormat="1" ht="150" hidden="1" customHeight="1" outlineLevel="2" x14ac:dyDescent="1.25">
      <c r="A78" s="4"/>
      <c r="C78" s="77"/>
      <c r="D78" s="94" t="s">
        <v>114</v>
      </c>
      <c r="E78" s="49" t="str">
        <f>_xlfn.XLOOKUP(D78,'consolidated tracker'!D:D,'consolidated tracker'!E:E)</f>
        <v>RERA</v>
      </c>
      <c r="F78" s="134">
        <v>46752</v>
      </c>
      <c r="G78" s="33">
        <f>_xlfn.XLOOKUP(D78,'consolidated tracker'!D:D,'consolidated tracker'!F:F)</f>
        <v>116</v>
      </c>
      <c r="H78" s="33">
        <f>_xlfn.XLOOKUP(D78,'consolidated tracker'!D:D,'consolidated tracker'!G:G)</f>
        <v>179682374.32000008</v>
      </c>
      <c r="I78" s="33">
        <f>_xlfn.XLOOKUP(D78,'consolidated tracker'!D:D,'consolidated tracker'!H:H)</f>
        <v>72327716.710000038</v>
      </c>
      <c r="J78" s="33">
        <f>_xlfn.XLOOKUP(D78,'consolidated tracker'!D:D,'consolidated tracker'!I:I)</f>
        <v>69967058.99000001</v>
      </c>
      <c r="K78" s="33">
        <f>_xlfn.XLOOKUP(D78,'consolidated tracker'!D:D,'consolidated tracker'!J:J)</f>
        <v>6384912.3500000034</v>
      </c>
      <c r="L78" s="34">
        <f>_xlfn.XLOOKUP(D78,'consolidated tracker'!D:D,'consolidated tracker'!K:K)</f>
        <v>0.96736164464495467</v>
      </c>
      <c r="M78" s="36">
        <f>_xlfn.XLOOKUP('consolidated - Offplan'!D78,'consolidated tracker'!D:D,'consolidated tracker'!L:L)</f>
        <v>2360657.7199999997</v>
      </c>
      <c r="N78" s="30">
        <f>_xlfn.XLOOKUP($D78,'consolidated tracker'!$D:$D,'consolidated tracker'!M:M)</f>
        <v>100969745.26000004</v>
      </c>
      <c r="O78" s="40">
        <f>_xlfn.XLOOKUP($D78,'consolidated tracker'!$D:$D,'consolidated tracker'!N:N)</f>
        <v>20010002.770000011</v>
      </c>
      <c r="P78" s="33">
        <f>_xlfn.XLOOKUP($D78,'consolidated tracker'!$D:$D,'consolidated tracker'!O:O)</f>
        <v>80959742.490000024</v>
      </c>
      <c r="Q78" s="33">
        <f>_xlfn.XLOOKUP($D78,'consolidated tracker'!$D:$D,'consolidated tracker'!P:P)</f>
        <v>0</v>
      </c>
      <c r="R78" s="33">
        <f>_xlfn.XLOOKUP($D78,'consolidated tracker'!$D:$D,'consolidated tracker'!Q:Q)</f>
        <v>0</v>
      </c>
      <c r="S78" s="33">
        <f>_xlfn.XLOOKUP($D78,'consolidated tracker'!$D:$D,'consolidated tracker'!R:R)</f>
        <v>0</v>
      </c>
      <c r="T78" s="33">
        <f>_xlfn.XLOOKUP($D78,'consolidated tracker'!$D:$D,'consolidated tracker'!S:S)</f>
        <v>0</v>
      </c>
      <c r="U78" s="33">
        <f>_xlfn.XLOOKUP($D78,'consolidated tracker'!$D:$D,'consolidated tracker'!T:T)</f>
        <v>0</v>
      </c>
      <c r="V78" s="33">
        <f>_xlfn.XLOOKUP($D78,'consolidated tracker'!$D:$D,'consolidated tracker'!U:U)</f>
        <v>0</v>
      </c>
      <c r="W78" s="33">
        <f>_xlfn.XLOOKUP($D78,'consolidated tracker'!$D:$D,'consolidated tracker'!V:V)</f>
        <v>0</v>
      </c>
      <c r="X78" s="33">
        <f>_xlfn.XLOOKUP($D78,'consolidated tracker'!$D:$D,'consolidated tracker'!W:W)</f>
        <v>0</v>
      </c>
      <c r="Y78" s="17"/>
      <c r="Z78" s="17"/>
      <c r="AA78" s="11"/>
      <c r="AB78" s="16"/>
    </row>
    <row r="79" spans="1:28" s="7" customFormat="1" ht="150" hidden="1" customHeight="1" outlineLevel="2" x14ac:dyDescent="1.25">
      <c r="A79" s="4"/>
      <c r="C79" s="77"/>
      <c r="D79" s="94" t="s">
        <v>113</v>
      </c>
      <c r="E79" s="49" t="str">
        <f>_xlfn.XLOOKUP(D79,'consolidated tracker'!D:D,'consolidated tracker'!E:E)</f>
        <v>RERA</v>
      </c>
      <c r="F79" s="134">
        <v>46752</v>
      </c>
      <c r="G79" s="33">
        <f>_xlfn.XLOOKUP(D79,'consolidated tracker'!D:D,'consolidated tracker'!F:F)</f>
        <v>311</v>
      </c>
      <c r="H79" s="33">
        <f>_xlfn.XLOOKUP(D79,'consolidated tracker'!D:D,'consolidated tracker'!G:G)</f>
        <v>447949529.65999949</v>
      </c>
      <c r="I79" s="33">
        <f>_xlfn.XLOOKUP(D79,'consolidated tracker'!D:D,'consolidated tracker'!H:H)</f>
        <v>201561126.69000044</v>
      </c>
      <c r="J79" s="33">
        <f>_xlfn.XLOOKUP(D79,'consolidated tracker'!D:D,'consolidated tracker'!I:I)</f>
        <v>191170320.72000009</v>
      </c>
      <c r="K79" s="33">
        <f>_xlfn.XLOOKUP(D79,'consolidated tracker'!D:D,'consolidated tracker'!J:J)</f>
        <v>8429377.5600000005</v>
      </c>
      <c r="L79" s="34">
        <f>_xlfn.XLOOKUP(D79,'consolidated tracker'!D:D,'consolidated tracker'!K:K)</f>
        <v>0.94844836332959515</v>
      </c>
      <c r="M79" s="36">
        <f>_xlfn.XLOOKUP('consolidated - Offplan'!D79,'consolidated tracker'!D:D,'consolidated tracker'!L:L)</f>
        <v>10390805.970000004</v>
      </c>
      <c r="N79" s="30">
        <f>_xlfn.XLOOKUP($D79,'consolidated tracker'!$D:$D,'consolidated tracker'!M:M)</f>
        <v>237959025.40999904</v>
      </c>
      <c r="O79" s="40">
        <f>_xlfn.XLOOKUP($D79,'consolidated tracker'!$D:$D,'consolidated tracker'!N:N)</f>
        <v>49727490.449998826</v>
      </c>
      <c r="P79" s="33">
        <f>_xlfn.XLOOKUP($D79,'consolidated tracker'!$D:$D,'consolidated tracker'!O:O)</f>
        <v>188231534.96000022</v>
      </c>
      <c r="Q79" s="33">
        <f>_xlfn.XLOOKUP($D79,'consolidated tracker'!$D:$D,'consolidated tracker'!P:P)</f>
        <v>0</v>
      </c>
      <c r="R79" s="33">
        <f>_xlfn.XLOOKUP($D79,'consolidated tracker'!$D:$D,'consolidated tracker'!Q:Q)</f>
        <v>0</v>
      </c>
      <c r="S79" s="33">
        <f>_xlfn.XLOOKUP($D79,'consolidated tracker'!$D:$D,'consolidated tracker'!R:R)</f>
        <v>0</v>
      </c>
      <c r="T79" s="33">
        <f>_xlfn.XLOOKUP($D79,'consolidated tracker'!$D:$D,'consolidated tracker'!S:S)</f>
        <v>0</v>
      </c>
      <c r="U79" s="33">
        <f>_xlfn.XLOOKUP($D79,'consolidated tracker'!$D:$D,'consolidated tracker'!T:T)</f>
        <v>0</v>
      </c>
      <c r="V79" s="33">
        <f>_xlfn.XLOOKUP($D79,'consolidated tracker'!$D:$D,'consolidated tracker'!U:U)</f>
        <v>0</v>
      </c>
      <c r="W79" s="33">
        <f>_xlfn.XLOOKUP($D79,'consolidated tracker'!$D:$D,'consolidated tracker'!V:V)</f>
        <v>0</v>
      </c>
      <c r="X79" s="33">
        <f>_xlfn.XLOOKUP($D79,'consolidated tracker'!$D:$D,'consolidated tracker'!W:W)</f>
        <v>0</v>
      </c>
      <c r="Y79" s="17"/>
      <c r="Z79" s="17"/>
      <c r="AA79" s="11"/>
      <c r="AB79" s="16"/>
    </row>
    <row r="80" spans="1:28" s="7" customFormat="1" ht="150" hidden="1" customHeight="1" outlineLevel="2" x14ac:dyDescent="1.25">
      <c r="A80" s="4"/>
      <c r="C80" s="77"/>
      <c r="D80" s="94" t="s">
        <v>112</v>
      </c>
      <c r="E80" s="49" t="str">
        <f>_xlfn.XLOOKUP(D80,'consolidated tracker'!D:D,'consolidated tracker'!E:E)</f>
        <v>RERA</v>
      </c>
      <c r="F80" s="134">
        <v>46752</v>
      </c>
      <c r="G80" s="33">
        <f>_xlfn.XLOOKUP(D80,'consolidated tracker'!D:D,'consolidated tracker'!F:F)</f>
        <v>116</v>
      </c>
      <c r="H80" s="33">
        <f>_xlfn.XLOOKUP(D80,'consolidated tracker'!D:D,'consolidated tracker'!G:G)</f>
        <v>189209765.97</v>
      </c>
      <c r="I80" s="33">
        <f>_xlfn.XLOOKUP(D80,'consolidated tracker'!D:D,'consolidated tracker'!H:H)</f>
        <v>81575394.610000029</v>
      </c>
      <c r="J80" s="33">
        <f>_xlfn.XLOOKUP(D80,'consolidated tracker'!D:D,'consolidated tracker'!I:I)</f>
        <v>75503179.379999995</v>
      </c>
      <c r="K80" s="33">
        <f>_xlfn.XLOOKUP(D80,'consolidated tracker'!D:D,'consolidated tracker'!J:J)</f>
        <v>4921086.6499999985</v>
      </c>
      <c r="L80" s="34">
        <f>_xlfn.XLOOKUP(D80,'consolidated tracker'!D:D,'consolidated tracker'!K:K)</f>
        <v>0.9255631522344403</v>
      </c>
      <c r="M80" s="36">
        <f>_xlfn.XLOOKUP('consolidated - Offplan'!D80,'consolidated tracker'!D:D,'consolidated tracker'!L:L)</f>
        <v>6072215.2300000042</v>
      </c>
      <c r="N80" s="30">
        <f>_xlfn.XLOOKUP($D80,'consolidated tracker'!$D:$D,'consolidated tracker'!M:M)</f>
        <v>102713284.70999998</v>
      </c>
      <c r="O80" s="40">
        <f>_xlfn.XLOOKUP($D80,'consolidated tracker'!$D:$D,'consolidated tracker'!N:N)</f>
        <v>18442865.059999928</v>
      </c>
      <c r="P80" s="33">
        <f>_xlfn.XLOOKUP($D80,'consolidated tracker'!$D:$D,'consolidated tracker'!O:O)</f>
        <v>84270419.650000051</v>
      </c>
      <c r="Q80" s="33">
        <f>_xlfn.XLOOKUP($D80,'consolidated tracker'!$D:$D,'consolidated tracker'!P:P)</f>
        <v>0</v>
      </c>
      <c r="R80" s="33">
        <f>_xlfn.XLOOKUP($D80,'consolidated tracker'!$D:$D,'consolidated tracker'!Q:Q)</f>
        <v>0</v>
      </c>
      <c r="S80" s="33">
        <f>_xlfn.XLOOKUP($D80,'consolidated tracker'!$D:$D,'consolidated tracker'!R:R)</f>
        <v>0</v>
      </c>
      <c r="T80" s="33">
        <f>_xlfn.XLOOKUP($D80,'consolidated tracker'!$D:$D,'consolidated tracker'!S:S)</f>
        <v>0</v>
      </c>
      <c r="U80" s="33">
        <f>_xlfn.XLOOKUP($D80,'consolidated tracker'!$D:$D,'consolidated tracker'!T:T)</f>
        <v>0</v>
      </c>
      <c r="V80" s="33">
        <f>_xlfn.XLOOKUP($D80,'consolidated tracker'!$D:$D,'consolidated tracker'!U:U)</f>
        <v>0</v>
      </c>
      <c r="W80" s="33">
        <f>_xlfn.XLOOKUP($D80,'consolidated tracker'!$D:$D,'consolidated tracker'!V:V)</f>
        <v>0</v>
      </c>
      <c r="X80" s="33">
        <f>_xlfn.XLOOKUP($D80,'consolidated tracker'!$D:$D,'consolidated tracker'!W:W)</f>
        <v>0</v>
      </c>
      <c r="Y80" s="17"/>
      <c r="Z80" s="17"/>
      <c r="AA80" s="11"/>
      <c r="AB80" s="16"/>
    </row>
    <row r="81" spans="1:28" s="7" customFormat="1" ht="150" hidden="1" customHeight="1" outlineLevel="2" x14ac:dyDescent="1.25">
      <c r="A81" s="4"/>
      <c r="C81" s="77"/>
      <c r="D81" s="94" t="s">
        <v>111</v>
      </c>
      <c r="E81" s="49" t="str">
        <f>_xlfn.XLOOKUP(D81,'consolidated tracker'!D:D,'consolidated tracker'!E:E)</f>
        <v>RERA</v>
      </c>
      <c r="F81" s="134">
        <v>46752</v>
      </c>
      <c r="G81" s="33">
        <f>_xlfn.XLOOKUP(D81,'consolidated tracker'!D:D,'consolidated tracker'!F:F)</f>
        <v>26</v>
      </c>
      <c r="H81" s="33">
        <f>_xlfn.XLOOKUP(D81,'consolidated tracker'!D:D,'consolidated tracker'!G:G)</f>
        <v>87260599.070000023</v>
      </c>
      <c r="I81" s="33">
        <f>_xlfn.XLOOKUP(D81,'consolidated tracker'!D:D,'consolidated tracker'!H:H)</f>
        <v>36270715.649999984</v>
      </c>
      <c r="J81" s="33">
        <f>_xlfn.XLOOKUP(D81,'consolidated tracker'!D:D,'consolidated tracker'!I:I)</f>
        <v>33652924.710000008</v>
      </c>
      <c r="K81" s="33">
        <f>_xlfn.XLOOKUP(D81,'consolidated tracker'!D:D,'consolidated tracker'!J:J)</f>
        <v>858971.82</v>
      </c>
      <c r="L81" s="34">
        <f>_xlfn.XLOOKUP(D81,'consolidated tracker'!D:D,'consolidated tracker'!K:K)</f>
        <v>0.92782632233505502</v>
      </c>
      <c r="M81" s="36">
        <f>_xlfn.XLOOKUP('consolidated - Offplan'!D81,'consolidated tracker'!D:D,'consolidated tracker'!L:L)</f>
        <v>2617790.9399999995</v>
      </c>
      <c r="N81" s="30">
        <f>_xlfn.XLOOKUP($D81,'consolidated tracker'!$D:$D,'consolidated tracker'!M:M)</f>
        <v>50130911.600000039</v>
      </c>
      <c r="O81" s="40">
        <f>_xlfn.XLOOKUP($D81,'consolidated tracker'!$D:$D,'consolidated tracker'!N:N)</f>
        <v>8468827.6400000378</v>
      </c>
      <c r="P81" s="33">
        <f>_xlfn.XLOOKUP($D81,'consolidated tracker'!$D:$D,'consolidated tracker'!O:O)</f>
        <v>41662083.960000001</v>
      </c>
      <c r="Q81" s="33">
        <f>_xlfn.XLOOKUP($D81,'consolidated tracker'!$D:$D,'consolidated tracker'!P:P)</f>
        <v>0</v>
      </c>
      <c r="R81" s="33">
        <f>_xlfn.XLOOKUP($D81,'consolidated tracker'!$D:$D,'consolidated tracker'!Q:Q)</f>
        <v>0</v>
      </c>
      <c r="S81" s="33">
        <f>_xlfn.XLOOKUP($D81,'consolidated tracker'!$D:$D,'consolidated tracker'!R:R)</f>
        <v>0</v>
      </c>
      <c r="T81" s="33">
        <f>_xlfn.XLOOKUP($D81,'consolidated tracker'!$D:$D,'consolidated tracker'!S:S)</f>
        <v>0</v>
      </c>
      <c r="U81" s="33">
        <f>_xlfn.XLOOKUP($D81,'consolidated tracker'!$D:$D,'consolidated tracker'!T:T)</f>
        <v>0</v>
      </c>
      <c r="V81" s="33">
        <f>_xlfn.XLOOKUP($D81,'consolidated tracker'!$D:$D,'consolidated tracker'!U:U)</f>
        <v>0</v>
      </c>
      <c r="W81" s="33">
        <f>_xlfn.XLOOKUP($D81,'consolidated tracker'!$D:$D,'consolidated tracker'!V:V)</f>
        <v>0</v>
      </c>
      <c r="X81" s="33">
        <f>_xlfn.XLOOKUP($D81,'consolidated tracker'!$D:$D,'consolidated tracker'!W:W)</f>
        <v>0</v>
      </c>
      <c r="Y81" s="17"/>
      <c r="Z81" s="17"/>
      <c r="AA81" s="11"/>
      <c r="AB81" s="16"/>
    </row>
    <row r="82" spans="1:28" s="7" customFormat="1" ht="150" hidden="1" customHeight="1" outlineLevel="1" x14ac:dyDescent="1.25">
      <c r="A82" s="4"/>
      <c r="C82" s="77"/>
      <c r="D82" s="94" t="s">
        <v>110</v>
      </c>
      <c r="E82" s="49" t="str">
        <f>_xlfn.XLOOKUP(D82,'consolidated tracker'!D:D,'consolidated tracker'!E:E)</f>
        <v>RERA</v>
      </c>
      <c r="F82" s="134" t="s">
        <v>232</v>
      </c>
      <c r="G82" s="33">
        <f>_xlfn.XLOOKUP(D82,'consolidated tracker'!D:D,'consolidated tracker'!F:F)</f>
        <v>566</v>
      </c>
      <c r="H82" s="33">
        <f>_xlfn.XLOOKUP(D82,'consolidated tracker'!D:D,'consolidated tracker'!G:G)</f>
        <v>966190532.11000001</v>
      </c>
      <c r="I82" s="33">
        <f>_xlfn.XLOOKUP(D82,'consolidated tracker'!D:D,'consolidated tracker'!H:H)</f>
        <v>402947841.77999967</v>
      </c>
      <c r="J82" s="33">
        <f>_xlfn.XLOOKUP(D82,'consolidated tracker'!D:D,'consolidated tracker'!I:I)</f>
        <v>379505888.16999984</v>
      </c>
      <c r="K82" s="33">
        <f>_xlfn.XLOOKUP(D82,'consolidated tracker'!D:D,'consolidated tracker'!J:J)</f>
        <v>24496253.770000007</v>
      </c>
      <c r="L82" s="34">
        <f>_xlfn.XLOOKUP(D82,'consolidated tracker'!D:D,'consolidated tracker'!K:K)</f>
        <v>0.94182385118022638</v>
      </c>
      <c r="M82" s="36">
        <f>_xlfn.XLOOKUP('consolidated - Offplan'!D82,'consolidated tracker'!D:D,'consolidated tracker'!L:L)</f>
        <v>23441953.610000007</v>
      </c>
      <c r="N82" s="30">
        <f>_xlfn.XLOOKUP($D82,'consolidated tracker'!$D:$D,'consolidated tracker'!M:M)</f>
        <v>538746436.56000042</v>
      </c>
      <c r="O82" s="40">
        <f>_xlfn.XLOOKUP($D82,'consolidated tracker'!$D:$D,'consolidated tracker'!N:N)</f>
        <v>105459561.50000024</v>
      </c>
      <c r="P82" s="33">
        <f>_xlfn.XLOOKUP($D82,'consolidated tracker'!$D:$D,'consolidated tracker'!O:O)</f>
        <v>55855176.960000008</v>
      </c>
      <c r="Q82" s="33">
        <f>_xlfn.XLOOKUP($D82,'consolidated tracker'!$D:$D,'consolidated tracker'!P:P)</f>
        <v>377431698.10000014</v>
      </c>
      <c r="R82" s="33">
        <f>_xlfn.XLOOKUP($D82,'consolidated tracker'!$D:$D,'consolidated tracker'!Q:Q)</f>
        <v>0</v>
      </c>
      <c r="S82" s="33">
        <f>_xlfn.XLOOKUP($D82,'consolidated tracker'!$D:$D,'consolidated tracker'!R:R)</f>
        <v>0</v>
      </c>
      <c r="T82" s="33">
        <f>_xlfn.XLOOKUP($D82,'consolidated tracker'!$D:$D,'consolidated tracker'!S:S)</f>
        <v>0</v>
      </c>
      <c r="U82" s="33">
        <f>_xlfn.XLOOKUP($D82,'consolidated tracker'!$D:$D,'consolidated tracker'!T:T)</f>
        <v>0</v>
      </c>
      <c r="V82" s="33">
        <f>_xlfn.XLOOKUP($D82,'consolidated tracker'!$D:$D,'consolidated tracker'!U:U)</f>
        <v>0</v>
      </c>
      <c r="W82" s="33">
        <f>_xlfn.XLOOKUP($D82,'consolidated tracker'!$D:$D,'consolidated tracker'!V:V)</f>
        <v>0</v>
      </c>
      <c r="X82" s="33">
        <f>_xlfn.XLOOKUP($D82,'consolidated tracker'!$D:$D,'consolidated tracker'!W:W)</f>
        <v>0</v>
      </c>
      <c r="Y82" s="17"/>
      <c r="Z82" s="17"/>
      <c r="AA82" s="11"/>
      <c r="AB82" s="16"/>
    </row>
    <row r="83" spans="1:28" s="7" customFormat="1" ht="150" hidden="1" customHeight="1" outlineLevel="2" x14ac:dyDescent="1.25">
      <c r="A83" s="4"/>
      <c r="C83" s="77"/>
      <c r="D83" s="94" t="s">
        <v>109</v>
      </c>
      <c r="E83" s="49" t="str">
        <f>_xlfn.XLOOKUP(D83,'consolidated tracker'!D:D,'consolidated tracker'!E:E)</f>
        <v>RERA</v>
      </c>
      <c r="F83" s="134">
        <v>46843</v>
      </c>
      <c r="G83" s="33">
        <f>_xlfn.XLOOKUP(D83,'consolidated tracker'!D:D,'consolidated tracker'!F:F)</f>
        <v>115</v>
      </c>
      <c r="H83" s="33">
        <f>_xlfn.XLOOKUP(D83,'consolidated tracker'!D:D,'consolidated tracker'!G:G)</f>
        <v>186078654.75</v>
      </c>
      <c r="I83" s="33">
        <f>_xlfn.XLOOKUP(D83,'consolidated tracker'!D:D,'consolidated tracker'!H:H)</f>
        <v>75568932.190000042</v>
      </c>
      <c r="J83" s="33">
        <f>_xlfn.XLOOKUP(D83,'consolidated tracker'!D:D,'consolidated tracker'!I:I)</f>
        <v>70157493.609999999</v>
      </c>
      <c r="K83" s="33">
        <f>_xlfn.XLOOKUP(D83,'consolidated tracker'!D:D,'consolidated tracker'!J:J)</f>
        <v>4858485.6500000032</v>
      </c>
      <c r="L83" s="34">
        <f>_xlfn.XLOOKUP(D83,'consolidated tracker'!D:D,'consolidated tracker'!K:K)</f>
        <v>0.9283906967694836</v>
      </c>
      <c r="M83" s="36">
        <f>_xlfn.XLOOKUP('consolidated - Offplan'!D83,'consolidated tracker'!D:D,'consolidated tracker'!L:L)</f>
        <v>5411438.580000001</v>
      </c>
      <c r="N83" s="30">
        <f>_xlfn.XLOOKUP($D83,'consolidated tracker'!$D:$D,'consolidated tracker'!M:M)</f>
        <v>105651236.90999995</v>
      </c>
      <c r="O83" s="40">
        <f>_xlfn.XLOOKUP($D83,'consolidated tracker'!$D:$D,'consolidated tracker'!N:N)</f>
        <v>19856034.230000004</v>
      </c>
      <c r="P83" s="33">
        <f>_xlfn.XLOOKUP($D83,'consolidated tracker'!$D:$D,'consolidated tracker'!O:O)</f>
        <v>13854548.959999999</v>
      </c>
      <c r="Q83" s="33">
        <f>_xlfn.XLOOKUP($D83,'consolidated tracker'!$D:$D,'consolidated tracker'!P:P)</f>
        <v>71940653.719999954</v>
      </c>
      <c r="R83" s="33">
        <f>_xlfn.XLOOKUP($D83,'consolidated tracker'!$D:$D,'consolidated tracker'!Q:Q)</f>
        <v>0</v>
      </c>
      <c r="S83" s="33">
        <f>_xlfn.XLOOKUP($D83,'consolidated tracker'!$D:$D,'consolidated tracker'!R:R)</f>
        <v>0</v>
      </c>
      <c r="T83" s="33">
        <f>_xlfn.XLOOKUP($D83,'consolidated tracker'!$D:$D,'consolidated tracker'!S:S)</f>
        <v>0</v>
      </c>
      <c r="U83" s="33">
        <f>_xlfn.XLOOKUP($D83,'consolidated tracker'!$D:$D,'consolidated tracker'!T:T)</f>
        <v>0</v>
      </c>
      <c r="V83" s="33">
        <f>_xlfn.XLOOKUP($D83,'consolidated tracker'!$D:$D,'consolidated tracker'!U:U)</f>
        <v>0</v>
      </c>
      <c r="W83" s="33">
        <f>_xlfn.XLOOKUP($D83,'consolidated tracker'!$D:$D,'consolidated tracker'!V:V)</f>
        <v>0</v>
      </c>
      <c r="X83" s="33">
        <f>_xlfn.XLOOKUP($D83,'consolidated tracker'!$D:$D,'consolidated tracker'!W:W)</f>
        <v>0</v>
      </c>
      <c r="Y83" s="17"/>
      <c r="Z83" s="17"/>
      <c r="AA83" s="11"/>
      <c r="AB83" s="16"/>
    </row>
    <row r="84" spans="1:28" s="7" customFormat="1" ht="150" hidden="1" customHeight="1" outlineLevel="2" x14ac:dyDescent="1.25">
      <c r="A84" s="4"/>
      <c r="C84" s="77"/>
      <c r="D84" s="94" t="s">
        <v>108</v>
      </c>
      <c r="E84" s="49" t="str">
        <f>_xlfn.XLOOKUP(D84,'consolidated tracker'!D:D,'consolidated tracker'!E:E)</f>
        <v>RERA</v>
      </c>
      <c r="F84" s="134">
        <v>46843</v>
      </c>
      <c r="G84" s="33">
        <f>_xlfn.XLOOKUP(D84,'consolidated tracker'!D:D,'consolidated tracker'!F:F)</f>
        <v>311</v>
      </c>
      <c r="H84" s="33">
        <f>_xlfn.XLOOKUP(D84,'consolidated tracker'!D:D,'consolidated tracker'!G:G)</f>
        <v>473235445.00999999</v>
      </c>
      <c r="I84" s="33">
        <f>_xlfn.XLOOKUP(D84,'consolidated tracker'!D:D,'consolidated tracker'!H:H)</f>
        <v>207732705.86999968</v>
      </c>
      <c r="J84" s="33">
        <f>_xlfn.XLOOKUP(D84,'consolidated tracker'!D:D,'consolidated tracker'!I:I)</f>
        <v>195864041.14999986</v>
      </c>
      <c r="K84" s="33">
        <f>_xlfn.XLOOKUP(D84,'consolidated tracker'!D:D,'consolidated tracker'!J:J)</f>
        <v>13530319.850000005</v>
      </c>
      <c r="L84" s="34">
        <f>_xlfn.XLOOKUP(D84,'consolidated tracker'!D:D,'consolidated tracker'!K:K)</f>
        <v>0.94286569045402369</v>
      </c>
      <c r="M84" s="36">
        <f>_xlfn.XLOOKUP('consolidated - Offplan'!D84,'consolidated tracker'!D:D,'consolidated tracker'!L:L)</f>
        <v>11868664.720000003</v>
      </c>
      <c r="N84" s="30">
        <f>_xlfn.XLOOKUP($D84,'consolidated tracker'!$D:$D,'consolidated tracker'!M:M)</f>
        <v>251972419.29000032</v>
      </c>
      <c r="O84" s="40">
        <f>_xlfn.XLOOKUP($D84,'consolidated tracker'!$D:$D,'consolidated tracker'!N:N)</f>
        <v>49171235.650000155</v>
      </c>
      <c r="P84" s="33">
        <f>_xlfn.XLOOKUP($D84,'consolidated tracker'!$D:$D,'consolidated tracker'!O:O)</f>
        <v>18624187.500000011</v>
      </c>
      <c r="Q84" s="33">
        <f>_xlfn.XLOOKUP($D84,'consolidated tracker'!$D:$D,'consolidated tracker'!P:P)</f>
        <v>184176996.14000016</v>
      </c>
      <c r="R84" s="33">
        <f>_xlfn.XLOOKUP($D84,'consolidated tracker'!$D:$D,'consolidated tracker'!Q:Q)</f>
        <v>0</v>
      </c>
      <c r="S84" s="33">
        <f>_xlfn.XLOOKUP($D84,'consolidated tracker'!$D:$D,'consolidated tracker'!R:R)</f>
        <v>0</v>
      </c>
      <c r="T84" s="33">
        <f>_xlfn.XLOOKUP($D84,'consolidated tracker'!$D:$D,'consolidated tracker'!S:S)</f>
        <v>0</v>
      </c>
      <c r="U84" s="33">
        <f>_xlfn.XLOOKUP($D84,'consolidated tracker'!$D:$D,'consolidated tracker'!T:T)</f>
        <v>0</v>
      </c>
      <c r="V84" s="33">
        <f>_xlfn.XLOOKUP($D84,'consolidated tracker'!$D:$D,'consolidated tracker'!U:U)</f>
        <v>0</v>
      </c>
      <c r="W84" s="33">
        <f>_xlfn.XLOOKUP($D84,'consolidated tracker'!$D:$D,'consolidated tracker'!V:V)</f>
        <v>0</v>
      </c>
      <c r="X84" s="33">
        <f>_xlfn.XLOOKUP($D84,'consolidated tracker'!$D:$D,'consolidated tracker'!W:W)</f>
        <v>0</v>
      </c>
      <c r="Y84" s="17"/>
      <c r="Z84" s="17"/>
      <c r="AA84" s="11"/>
      <c r="AB84" s="16"/>
    </row>
    <row r="85" spans="1:28" s="7" customFormat="1" ht="150" hidden="1" customHeight="1" outlineLevel="2" x14ac:dyDescent="1.25">
      <c r="A85" s="4"/>
      <c r="C85" s="77"/>
      <c r="D85" s="94" t="s">
        <v>107</v>
      </c>
      <c r="E85" s="49" t="str">
        <f>_xlfn.XLOOKUP(D85,'consolidated tracker'!D:D,'consolidated tracker'!E:E)</f>
        <v>RERA</v>
      </c>
      <c r="F85" s="134">
        <v>46843</v>
      </c>
      <c r="G85" s="33">
        <f>_xlfn.XLOOKUP(D85,'consolidated tracker'!D:D,'consolidated tracker'!F:F)</f>
        <v>114</v>
      </c>
      <c r="H85" s="33">
        <f>_xlfn.XLOOKUP(D85,'consolidated tracker'!D:D,'consolidated tracker'!G:G)</f>
        <v>195265056.10000002</v>
      </c>
      <c r="I85" s="33">
        <f>_xlfn.XLOOKUP(D85,'consolidated tracker'!D:D,'consolidated tracker'!H:H)</f>
        <v>78472159.149999991</v>
      </c>
      <c r="J85" s="33">
        <f>_xlfn.XLOOKUP(D85,'consolidated tracker'!D:D,'consolidated tracker'!I:I)</f>
        <v>74471808.770000011</v>
      </c>
      <c r="K85" s="33">
        <f>_xlfn.XLOOKUP(D85,'consolidated tracker'!D:D,'consolidated tracker'!J:J)</f>
        <v>4610959.2399999993</v>
      </c>
      <c r="L85" s="34">
        <f>_xlfn.XLOOKUP(D85,'consolidated tracker'!D:D,'consolidated tracker'!K:K)</f>
        <v>0.94902204267945156</v>
      </c>
      <c r="M85" s="36">
        <f>_xlfn.XLOOKUP('consolidated - Offplan'!D85,'consolidated tracker'!D:D,'consolidated tracker'!L:L)</f>
        <v>4000350.3800000008</v>
      </c>
      <c r="N85" s="30">
        <f>_xlfn.XLOOKUP($D85,'consolidated tracker'!$D:$D,'consolidated tracker'!M:M)</f>
        <v>112181937.71000004</v>
      </c>
      <c r="O85" s="40">
        <f>_xlfn.XLOOKUP($D85,'consolidated tracker'!$D:$D,'consolidated tracker'!N:N)</f>
        <v>22080394.180000037</v>
      </c>
      <c r="P85" s="33">
        <f>_xlfn.XLOOKUP($D85,'consolidated tracker'!$D:$D,'consolidated tracker'!O:O)</f>
        <v>13394811.559999999</v>
      </c>
      <c r="Q85" s="33">
        <f>_xlfn.XLOOKUP($D85,'consolidated tracker'!$D:$D,'consolidated tracker'!P:P)</f>
        <v>76706731.969999999</v>
      </c>
      <c r="R85" s="33">
        <f>_xlfn.XLOOKUP($D85,'consolidated tracker'!$D:$D,'consolidated tracker'!Q:Q)</f>
        <v>0</v>
      </c>
      <c r="S85" s="33">
        <f>_xlfn.XLOOKUP($D85,'consolidated tracker'!$D:$D,'consolidated tracker'!R:R)</f>
        <v>0</v>
      </c>
      <c r="T85" s="33">
        <f>_xlfn.XLOOKUP($D85,'consolidated tracker'!$D:$D,'consolidated tracker'!S:S)</f>
        <v>0</v>
      </c>
      <c r="U85" s="33">
        <f>_xlfn.XLOOKUP($D85,'consolidated tracker'!$D:$D,'consolidated tracker'!T:T)</f>
        <v>0</v>
      </c>
      <c r="V85" s="33">
        <f>_xlfn.XLOOKUP($D85,'consolidated tracker'!$D:$D,'consolidated tracker'!U:U)</f>
        <v>0</v>
      </c>
      <c r="W85" s="33">
        <f>_xlfn.XLOOKUP($D85,'consolidated tracker'!$D:$D,'consolidated tracker'!V:V)</f>
        <v>0</v>
      </c>
      <c r="X85" s="33">
        <f>_xlfn.XLOOKUP($D85,'consolidated tracker'!$D:$D,'consolidated tracker'!W:W)</f>
        <v>0</v>
      </c>
      <c r="Y85" s="17"/>
      <c r="Z85" s="17"/>
      <c r="AA85" s="11"/>
      <c r="AB85" s="16"/>
    </row>
    <row r="86" spans="1:28" s="7" customFormat="1" ht="150" hidden="1" customHeight="1" outlineLevel="2" x14ac:dyDescent="1.25">
      <c r="A86" s="4"/>
      <c r="C86" s="77"/>
      <c r="D86" s="94" t="s">
        <v>106</v>
      </c>
      <c r="E86" s="49" t="str">
        <f>_xlfn.XLOOKUP(D86,'consolidated tracker'!D:D,'consolidated tracker'!E:E)</f>
        <v>RERA</v>
      </c>
      <c r="F86" s="134">
        <v>46843</v>
      </c>
      <c r="G86" s="33">
        <f>_xlfn.XLOOKUP(D86,'consolidated tracker'!D:D,'consolidated tracker'!F:F)</f>
        <v>26</v>
      </c>
      <c r="H86" s="33">
        <f>_xlfn.XLOOKUP(D86,'consolidated tracker'!D:D,'consolidated tracker'!G:G)</f>
        <v>111611376.25</v>
      </c>
      <c r="I86" s="33">
        <f>_xlfn.XLOOKUP(D86,'consolidated tracker'!D:D,'consolidated tracker'!H:H)</f>
        <v>41174044.570000008</v>
      </c>
      <c r="J86" s="33">
        <f>_xlfn.XLOOKUP(D86,'consolidated tracker'!D:D,'consolidated tracker'!I:I)</f>
        <v>39012544.640000008</v>
      </c>
      <c r="K86" s="33">
        <f>_xlfn.XLOOKUP(D86,'consolidated tracker'!D:D,'consolidated tracker'!J:J)</f>
        <v>1496489.03</v>
      </c>
      <c r="L86" s="34">
        <f>_xlfn.XLOOKUP(D86,'consolidated tracker'!D:D,'consolidated tracker'!K:K)</f>
        <v>0.94750333729480396</v>
      </c>
      <c r="M86" s="36">
        <f>_xlfn.XLOOKUP('consolidated - Offplan'!D86,'consolidated tracker'!D:D,'consolidated tracker'!L:L)</f>
        <v>2161499.9300000002</v>
      </c>
      <c r="N86" s="30">
        <f>_xlfn.XLOOKUP($D86,'consolidated tracker'!$D:$D,'consolidated tracker'!M:M)</f>
        <v>68940842.649999991</v>
      </c>
      <c r="O86" s="40">
        <f>_xlfn.XLOOKUP($D86,'consolidated tracker'!$D:$D,'consolidated tracker'!N:N)</f>
        <v>14351897.439999998</v>
      </c>
      <c r="P86" s="33">
        <f>_xlfn.XLOOKUP($D86,'consolidated tracker'!$D:$D,'consolidated tracker'!O:O)</f>
        <v>9981628.9400000013</v>
      </c>
      <c r="Q86" s="33">
        <f>_xlfn.XLOOKUP($D86,'consolidated tracker'!$D:$D,'consolidated tracker'!P:P)</f>
        <v>44607316.269999996</v>
      </c>
      <c r="R86" s="33">
        <f>_xlfn.XLOOKUP($D86,'consolidated tracker'!$D:$D,'consolidated tracker'!Q:Q)</f>
        <v>0</v>
      </c>
      <c r="S86" s="33">
        <f>_xlfn.XLOOKUP($D86,'consolidated tracker'!$D:$D,'consolidated tracker'!R:R)</f>
        <v>0</v>
      </c>
      <c r="T86" s="33">
        <f>_xlfn.XLOOKUP($D86,'consolidated tracker'!$D:$D,'consolidated tracker'!S:S)</f>
        <v>0</v>
      </c>
      <c r="U86" s="33">
        <f>_xlfn.XLOOKUP($D86,'consolidated tracker'!$D:$D,'consolidated tracker'!T:T)</f>
        <v>0</v>
      </c>
      <c r="V86" s="33">
        <f>_xlfn.XLOOKUP($D86,'consolidated tracker'!$D:$D,'consolidated tracker'!U:U)</f>
        <v>0</v>
      </c>
      <c r="W86" s="33">
        <f>_xlfn.XLOOKUP($D86,'consolidated tracker'!$D:$D,'consolidated tracker'!V:V)</f>
        <v>0</v>
      </c>
      <c r="X86" s="33">
        <f>_xlfn.XLOOKUP($D86,'consolidated tracker'!$D:$D,'consolidated tracker'!W:W)</f>
        <v>0</v>
      </c>
      <c r="Y86" s="17"/>
      <c r="Z86" s="17"/>
      <c r="AA86" s="11"/>
      <c r="AB86" s="16"/>
    </row>
    <row r="87" spans="1:28" s="7" customFormat="1" ht="150" hidden="1" customHeight="1" outlineLevel="1" x14ac:dyDescent="1.25">
      <c r="A87" s="4"/>
      <c r="C87" s="77"/>
      <c r="D87" s="94" t="s">
        <v>105</v>
      </c>
      <c r="E87" s="49" t="str">
        <f>_xlfn.XLOOKUP(D87,'consolidated tracker'!D:D,'consolidated tracker'!E:E)</f>
        <v>RERA</v>
      </c>
      <c r="F87" s="134" t="s">
        <v>232</v>
      </c>
      <c r="G87" s="33">
        <f>_xlfn.XLOOKUP(D87,'consolidated tracker'!D:D,'consolidated tracker'!F:F)</f>
        <v>557</v>
      </c>
      <c r="H87" s="33">
        <f>_xlfn.XLOOKUP(D87,'consolidated tracker'!D:D,'consolidated tracker'!G:G)</f>
        <v>943131762.30000019</v>
      </c>
      <c r="I87" s="33">
        <f>_xlfn.XLOOKUP(D87,'consolidated tracker'!D:D,'consolidated tracker'!H:H)</f>
        <v>350053797.44999993</v>
      </c>
      <c r="J87" s="33">
        <f>_xlfn.XLOOKUP(D87,'consolidated tracker'!D:D,'consolidated tracker'!I:I)</f>
        <v>342723147.4799999</v>
      </c>
      <c r="K87" s="33">
        <f>_xlfn.XLOOKUP(D87,'consolidated tracker'!D:D,'consolidated tracker'!J:J)</f>
        <v>24327292.339999996</v>
      </c>
      <c r="L87" s="34">
        <f>_xlfn.XLOOKUP(D87,'consolidated tracker'!D:D,'consolidated tracker'!K:K)</f>
        <v>0.97905850465442501</v>
      </c>
      <c r="M87" s="36">
        <f>_xlfn.XLOOKUP('consolidated - Offplan'!D87,'consolidated tracker'!D:D,'consolidated tracker'!L:L)</f>
        <v>7330649.9700000007</v>
      </c>
      <c r="N87" s="30">
        <f>_xlfn.XLOOKUP($D87,'consolidated tracker'!$D:$D,'consolidated tracker'!M:M)</f>
        <v>568750672.51000023</v>
      </c>
      <c r="O87" s="40">
        <f>_xlfn.XLOOKUP($D87,'consolidated tracker'!$D:$D,'consolidated tracker'!N:N)</f>
        <v>131703711.93000031</v>
      </c>
      <c r="P87" s="33">
        <f>_xlfn.XLOOKUP($D87,'consolidated tracker'!$D:$D,'consolidated tracker'!O:O)</f>
        <v>54904434.460000001</v>
      </c>
      <c r="Q87" s="33">
        <f>_xlfn.XLOOKUP($D87,'consolidated tracker'!$D:$D,'consolidated tracker'!P:P)</f>
        <v>382142526.11999995</v>
      </c>
      <c r="R87" s="33">
        <f>_xlfn.XLOOKUP($D87,'consolidated tracker'!$D:$D,'consolidated tracker'!Q:Q)</f>
        <v>0</v>
      </c>
      <c r="S87" s="33">
        <f>_xlfn.XLOOKUP($D87,'consolidated tracker'!$D:$D,'consolidated tracker'!R:R)</f>
        <v>0</v>
      </c>
      <c r="T87" s="33">
        <f>_xlfn.XLOOKUP($D87,'consolidated tracker'!$D:$D,'consolidated tracker'!S:S)</f>
        <v>0</v>
      </c>
      <c r="U87" s="33">
        <f>_xlfn.XLOOKUP($D87,'consolidated tracker'!$D:$D,'consolidated tracker'!T:T)</f>
        <v>0</v>
      </c>
      <c r="V87" s="33">
        <f>_xlfn.XLOOKUP($D87,'consolidated tracker'!$D:$D,'consolidated tracker'!U:U)</f>
        <v>0</v>
      </c>
      <c r="W87" s="33">
        <f>_xlfn.XLOOKUP($D87,'consolidated tracker'!$D:$D,'consolidated tracker'!V:V)</f>
        <v>0</v>
      </c>
      <c r="X87" s="33">
        <f>_xlfn.XLOOKUP($D87,'consolidated tracker'!$D:$D,'consolidated tracker'!W:W)</f>
        <v>0</v>
      </c>
      <c r="Y87" s="17"/>
      <c r="Z87" s="17"/>
      <c r="AA87" s="11"/>
      <c r="AB87" s="16"/>
    </row>
    <row r="88" spans="1:28" s="7" customFormat="1" ht="150" hidden="1" customHeight="1" outlineLevel="2" x14ac:dyDescent="1.25">
      <c r="A88" s="4"/>
      <c r="C88" s="77"/>
      <c r="D88" s="94" t="s">
        <v>104</v>
      </c>
      <c r="E88" s="49" t="str">
        <f>_xlfn.XLOOKUP(D88,'consolidated tracker'!D:D,'consolidated tracker'!E:E)</f>
        <v>RERA</v>
      </c>
      <c r="F88" s="134">
        <v>46934</v>
      </c>
      <c r="G88" s="33">
        <f>_xlfn.XLOOKUP(D88,'consolidated tracker'!D:D,'consolidated tracker'!F:F)</f>
        <v>110</v>
      </c>
      <c r="H88" s="33">
        <f>_xlfn.XLOOKUP(D88,'consolidated tracker'!D:D,'consolidated tracker'!G:G)</f>
        <v>181742042.34999999</v>
      </c>
      <c r="I88" s="33">
        <f>_xlfn.XLOOKUP(D88,'consolidated tracker'!D:D,'consolidated tracker'!H:H)</f>
        <v>67445258.920000106</v>
      </c>
      <c r="J88" s="33">
        <f>_xlfn.XLOOKUP(D88,'consolidated tracker'!D:D,'consolidated tracker'!I:I)</f>
        <v>66529391.869999997</v>
      </c>
      <c r="K88" s="33">
        <f>_xlfn.XLOOKUP(D88,'consolidated tracker'!D:D,'consolidated tracker'!J:J)</f>
        <v>2980704.68</v>
      </c>
      <c r="L88" s="34">
        <f>_xlfn.XLOOKUP(D88,'consolidated tracker'!D:D,'consolidated tracker'!K:K)</f>
        <v>0.98642058664069387</v>
      </c>
      <c r="M88" s="36">
        <f>_xlfn.XLOOKUP('consolidated - Offplan'!D88,'consolidated tracker'!D:D,'consolidated tracker'!L:L)</f>
        <v>915867.05</v>
      </c>
      <c r="N88" s="30">
        <f>_xlfn.XLOOKUP($D88,'consolidated tracker'!$D:$D,'consolidated tracker'!M:M)</f>
        <v>111316078.74999988</v>
      </c>
      <c r="O88" s="40">
        <f>_xlfn.XLOOKUP($D88,'consolidated tracker'!$D:$D,'consolidated tracker'!N:N)</f>
        <v>24896144.489999905</v>
      </c>
      <c r="P88" s="33">
        <f>_xlfn.XLOOKUP($D88,'consolidated tracker'!$D:$D,'consolidated tracker'!O:O)</f>
        <v>12946327.01</v>
      </c>
      <c r="Q88" s="33">
        <f>_xlfn.XLOOKUP($D88,'consolidated tracker'!$D:$D,'consolidated tracker'!P:P)</f>
        <v>73473607.24999997</v>
      </c>
      <c r="R88" s="33">
        <f>_xlfn.XLOOKUP($D88,'consolidated tracker'!$D:$D,'consolidated tracker'!Q:Q)</f>
        <v>0</v>
      </c>
      <c r="S88" s="33">
        <f>_xlfn.XLOOKUP($D88,'consolidated tracker'!$D:$D,'consolidated tracker'!R:R)</f>
        <v>0</v>
      </c>
      <c r="T88" s="33">
        <f>_xlfn.XLOOKUP($D88,'consolidated tracker'!$D:$D,'consolidated tracker'!S:S)</f>
        <v>0</v>
      </c>
      <c r="U88" s="33">
        <f>_xlfn.XLOOKUP($D88,'consolidated tracker'!$D:$D,'consolidated tracker'!T:T)</f>
        <v>0</v>
      </c>
      <c r="V88" s="33">
        <f>_xlfn.XLOOKUP($D88,'consolidated tracker'!$D:$D,'consolidated tracker'!U:U)</f>
        <v>0</v>
      </c>
      <c r="W88" s="33">
        <f>_xlfn.XLOOKUP($D88,'consolidated tracker'!$D:$D,'consolidated tracker'!V:V)</f>
        <v>0</v>
      </c>
      <c r="X88" s="33">
        <f>_xlfn.XLOOKUP($D88,'consolidated tracker'!$D:$D,'consolidated tracker'!W:W)</f>
        <v>0</v>
      </c>
      <c r="Y88" s="17"/>
      <c r="Z88" s="17"/>
      <c r="AA88" s="11"/>
      <c r="AB88" s="16"/>
    </row>
    <row r="89" spans="1:28" s="7" customFormat="1" ht="150" hidden="1" customHeight="1" outlineLevel="2" x14ac:dyDescent="1.25">
      <c r="A89" s="4"/>
      <c r="C89" s="77"/>
      <c r="D89" s="94" t="s">
        <v>103</v>
      </c>
      <c r="E89" s="49" t="str">
        <f>_xlfn.XLOOKUP(D89,'consolidated tracker'!D:D,'consolidated tracker'!E:E)</f>
        <v>RERA</v>
      </c>
      <c r="F89" s="134">
        <v>46934</v>
      </c>
      <c r="G89" s="33">
        <f>_xlfn.XLOOKUP(D89,'consolidated tracker'!D:D,'consolidated tracker'!F:F)</f>
        <v>308</v>
      </c>
      <c r="H89" s="33">
        <f>_xlfn.XLOOKUP(D89,'consolidated tracker'!D:D,'consolidated tracker'!G:G)</f>
        <v>470711136.28000015</v>
      </c>
      <c r="I89" s="33">
        <f>_xlfn.XLOOKUP(D89,'consolidated tracker'!D:D,'consolidated tracker'!H:H)</f>
        <v>177451329.09999993</v>
      </c>
      <c r="J89" s="33">
        <f>_xlfn.XLOOKUP(D89,'consolidated tracker'!D:D,'consolidated tracker'!I:I)</f>
        <v>173156837.50999993</v>
      </c>
      <c r="K89" s="33">
        <f>_xlfn.XLOOKUP(D89,'consolidated tracker'!D:D,'consolidated tracker'!J:J)</f>
        <v>12937618.359999999</v>
      </c>
      <c r="L89" s="34">
        <f>_xlfn.XLOOKUP(D89,'consolidated tracker'!D:D,'consolidated tracker'!K:K)</f>
        <v>0.97579904522676242</v>
      </c>
      <c r="M89" s="36">
        <f>_xlfn.XLOOKUP('consolidated - Offplan'!D89,'consolidated tracker'!D:D,'consolidated tracker'!L:L)</f>
        <v>4294491.5900000017</v>
      </c>
      <c r="N89" s="30">
        <f>_xlfn.XLOOKUP($D89,'consolidated tracker'!$D:$D,'consolidated tracker'!M:M)</f>
        <v>280322188.82000023</v>
      </c>
      <c r="O89" s="40">
        <f>_xlfn.XLOOKUP($D89,'consolidated tracker'!$D:$D,'consolidated tracker'!N:N)</f>
        <v>67809276.890000284</v>
      </c>
      <c r="P89" s="33">
        <f>_xlfn.XLOOKUP($D89,'consolidated tracker'!$D:$D,'consolidated tracker'!O:O)</f>
        <v>24371554.730000004</v>
      </c>
      <c r="Q89" s="33">
        <f>_xlfn.XLOOKUP($D89,'consolidated tracker'!$D:$D,'consolidated tracker'!P:P)</f>
        <v>188141357.19999996</v>
      </c>
      <c r="R89" s="33">
        <f>_xlfn.XLOOKUP($D89,'consolidated tracker'!$D:$D,'consolidated tracker'!Q:Q)</f>
        <v>0</v>
      </c>
      <c r="S89" s="33">
        <f>_xlfn.XLOOKUP($D89,'consolidated tracker'!$D:$D,'consolidated tracker'!R:R)</f>
        <v>0</v>
      </c>
      <c r="T89" s="33">
        <f>_xlfn.XLOOKUP($D89,'consolidated tracker'!$D:$D,'consolidated tracker'!S:S)</f>
        <v>0</v>
      </c>
      <c r="U89" s="33">
        <f>_xlfn.XLOOKUP($D89,'consolidated tracker'!$D:$D,'consolidated tracker'!T:T)</f>
        <v>0</v>
      </c>
      <c r="V89" s="33">
        <f>_xlfn.XLOOKUP($D89,'consolidated tracker'!$D:$D,'consolidated tracker'!U:U)</f>
        <v>0</v>
      </c>
      <c r="W89" s="33">
        <f>_xlfn.XLOOKUP($D89,'consolidated tracker'!$D:$D,'consolidated tracker'!V:V)</f>
        <v>0</v>
      </c>
      <c r="X89" s="33">
        <f>_xlfn.XLOOKUP($D89,'consolidated tracker'!$D:$D,'consolidated tracker'!W:W)</f>
        <v>0</v>
      </c>
      <c r="Y89" s="17"/>
      <c r="Z89" s="17"/>
      <c r="AA89" s="11"/>
      <c r="AB89" s="16"/>
    </row>
    <row r="90" spans="1:28" s="7" customFormat="1" ht="150" hidden="1" customHeight="1" outlineLevel="2" x14ac:dyDescent="1.25">
      <c r="A90" s="4"/>
      <c r="C90" s="77"/>
      <c r="D90" s="94" t="s">
        <v>102</v>
      </c>
      <c r="E90" s="49" t="str">
        <f>_xlfn.XLOOKUP(D90,'consolidated tracker'!D:D,'consolidated tracker'!E:E)</f>
        <v>RERA</v>
      </c>
      <c r="F90" s="134">
        <v>46934</v>
      </c>
      <c r="G90" s="33">
        <f>_xlfn.XLOOKUP(D90,'consolidated tracker'!D:D,'consolidated tracker'!F:F)</f>
        <v>114</v>
      </c>
      <c r="H90" s="33">
        <f>_xlfn.XLOOKUP(D90,'consolidated tracker'!D:D,'consolidated tracker'!G:G)</f>
        <v>201490444.67000002</v>
      </c>
      <c r="I90" s="33">
        <f>_xlfn.XLOOKUP(D90,'consolidated tracker'!D:D,'consolidated tracker'!H:H)</f>
        <v>73728897.019999921</v>
      </c>
      <c r="J90" s="33">
        <f>_xlfn.XLOOKUP(D90,'consolidated tracker'!D:D,'consolidated tracker'!I:I)</f>
        <v>71827425.580000013</v>
      </c>
      <c r="K90" s="33">
        <f>_xlfn.XLOOKUP(D90,'consolidated tracker'!D:D,'consolidated tracker'!J:J)</f>
        <v>6775656.7599999988</v>
      </c>
      <c r="L90" s="34">
        <f>_xlfn.XLOOKUP(D90,'consolidated tracker'!D:D,'consolidated tracker'!K:K)</f>
        <v>0.97420995678961386</v>
      </c>
      <c r="M90" s="36">
        <f>_xlfn.XLOOKUP('consolidated - Offplan'!D90,'consolidated tracker'!D:D,'consolidated tracker'!L:L)</f>
        <v>1901471.4399999997</v>
      </c>
      <c r="N90" s="30">
        <f>_xlfn.XLOOKUP($D90,'consolidated tracker'!$D:$D,'consolidated tracker'!M:M)</f>
        <v>120985890.89000009</v>
      </c>
      <c r="O90" s="40">
        <f>_xlfn.XLOOKUP($D90,'consolidated tracker'!$D:$D,'consolidated tracker'!N:N)</f>
        <v>27832509.02000007</v>
      </c>
      <c r="P90" s="33">
        <f>_xlfn.XLOOKUP($D90,'consolidated tracker'!$D:$D,'consolidated tracker'!O:O)</f>
        <v>11113349.710000003</v>
      </c>
      <c r="Q90" s="33">
        <f>_xlfn.XLOOKUP($D90,'consolidated tracker'!$D:$D,'consolidated tracker'!P:P)</f>
        <v>82040032.160000011</v>
      </c>
      <c r="R90" s="33">
        <f>_xlfn.XLOOKUP($D90,'consolidated tracker'!$D:$D,'consolidated tracker'!Q:Q)</f>
        <v>0</v>
      </c>
      <c r="S90" s="33">
        <f>_xlfn.XLOOKUP($D90,'consolidated tracker'!$D:$D,'consolidated tracker'!R:R)</f>
        <v>0</v>
      </c>
      <c r="T90" s="33">
        <f>_xlfn.XLOOKUP($D90,'consolidated tracker'!$D:$D,'consolidated tracker'!S:S)</f>
        <v>0</v>
      </c>
      <c r="U90" s="33">
        <f>_xlfn.XLOOKUP($D90,'consolidated tracker'!$D:$D,'consolidated tracker'!T:T)</f>
        <v>0</v>
      </c>
      <c r="V90" s="33">
        <f>_xlfn.XLOOKUP($D90,'consolidated tracker'!$D:$D,'consolidated tracker'!U:U)</f>
        <v>0</v>
      </c>
      <c r="W90" s="33">
        <f>_xlfn.XLOOKUP($D90,'consolidated tracker'!$D:$D,'consolidated tracker'!V:V)</f>
        <v>0</v>
      </c>
      <c r="X90" s="33">
        <f>_xlfn.XLOOKUP($D90,'consolidated tracker'!$D:$D,'consolidated tracker'!W:W)</f>
        <v>0</v>
      </c>
      <c r="Y90" s="17"/>
      <c r="Z90" s="17"/>
      <c r="AA90" s="11"/>
      <c r="AB90" s="16"/>
    </row>
    <row r="91" spans="1:28" s="7" customFormat="1" ht="150" hidden="1" customHeight="1" outlineLevel="2" x14ac:dyDescent="1.25">
      <c r="A91" s="4"/>
      <c r="C91" s="77"/>
      <c r="D91" s="94" t="s">
        <v>101</v>
      </c>
      <c r="E91" s="49" t="str">
        <f>_xlfn.XLOOKUP(D91,'consolidated tracker'!D:D,'consolidated tracker'!E:E)</f>
        <v>RERA</v>
      </c>
      <c r="F91" s="134">
        <v>46934</v>
      </c>
      <c r="G91" s="33">
        <f>_xlfn.XLOOKUP(D91,'consolidated tracker'!D:D,'consolidated tracker'!F:F)</f>
        <v>25</v>
      </c>
      <c r="H91" s="33">
        <f>_xlfn.XLOOKUP(D91,'consolidated tracker'!D:D,'consolidated tracker'!G:G)</f>
        <v>89188139</v>
      </c>
      <c r="I91" s="33">
        <f>_xlfn.XLOOKUP(D91,'consolidated tracker'!D:D,'consolidated tracker'!H:H)</f>
        <v>31428312.409999993</v>
      </c>
      <c r="J91" s="33">
        <f>_xlfn.XLOOKUP(D91,'consolidated tracker'!D:D,'consolidated tracker'!I:I)</f>
        <v>31209492.520000003</v>
      </c>
      <c r="K91" s="33">
        <f>_xlfn.XLOOKUP(D91,'consolidated tracker'!D:D,'consolidated tracker'!J:J)</f>
        <v>1633312.54</v>
      </c>
      <c r="L91" s="34">
        <f>_xlfn.XLOOKUP(D91,'consolidated tracker'!D:D,'consolidated tracker'!K:K)</f>
        <v>0.99303749157303256</v>
      </c>
      <c r="M91" s="36">
        <f>_xlfn.XLOOKUP('consolidated - Offplan'!D91,'consolidated tracker'!D:D,'consolidated tracker'!L:L)</f>
        <v>218819.88999999998</v>
      </c>
      <c r="N91" s="30">
        <f>_xlfn.XLOOKUP($D91,'consolidated tracker'!$D:$D,'consolidated tracker'!M:M)</f>
        <v>56126514.050000012</v>
      </c>
      <c r="O91" s="40">
        <f>_xlfn.XLOOKUP($D91,'consolidated tracker'!$D:$D,'consolidated tracker'!N:N)</f>
        <v>11165781.530000009</v>
      </c>
      <c r="P91" s="33">
        <f>_xlfn.XLOOKUP($D91,'consolidated tracker'!$D:$D,'consolidated tracker'!O:O)</f>
        <v>6473203.0100000007</v>
      </c>
      <c r="Q91" s="33">
        <f>_xlfn.XLOOKUP($D91,'consolidated tracker'!$D:$D,'consolidated tracker'!P:P)</f>
        <v>38487529.510000005</v>
      </c>
      <c r="R91" s="33">
        <f>_xlfn.XLOOKUP($D91,'consolidated tracker'!$D:$D,'consolidated tracker'!Q:Q)</f>
        <v>0</v>
      </c>
      <c r="S91" s="33">
        <f>_xlfn.XLOOKUP($D91,'consolidated tracker'!$D:$D,'consolidated tracker'!R:R)</f>
        <v>0</v>
      </c>
      <c r="T91" s="33">
        <f>_xlfn.XLOOKUP($D91,'consolidated tracker'!$D:$D,'consolidated tracker'!S:S)</f>
        <v>0</v>
      </c>
      <c r="U91" s="33">
        <f>_xlfn.XLOOKUP($D91,'consolidated tracker'!$D:$D,'consolidated tracker'!T:T)</f>
        <v>0</v>
      </c>
      <c r="V91" s="33">
        <f>_xlfn.XLOOKUP($D91,'consolidated tracker'!$D:$D,'consolidated tracker'!U:U)</f>
        <v>0</v>
      </c>
      <c r="W91" s="33">
        <f>_xlfn.XLOOKUP($D91,'consolidated tracker'!$D:$D,'consolidated tracker'!V:V)</f>
        <v>0</v>
      </c>
      <c r="X91" s="33">
        <f>_xlfn.XLOOKUP($D91,'consolidated tracker'!$D:$D,'consolidated tracker'!W:W)</f>
        <v>0</v>
      </c>
      <c r="Y91" s="17"/>
      <c r="Z91" s="17"/>
      <c r="AA91" s="11"/>
      <c r="AB91" s="16"/>
    </row>
    <row r="92" spans="1:28" s="7" customFormat="1" ht="150" hidden="1" customHeight="1" outlineLevel="1" x14ac:dyDescent="1.25">
      <c r="A92" s="4"/>
      <c r="C92" s="77"/>
      <c r="D92" s="94" t="s">
        <v>100</v>
      </c>
      <c r="E92" s="49" t="str">
        <f>_xlfn.XLOOKUP(D92,'consolidated tracker'!D:D,'consolidated tracker'!E:E)</f>
        <v>RERA</v>
      </c>
      <c r="F92" s="134" t="s">
        <v>232</v>
      </c>
      <c r="G92" s="33">
        <f>_xlfn.XLOOKUP(D92,'consolidated tracker'!D:D,'consolidated tracker'!F:F)</f>
        <v>337</v>
      </c>
      <c r="H92" s="33">
        <f>_xlfn.XLOOKUP(D92,'consolidated tracker'!D:D,'consolidated tracker'!G:G)</f>
        <v>674033743.32000005</v>
      </c>
      <c r="I92" s="33">
        <f>_xlfn.XLOOKUP(D92,'consolidated tracker'!D:D,'consolidated tracker'!H:H)</f>
        <v>236827590.83999991</v>
      </c>
      <c r="J92" s="33">
        <f>_xlfn.XLOOKUP(D92,'consolidated tracker'!D:D,'consolidated tracker'!I:I)</f>
        <v>229449199.20999998</v>
      </c>
      <c r="K92" s="33">
        <f>_xlfn.XLOOKUP(D92,'consolidated tracker'!D:D,'consolidated tracker'!J:J)</f>
        <v>23251185.530000005</v>
      </c>
      <c r="L92" s="34">
        <f>_xlfn.XLOOKUP(D92,'consolidated tracker'!D:D,'consolidated tracker'!K:K)</f>
        <v>0.96884488161269711</v>
      </c>
      <c r="M92" s="36">
        <f>_xlfn.XLOOKUP('consolidated - Offplan'!D92,'consolidated tracker'!D:D,'consolidated tracker'!L:L)</f>
        <v>7378391.6299999999</v>
      </c>
      <c r="N92" s="30">
        <f>_xlfn.XLOOKUP($D92,'consolidated tracker'!$D:$D,'consolidated tracker'!M:M)</f>
        <v>413954966.95000017</v>
      </c>
      <c r="O92" s="40">
        <f>_xlfn.XLOOKUP($D92,'consolidated tracker'!$D:$D,'consolidated tracker'!N:N)</f>
        <v>86742753.730000257</v>
      </c>
      <c r="P92" s="33">
        <f>_xlfn.XLOOKUP($D92,'consolidated tracker'!$D:$D,'consolidated tracker'!O:O)</f>
        <v>51822765.530000009</v>
      </c>
      <c r="Q92" s="33">
        <f>_xlfn.XLOOKUP($D92,'consolidated tracker'!$D:$D,'consolidated tracker'!P:P)</f>
        <v>275389447.68999988</v>
      </c>
      <c r="R92" s="33">
        <f>_xlfn.XLOOKUP($D92,'consolidated tracker'!$D:$D,'consolidated tracker'!Q:Q)</f>
        <v>0</v>
      </c>
      <c r="S92" s="33">
        <f>_xlfn.XLOOKUP($D92,'consolidated tracker'!$D:$D,'consolidated tracker'!R:R)</f>
        <v>0</v>
      </c>
      <c r="T92" s="33">
        <f>_xlfn.XLOOKUP($D92,'consolidated tracker'!$D:$D,'consolidated tracker'!S:S)</f>
        <v>0</v>
      </c>
      <c r="U92" s="33">
        <f>_xlfn.XLOOKUP($D92,'consolidated tracker'!$D:$D,'consolidated tracker'!T:T)</f>
        <v>0</v>
      </c>
      <c r="V92" s="33">
        <f>_xlfn.XLOOKUP($D92,'consolidated tracker'!$D:$D,'consolidated tracker'!U:U)</f>
        <v>0</v>
      </c>
      <c r="W92" s="33">
        <f>_xlfn.XLOOKUP($D92,'consolidated tracker'!$D:$D,'consolidated tracker'!V:V)</f>
        <v>0</v>
      </c>
      <c r="X92" s="33">
        <f>_xlfn.XLOOKUP($D92,'consolidated tracker'!$D:$D,'consolidated tracker'!W:W)</f>
        <v>0</v>
      </c>
      <c r="Y92" s="17"/>
      <c r="Z92" s="17"/>
      <c r="AA92" s="11"/>
      <c r="AB92" s="16"/>
    </row>
    <row r="93" spans="1:28" s="7" customFormat="1" ht="150" hidden="1" customHeight="1" outlineLevel="2" x14ac:dyDescent="1.25">
      <c r="A93" s="4"/>
      <c r="C93" s="77"/>
      <c r="D93" s="94" t="s">
        <v>99</v>
      </c>
      <c r="E93" s="49" t="str">
        <f>_xlfn.XLOOKUP(D93,'consolidated tracker'!D:D,'consolidated tracker'!E:E)</f>
        <v>RERA</v>
      </c>
      <c r="F93" s="134">
        <v>47026</v>
      </c>
      <c r="G93" s="33">
        <f>_xlfn.XLOOKUP(D93,'consolidated tracker'!D:D,'consolidated tracker'!F:F)</f>
        <v>109</v>
      </c>
      <c r="H93" s="33">
        <f>_xlfn.XLOOKUP(D93,'consolidated tracker'!D:D,'consolidated tracker'!G:G)</f>
        <v>214412498.4300001</v>
      </c>
      <c r="I93" s="33">
        <f>_xlfn.XLOOKUP(D93,'consolidated tracker'!D:D,'consolidated tracker'!H:H)</f>
        <v>72666188.329999954</v>
      </c>
      <c r="J93" s="33">
        <f>_xlfn.XLOOKUP(D93,'consolidated tracker'!D:D,'consolidated tracker'!I:I)</f>
        <v>70179506.779999971</v>
      </c>
      <c r="K93" s="33">
        <f>_xlfn.XLOOKUP(D93,'consolidated tracker'!D:D,'consolidated tracker'!J:J)</f>
        <v>3589538.0800000005</v>
      </c>
      <c r="L93" s="34">
        <f>_xlfn.XLOOKUP(D93,'consolidated tracker'!D:D,'consolidated tracker'!K:K)</f>
        <v>0.96577938643613481</v>
      </c>
      <c r="M93" s="36">
        <f>_xlfn.XLOOKUP('consolidated - Offplan'!D93,'consolidated tracker'!D:D,'consolidated tracker'!L:L)</f>
        <v>2486681.5500000003</v>
      </c>
      <c r="N93" s="30">
        <f>_xlfn.XLOOKUP($D93,'consolidated tracker'!$D:$D,'consolidated tracker'!M:M)</f>
        <v>138156772.02000016</v>
      </c>
      <c r="O93" s="40">
        <f>_xlfn.XLOOKUP($D93,'consolidated tracker'!$D:$D,'consolidated tracker'!N:N)</f>
        <v>27868445.210000247</v>
      </c>
      <c r="P93" s="33">
        <f>_xlfn.XLOOKUP($D93,'consolidated tracker'!$D:$D,'consolidated tracker'!O:O)</f>
        <v>18143834.099999998</v>
      </c>
      <c r="Q93" s="33">
        <f>_xlfn.XLOOKUP($D93,'consolidated tracker'!$D:$D,'consolidated tracker'!P:P)</f>
        <v>92144492.709999919</v>
      </c>
      <c r="R93" s="33">
        <f>_xlfn.XLOOKUP($D93,'consolidated tracker'!$D:$D,'consolidated tracker'!Q:Q)</f>
        <v>0</v>
      </c>
      <c r="S93" s="33">
        <f>_xlfn.XLOOKUP($D93,'consolidated tracker'!$D:$D,'consolidated tracker'!R:R)</f>
        <v>0</v>
      </c>
      <c r="T93" s="33">
        <f>_xlfn.XLOOKUP($D93,'consolidated tracker'!$D:$D,'consolidated tracker'!S:S)</f>
        <v>0</v>
      </c>
      <c r="U93" s="33">
        <f>_xlfn.XLOOKUP($D93,'consolidated tracker'!$D:$D,'consolidated tracker'!T:T)</f>
        <v>0</v>
      </c>
      <c r="V93" s="33">
        <f>_xlfn.XLOOKUP($D93,'consolidated tracker'!$D:$D,'consolidated tracker'!U:U)</f>
        <v>0</v>
      </c>
      <c r="W93" s="33">
        <f>_xlfn.XLOOKUP($D93,'consolidated tracker'!$D:$D,'consolidated tracker'!V:V)</f>
        <v>0</v>
      </c>
      <c r="X93" s="33">
        <f>_xlfn.XLOOKUP($D93,'consolidated tracker'!$D:$D,'consolidated tracker'!W:W)</f>
        <v>0</v>
      </c>
      <c r="Y93" s="17"/>
      <c r="Z93" s="17"/>
      <c r="AA93" s="11"/>
      <c r="AB93" s="16"/>
    </row>
    <row r="94" spans="1:28" s="7" customFormat="1" ht="150" hidden="1" customHeight="1" outlineLevel="2" x14ac:dyDescent="1.25">
      <c r="A94" s="4"/>
      <c r="C94" s="77"/>
      <c r="D94" s="94" t="s">
        <v>98</v>
      </c>
      <c r="E94" s="49" t="str">
        <f>_xlfn.XLOOKUP(D94,'consolidated tracker'!D:D,'consolidated tracker'!E:E)</f>
        <v>RERA</v>
      </c>
      <c r="F94" s="134">
        <v>47026</v>
      </c>
      <c r="G94" s="33">
        <f>_xlfn.XLOOKUP(D94,'consolidated tracker'!D:D,'consolidated tracker'!F:F)</f>
        <v>61</v>
      </c>
      <c r="H94" s="33">
        <f>_xlfn.XLOOKUP(D94,'consolidated tracker'!D:D,'consolidated tracker'!G:G)</f>
        <v>121459172.51999998</v>
      </c>
      <c r="I94" s="33">
        <f>_xlfn.XLOOKUP(D94,'consolidated tracker'!D:D,'consolidated tracker'!H:H)</f>
        <v>41261658.699999981</v>
      </c>
      <c r="J94" s="33">
        <f>_xlfn.XLOOKUP(D94,'consolidated tracker'!D:D,'consolidated tracker'!I:I)</f>
        <v>40338141.430000015</v>
      </c>
      <c r="K94" s="33">
        <f>_xlfn.XLOOKUP(D94,'consolidated tracker'!D:D,'consolidated tracker'!J:J)</f>
        <v>3366734.4799999991</v>
      </c>
      <c r="L94" s="34">
        <f>_xlfn.XLOOKUP(D94,'consolidated tracker'!D:D,'consolidated tracker'!K:K)</f>
        <v>0.9776180284773679</v>
      </c>
      <c r="M94" s="36">
        <f>_xlfn.XLOOKUP('consolidated - Offplan'!D94,'consolidated tracker'!D:D,'consolidated tracker'!L:L)</f>
        <v>923517.2699999999</v>
      </c>
      <c r="N94" s="30">
        <f>_xlfn.XLOOKUP($D94,'consolidated tracker'!$D:$D,'consolidated tracker'!M:M)</f>
        <v>76830779.340000004</v>
      </c>
      <c r="O94" s="40">
        <f>_xlfn.XLOOKUP($D94,'consolidated tracker'!$D:$D,'consolidated tracker'!N:N)</f>
        <v>16084070.220000006</v>
      </c>
      <c r="P94" s="33">
        <f>_xlfn.XLOOKUP($D94,'consolidated tracker'!$D:$D,'consolidated tracker'!O:O)</f>
        <v>9691025.5800000001</v>
      </c>
      <c r="Q94" s="33">
        <f>_xlfn.XLOOKUP($D94,'consolidated tracker'!$D:$D,'consolidated tracker'!P:P)</f>
        <v>51055683.539999999</v>
      </c>
      <c r="R94" s="33">
        <f>_xlfn.XLOOKUP($D94,'consolidated tracker'!$D:$D,'consolidated tracker'!Q:Q)</f>
        <v>0</v>
      </c>
      <c r="S94" s="33">
        <f>_xlfn.XLOOKUP($D94,'consolidated tracker'!$D:$D,'consolidated tracker'!R:R)</f>
        <v>0</v>
      </c>
      <c r="T94" s="33">
        <f>_xlfn.XLOOKUP($D94,'consolidated tracker'!$D:$D,'consolidated tracker'!S:S)</f>
        <v>0</v>
      </c>
      <c r="U94" s="33">
        <f>_xlfn.XLOOKUP($D94,'consolidated tracker'!$D:$D,'consolidated tracker'!T:T)</f>
        <v>0</v>
      </c>
      <c r="V94" s="33">
        <f>_xlfn.XLOOKUP($D94,'consolidated tracker'!$D:$D,'consolidated tracker'!U:U)</f>
        <v>0</v>
      </c>
      <c r="W94" s="33">
        <f>_xlfn.XLOOKUP($D94,'consolidated tracker'!$D:$D,'consolidated tracker'!V:V)</f>
        <v>0</v>
      </c>
      <c r="X94" s="33">
        <f>_xlfn.XLOOKUP($D94,'consolidated tracker'!$D:$D,'consolidated tracker'!W:W)</f>
        <v>0</v>
      </c>
      <c r="Y94" s="17"/>
      <c r="Z94" s="17"/>
      <c r="AA94" s="11"/>
      <c r="AB94" s="16"/>
    </row>
    <row r="95" spans="1:28" s="7" customFormat="1" ht="150" hidden="1" customHeight="1" outlineLevel="2" x14ac:dyDescent="1.25">
      <c r="A95" s="4"/>
      <c r="C95" s="77"/>
      <c r="D95" s="94" t="s">
        <v>97</v>
      </c>
      <c r="E95" s="49" t="str">
        <f>_xlfn.XLOOKUP(D95,'consolidated tracker'!D:D,'consolidated tracker'!E:E)</f>
        <v>RERA</v>
      </c>
      <c r="F95" s="134">
        <v>47026</v>
      </c>
      <c r="G95" s="33">
        <f>_xlfn.XLOOKUP(D95,'consolidated tracker'!D:D,'consolidated tracker'!F:F)</f>
        <v>60</v>
      </c>
      <c r="H95" s="33">
        <f>_xlfn.XLOOKUP(D95,'consolidated tracker'!D:D,'consolidated tracker'!G:G)</f>
        <v>119708422.34</v>
      </c>
      <c r="I95" s="33">
        <f>_xlfn.XLOOKUP(D95,'consolidated tracker'!D:D,'consolidated tracker'!H:H)</f>
        <v>41476719.639999978</v>
      </c>
      <c r="J95" s="33">
        <f>_xlfn.XLOOKUP(D95,'consolidated tracker'!D:D,'consolidated tracker'!I:I)</f>
        <v>40014394.380000003</v>
      </c>
      <c r="K95" s="33">
        <f>_xlfn.XLOOKUP(D95,'consolidated tracker'!D:D,'consolidated tracker'!J:J)</f>
        <v>5442665.450000002</v>
      </c>
      <c r="L95" s="34">
        <f>_xlfn.XLOOKUP(D95,'consolidated tracker'!D:D,'consolidated tracker'!K:K)</f>
        <v>0.96474346880147877</v>
      </c>
      <c r="M95" s="36">
        <f>_xlfn.XLOOKUP('consolidated - Offplan'!D95,'consolidated tracker'!D:D,'consolidated tracker'!L:L)</f>
        <v>1462325.26</v>
      </c>
      <c r="N95" s="30">
        <f>_xlfn.XLOOKUP($D95,'consolidated tracker'!$D:$D,'consolidated tracker'!M:M)</f>
        <v>72789037.25000003</v>
      </c>
      <c r="O95" s="40">
        <f>_xlfn.XLOOKUP($D95,'consolidated tracker'!$D:$D,'consolidated tracker'!N:N)</f>
        <v>15100098.340000018</v>
      </c>
      <c r="P95" s="33">
        <f>_xlfn.XLOOKUP($D95,'consolidated tracker'!$D:$D,'consolidated tracker'!O:O)</f>
        <v>10241793.060000002</v>
      </c>
      <c r="Q95" s="33">
        <f>_xlfn.XLOOKUP($D95,'consolidated tracker'!$D:$D,'consolidated tracker'!P:P)</f>
        <v>47447145.850000009</v>
      </c>
      <c r="R95" s="33">
        <f>_xlfn.XLOOKUP($D95,'consolidated tracker'!$D:$D,'consolidated tracker'!Q:Q)</f>
        <v>0</v>
      </c>
      <c r="S95" s="33">
        <f>_xlfn.XLOOKUP($D95,'consolidated tracker'!$D:$D,'consolidated tracker'!R:R)</f>
        <v>0</v>
      </c>
      <c r="T95" s="33">
        <f>_xlfn.XLOOKUP($D95,'consolidated tracker'!$D:$D,'consolidated tracker'!S:S)</f>
        <v>0</v>
      </c>
      <c r="U95" s="33">
        <f>_xlfn.XLOOKUP($D95,'consolidated tracker'!$D:$D,'consolidated tracker'!T:T)</f>
        <v>0</v>
      </c>
      <c r="V95" s="33">
        <f>_xlfn.XLOOKUP($D95,'consolidated tracker'!$D:$D,'consolidated tracker'!U:U)</f>
        <v>0</v>
      </c>
      <c r="W95" s="33">
        <f>_xlfn.XLOOKUP($D95,'consolidated tracker'!$D:$D,'consolidated tracker'!V:V)</f>
        <v>0</v>
      </c>
      <c r="X95" s="33">
        <f>_xlfn.XLOOKUP($D95,'consolidated tracker'!$D:$D,'consolidated tracker'!W:W)</f>
        <v>0</v>
      </c>
      <c r="Y95" s="17"/>
      <c r="Z95" s="17"/>
      <c r="AA95" s="11"/>
      <c r="AB95" s="16"/>
    </row>
    <row r="96" spans="1:28" s="7" customFormat="1" ht="150" hidden="1" customHeight="1" outlineLevel="2" x14ac:dyDescent="1.25">
      <c r="A96" s="4"/>
      <c r="C96" s="77"/>
      <c r="D96" s="94" t="s">
        <v>96</v>
      </c>
      <c r="E96" s="49" t="str">
        <f>_xlfn.XLOOKUP(D96,'consolidated tracker'!D:D,'consolidated tracker'!E:E)</f>
        <v>RERA</v>
      </c>
      <c r="F96" s="134">
        <v>47026</v>
      </c>
      <c r="G96" s="33">
        <f>_xlfn.XLOOKUP(D96,'consolidated tracker'!D:D,'consolidated tracker'!F:F)</f>
        <v>107</v>
      </c>
      <c r="H96" s="33">
        <f>_xlfn.XLOOKUP(D96,'consolidated tracker'!D:D,'consolidated tracker'!G:G)</f>
        <v>218453650.02999997</v>
      </c>
      <c r="I96" s="33">
        <f>_xlfn.XLOOKUP(D96,'consolidated tracker'!D:D,'consolidated tracker'!H:H)</f>
        <v>81423024.169999987</v>
      </c>
      <c r="J96" s="33">
        <f>_xlfn.XLOOKUP(D96,'consolidated tracker'!D:D,'consolidated tracker'!I:I)</f>
        <v>78917156.61999999</v>
      </c>
      <c r="K96" s="33">
        <f>_xlfn.XLOOKUP(D96,'consolidated tracker'!D:D,'consolidated tracker'!J:J)</f>
        <v>10852247.520000003</v>
      </c>
      <c r="L96" s="34">
        <f>_xlfn.XLOOKUP(D96,'consolidated tracker'!D:D,'consolidated tracker'!K:K)</f>
        <v>0.96922409139743948</v>
      </c>
      <c r="M96" s="36">
        <f>_xlfn.XLOOKUP('consolidated - Offplan'!D96,'consolidated tracker'!D:D,'consolidated tracker'!L:L)</f>
        <v>2505867.5499999998</v>
      </c>
      <c r="N96" s="30">
        <f>_xlfn.XLOOKUP($D96,'consolidated tracker'!$D:$D,'consolidated tracker'!M:M)</f>
        <v>126178378.33999997</v>
      </c>
      <c r="O96" s="40">
        <f>_xlfn.XLOOKUP($D96,'consolidated tracker'!$D:$D,'consolidated tracker'!N:N)</f>
        <v>27690139.959999979</v>
      </c>
      <c r="P96" s="33">
        <f>_xlfn.XLOOKUP($D96,'consolidated tracker'!$D:$D,'consolidated tracker'!O:O)</f>
        <v>13746112.790000005</v>
      </c>
      <c r="Q96" s="33">
        <f>_xlfn.XLOOKUP($D96,'consolidated tracker'!$D:$D,'consolidated tracker'!P:P)</f>
        <v>84742125.589999989</v>
      </c>
      <c r="R96" s="33">
        <f>_xlfn.XLOOKUP($D96,'consolidated tracker'!$D:$D,'consolidated tracker'!Q:Q)</f>
        <v>0</v>
      </c>
      <c r="S96" s="33">
        <f>_xlfn.XLOOKUP($D96,'consolidated tracker'!$D:$D,'consolidated tracker'!R:R)</f>
        <v>0</v>
      </c>
      <c r="T96" s="33">
        <f>_xlfn.XLOOKUP($D96,'consolidated tracker'!$D:$D,'consolidated tracker'!S:S)</f>
        <v>0</v>
      </c>
      <c r="U96" s="33">
        <f>_xlfn.XLOOKUP($D96,'consolidated tracker'!$D:$D,'consolidated tracker'!T:T)</f>
        <v>0</v>
      </c>
      <c r="V96" s="33">
        <f>_xlfn.XLOOKUP($D96,'consolidated tracker'!$D:$D,'consolidated tracker'!U:U)</f>
        <v>0</v>
      </c>
      <c r="W96" s="33">
        <f>_xlfn.XLOOKUP($D96,'consolidated tracker'!$D:$D,'consolidated tracker'!V:V)</f>
        <v>0</v>
      </c>
      <c r="X96" s="33">
        <f>_xlfn.XLOOKUP($D96,'consolidated tracker'!$D:$D,'consolidated tracker'!W:W)</f>
        <v>0</v>
      </c>
      <c r="Y96" s="17"/>
      <c r="Z96" s="17"/>
      <c r="AA96" s="11"/>
      <c r="AB96" s="16"/>
    </row>
    <row r="97" spans="1:28" s="7" customFormat="1" ht="150" hidden="1" customHeight="1" outlineLevel="1" x14ac:dyDescent="1.25">
      <c r="A97" s="4"/>
      <c r="C97" s="77"/>
      <c r="D97" s="94" t="s">
        <v>95</v>
      </c>
      <c r="E97" s="49" t="str">
        <f>_xlfn.XLOOKUP(D97,'consolidated tracker'!D:D,'consolidated tracker'!E:E)</f>
        <v>RERA</v>
      </c>
      <c r="F97" s="134" t="s">
        <v>232</v>
      </c>
      <c r="G97" s="33">
        <f>_xlfn.XLOOKUP(D97,'consolidated tracker'!D:D,'consolidated tracker'!F:F)</f>
        <v>331</v>
      </c>
      <c r="H97" s="33">
        <f>_xlfn.XLOOKUP(D97,'consolidated tracker'!D:D,'consolidated tracker'!G:G)</f>
        <v>667686855.18000007</v>
      </c>
      <c r="I97" s="33">
        <f>_xlfn.XLOOKUP(D97,'consolidated tracker'!D:D,'consolidated tracker'!H:H)</f>
        <v>225491062.34000003</v>
      </c>
      <c r="J97" s="33">
        <f>_xlfn.XLOOKUP(D97,'consolidated tracker'!D:D,'consolidated tracker'!I:I)</f>
        <v>214512776.35999998</v>
      </c>
      <c r="K97" s="33">
        <f>_xlfn.XLOOKUP(D97,'consolidated tracker'!D:D,'consolidated tracker'!J:J)</f>
        <v>22295532.890000001</v>
      </c>
      <c r="L97" s="34">
        <f>_xlfn.XLOOKUP(D97,'consolidated tracker'!D:D,'consolidated tracker'!K:K)</f>
        <v>0.95131387529920475</v>
      </c>
      <c r="M97" s="36">
        <f>_xlfn.XLOOKUP('consolidated - Offplan'!D97,'consolidated tracker'!D:D,'consolidated tracker'!L:L)</f>
        <v>11070675.380000001</v>
      </c>
      <c r="N97" s="30">
        <f>_xlfn.XLOOKUP($D97,'consolidated tracker'!$D:$D,'consolidated tracker'!M:M)</f>
        <v>419900259.95000005</v>
      </c>
      <c r="O97" s="40">
        <f>_xlfn.XLOOKUP($D97,'consolidated tracker'!$D:$D,'consolidated tracker'!N:N)</f>
        <v>71733501.860000014</v>
      </c>
      <c r="P97" s="33">
        <f>_xlfn.XLOOKUP($D97,'consolidated tracker'!$D:$D,'consolidated tracker'!O:O)</f>
        <v>68752285.549999997</v>
      </c>
      <c r="Q97" s="33">
        <f>_xlfn.XLOOKUP($D97,'consolidated tracker'!$D:$D,'consolidated tracker'!P:P)</f>
        <v>279414472.54000002</v>
      </c>
      <c r="R97" s="33">
        <f>_xlfn.XLOOKUP($D97,'consolidated tracker'!$D:$D,'consolidated tracker'!Q:Q)</f>
        <v>0</v>
      </c>
      <c r="S97" s="33">
        <f>_xlfn.XLOOKUP($D97,'consolidated tracker'!$D:$D,'consolidated tracker'!R:R)</f>
        <v>0</v>
      </c>
      <c r="T97" s="33">
        <f>_xlfn.XLOOKUP($D97,'consolidated tracker'!$D:$D,'consolidated tracker'!S:S)</f>
        <v>0</v>
      </c>
      <c r="U97" s="33">
        <f>_xlfn.XLOOKUP($D97,'consolidated tracker'!$D:$D,'consolidated tracker'!T:T)</f>
        <v>0</v>
      </c>
      <c r="V97" s="33">
        <f>_xlfn.XLOOKUP($D97,'consolidated tracker'!$D:$D,'consolidated tracker'!U:U)</f>
        <v>0</v>
      </c>
      <c r="W97" s="33">
        <f>_xlfn.XLOOKUP($D97,'consolidated tracker'!$D:$D,'consolidated tracker'!V:V)</f>
        <v>0</v>
      </c>
      <c r="X97" s="33">
        <f>_xlfn.XLOOKUP($D97,'consolidated tracker'!$D:$D,'consolidated tracker'!W:W)</f>
        <v>0</v>
      </c>
      <c r="Y97" s="17"/>
      <c r="Z97" s="17"/>
      <c r="AA97" s="11"/>
      <c r="AB97" s="16"/>
    </row>
    <row r="98" spans="1:28" s="7" customFormat="1" ht="150" hidden="1" customHeight="1" outlineLevel="2" x14ac:dyDescent="1.25">
      <c r="A98" s="4"/>
      <c r="C98" s="77"/>
      <c r="D98" s="94" t="s">
        <v>94</v>
      </c>
      <c r="E98" s="49" t="str">
        <f>_xlfn.XLOOKUP(D98,'consolidated tracker'!D:D,'consolidated tracker'!E:E)</f>
        <v>RERA</v>
      </c>
      <c r="F98" s="134">
        <v>47026</v>
      </c>
      <c r="G98" s="33">
        <f>_xlfn.XLOOKUP(D98,'consolidated tracker'!D:D,'consolidated tracker'!F:F)</f>
        <v>104</v>
      </c>
      <c r="H98" s="33">
        <f>_xlfn.XLOOKUP(D98,'consolidated tracker'!D:D,'consolidated tracker'!G:G)</f>
        <v>207226554.46000004</v>
      </c>
      <c r="I98" s="33">
        <f>_xlfn.XLOOKUP(D98,'consolidated tracker'!D:D,'consolidated tracker'!H:H)</f>
        <v>72066632.439999983</v>
      </c>
      <c r="J98" s="33">
        <f>_xlfn.XLOOKUP(D98,'consolidated tracker'!D:D,'consolidated tracker'!I:I)</f>
        <v>68844865.349999979</v>
      </c>
      <c r="K98" s="33">
        <f>_xlfn.XLOOKUP(D98,'consolidated tracker'!D:D,'consolidated tracker'!J:J)</f>
        <v>2920284.68</v>
      </c>
      <c r="L98" s="34">
        <f>_xlfn.XLOOKUP(D98,'consolidated tracker'!D:D,'consolidated tracker'!K:K)</f>
        <v>0.95529460749144446</v>
      </c>
      <c r="M98" s="36">
        <f>_xlfn.XLOOKUP('consolidated - Offplan'!D98,'consolidated tracker'!D:D,'consolidated tracker'!L:L)</f>
        <v>3221767.0900000008</v>
      </c>
      <c r="N98" s="30">
        <f>_xlfn.XLOOKUP($D98,'consolidated tracker'!$D:$D,'consolidated tracker'!M:M)</f>
        <v>132239637.34000005</v>
      </c>
      <c r="O98" s="40">
        <f>_xlfn.XLOOKUP($D98,'consolidated tracker'!$D:$D,'consolidated tracker'!N:N)</f>
        <v>23079509.340000078</v>
      </c>
      <c r="P98" s="33">
        <f>_xlfn.XLOOKUP($D98,'consolidated tracker'!$D:$D,'consolidated tracker'!O:O)</f>
        <v>22143983.549999993</v>
      </c>
      <c r="Q98" s="33">
        <f>_xlfn.XLOOKUP($D98,'consolidated tracker'!$D:$D,'consolidated tracker'!P:P)</f>
        <v>87016144.449999973</v>
      </c>
      <c r="R98" s="33">
        <f>_xlfn.XLOOKUP($D98,'consolidated tracker'!$D:$D,'consolidated tracker'!Q:Q)</f>
        <v>0</v>
      </c>
      <c r="S98" s="33">
        <f>_xlfn.XLOOKUP($D98,'consolidated tracker'!$D:$D,'consolidated tracker'!R:R)</f>
        <v>0</v>
      </c>
      <c r="T98" s="33">
        <f>_xlfn.XLOOKUP($D98,'consolidated tracker'!$D:$D,'consolidated tracker'!S:S)</f>
        <v>0</v>
      </c>
      <c r="U98" s="33">
        <f>_xlfn.XLOOKUP($D98,'consolidated tracker'!$D:$D,'consolidated tracker'!T:T)</f>
        <v>0</v>
      </c>
      <c r="V98" s="33">
        <f>_xlfn.XLOOKUP($D98,'consolidated tracker'!$D:$D,'consolidated tracker'!U:U)</f>
        <v>0</v>
      </c>
      <c r="W98" s="33">
        <f>_xlfn.XLOOKUP($D98,'consolidated tracker'!$D:$D,'consolidated tracker'!V:V)</f>
        <v>0</v>
      </c>
      <c r="X98" s="33">
        <f>_xlfn.XLOOKUP($D98,'consolidated tracker'!$D:$D,'consolidated tracker'!W:W)</f>
        <v>0</v>
      </c>
      <c r="Y98" s="17"/>
      <c r="Z98" s="17"/>
      <c r="AA98" s="11"/>
      <c r="AB98" s="16"/>
    </row>
    <row r="99" spans="1:28" s="7" customFormat="1" ht="150" hidden="1" customHeight="1" outlineLevel="2" x14ac:dyDescent="1.25">
      <c r="A99" s="4"/>
      <c r="C99" s="77"/>
      <c r="D99" s="94" t="s">
        <v>93</v>
      </c>
      <c r="E99" s="49" t="str">
        <f>_xlfn.XLOOKUP(D99,'consolidated tracker'!D:D,'consolidated tracker'!E:E)</f>
        <v>RERA</v>
      </c>
      <c r="F99" s="134">
        <v>47026</v>
      </c>
      <c r="G99" s="33">
        <f>_xlfn.XLOOKUP(D99,'consolidated tracker'!D:D,'consolidated tracker'!F:F)</f>
        <v>63</v>
      </c>
      <c r="H99" s="33">
        <f>_xlfn.XLOOKUP(D99,'consolidated tracker'!D:D,'consolidated tracker'!G:G)</f>
        <v>127611774.5</v>
      </c>
      <c r="I99" s="33">
        <f>_xlfn.XLOOKUP(D99,'consolidated tracker'!D:D,'consolidated tracker'!H:H)</f>
        <v>43367893.540000014</v>
      </c>
      <c r="J99" s="33">
        <f>_xlfn.XLOOKUP(D99,'consolidated tracker'!D:D,'consolidated tracker'!I:I)</f>
        <v>41894222.710000008</v>
      </c>
      <c r="K99" s="33">
        <f>_xlfn.XLOOKUP(D99,'consolidated tracker'!D:D,'consolidated tracker'!J:J)</f>
        <v>5869249.4500000002</v>
      </c>
      <c r="L99" s="34">
        <f>_xlfn.XLOOKUP(D99,'consolidated tracker'!D:D,'consolidated tracker'!K:K)</f>
        <v>0.96601931268253138</v>
      </c>
      <c r="M99" s="36">
        <f>_xlfn.XLOOKUP('consolidated - Offplan'!D99,'consolidated tracker'!D:D,'consolidated tracker'!L:L)</f>
        <v>1473670.83</v>
      </c>
      <c r="N99" s="30">
        <f>_xlfn.XLOOKUP($D99,'consolidated tracker'!$D:$D,'consolidated tracker'!M:M)</f>
        <v>78374631.50999999</v>
      </c>
      <c r="O99" s="40">
        <f>_xlfn.XLOOKUP($D99,'consolidated tracker'!$D:$D,'consolidated tracker'!N:N)</f>
        <v>13005346.709999971</v>
      </c>
      <c r="P99" s="33">
        <f>_xlfn.XLOOKUP($D99,'consolidated tracker'!$D:$D,'consolidated tracker'!O:O)</f>
        <v>12159905.770000001</v>
      </c>
      <c r="Q99" s="33">
        <f>_xlfn.XLOOKUP($D99,'consolidated tracker'!$D:$D,'consolidated tracker'!P:P)</f>
        <v>53209379.030000016</v>
      </c>
      <c r="R99" s="33">
        <f>_xlfn.XLOOKUP($D99,'consolidated tracker'!$D:$D,'consolidated tracker'!Q:Q)</f>
        <v>0</v>
      </c>
      <c r="S99" s="33">
        <f>_xlfn.XLOOKUP($D99,'consolidated tracker'!$D:$D,'consolidated tracker'!R:R)</f>
        <v>0</v>
      </c>
      <c r="T99" s="33">
        <f>_xlfn.XLOOKUP($D99,'consolidated tracker'!$D:$D,'consolidated tracker'!S:S)</f>
        <v>0</v>
      </c>
      <c r="U99" s="33">
        <f>_xlfn.XLOOKUP($D99,'consolidated tracker'!$D:$D,'consolidated tracker'!T:T)</f>
        <v>0</v>
      </c>
      <c r="V99" s="33">
        <f>_xlfn.XLOOKUP($D99,'consolidated tracker'!$D:$D,'consolidated tracker'!U:U)</f>
        <v>0</v>
      </c>
      <c r="W99" s="33">
        <f>_xlfn.XLOOKUP($D99,'consolidated tracker'!$D:$D,'consolidated tracker'!V:V)</f>
        <v>0</v>
      </c>
      <c r="X99" s="33">
        <f>_xlfn.XLOOKUP($D99,'consolidated tracker'!$D:$D,'consolidated tracker'!W:W)</f>
        <v>0</v>
      </c>
      <c r="Y99" s="17"/>
      <c r="Z99" s="17"/>
      <c r="AA99" s="11"/>
      <c r="AB99" s="16"/>
    </row>
    <row r="100" spans="1:28" s="7" customFormat="1" ht="150" hidden="1" customHeight="1" outlineLevel="2" x14ac:dyDescent="1.25">
      <c r="A100" s="4"/>
      <c r="C100" s="77"/>
      <c r="D100" s="94" t="s">
        <v>92</v>
      </c>
      <c r="E100" s="49" t="str">
        <f>_xlfn.XLOOKUP(D100,'consolidated tracker'!D:D,'consolidated tracker'!E:E)</f>
        <v>RERA</v>
      </c>
      <c r="F100" s="134">
        <v>47026</v>
      </c>
      <c r="G100" s="33">
        <f>_xlfn.XLOOKUP(D100,'consolidated tracker'!D:D,'consolidated tracker'!F:F)</f>
        <v>64</v>
      </c>
      <c r="H100" s="33">
        <f>_xlfn.XLOOKUP(D100,'consolidated tracker'!D:D,'consolidated tracker'!G:G)</f>
        <v>135215901.75</v>
      </c>
      <c r="I100" s="33">
        <f>_xlfn.XLOOKUP(D100,'consolidated tracker'!D:D,'consolidated tracker'!H:H)</f>
        <v>42957328.639999978</v>
      </c>
      <c r="J100" s="33">
        <f>_xlfn.XLOOKUP(D100,'consolidated tracker'!D:D,'consolidated tracker'!I:I)</f>
        <v>41416507.840000018</v>
      </c>
      <c r="K100" s="33">
        <f>_xlfn.XLOOKUP(D100,'consolidated tracker'!D:D,'consolidated tracker'!J:J)</f>
        <v>4993790.5300000031</v>
      </c>
      <c r="L100" s="34">
        <f>_xlfn.XLOOKUP(D100,'consolidated tracker'!D:D,'consolidated tracker'!K:K)</f>
        <v>0.96413136363965579</v>
      </c>
      <c r="M100" s="36">
        <f>_xlfn.XLOOKUP('consolidated - Offplan'!D100,'consolidated tracker'!D:D,'consolidated tracker'!L:L)</f>
        <v>1540820.8</v>
      </c>
      <c r="N100" s="30">
        <f>_xlfn.XLOOKUP($D100,'consolidated tracker'!$D:$D,'consolidated tracker'!M:M)</f>
        <v>87264782.580000013</v>
      </c>
      <c r="O100" s="40">
        <f>_xlfn.XLOOKUP($D100,'consolidated tracker'!$D:$D,'consolidated tracker'!N:N)</f>
        <v>14184353.11999999</v>
      </c>
      <c r="P100" s="33">
        <f>_xlfn.XLOOKUP($D100,'consolidated tracker'!$D:$D,'consolidated tracker'!O:O)</f>
        <v>13090628.110000007</v>
      </c>
      <c r="Q100" s="33">
        <f>_xlfn.XLOOKUP($D100,'consolidated tracker'!$D:$D,'consolidated tracker'!P:P)</f>
        <v>59989801.350000016</v>
      </c>
      <c r="R100" s="33">
        <f>_xlfn.XLOOKUP($D100,'consolidated tracker'!$D:$D,'consolidated tracker'!Q:Q)</f>
        <v>0</v>
      </c>
      <c r="S100" s="33">
        <f>_xlfn.XLOOKUP($D100,'consolidated tracker'!$D:$D,'consolidated tracker'!R:R)</f>
        <v>0</v>
      </c>
      <c r="T100" s="33">
        <f>_xlfn.XLOOKUP($D100,'consolidated tracker'!$D:$D,'consolidated tracker'!S:S)</f>
        <v>0</v>
      </c>
      <c r="U100" s="33">
        <f>_xlfn.XLOOKUP($D100,'consolidated tracker'!$D:$D,'consolidated tracker'!T:T)</f>
        <v>0</v>
      </c>
      <c r="V100" s="33">
        <f>_xlfn.XLOOKUP($D100,'consolidated tracker'!$D:$D,'consolidated tracker'!U:U)</f>
        <v>0</v>
      </c>
      <c r="W100" s="33">
        <f>_xlfn.XLOOKUP($D100,'consolidated tracker'!$D:$D,'consolidated tracker'!V:V)</f>
        <v>0</v>
      </c>
      <c r="X100" s="33">
        <f>_xlfn.XLOOKUP($D100,'consolidated tracker'!$D:$D,'consolidated tracker'!W:W)</f>
        <v>0</v>
      </c>
      <c r="Y100" s="17"/>
      <c r="Z100" s="17"/>
      <c r="AA100" s="11"/>
      <c r="AB100" s="16"/>
    </row>
    <row r="101" spans="1:28" s="7" customFormat="1" ht="150" hidden="1" customHeight="1" outlineLevel="2" x14ac:dyDescent="1.25">
      <c r="A101" s="4"/>
      <c r="C101" s="77"/>
      <c r="D101" s="94" t="s">
        <v>91</v>
      </c>
      <c r="E101" s="49" t="str">
        <f>_xlfn.XLOOKUP(D101,'consolidated tracker'!D:D,'consolidated tracker'!E:E)</f>
        <v>RERA</v>
      </c>
      <c r="F101" s="134">
        <v>47026</v>
      </c>
      <c r="G101" s="33">
        <f>_xlfn.XLOOKUP(D101,'consolidated tracker'!D:D,'consolidated tracker'!F:F)</f>
        <v>100</v>
      </c>
      <c r="H101" s="33">
        <f>_xlfn.XLOOKUP(D101,'consolidated tracker'!D:D,'consolidated tracker'!G:G)</f>
        <v>197632624.47</v>
      </c>
      <c r="I101" s="33">
        <f>_xlfn.XLOOKUP(D101,'consolidated tracker'!D:D,'consolidated tracker'!H:H)</f>
        <v>67099207.720000058</v>
      </c>
      <c r="J101" s="33">
        <f>_xlfn.XLOOKUP(D101,'consolidated tracker'!D:D,'consolidated tracker'!I:I)</f>
        <v>62357180.459999986</v>
      </c>
      <c r="K101" s="33">
        <f>_xlfn.XLOOKUP(D101,'consolidated tracker'!D:D,'consolidated tracker'!J:J)</f>
        <v>8512208.2299999986</v>
      </c>
      <c r="L101" s="34">
        <f>_xlfn.XLOOKUP(D101,'consolidated tracker'!D:D,'consolidated tracker'!K:K)</f>
        <v>0.92932811845129093</v>
      </c>
      <c r="M101" s="36">
        <f>_xlfn.XLOOKUP('consolidated - Offplan'!D101,'consolidated tracker'!D:D,'consolidated tracker'!L:L)</f>
        <v>4834416.66</v>
      </c>
      <c r="N101" s="30">
        <f>_xlfn.XLOOKUP($D101,'consolidated tracker'!$D:$D,'consolidated tracker'!M:M)</f>
        <v>122021208.51999994</v>
      </c>
      <c r="O101" s="40">
        <f>_xlfn.XLOOKUP($D101,'consolidated tracker'!$D:$D,'consolidated tracker'!N:N)</f>
        <v>21464292.689999908</v>
      </c>
      <c r="P101" s="33">
        <f>_xlfn.XLOOKUP($D101,'consolidated tracker'!$D:$D,'consolidated tracker'!O:O)</f>
        <v>21357768.120000001</v>
      </c>
      <c r="Q101" s="33">
        <f>_xlfn.XLOOKUP($D101,'consolidated tracker'!$D:$D,'consolidated tracker'!P:P)</f>
        <v>79199147.710000023</v>
      </c>
      <c r="R101" s="33">
        <f>_xlfn.XLOOKUP($D101,'consolidated tracker'!$D:$D,'consolidated tracker'!Q:Q)</f>
        <v>0</v>
      </c>
      <c r="S101" s="33">
        <f>_xlfn.XLOOKUP($D101,'consolidated tracker'!$D:$D,'consolidated tracker'!R:R)</f>
        <v>0</v>
      </c>
      <c r="T101" s="33">
        <f>_xlfn.XLOOKUP($D101,'consolidated tracker'!$D:$D,'consolidated tracker'!S:S)</f>
        <v>0</v>
      </c>
      <c r="U101" s="33">
        <f>_xlfn.XLOOKUP($D101,'consolidated tracker'!$D:$D,'consolidated tracker'!T:T)</f>
        <v>0</v>
      </c>
      <c r="V101" s="33">
        <f>_xlfn.XLOOKUP($D101,'consolidated tracker'!$D:$D,'consolidated tracker'!U:U)</f>
        <v>0</v>
      </c>
      <c r="W101" s="33">
        <f>_xlfn.XLOOKUP($D101,'consolidated tracker'!$D:$D,'consolidated tracker'!V:V)</f>
        <v>0</v>
      </c>
      <c r="X101" s="33">
        <f>_xlfn.XLOOKUP($D101,'consolidated tracker'!$D:$D,'consolidated tracker'!W:W)</f>
        <v>0</v>
      </c>
      <c r="Y101" s="17"/>
      <c r="Z101" s="17"/>
      <c r="AA101" s="11"/>
      <c r="AB101" s="16"/>
    </row>
    <row r="102" spans="1:28" s="7" customFormat="1" ht="150" hidden="1" customHeight="1" outlineLevel="1" x14ac:dyDescent="1.25">
      <c r="A102" s="4"/>
      <c r="C102" s="77"/>
      <c r="D102" s="94" t="s">
        <v>90</v>
      </c>
      <c r="E102" s="49" t="str">
        <f>_xlfn.XLOOKUP(D102,'consolidated tracker'!D:D,'consolidated tracker'!E:E)</f>
        <v>RERA</v>
      </c>
      <c r="F102" s="134" t="s">
        <v>232</v>
      </c>
      <c r="G102" s="33">
        <f>_xlfn.XLOOKUP(D102,'consolidated tracker'!D:D,'consolidated tracker'!F:F)</f>
        <v>272</v>
      </c>
      <c r="H102" s="33">
        <f>_xlfn.XLOOKUP(D102,'consolidated tracker'!D:D,'consolidated tracker'!G:G)</f>
        <v>562421690.49000013</v>
      </c>
      <c r="I102" s="33">
        <f>_xlfn.XLOOKUP(D102,'consolidated tracker'!D:D,'consolidated tracker'!H:H)</f>
        <v>179303569.10000002</v>
      </c>
      <c r="J102" s="33">
        <f>_xlfn.XLOOKUP(D102,'consolidated tracker'!D:D,'consolidated tracker'!I:I)</f>
        <v>165777259.81</v>
      </c>
      <c r="K102" s="33">
        <f>_xlfn.XLOOKUP(D102,'consolidated tracker'!D:D,'consolidated tracker'!J:J)</f>
        <v>12167146.910000002</v>
      </c>
      <c r="L102" s="34">
        <f>_xlfn.XLOOKUP(D102,'consolidated tracker'!D:D,'consolidated tracker'!K:K)</f>
        <v>0.92456196294421655</v>
      </c>
      <c r="M102" s="36">
        <f>_xlfn.XLOOKUP('consolidated - Offplan'!D102,'consolidated tracker'!D:D,'consolidated tracker'!L:L)</f>
        <v>13526309.290000001</v>
      </c>
      <c r="N102" s="30">
        <f>_xlfn.XLOOKUP($D102,'consolidated tracker'!$D:$D,'consolidated tracker'!M:M)</f>
        <v>370950974.48000014</v>
      </c>
      <c r="O102" s="40">
        <f>_xlfn.XLOOKUP($D102,'consolidated tracker'!$D:$D,'consolidated tracker'!N:N)</f>
        <v>63033278.590000093</v>
      </c>
      <c r="P102" s="33">
        <f>_xlfn.XLOOKUP($D102,'consolidated tracker'!$D:$D,'consolidated tracker'!O:O)</f>
        <v>61010566.770000003</v>
      </c>
      <c r="Q102" s="33">
        <f>_xlfn.XLOOKUP($D102,'consolidated tracker'!$D:$D,'consolidated tracker'!P:P)</f>
        <v>15143174.4</v>
      </c>
      <c r="R102" s="33">
        <f>_xlfn.XLOOKUP($D102,'consolidated tracker'!$D:$D,'consolidated tracker'!Q:Q)</f>
        <v>231763954.72000003</v>
      </c>
      <c r="S102" s="33">
        <f>_xlfn.XLOOKUP($D102,'consolidated tracker'!$D:$D,'consolidated tracker'!R:R)</f>
        <v>0</v>
      </c>
      <c r="T102" s="33">
        <f>_xlfn.XLOOKUP($D102,'consolidated tracker'!$D:$D,'consolidated tracker'!S:S)</f>
        <v>0</v>
      </c>
      <c r="U102" s="33">
        <f>_xlfn.XLOOKUP($D102,'consolidated tracker'!$D:$D,'consolidated tracker'!T:T)</f>
        <v>0</v>
      </c>
      <c r="V102" s="33">
        <f>_xlfn.XLOOKUP($D102,'consolidated tracker'!$D:$D,'consolidated tracker'!U:U)</f>
        <v>0</v>
      </c>
      <c r="W102" s="33">
        <f>_xlfn.XLOOKUP($D102,'consolidated tracker'!$D:$D,'consolidated tracker'!V:V)</f>
        <v>0</v>
      </c>
      <c r="X102" s="33">
        <f>_xlfn.XLOOKUP($D102,'consolidated tracker'!$D:$D,'consolidated tracker'!W:W)</f>
        <v>0</v>
      </c>
      <c r="Y102" s="17"/>
      <c r="Z102" s="17"/>
      <c r="AA102" s="11"/>
      <c r="AB102" s="16"/>
    </row>
    <row r="103" spans="1:28" s="7" customFormat="1" ht="150" hidden="1" customHeight="1" outlineLevel="2" x14ac:dyDescent="1.25">
      <c r="A103" s="4"/>
      <c r="C103" s="77"/>
      <c r="D103" s="94" t="s">
        <v>89</v>
      </c>
      <c r="E103" s="49" t="str">
        <f>_xlfn.XLOOKUP(D103,'consolidated tracker'!D:D,'consolidated tracker'!E:E)</f>
        <v>RERA</v>
      </c>
      <c r="F103" s="134">
        <v>47299</v>
      </c>
      <c r="G103" s="33">
        <f>_xlfn.XLOOKUP(D103,'consolidated tracker'!D:D,'consolidated tracker'!F:F)</f>
        <v>94</v>
      </c>
      <c r="H103" s="33">
        <f>_xlfn.XLOOKUP(D103,'consolidated tracker'!D:D,'consolidated tracker'!G:G)</f>
        <v>201300176.35000002</v>
      </c>
      <c r="I103" s="33">
        <f>_xlfn.XLOOKUP(D103,'consolidated tracker'!D:D,'consolidated tracker'!H:H)</f>
        <v>62684203.290000029</v>
      </c>
      <c r="J103" s="33">
        <f>_xlfn.XLOOKUP(D103,'consolidated tracker'!D:D,'consolidated tracker'!I:I)</f>
        <v>58336936.729999989</v>
      </c>
      <c r="K103" s="33">
        <f>_xlfn.XLOOKUP(D103,'consolidated tracker'!D:D,'consolidated tracker'!J:J)</f>
        <v>3158798.4200000004</v>
      </c>
      <c r="L103" s="34">
        <f>_xlfn.XLOOKUP(D103,'consolidated tracker'!D:D,'consolidated tracker'!K:K)</f>
        <v>0.93064813251453482</v>
      </c>
      <c r="M103" s="36">
        <f>_xlfn.XLOOKUP('consolidated - Offplan'!D103,'consolidated tracker'!D:D,'consolidated tracker'!L:L)</f>
        <v>4347266.5599999996</v>
      </c>
      <c r="N103" s="30">
        <f>_xlfn.XLOOKUP($D103,'consolidated tracker'!$D:$D,'consolidated tracker'!M:M)</f>
        <v>135457174.63999999</v>
      </c>
      <c r="O103" s="40">
        <f>_xlfn.XLOOKUP($D103,'consolidated tracker'!$D:$D,'consolidated tracker'!N:N)</f>
        <v>22317506.510000005</v>
      </c>
      <c r="P103" s="33">
        <f>_xlfn.XLOOKUP($D103,'consolidated tracker'!$D:$D,'consolidated tracker'!O:O)</f>
        <v>23124919.169999998</v>
      </c>
      <c r="Q103" s="33">
        <f>_xlfn.XLOOKUP($D103,'consolidated tracker'!$D:$D,'consolidated tracker'!P:P)</f>
        <v>5551903.6399999997</v>
      </c>
      <c r="R103" s="33">
        <f>_xlfn.XLOOKUP($D103,'consolidated tracker'!$D:$D,'consolidated tracker'!Q:Q)</f>
        <v>84462845.319999978</v>
      </c>
      <c r="S103" s="33">
        <f>_xlfn.XLOOKUP($D103,'consolidated tracker'!$D:$D,'consolidated tracker'!R:R)</f>
        <v>0</v>
      </c>
      <c r="T103" s="33">
        <f>_xlfn.XLOOKUP($D103,'consolidated tracker'!$D:$D,'consolidated tracker'!S:S)</f>
        <v>0</v>
      </c>
      <c r="U103" s="33">
        <f>_xlfn.XLOOKUP($D103,'consolidated tracker'!$D:$D,'consolidated tracker'!T:T)</f>
        <v>0</v>
      </c>
      <c r="V103" s="33">
        <f>_xlfn.XLOOKUP($D103,'consolidated tracker'!$D:$D,'consolidated tracker'!U:U)</f>
        <v>0</v>
      </c>
      <c r="W103" s="33">
        <f>_xlfn.XLOOKUP($D103,'consolidated tracker'!$D:$D,'consolidated tracker'!V:V)</f>
        <v>0</v>
      </c>
      <c r="X103" s="33">
        <f>_xlfn.XLOOKUP($D103,'consolidated tracker'!$D:$D,'consolidated tracker'!W:W)</f>
        <v>0</v>
      </c>
      <c r="Y103" s="17"/>
      <c r="Z103" s="17"/>
      <c r="AA103" s="11"/>
      <c r="AB103" s="16"/>
    </row>
    <row r="104" spans="1:28" s="7" customFormat="1" ht="150" hidden="1" customHeight="1" outlineLevel="2" x14ac:dyDescent="1.25">
      <c r="A104" s="4"/>
      <c r="C104" s="77"/>
      <c r="D104" s="94" t="s">
        <v>88</v>
      </c>
      <c r="E104" s="49" t="str">
        <f>_xlfn.XLOOKUP(D104,'consolidated tracker'!D:D,'consolidated tracker'!E:E)</f>
        <v>RERA</v>
      </c>
      <c r="F104" s="134">
        <v>47299</v>
      </c>
      <c r="G104" s="33">
        <f>_xlfn.XLOOKUP(D104,'consolidated tracker'!D:D,'consolidated tracker'!F:F)</f>
        <v>55</v>
      </c>
      <c r="H104" s="33">
        <f>_xlfn.XLOOKUP(D104,'consolidated tracker'!D:D,'consolidated tracker'!G:G)</f>
        <v>112257735.09000003</v>
      </c>
      <c r="I104" s="33">
        <f>_xlfn.XLOOKUP(D104,'consolidated tracker'!D:D,'consolidated tracker'!H:H)</f>
        <v>36492658.950000025</v>
      </c>
      <c r="J104" s="33">
        <f>_xlfn.XLOOKUP(D104,'consolidated tracker'!D:D,'consolidated tracker'!I:I)</f>
        <v>32366518.909999996</v>
      </c>
      <c r="K104" s="33">
        <f>_xlfn.XLOOKUP(D104,'consolidated tracker'!D:D,'consolidated tracker'!J:J)</f>
        <v>1006992.0999999996</v>
      </c>
      <c r="L104" s="34">
        <f>_xlfn.XLOOKUP(D104,'consolidated tracker'!D:D,'consolidated tracker'!K:K)</f>
        <v>0.88693232670018896</v>
      </c>
      <c r="M104" s="36">
        <f>_xlfn.XLOOKUP('consolidated - Offplan'!D104,'consolidated tracker'!D:D,'consolidated tracker'!L:L)</f>
        <v>4126140.040000001</v>
      </c>
      <c r="N104" s="30">
        <f>_xlfn.XLOOKUP($D104,'consolidated tracker'!$D:$D,'consolidated tracker'!M:M)</f>
        <v>74758084.040000007</v>
      </c>
      <c r="O104" s="40">
        <f>_xlfn.XLOOKUP($D104,'consolidated tracker'!$D:$D,'consolidated tracker'!N:N)</f>
        <v>13382808.389999986</v>
      </c>
      <c r="P104" s="33">
        <f>_xlfn.XLOOKUP($D104,'consolidated tracker'!$D:$D,'consolidated tracker'!O:O)</f>
        <v>12727908.010000002</v>
      </c>
      <c r="Q104" s="33">
        <f>_xlfn.XLOOKUP($D104,'consolidated tracker'!$D:$D,'consolidated tracker'!P:P)</f>
        <v>3631419.49</v>
      </c>
      <c r="R104" s="33">
        <f>_xlfn.XLOOKUP($D104,'consolidated tracker'!$D:$D,'consolidated tracker'!Q:Q)</f>
        <v>45015948.150000021</v>
      </c>
      <c r="S104" s="33">
        <f>_xlfn.XLOOKUP($D104,'consolidated tracker'!$D:$D,'consolidated tracker'!R:R)</f>
        <v>0</v>
      </c>
      <c r="T104" s="33">
        <f>_xlfn.XLOOKUP($D104,'consolidated tracker'!$D:$D,'consolidated tracker'!S:S)</f>
        <v>0</v>
      </c>
      <c r="U104" s="33">
        <f>_xlfn.XLOOKUP($D104,'consolidated tracker'!$D:$D,'consolidated tracker'!T:T)</f>
        <v>0</v>
      </c>
      <c r="V104" s="33">
        <f>_xlfn.XLOOKUP($D104,'consolidated tracker'!$D:$D,'consolidated tracker'!U:U)</f>
        <v>0</v>
      </c>
      <c r="W104" s="33">
        <f>_xlfn.XLOOKUP($D104,'consolidated tracker'!$D:$D,'consolidated tracker'!V:V)</f>
        <v>0</v>
      </c>
      <c r="X104" s="33">
        <f>_xlfn.XLOOKUP($D104,'consolidated tracker'!$D:$D,'consolidated tracker'!W:W)</f>
        <v>0</v>
      </c>
      <c r="Y104" s="17"/>
      <c r="Z104" s="17"/>
      <c r="AA104" s="11"/>
      <c r="AB104" s="16"/>
    </row>
    <row r="105" spans="1:28" s="7" customFormat="1" ht="150" hidden="1" customHeight="1" outlineLevel="2" x14ac:dyDescent="1.25">
      <c r="A105" s="4"/>
      <c r="C105" s="77"/>
      <c r="D105" s="94" t="s">
        <v>87</v>
      </c>
      <c r="E105" s="49" t="str">
        <f>_xlfn.XLOOKUP(D105,'consolidated tracker'!D:D,'consolidated tracker'!E:E)</f>
        <v>RERA</v>
      </c>
      <c r="F105" s="134">
        <v>47299</v>
      </c>
      <c r="G105" s="33">
        <f>_xlfn.XLOOKUP(D105,'consolidated tracker'!D:D,'consolidated tracker'!F:F)</f>
        <v>56</v>
      </c>
      <c r="H105" s="33">
        <f>_xlfn.XLOOKUP(D105,'consolidated tracker'!D:D,'consolidated tracker'!G:G)</f>
        <v>114038368.36000001</v>
      </c>
      <c r="I105" s="33">
        <f>_xlfn.XLOOKUP(D105,'consolidated tracker'!D:D,'consolidated tracker'!H:H)</f>
        <v>38018449.589999989</v>
      </c>
      <c r="J105" s="33">
        <f>_xlfn.XLOOKUP(D105,'consolidated tracker'!D:D,'consolidated tracker'!I:I)</f>
        <v>35671626.07</v>
      </c>
      <c r="K105" s="33">
        <f>_xlfn.XLOOKUP(D105,'consolidated tracker'!D:D,'consolidated tracker'!J:J)</f>
        <v>3919148.5100000012</v>
      </c>
      <c r="L105" s="34">
        <f>_xlfn.XLOOKUP(D105,'consolidated tracker'!D:D,'consolidated tracker'!K:K)</f>
        <v>0.93827145648208454</v>
      </c>
      <c r="M105" s="36">
        <f>_xlfn.XLOOKUP('consolidated - Offplan'!D105,'consolidated tracker'!D:D,'consolidated tracker'!L:L)</f>
        <v>2346823.52</v>
      </c>
      <c r="N105" s="30">
        <f>_xlfn.XLOOKUP($D105,'consolidated tracker'!$D:$D,'consolidated tracker'!M:M)</f>
        <v>72100770.26000002</v>
      </c>
      <c r="O105" s="40">
        <f>_xlfn.XLOOKUP($D105,'consolidated tracker'!$D:$D,'consolidated tracker'!N:N)</f>
        <v>13054483.210000001</v>
      </c>
      <c r="P105" s="33">
        <f>_xlfn.XLOOKUP($D105,'consolidated tracker'!$D:$D,'consolidated tracker'!O:O)</f>
        <v>10118226.600000001</v>
      </c>
      <c r="Q105" s="33">
        <f>_xlfn.XLOOKUP($D105,'consolidated tracker'!$D:$D,'consolidated tracker'!P:P)</f>
        <v>1653482.1400000001</v>
      </c>
      <c r="R105" s="33">
        <f>_xlfn.XLOOKUP($D105,'consolidated tracker'!$D:$D,'consolidated tracker'!Q:Q)</f>
        <v>47274578.310000017</v>
      </c>
      <c r="S105" s="33">
        <f>_xlfn.XLOOKUP($D105,'consolidated tracker'!$D:$D,'consolidated tracker'!R:R)</f>
        <v>0</v>
      </c>
      <c r="T105" s="33">
        <f>_xlfn.XLOOKUP($D105,'consolidated tracker'!$D:$D,'consolidated tracker'!S:S)</f>
        <v>0</v>
      </c>
      <c r="U105" s="33">
        <f>_xlfn.XLOOKUP($D105,'consolidated tracker'!$D:$D,'consolidated tracker'!T:T)</f>
        <v>0</v>
      </c>
      <c r="V105" s="33">
        <f>_xlfn.XLOOKUP($D105,'consolidated tracker'!$D:$D,'consolidated tracker'!U:U)</f>
        <v>0</v>
      </c>
      <c r="W105" s="33">
        <f>_xlfn.XLOOKUP($D105,'consolidated tracker'!$D:$D,'consolidated tracker'!V:V)</f>
        <v>0</v>
      </c>
      <c r="X105" s="33">
        <f>_xlfn.XLOOKUP($D105,'consolidated tracker'!$D:$D,'consolidated tracker'!W:W)</f>
        <v>0</v>
      </c>
      <c r="Y105" s="17"/>
      <c r="Z105" s="17"/>
      <c r="AA105" s="11"/>
      <c r="AB105" s="16"/>
    </row>
    <row r="106" spans="1:28" s="7" customFormat="1" ht="150" hidden="1" customHeight="1" outlineLevel="2" x14ac:dyDescent="1.25">
      <c r="A106" s="4"/>
      <c r="C106" s="77"/>
      <c r="D106" s="94" t="s">
        <v>86</v>
      </c>
      <c r="E106" s="49" t="str">
        <f>_xlfn.XLOOKUP(D106,'consolidated tracker'!D:D,'consolidated tracker'!E:E)</f>
        <v>RERA</v>
      </c>
      <c r="F106" s="134">
        <v>47299</v>
      </c>
      <c r="G106" s="33">
        <f>_xlfn.XLOOKUP(D106,'consolidated tracker'!D:D,'consolidated tracker'!F:F)</f>
        <v>67</v>
      </c>
      <c r="H106" s="33">
        <f>_xlfn.XLOOKUP(D106,'consolidated tracker'!D:D,'consolidated tracker'!G:G)</f>
        <v>134825410.69000003</v>
      </c>
      <c r="I106" s="33">
        <f>_xlfn.XLOOKUP(D106,'consolidated tracker'!D:D,'consolidated tracker'!H:H)</f>
        <v>42108257.269999996</v>
      </c>
      <c r="J106" s="33">
        <f>_xlfn.XLOOKUP(D106,'consolidated tracker'!D:D,'consolidated tracker'!I:I)</f>
        <v>39402178.100000009</v>
      </c>
      <c r="K106" s="33">
        <f>_xlfn.XLOOKUP(D106,'consolidated tracker'!D:D,'consolidated tracker'!J:J)</f>
        <v>4082207.8800000008</v>
      </c>
      <c r="L106" s="34">
        <f>_xlfn.XLOOKUP(D106,'consolidated tracker'!D:D,'consolidated tracker'!K:K)</f>
        <v>0.93573518959361135</v>
      </c>
      <c r="M106" s="36">
        <f>_xlfn.XLOOKUP('consolidated - Offplan'!D106,'consolidated tracker'!D:D,'consolidated tracker'!L:L)</f>
        <v>2706079.17</v>
      </c>
      <c r="N106" s="30">
        <f>_xlfn.XLOOKUP($D106,'consolidated tracker'!$D:$D,'consolidated tracker'!M:M)</f>
        <v>88634945.540000021</v>
      </c>
      <c r="O106" s="40">
        <f>_xlfn.XLOOKUP($D106,'consolidated tracker'!$D:$D,'consolidated tracker'!N:N)</f>
        <v>14278480.480000004</v>
      </c>
      <c r="P106" s="33">
        <f>_xlfn.XLOOKUP($D106,'consolidated tracker'!$D:$D,'consolidated tracker'!O:O)</f>
        <v>15039512.99</v>
      </c>
      <c r="Q106" s="33">
        <f>_xlfn.XLOOKUP($D106,'consolidated tracker'!$D:$D,'consolidated tracker'!P:P)</f>
        <v>4306369.1300000008</v>
      </c>
      <c r="R106" s="33">
        <f>_xlfn.XLOOKUP($D106,'consolidated tracker'!$D:$D,'consolidated tracker'!Q:Q)</f>
        <v>55010582.940000013</v>
      </c>
      <c r="S106" s="33">
        <f>_xlfn.XLOOKUP($D106,'consolidated tracker'!$D:$D,'consolidated tracker'!R:R)</f>
        <v>0</v>
      </c>
      <c r="T106" s="33">
        <f>_xlfn.XLOOKUP($D106,'consolidated tracker'!$D:$D,'consolidated tracker'!S:S)</f>
        <v>0</v>
      </c>
      <c r="U106" s="33">
        <f>_xlfn.XLOOKUP($D106,'consolidated tracker'!$D:$D,'consolidated tracker'!T:T)</f>
        <v>0</v>
      </c>
      <c r="V106" s="33">
        <f>_xlfn.XLOOKUP($D106,'consolidated tracker'!$D:$D,'consolidated tracker'!U:U)</f>
        <v>0</v>
      </c>
      <c r="W106" s="33">
        <f>_xlfn.XLOOKUP($D106,'consolidated tracker'!$D:$D,'consolidated tracker'!V:V)</f>
        <v>0</v>
      </c>
      <c r="X106" s="33">
        <f>_xlfn.XLOOKUP($D106,'consolidated tracker'!$D:$D,'consolidated tracker'!W:W)</f>
        <v>0</v>
      </c>
      <c r="Y106" s="17"/>
      <c r="Z106" s="17"/>
      <c r="AA106" s="11"/>
      <c r="AB106" s="16"/>
    </row>
    <row r="107" spans="1:28" s="7" customFormat="1" ht="150" hidden="1" customHeight="1" outlineLevel="1" x14ac:dyDescent="1.25">
      <c r="A107" s="4"/>
      <c r="C107" s="77"/>
      <c r="D107" s="94" t="s">
        <v>85</v>
      </c>
      <c r="E107" s="49" t="str">
        <f>_xlfn.XLOOKUP(D107,'consolidated tracker'!D:D,'consolidated tracker'!E:E)</f>
        <v>Pre-Launch</v>
      </c>
      <c r="F107" s="134" t="s">
        <v>232</v>
      </c>
      <c r="G107" s="33">
        <f>_xlfn.XLOOKUP(D107,'consolidated tracker'!D:D,'consolidated tracker'!F:F)</f>
        <v>223</v>
      </c>
      <c r="H107" s="33">
        <f>_xlfn.XLOOKUP(D107,'consolidated tracker'!D:D,'consolidated tracker'!G:G)</f>
        <v>468808051.93999994</v>
      </c>
      <c r="I107" s="33">
        <f>_xlfn.XLOOKUP(D107,'consolidated tracker'!D:D,'consolidated tracker'!H:H)</f>
        <v>112745455.28000005</v>
      </c>
      <c r="J107" s="33">
        <f>_xlfn.XLOOKUP(D107,'consolidated tracker'!D:D,'consolidated tracker'!I:I)</f>
        <v>108355228.06000002</v>
      </c>
      <c r="K107" s="33">
        <f>_xlfn.XLOOKUP(D107,'consolidated tracker'!D:D,'consolidated tracker'!J:J)</f>
        <v>7688248.5499999989</v>
      </c>
      <c r="L107" s="34">
        <f>_xlfn.XLOOKUP(D107,'consolidated tracker'!D:D,'consolidated tracker'!K:K)</f>
        <v>0.9610607167349049</v>
      </c>
      <c r="M107" s="36">
        <f>_xlfn.XLOOKUP('consolidated - Offplan'!D107,'consolidated tracker'!D:D,'consolidated tracker'!L:L)</f>
        <v>4390227.22</v>
      </c>
      <c r="N107" s="30">
        <f>_xlfn.XLOOKUP($D107,'consolidated tracker'!$D:$D,'consolidated tracker'!M:M)</f>
        <v>348374348.10999995</v>
      </c>
      <c r="O107" s="40">
        <f>_xlfn.XLOOKUP($D107,'consolidated tracker'!$D:$D,'consolidated tracker'!N:N)</f>
        <v>55772616.559999891</v>
      </c>
      <c r="P107" s="33">
        <f>_xlfn.XLOOKUP($D107,'consolidated tracker'!$D:$D,'consolidated tracker'!O:O)</f>
        <v>63304089.89000003</v>
      </c>
      <c r="Q107" s="33">
        <f>_xlfn.XLOOKUP($D107,'consolidated tracker'!$D:$D,'consolidated tracker'!P:P)</f>
        <v>17197138.52</v>
      </c>
      <c r="R107" s="33">
        <f>_xlfn.XLOOKUP($D107,'consolidated tracker'!$D:$D,'consolidated tracker'!Q:Q)</f>
        <v>212100503.14000002</v>
      </c>
      <c r="S107" s="33">
        <f>_xlfn.XLOOKUP($D107,'consolidated tracker'!$D:$D,'consolidated tracker'!R:R)</f>
        <v>0</v>
      </c>
      <c r="T107" s="33">
        <f>_xlfn.XLOOKUP($D107,'consolidated tracker'!$D:$D,'consolidated tracker'!S:S)</f>
        <v>0</v>
      </c>
      <c r="U107" s="33">
        <f>_xlfn.XLOOKUP($D107,'consolidated tracker'!$D:$D,'consolidated tracker'!T:T)</f>
        <v>0</v>
      </c>
      <c r="V107" s="33">
        <f>_xlfn.XLOOKUP($D107,'consolidated tracker'!$D:$D,'consolidated tracker'!U:U)</f>
        <v>0</v>
      </c>
      <c r="W107" s="33">
        <f>_xlfn.XLOOKUP($D107,'consolidated tracker'!$D:$D,'consolidated tracker'!V:V)</f>
        <v>0</v>
      </c>
      <c r="X107" s="33">
        <f>_xlfn.XLOOKUP($D107,'consolidated tracker'!$D:$D,'consolidated tracker'!W:W)</f>
        <v>0</v>
      </c>
      <c r="Y107" s="17"/>
      <c r="Z107" s="17"/>
      <c r="AA107" s="11"/>
      <c r="AB107" s="16"/>
    </row>
    <row r="108" spans="1:28" s="7" customFormat="1" ht="150" hidden="1" customHeight="1" outlineLevel="2" x14ac:dyDescent="1.25">
      <c r="A108" s="4"/>
      <c r="C108" s="77"/>
      <c r="D108" s="102" t="s">
        <v>84</v>
      </c>
      <c r="E108" s="49" t="str">
        <f>_xlfn.XLOOKUP(D108,'consolidated tracker'!D:D,'consolidated tracker'!E:E)</f>
        <v>RERA</v>
      </c>
      <c r="F108" s="134">
        <v>47391</v>
      </c>
      <c r="G108" s="33">
        <f>_xlfn.XLOOKUP(D108,'consolidated tracker'!D:D,'consolidated tracker'!F:F)</f>
        <v>84</v>
      </c>
      <c r="H108" s="33">
        <f>_xlfn.XLOOKUP(D108,'consolidated tracker'!D:D,'consolidated tracker'!G:G)</f>
        <v>176125043.90999994</v>
      </c>
      <c r="I108" s="33">
        <f>_xlfn.XLOOKUP(D108,'consolidated tracker'!D:D,'consolidated tracker'!H:H)</f>
        <v>40825980.520000026</v>
      </c>
      <c r="J108" s="33">
        <f>_xlfn.XLOOKUP(D108,'consolidated tracker'!D:D,'consolidated tracker'!I:I)</f>
        <v>39231055.38000001</v>
      </c>
      <c r="K108" s="33">
        <f>_xlfn.XLOOKUP(D108,'consolidated tracker'!D:D,'consolidated tracker'!J:J)</f>
        <v>2729059.36</v>
      </c>
      <c r="L108" s="34">
        <f>_xlfn.XLOOKUP(D108,'consolidated tracker'!D:D,'consolidated tracker'!K:K)</f>
        <v>0.96093357416807945</v>
      </c>
      <c r="M108" s="36">
        <f>_xlfn.XLOOKUP('consolidated - Offplan'!D108,'consolidated tracker'!D:D,'consolidated tracker'!L:L)</f>
        <v>1594925.1399999997</v>
      </c>
      <c r="N108" s="30">
        <f>_xlfn.XLOOKUP($D108,'consolidated tracker'!$D:$D,'consolidated tracker'!M:M)</f>
        <v>132570004.02999991</v>
      </c>
      <c r="O108" s="40">
        <f>_xlfn.XLOOKUP($D108,'consolidated tracker'!$D:$D,'consolidated tracker'!N:N)</f>
        <v>19288356.709999859</v>
      </c>
      <c r="P108" s="33">
        <f>_xlfn.XLOOKUP($D108,'consolidated tracker'!$D:$D,'consolidated tracker'!O:O)</f>
        <v>24365195.650000013</v>
      </c>
      <c r="Q108" s="33">
        <f>_xlfn.XLOOKUP($D108,'consolidated tracker'!$D:$D,'consolidated tracker'!P:P)</f>
        <v>7891002.8899999987</v>
      </c>
      <c r="R108" s="33">
        <f>_xlfn.XLOOKUP($D108,'consolidated tracker'!$D:$D,'consolidated tracker'!Q:Q)</f>
        <v>81025448.780000031</v>
      </c>
      <c r="S108" s="33">
        <f>_xlfn.XLOOKUP($D108,'consolidated tracker'!$D:$D,'consolidated tracker'!R:R)</f>
        <v>0</v>
      </c>
      <c r="T108" s="33">
        <f>_xlfn.XLOOKUP($D108,'consolidated tracker'!$D:$D,'consolidated tracker'!S:S)</f>
        <v>0</v>
      </c>
      <c r="U108" s="33">
        <f>_xlfn.XLOOKUP($D108,'consolidated tracker'!$D:$D,'consolidated tracker'!T:T)</f>
        <v>0</v>
      </c>
      <c r="V108" s="33">
        <f>_xlfn.XLOOKUP($D108,'consolidated tracker'!$D:$D,'consolidated tracker'!U:U)</f>
        <v>0</v>
      </c>
      <c r="W108" s="33">
        <f>_xlfn.XLOOKUP($D108,'consolidated tracker'!$D:$D,'consolidated tracker'!V:V)</f>
        <v>0</v>
      </c>
      <c r="X108" s="33">
        <f>_xlfn.XLOOKUP($D108,'consolidated tracker'!$D:$D,'consolidated tracker'!W:W)</f>
        <v>0</v>
      </c>
      <c r="Y108" s="17"/>
      <c r="Z108" s="17"/>
      <c r="AA108" s="11"/>
      <c r="AB108" s="16"/>
    </row>
    <row r="109" spans="1:28" s="7" customFormat="1" ht="150" hidden="1" customHeight="1" outlineLevel="2" x14ac:dyDescent="1.25">
      <c r="A109" s="4"/>
      <c r="C109" s="77"/>
      <c r="D109" s="102" t="s">
        <v>83</v>
      </c>
      <c r="E109" s="49" t="str">
        <f>_xlfn.XLOOKUP(D109,'consolidated tracker'!D:D,'consolidated tracker'!E:E)</f>
        <v>RERA</v>
      </c>
      <c r="F109" s="134">
        <v>47391</v>
      </c>
      <c r="G109" s="33">
        <f>_xlfn.XLOOKUP(D109,'consolidated tracker'!D:D,'consolidated tracker'!F:F)</f>
        <v>40</v>
      </c>
      <c r="H109" s="33">
        <f>_xlfn.XLOOKUP(D109,'consolidated tracker'!D:D,'consolidated tracker'!G:G)</f>
        <v>85991289.330000043</v>
      </c>
      <c r="I109" s="33">
        <f>_xlfn.XLOOKUP(D109,'consolidated tracker'!D:D,'consolidated tracker'!H:H)</f>
        <v>21373973.089999996</v>
      </c>
      <c r="J109" s="33">
        <f>_xlfn.XLOOKUP(D109,'consolidated tracker'!D:D,'consolidated tracker'!I:I)</f>
        <v>20380330.900000006</v>
      </c>
      <c r="K109" s="33">
        <f>_xlfn.XLOOKUP(D109,'consolidated tracker'!D:D,'consolidated tracker'!J:J)</f>
        <v>279333.83</v>
      </c>
      <c r="L109" s="34">
        <f>_xlfn.XLOOKUP(D109,'consolidated tracker'!D:D,'consolidated tracker'!K:K)</f>
        <v>0.95351158224930699</v>
      </c>
      <c r="M109" s="36">
        <f>_xlfn.XLOOKUP('consolidated - Offplan'!D109,'consolidated tracker'!D:D,'consolidated tracker'!L:L)</f>
        <v>993642.19</v>
      </c>
      <c r="N109" s="30">
        <f>_xlfn.XLOOKUP($D109,'consolidated tracker'!$D:$D,'consolidated tracker'!M:M)</f>
        <v>64337982.410000049</v>
      </c>
      <c r="O109" s="40">
        <f>_xlfn.XLOOKUP($D109,'consolidated tracker'!$D:$D,'consolidated tracker'!N:N)</f>
        <v>11345701.000000052</v>
      </c>
      <c r="P109" s="33">
        <f>_xlfn.XLOOKUP($D109,'consolidated tracker'!$D:$D,'consolidated tracker'!O:O)</f>
        <v>10471109.860000005</v>
      </c>
      <c r="Q109" s="33">
        <f>_xlfn.XLOOKUP($D109,'consolidated tracker'!$D:$D,'consolidated tracker'!P:P)</f>
        <v>2289920.7000000002</v>
      </c>
      <c r="R109" s="33">
        <f>_xlfn.XLOOKUP($D109,'consolidated tracker'!$D:$D,'consolidated tracker'!Q:Q)</f>
        <v>40231250.849999987</v>
      </c>
      <c r="S109" s="33">
        <f>_xlfn.XLOOKUP($D109,'consolidated tracker'!$D:$D,'consolidated tracker'!R:R)</f>
        <v>0</v>
      </c>
      <c r="T109" s="33">
        <f>_xlfn.XLOOKUP($D109,'consolidated tracker'!$D:$D,'consolidated tracker'!S:S)</f>
        <v>0</v>
      </c>
      <c r="U109" s="33">
        <f>_xlfn.XLOOKUP($D109,'consolidated tracker'!$D:$D,'consolidated tracker'!T:T)</f>
        <v>0</v>
      </c>
      <c r="V109" s="33">
        <f>_xlfn.XLOOKUP($D109,'consolidated tracker'!$D:$D,'consolidated tracker'!U:U)</f>
        <v>0</v>
      </c>
      <c r="W109" s="33">
        <f>_xlfn.XLOOKUP($D109,'consolidated tracker'!$D:$D,'consolidated tracker'!V:V)</f>
        <v>0</v>
      </c>
      <c r="X109" s="33">
        <f>_xlfn.XLOOKUP($D109,'consolidated tracker'!$D:$D,'consolidated tracker'!W:W)</f>
        <v>0</v>
      </c>
      <c r="Y109" s="17"/>
      <c r="Z109" s="17"/>
      <c r="AA109" s="11"/>
      <c r="AB109" s="16"/>
    </row>
    <row r="110" spans="1:28" s="7" customFormat="1" ht="150" hidden="1" customHeight="1" outlineLevel="2" x14ac:dyDescent="1.25">
      <c r="A110" s="4"/>
      <c r="C110" s="77"/>
      <c r="D110" s="102" t="s">
        <v>82</v>
      </c>
      <c r="E110" s="49" t="str">
        <f>_xlfn.XLOOKUP(D110,'consolidated tracker'!D:D,'consolidated tracker'!E:E)</f>
        <v>RERA</v>
      </c>
      <c r="F110" s="134">
        <v>47391</v>
      </c>
      <c r="G110" s="33">
        <f>_xlfn.XLOOKUP(D110,'consolidated tracker'!D:D,'consolidated tracker'!F:F)</f>
        <v>45</v>
      </c>
      <c r="H110" s="33">
        <f>_xlfn.XLOOKUP(D110,'consolidated tracker'!D:D,'consolidated tracker'!G:G)</f>
        <v>98725716.030000031</v>
      </c>
      <c r="I110" s="33">
        <f>_xlfn.XLOOKUP(D110,'consolidated tracker'!D:D,'consolidated tracker'!H:H)</f>
        <v>23074265.02999999</v>
      </c>
      <c r="J110" s="33">
        <f>_xlfn.XLOOKUP(D110,'consolidated tracker'!D:D,'consolidated tracker'!I:I)</f>
        <v>22387401.060000006</v>
      </c>
      <c r="K110" s="33">
        <f>_xlfn.XLOOKUP(D110,'consolidated tracker'!D:D,'consolidated tracker'!J:J)</f>
        <v>3195463.6299999994</v>
      </c>
      <c r="L110" s="34">
        <f>_xlfn.XLOOKUP(D110,'consolidated tracker'!D:D,'consolidated tracker'!K:K)</f>
        <v>0.97023246594823465</v>
      </c>
      <c r="M110" s="36">
        <f>_xlfn.XLOOKUP('consolidated - Offplan'!D110,'consolidated tracker'!D:D,'consolidated tracker'!L:L)</f>
        <v>686863.97</v>
      </c>
      <c r="N110" s="30">
        <f>_xlfn.XLOOKUP($D110,'consolidated tracker'!$D:$D,'consolidated tracker'!M:M)</f>
        <v>72455987.370000035</v>
      </c>
      <c r="O110" s="40">
        <f>_xlfn.XLOOKUP($D110,'consolidated tracker'!$D:$D,'consolidated tracker'!N:N)</f>
        <v>11320235.070000052</v>
      </c>
      <c r="P110" s="33">
        <f>_xlfn.XLOOKUP($D110,'consolidated tracker'!$D:$D,'consolidated tracker'!O:O)</f>
        <v>13129274.130000003</v>
      </c>
      <c r="Q110" s="33">
        <f>_xlfn.XLOOKUP($D110,'consolidated tracker'!$D:$D,'consolidated tracker'!P:P)</f>
        <v>3705361.6500000004</v>
      </c>
      <c r="R110" s="33">
        <f>_xlfn.XLOOKUP($D110,'consolidated tracker'!$D:$D,'consolidated tracker'!Q:Q)</f>
        <v>44301116.519999981</v>
      </c>
      <c r="S110" s="33">
        <f>_xlfn.XLOOKUP($D110,'consolidated tracker'!$D:$D,'consolidated tracker'!R:R)</f>
        <v>0</v>
      </c>
      <c r="T110" s="33">
        <f>_xlfn.XLOOKUP($D110,'consolidated tracker'!$D:$D,'consolidated tracker'!S:S)</f>
        <v>0</v>
      </c>
      <c r="U110" s="33">
        <f>_xlfn.XLOOKUP($D110,'consolidated tracker'!$D:$D,'consolidated tracker'!T:T)</f>
        <v>0</v>
      </c>
      <c r="V110" s="33">
        <f>_xlfn.XLOOKUP($D110,'consolidated tracker'!$D:$D,'consolidated tracker'!U:U)</f>
        <v>0</v>
      </c>
      <c r="W110" s="33">
        <f>_xlfn.XLOOKUP($D110,'consolidated tracker'!$D:$D,'consolidated tracker'!V:V)</f>
        <v>0</v>
      </c>
      <c r="X110" s="33">
        <f>_xlfn.XLOOKUP($D110,'consolidated tracker'!$D:$D,'consolidated tracker'!W:W)</f>
        <v>0</v>
      </c>
      <c r="Y110" s="17"/>
      <c r="Z110" s="17"/>
      <c r="AA110" s="11"/>
      <c r="AB110" s="16"/>
    </row>
    <row r="111" spans="1:28" s="7" customFormat="1" ht="150" hidden="1" customHeight="1" outlineLevel="2" x14ac:dyDescent="1.25">
      <c r="A111" s="4"/>
      <c r="C111" s="77"/>
      <c r="D111" s="102" t="s">
        <v>81</v>
      </c>
      <c r="E111" s="49" t="str">
        <f>_xlfn.XLOOKUP(D111,'consolidated tracker'!D:D,'consolidated tracker'!E:E)</f>
        <v>RERA</v>
      </c>
      <c r="F111" s="134">
        <v>47391</v>
      </c>
      <c r="G111" s="33">
        <f>_xlfn.XLOOKUP(D111,'consolidated tracker'!D:D,'consolidated tracker'!F:F)</f>
        <v>54</v>
      </c>
      <c r="H111" s="33">
        <f>_xlfn.XLOOKUP(D111,'consolidated tracker'!D:D,'consolidated tracker'!G:G)</f>
        <v>107966002.66999999</v>
      </c>
      <c r="I111" s="33">
        <f>_xlfn.XLOOKUP(D111,'consolidated tracker'!D:D,'consolidated tracker'!H:H)</f>
        <v>27471236.640000027</v>
      </c>
      <c r="J111" s="33">
        <f>_xlfn.XLOOKUP(D111,'consolidated tracker'!D:D,'consolidated tracker'!I:I)</f>
        <v>26356440.720000003</v>
      </c>
      <c r="K111" s="33">
        <f>_xlfn.XLOOKUP(D111,'consolidated tracker'!D:D,'consolidated tracker'!J:J)</f>
        <v>1484391.73</v>
      </c>
      <c r="L111" s="34">
        <f>_xlfn.XLOOKUP(D111,'consolidated tracker'!D:D,'consolidated tracker'!K:K)</f>
        <v>0.95941952178531331</v>
      </c>
      <c r="M111" s="36">
        <f>_xlfn.XLOOKUP('consolidated - Offplan'!D111,'consolidated tracker'!D:D,'consolidated tracker'!L:L)</f>
        <v>1114795.92</v>
      </c>
      <c r="N111" s="30">
        <f>_xlfn.XLOOKUP($D111,'consolidated tracker'!$D:$D,'consolidated tracker'!M:M)</f>
        <v>79010374.299999952</v>
      </c>
      <c r="O111" s="40">
        <f>_xlfn.XLOOKUP($D111,'consolidated tracker'!$D:$D,'consolidated tracker'!N:N)</f>
        <v>13818323.779999927</v>
      </c>
      <c r="P111" s="33">
        <f>_xlfn.XLOOKUP($D111,'consolidated tracker'!$D:$D,'consolidated tracker'!O:O)</f>
        <v>15338510.250000006</v>
      </c>
      <c r="Q111" s="33">
        <f>_xlfn.XLOOKUP($D111,'consolidated tracker'!$D:$D,'consolidated tracker'!P:P)</f>
        <v>3310853.28</v>
      </c>
      <c r="R111" s="33">
        <f>_xlfn.XLOOKUP($D111,'consolidated tracker'!$D:$D,'consolidated tracker'!Q:Q)</f>
        <v>46542686.990000017</v>
      </c>
      <c r="S111" s="33">
        <f>_xlfn.XLOOKUP($D111,'consolidated tracker'!$D:$D,'consolidated tracker'!R:R)</f>
        <v>0</v>
      </c>
      <c r="T111" s="33">
        <f>_xlfn.XLOOKUP($D111,'consolidated tracker'!$D:$D,'consolidated tracker'!S:S)</f>
        <v>0</v>
      </c>
      <c r="U111" s="33">
        <f>_xlfn.XLOOKUP($D111,'consolidated tracker'!$D:$D,'consolidated tracker'!T:T)</f>
        <v>0</v>
      </c>
      <c r="V111" s="33">
        <f>_xlfn.XLOOKUP($D111,'consolidated tracker'!$D:$D,'consolidated tracker'!U:U)</f>
        <v>0</v>
      </c>
      <c r="W111" s="33">
        <f>_xlfn.XLOOKUP($D111,'consolidated tracker'!$D:$D,'consolidated tracker'!V:V)</f>
        <v>0</v>
      </c>
      <c r="X111" s="33">
        <f>_xlfn.XLOOKUP($D111,'consolidated tracker'!$D:$D,'consolidated tracker'!W:W)</f>
        <v>0</v>
      </c>
      <c r="Y111" s="17"/>
      <c r="Z111" s="17"/>
      <c r="AA111" s="11"/>
      <c r="AB111" s="16"/>
    </row>
    <row r="112" spans="1:28" s="7" customFormat="1" ht="150" hidden="1" customHeight="1" outlineLevel="2" x14ac:dyDescent="1.25">
      <c r="A112" s="4"/>
      <c r="C112" s="77"/>
      <c r="D112" s="94" t="s">
        <v>80</v>
      </c>
      <c r="E112" s="49" t="str">
        <f>_xlfn.XLOOKUP(D112,'consolidated tracker'!D:D,'consolidated tracker'!E:E)</f>
        <v>RERA</v>
      </c>
      <c r="F112" s="134" t="s">
        <v>232</v>
      </c>
      <c r="G112" s="33">
        <f>SUM(G113:G114)</f>
        <v>41</v>
      </c>
      <c r="H112" s="33">
        <f>SUM(H113:H114)</f>
        <v>73509608.590000018</v>
      </c>
      <c r="I112" s="33">
        <f>SUM(I113:I114)</f>
        <v>8743622.0500000007</v>
      </c>
      <c r="J112" s="33">
        <f>SUM(J113:J114)</f>
        <v>6993067.9199999981</v>
      </c>
      <c r="K112" s="33">
        <f>SUM(K113:K114)</f>
        <v>47007.1</v>
      </c>
      <c r="L112" s="34">
        <f>J112/I112</f>
        <v>0.79979073660897748</v>
      </c>
      <c r="M112" s="36">
        <f t="shared" ref="M112:X112" si="0">SUM(M113:M114)</f>
        <v>1750554.13</v>
      </c>
      <c r="N112" s="30">
        <f t="shared" si="0"/>
        <v>64718979.44000002</v>
      </c>
      <c r="O112" s="40">
        <f t="shared" si="0"/>
        <v>7335996.0700000189</v>
      </c>
      <c r="P112" s="33">
        <f t="shared" si="0"/>
        <v>11680970.389999997</v>
      </c>
      <c r="Q112" s="33">
        <f t="shared" si="0"/>
        <v>4876174.6300000008</v>
      </c>
      <c r="R112" s="33">
        <f t="shared" si="0"/>
        <v>3424751.7800000007</v>
      </c>
      <c r="S112" s="33">
        <f t="shared" si="0"/>
        <v>37401086.57</v>
      </c>
      <c r="T112" s="33">
        <f t="shared" si="0"/>
        <v>0</v>
      </c>
      <c r="U112" s="33">
        <f t="shared" si="0"/>
        <v>0</v>
      </c>
      <c r="V112" s="33">
        <f t="shared" si="0"/>
        <v>0</v>
      </c>
      <c r="W112" s="33">
        <f t="shared" si="0"/>
        <v>0</v>
      </c>
      <c r="X112" s="33">
        <f t="shared" si="0"/>
        <v>0</v>
      </c>
      <c r="Y112" s="17"/>
      <c r="Z112" s="17"/>
      <c r="AA112" s="11"/>
      <c r="AB112" s="16"/>
    </row>
    <row r="113" spans="1:35" s="7" customFormat="1" ht="150" hidden="1" customHeight="1" outlineLevel="2" x14ac:dyDescent="1.25">
      <c r="A113" s="4"/>
      <c r="C113" s="77"/>
      <c r="D113" s="102" t="s">
        <v>79</v>
      </c>
      <c r="E113" s="49" t="str">
        <f>_xlfn.XLOOKUP(D113,'consolidated tracker'!D:D,'consolidated tracker'!E:E)</f>
        <v>RERA</v>
      </c>
      <c r="F113" s="134">
        <v>47848</v>
      </c>
      <c r="G113" s="33">
        <f>_xlfn.XLOOKUP(D113,'consolidated tracker'!D:D,'consolidated tracker'!F:F)</f>
        <v>40</v>
      </c>
      <c r="H113" s="33">
        <f>_xlfn.XLOOKUP(D113,'consolidated tracker'!D:D,'consolidated tracker'!G:G)</f>
        <v>69342013.700000018</v>
      </c>
      <c r="I113" s="33">
        <f>_xlfn.XLOOKUP(D113,'consolidated tracker'!D:D,'consolidated tracker'!H:H)</f>
        <v>8326862.5600000005</v>
      </c>
      <c r="J113" s="33">
        <f>_xlfn.XLOOKUP(D113,'consolidated tracker'!D:D,'consolidated tracker'!I:I)</f>
        <v>6576308.4299999978</v>
      </c>
      <c r="K113" s="33">
        <f>_xlfn.XLOOKUP(D113,'consolidated tracker'!D:D,'consolidated tracker'!J:J)</f>
        <v>47007.1</v>
      </c>
      <c r="L113" s="34">
        <f>_xlfn.XLOOKUP(D113,'consolidated tracker'!D:D,'consolidated tracker'!K:K)</f>
        <v>0.78977026252250249</v>
      </c>
      <c r="M113" s="36">
        <f>_xlfn.XLOOKUP('consolidated - Offplan'!D113,'consolidated tracker'!D:D,'consolidated tracker'!L:L)</f>
        <v>1750554.13</v>
      </c>
      <c r="N113" s="30">
        <f>_xlfn.XLOOKUP($D113,'consolidated tracker'!$D:$D,'consolidated tracker'!M:M)</f>
        <v>60968144.040000021</v>
      </c>
      <c r="O113" s="40">
        <f>_xlfn.XLOOKUP($D113,'consolidated tracker'!$D:$D,'consolidated tracker'!N:N)</f>
        <v>6919236.5900000185</v>
      </c>
      <c r="P113" s="33">
        <f>_xlfn.XLOOKUP($D113,'consolidated tracker'!$D:$D,'consolidated tracker'!O:O)</f>
        <v>11264210.899999997</v>
      </c>
      <c r="Q113" s="33">
        <f>_xlfn.XLOOKUP($D113,'consolidated tracker'!$D:$D,'consolidated tracker'!P:P)</f>
        <v>4459415.1400000006</v>
      </c>
      <c r="R113" s="33">
        <f>_xlfn.XLOOKUP($D113,'consolidated tracker'!$D:$D,'consolidated tracker'!Q:Q)</f>
        <v>3424751.7800000007</v>
      </c>
      <c r="S113" s="33">
        <f>_xlfn.XLOOKUP($D113,'consolidated tracker'!$D:$D,'consolidated tracker'!R:R)</f>
        <v>34900529.630000003</v>
      </c>
      <c r="T113" s="33">
        <f>_xlfn.XLOOKUP($D113,'consolidated tracker'!$D:$D,'consolidated tracker'!S:S)</f>
        <v>0</v>
      </c>
      <c r="U113" s="33">
        <f>_xlfn.XLOOKUP($D113,'consolidated tracker'!$D:$D,'consolidated tracker'!T:T)</f>
        <v>0</v>
      </c>
      <c r="V113" s="33">
        <f>_xlfn.XLOOKUP($D113,'consolidated tracker'!$D:$D,'consolidated tracker'!U:U)</f>
        <v>0</v>
      </c>
      <c r="W113" s="33">
        <f>_xlfn.XLOOKUP($D113,'consolidated tracker'!$D:$D,'consolidated tracker'!V:V)</f>
        <v>0</v>
      </c>
      <c r="X113" s="33">
        <f>_xlfn.XLOOKUP($D113,'consolidated tracker'!$D:$D,'consolidated tracker'!W:W)</f>
        <v>0</v>
      </c>
      <c r="Y113" s="17"/>
      <c r="Z113" s="17"/>
      <c r="AA113" s="11"/>
      <c r="AB113" s="16"/>
    </row>
    <row r="114" spans="1:35" s="7" customFormat="1" ht="150" hidden="1" customHeight="1" outlineLevel="2" thickBot="1" x14ac:dyDescent="1.3">
      <c r="A114" s="4"/>
      <c r="C114" s="77"/>
      <c r="D114" s="102" t="s">
        <v>78</v>
      </c>
      <c r="E114" s="49" t="str">
        <f>_xlfn.XLOOKUP(D114,'consolidated tracker'!D:D,'consolidated tracker'!E:E)</f>
        <v>RERA</v>
      </c>
      <c r="F114" s="134">
        <v>47848</v>
      </c>
      <c r="G114" s="33">
        <f>_xlfn.XLOOKUP(D114,'consolidated tracker'!D:D,'consolidated tracker'!F:F)</f>
        <v>1</v>
      </c>
      <c r="H114" s="33">
        <f>_xlfn.XLOOKUP(D114,'consolidated tracker'!D:D,'consolidated tracker'!G:G)</f>
        <v>4167594.89</v>
      </c>
      <c r="I114" s="33">
        <f>_xlfn.XLOOKUP(D114,'consolidated tracker'!D:D,'consolidated tracker'!H:H)</f>
        <v>416759.49</v>
      </c>
      <c r="J114" s="33">
        <f>_xlfn.XLOOKUP(D114,'consolidated tracker'!D:D,'consolidated tracker'!I:I)</f>
        <v>416759.49</v>
      </c>
      <c r="K114" s="33">
        <f>_xlfn.XLOOKUP(D114,'consolidated tracker'!D:D,'consolidated tracker'!J:J)</f>
        <v>0</v>
      </c>
      <c r="L114" s="34">
        <f>_xlfn.XLOOKUP(D114,'consolidated tracker'!D:D,'consolidated tracker'!K:K)</f>
        <v>1</v>
      </c>
      <c r="M114" s="36">
        <f>_xlfn.XLOOKUP('consolidated - Offplan'!D114,'consolidated tracker'!D:D,'consolidated tracker'!L:L)</f>
        <v>0</v>
      </c>
      <c r="N114" s="30">
        <f>_xlfn.XLOOKUP($D114,'consolidated tracker'!$D:$D,'consolidated tracker'!M:M)</f>
        <v>3750835.4000000004</v>
      </c>
      <c r="O114" s="40">
        <f>_xlfn.XLOOKUP($D114,'consolidated tracker'!$D:$D,'consolidated tracker'!N:N)</f>
        <v>416759.48000000045</v>
      </c>
      <c r="P114" s="33">
        <f>_xlfn.XLOOKUP($D114,'consolidated tracker'!$D:$D,'consolidated tracker'!O:O)</f>
        <v>416759.49</v>
      </c>
      <c r="Q114" s="33">
        <f>_xlfn.XLOOKUP($D114,'consolidated tracker'!$D:$D,'consolidated tracker'!P:P)</f>
        <v>416759.49</v>
      </c>
      <c r="R114" s="33">
        <f>_xlfn.XLOOKUP($D114,'consolidated tracker'!$D:$D,'consolidated tracker'!Q:Q)</f>
        <v>0</v>
      </c>
      <c r="S114" s="33">
        <f>_xlfn.XLOOKUP($D114,'consolidated tracker'!$D:$D,'consolidated tracker'!R:R)</f>
        <v>2500556.94</v>
      </c>
      <c r="T114" s="33">
        <f>_xlfn.XLOOKUP($D114,'consolidated tracker'!$D:$D,'consolidated tracker'!S:S)</f>
        <v>0</v>
      </c>
      <c r="U114" s="33">
        <f>_xlfn.XLOOKUP($D114,'consolidated tracker'!$D:$D,'consolidated tracker'!T:T)</f>
        <v>0</v>
      </c>
      <c r="V114" s="33">
        <f>_xlfn.XLOOKUP($D114,'consolidated tracker'!$D:$D,'consolidated tracker'!U:U)</f>
        <v>0</v>
      </c>
      <c r="W114" s="33">
        <f>_xlfn.XLOOKUP($D114,'consolidated tracker'!$D:$D,'consolidated tracker'!V:V)</f>
        <v>0</v>
      </c>
      <c r="X114" s="33">
        <f>_xlfn.XLOOKUP($D114,'consolidated tracker'!$D:$D,'consolidated tracker'!W:W)</f>
        <v>0</v>
      </c>
      <c r="Y114" s="17"/>
      <c r="Z114" s="17"/>
      <c r="AA114" s="11"/>
      <c r="AB114" s="16"/>
    </row>
    <row r="115" spans="1:35" s="83" customFormat="1" ht="150" customHeight="1" collapsed="1" thickBot="1" x14ac:dyDescent="1.3">
      <c r="A115" s="88"/>
      <c r="B115" s="7"/>
      <c r="C115" s="87"/>
      <c r="D115" s="86" t="s">
        <v>0</v>
      </c>
      <c r="E115" s="86" t="str">
        <f>_xlfn.XLOOKUP(D115,'consolidated tracker'!D:D,'consolidated tracker'!E:E)</f>
        <v>RERA</v>
      </c>
      <c r="F115" s="133"/>
      <c r="G115" s="84">
        <f>SUM(G71,G70,G69,G65,G60,G59,G54,G53,G48,G44,G35,G28,G20,G19,G14,G13,G9,G5,G4,G52)</f>
        <v>25380</v>
      </c>
      <c r="H115" s="84">
        <f>SUM(H71,H70,H69,H65,H60,H59,H54,H53,H48,H44,H35,H28,H20,H19,H14,H13,H9,H5,H4,H52)</f>
        <v>63156866414.050003</v>
      </c>
      <c r="I115" s="84">
        <f>SUM(I71,I70,I69,I65,I60,I59,I54,I53,I48,I44,I35,I28,I20,I19,I14,I13,I9,I5,I4,I52)</f>
        <v>28031810658.119961</v>
      </c>
      <c r="J115" s="84">
        <f>SUM(J71,J70,J69,J65,J60,J59,J54,J53,J48,J44,J35,J28,J20,J19,J14,J13,J9,J5,J4,J52)</f>
        <v>26607672486.169998</v>
      </c>
      <c r="K115" s="84">
        <f>SUM(K71,K70,K69,K65,K60,K59,K54,K53,K48,K44,K35,K28,K20,K19,K14,K13,K9,K5,K4,K52)</f>
        <v>2278896160.7000003</v>
      </c>
      <c r="L115" s="85">
        <f>J115/I115</f>
        <v>0.9491956410051795</v>
      </c>
      <c r="M115" s="84">
        <f t="shared" ref="M115:X115" si="1">SUM(M71,M70,M69,M65,M60,M59,M54,M53,M48,M44,M35,M28,M20,M19,M14,M13,M9,M5,M4,M52)</f>
        <v>1424175491.9000001</v>
      </c>
      <c r="N115" s="84">
        <f t="shared" si="1"/>
        <v>32846159595.230042</v>
      </c>
      <c r="O115" s="84">
        <f t="shared" si="1"/>
        <v>11938172545.250042</v>
      </c>
      <c r="P115" s="84">
        <f t="shared" si="1"/>
        <v>11255392624.979998</v>
      </c>
      <c r="Q115" s="84">
        <f t="shared" si="1"/>
        <v>6053397563.6400003</v>
      </c>
      <c r="R115" s="84">
        <f t="shared" si="1"/>
        <v>3178408545.1099982</v>
      </c>
      <c r="S115" s="84">
        <f t="shared" si="1"/>
        <v>419357493.23999983</v>
      </c>
      <c r="T115" s="84">
        <f t="shared" si="1"/>
        <v>1430823.01</v>
      </c>
      <c r="U115" s="84">
        <f t="shared" si="1"/>
        <v>0</v>
      </c>
      <c r="V115" s="84">
        <f t="shared" si="1"/>
        <v>0</v>
      </c>
      <c r="W115" s="84">
        <f t="shared" si="1"/>
        <v>0</v>
      </c>
      <c r="X115" s="84">
        <f t="shared" si="1"/>
        <v>0</v>
      </c>
      <c r="Y115" s="17"/>
      <c r="Z115" s="17"/>
      <c r="AA115" s="11"/>
      <c r="AB115" s="16"/>
      <c r="AC115" s="7"/>
      <c r="AD115" s="7"/>
      <c r="AG115" s="7"/>
      <c r="AI115" s="7"/>
    </row>
    <row r="116" spans="1:35" s="7" customFormat="1" ht="150" customHeight="1" x14ac:dyDescent="1.25">
      <c r="A116" s="4"/>
      <c r="C116" s="77">
        <v>21</v>
      </c>
      <c r="D116" s="76" t="s">
        <v>77</v>
      </c>
      <c r="E116" s="49" t="str">
        <f>_xlfn.XLOOKUP(D116,'consolidated tracker'!D:D,'consolidated tracker'!E:E)</f>
        <v>RERA</v>
      </c>
      <c r="F116" s="134" t="s">
        <v>232</v>
      </c>
      <c r="G116" s="33">
        <f>_xlfn.XLOOKUP(D116,'consolidated tracker'!D:D,'consolidated tracker'!F:F)</f>
        <v>1621</v>
      </c>
      <c r="H116" s="33">
        <f>_xlfn.XLOOKUP(D116,'consolidated tracker'!D:D,'consolidated tracker'!G:G)</f>
        <v>2631180043.4400001</v>
      </c>
      <c r="I116" s="33">
        <f>_xlfn.XLOOKUP(D116,'consolidated tracker'!D:D,'consolidated tracker'!H:H)</f>
        <v>730412781.33999944</v>
      </c>
      <c r="J116" s="33">
        <f>_xlfn.XLOOKUP(D116,'consolidated tracker'!D:D,'consolidated tracker'!I:I)</f>
        <v>696055803.0200001</v>
      </c>
      <c r="K116" s="33">
        <f>_xlfn.XLOOKUP(D116,'consolidated tracker'!D:D,'consolidated tracker'!J:J)</f>
        <v>47311001.079999998</v>
      </c>
      <c r="L116" s="34">
        <f>_xlfn.XLOOKUP(D116,'consolidated tracker'!D:D,'consolidated tracker'!K:K)</f>
        <v>0.95296224381921579</v>
      </c>
      <c r="M116" s="36">
        <f>_xlfn.XLOOKUP('consolidated - Offplan'!D116,'consolidated tracker'!D:D,'consolidated tracker'!L:L)</f>
        <v>34356978.32</v>
      </c>
      <c r="N116" s="30">
        <f>_xlfn.XLOOKUP($D116,'consolidated tracker'!$D:$D,'consolidated tracker'!M:M)</f>
        <v>1853456261.0200007</v>
      </c>
      <c r="O116" s="40">
        <f>_xlfn.XLOOKUP($D116,'consolidated tracker'!$D:$D,'consolidated tracker'!N:N)</f>
        <v>569438109.58000064</v>
      </c>
      <c r="P116" s="33">
        <f>_xlfn.XLOOKUP($D116,'consolidated tracker'!$D:$D,'consolidated tracker'!O:O)</f>
        <v>267638688.56</v>
      </c>
      <c r="Q116" s="33">
        <f>_xlfn.XLOOKUP($D116,'consolidated tracker'!$D:$D,'consolidated tracker'!P:P)</f>
        <v>114169662.97000003</v>
      </c>
      <c r="R116" s="33">
        <f>_xlfn.XLOOKUP($D116,'consolidated tracker'!$D:$D,'consolidated tracker'!Q:Q)</f>
        <v>836923934.56000006</v>
      </c>
      <c r="S116" s="33">
        <f>_xlfn.XLOOKUP($D116,'consolidated tracker'!$D:$D,'consolidated tracker'!R:R)</f>
        <v>65285865.350000031</v>
      </c>
      <c r="T116" s="33">
        <f>_xlfn.XLOOKUP($D116,'consolidated tracker'!$D:$D,'consolidated tracker'!S:S)</f>
        <v>0</v>
      </c>
      <c r="U116" s="33">
        <f>_xlfn.XLOOKUP($D116,'consolidated tracker'!$D:$D,'consolidated tracker'!T:T)</f>
        <v>0</v>
      </c>
      <c r="V116" s="33">
        <f>_xlfn.XLOOKUP($D116,'consolidated tracker'!$D:$D,'consolidated tracker'!U:U)</f>
        <v>0</v>
      </c>
      <c r="W116" s="33">
        <f>_xlfn.XLOOKUP($D116,'consolidated tracker'!$D:$D,'consolidated tracker'!V:V)</f>
        <v>0</v>
      </c>
      <c r="X116" s="33">
        <f>_xlfn.XLOOKUP($D116,'consolidated tracker'!$D:$D,'consolidated tracker'!W:W)</f>
        <v>0</v>
      </c>
      <c r="Y116" s="17"/>
      <c r="Z116" s="17"/>
      <c r="AA116" s="11"/>
      <c r="AB116" s="16"/>
    </row>
    <row r="117" spans="1:35" s="7" customFormat="1" ht="150" hidden="1" customHeight="1" outlineLevel="1" x14ac:dyDescent="1.25">
      <c r="A117" s="4"/>
      <c r="C117" s="77"/>
      <c r="D117" s="135" t="s">
        <v>76</v>
      </c>
      <c r="E117" s="49" t="str">
        <f>_xlfn.XLOOKUP(D117,'consolidated tracker'!D:D,'consolidated tracker'!E:E)</f>
        <v>RERA</v>
      </c>
      <c r="F117" s="134" t="s">
        <v>232</v>
      </c>
      <c r="G117" s="33">
        <f>_xlfn.XLOOKUP(D117,'consolidated tracker'!D:D,'consolidated tracker'!F:F)</f>
        <v>322</v>
      </c>
      <c r="H117" s="33">
        <f>_xlfn.XLOOKUP(D117,'consolidated tracker'!D:D,'consolidated tracker'!G:G)</f>
        <v>531633401.99000007</v>
      </c>
      <c r="I117" s="33">
        <f>_xlfn.XLOOKUP(D117,'consolidated tracker'!D:D,'consolidated tracker'!H:H)</f>
        <v>180465106.53999987</v>
      </c>
      <c r="J117" s="33">
        <f>_xlfn.XLOOKUP(D117,'consolidated tracker'!D:D,'consolidated tracker'!I:I)</f>
        <v>171003717.63000003</v>
      </c>
      <c r="K117" s="33">
        <f>_xlfn.XLOOKUP(D117,'consolidated tracker'!D:D,'consolidated tracker'!J:J)</f>
        <v>8897291.2899999991</v>
      </c>
      <c r="L117" s="34">
        <f>_xlfn.XLOOKUP(D117,'consolidated tracker'!D:D,'consolidated tracker'!K:K)</f>
        <v>0.94757219779823343</v>
      </c>
      <c r="M117" s="36">
        <f>_xlfn.XLOOKUP('consolidated - Offplan'!D117,'consolidated tracker'!D:D,'consolidated tracker'!L:L)</f>
        <v>9461388.910000002</v>
      </c>
      <c r="N117" s="30">
        <f>_xlfn.XLOOKUP($D117,'consolidated tracker'!$D:$D,'consolidated tracker'!M:M)</f>
        <v>342271004.16000021</v>
      </c>
      <c r="O117" s="40">
        <f>_xlfn.XLOOKUP($D117,'consolidated tracker'!$D:$D,'consolidated tracker'!N:N)</f>
        <v>342271004.16000021</v>
      </c>
      <c r="P117" s="33">
        <f>_xlfn.XLOOKUP($D117,'consolidated tracker'!$D:$D,'consolidated tracker'!O:O)</f>
        <v>0</v>
      </c>
      <c r="Q117" s="33">
        <f>_xlfn.XLOOKUP($D117,'consolidated tracker'!$D:$D,'consolidated tracker'!P:P)</f>
        <v>0</v>
      </c>
      <c r="R117" s="33">
        <f>_xlfn.XLOOKUP($D117,'consolidated tracker'!$D:$D,'consolidated tracker'!Q:Q)</f>
        <v>0</v>
      </c>
      <c r="S117" s="33">
        <f>_xlfn.XLOOKUP($D117,'consolidated tracker'!$D:$D,'consolidated tracker'!R:R)</f>
        <v>0</v>
      </c>
      <c r="T117" s="33">
        <f>_xlfn.XLOOKUP($D117,'consolidated tracker'!$D:$D,'consolidated tracker'!S:S)</f>
        <v>0</v>
      </c>
      <c r="U117" s="33">
        <f>_xlfn.XLOOKUP($D117,'consolidated tracker'!$D:$D,'consolidated tracker'!T:T)</f>
        <v>0</v>
      </c>
      <c r="V117" s="33">
        <f>_xlfn.XLOOKUP($D117,'consolidated tracker'!$D:$D,'consolidated tracker'!U:U)</f>
        <v>0</v>
      </c>
      <c r="W117" s="33">
        <f>_xlfn.XLOOKUP($D117,'consolidated tracker'!$D:$D,'consolidated tracker'!V:V)</f>
        <v>0</v>
      </c>
      <c r="X117" s="33">
        <f>_xlfn.XLOOKUP($D117,'consolidated tracker'!$D:$D,'consolidated tracker'!W:W)</f>
        <v>0</v>
      </c>
      <c r="Y117" s="17"/>
      <c r="Z117" s="17"/>
      <c r="AA117" s="11"/>
      <c r="AB117" s="16"/>
    </row>
    <row r="118" spans="1:35" s="7" customFormat="1" ht="150" hidden="1" customHeight="1" outlineLevel="2" x14ac:dyDescent="1.25">
      <c r="A118" s="4"/>
      <c r="C118" s="77"/>
      <c r="D118" s="94" t="s">
        <v>75</v>
      </c>
      <c r="E118" s="49" t="str">
        <f>_xlfn.XLOOKUP(D118,'consolidated tracker'!D:D,'consolidated tracker'!E:E)</f>
        <v>RERA</v>
      </c>
      <c r="F118" s="134">
        <v>47208</v>
      </c>
      <c r="G118" s="33">
        <f>_xlfn.XLOOKUP(D118,'consolidated tracker'!D:D,'consolidated tracker'!F:F)</f>
        <v>66</v>
      </c>
      <c r="H118" s="33">
        <f>_xlfn.XLOOKUP(D118,'consolidated tracker'!D:D,'consolidated tracker'!G:G)</f>
        <v>112606324.23999998</v>
      </c>
      <c r="I118" s="33">
        <f>_xlfn.XLOOKUP(D118,'consolidated tracker'!D:D,'consolidated tracker'!H:H)</f>
        <v>37974444.980000004</v>
      </c>
      <c r="J118" s="33">
        <f>_xlfn.XLOOKUP(D118,'consolidated tracker'!D:D,'consolidated tracker'!I:I)</f>
        <v>36373697.230000004</v>
      </c>
      <c r="K118" s="33">
        <f>_xlfn.XLOOKUP(D118,'consolidated tracker'!D:D,'consolidated tracker'!J:J)</f>
        <v>2320045.87</v>
      </c>
      <c r="L118" s="34">
        <f>_xlfn.XLOOKUP(D118,'consolidated tracker'!D:D,'consolidated tracker'!K:K)</f>
        <v>0.95784671110155617</v>
      </c>
      <c r="M118" s="36">
        <f>_xlfn.XLOOKUP('consolidated - Offplan'!D118,'consolidated tracker'!D:D,'consolidated tracker'!L:L)</f>
        <v>1600747.7500000005</v>
      </c>
      <c r="N118" s="30">
        <f>_xlfn.XLOOKUP($D118,'consolidated tracker'!$D:$D,'consolidated tracker'!M:M)</f>
        <v>72311833.389999986</v>
      </c>
      <c r="O118" s="40">
        <f>_xlfn.XLOOKUP($D118,'consolidated tracker'!$D:$D,'consolidated tracker'!N:N)</f>
        <v>11547858.229999989</v>
      </c>
      <c r="P118" s="33">
        <f>_xlfn.XLOOKUP($D118,'consolidated tracker'!$D:$D,'consolidated tracker'!O:O)</f>
        <v>11584291.209999999</v>
      </c>
      <c r="Q118" s="33">
        <f>_xlfn.XLOOKUP($D118,'consolidated tracker'!$D:$D,'consolidated tracker'!P:P)</f>
        <v>4350742.3</v>
      </c>
      <c r="R118" s="33">
        <f>_xlfn.XLOOKUP($D118,'consolidated tracker'!$D:$D,'consolidated tracker'!Q:Q)</f>
        <v>44828941.649999999</v>
      </c>
      <c r="S118" s="33">
        <f>_xlfn.XLOOKUP($D118,'consolidated tracker'!$D:$D,'consolidated tracker'!R:R)</f>
        <v>0</v>
      </c>
      <c r="T118" s="33">
        <f>_xlfn.XLOOKUP($D118,'consolidated tracker'!$D:$D,'consolidated tracker'!S:S)</f>
        <v>0</v>
      </c>
      <c r="U118" s="33">
        <f>_xlfn.XLOOKUP($D118,'consolidated tracker'!$D:$D,'consolidated tracker'!T:T)</f>
        <v>0</v>
      </c>
      <c r="V118" s="33">
        <f>_xlfn.XLOOKUP($D118,'consolidated tracker'!$D:$D,'consolidated tracker'!U:U)</f>
        <v>0</v>
      </c>
      <c r="W118" s="33">
        <f>_xlfn.XLOOKUP($D118,'consolidated tracker'!$D:$D,'consolidated tracker'!V:V)</f>
        <v>0</v>
      </c>
      <c r="X118" s="33">
        <f>_xlfn.XLOOKUP($D118,'consolidated tracker'!$D:$D,'consolidated tracker'!W:W)</f>
        <v>0</v>
      </c>
      <c r="Y118" s="17"/>
      <c r="Z118" s="17"/>
      <c r="AA118" s="11"/>
      <c r="AB118" s="16"/>
    </row>
    <row r="119" spans="1:35" s="7" customFormat="1" ht="150" hidden="1" customHeight="1" outlineLevel="2" x14ac:dyDescent="1.25">
      <c r="A119" s="4"/>
      <c r="C119" s="77"/>
      <c r="D119" s="94" t="s">
        <v>74</v>
      </c>
      <c r="E119" s="49" t="str">
        <f>_xlfn.XLOOKUP(D119,'consolidated tracker'!D:D,'consolidated tracker'!E:E)</f>
        <v>RERA</v>
      </c>
      <c r="F119" s="134">
        <v>47208</v>
      </c>
      <c r="G119" s="33">
        <f>_xlfn.XLOOKUP(D119,'consolidated tracker'!D:D,'consolidated tracker'!F:F)</f>
        <v>192</v>
      </c>
      <c r="H119" s="33">
        <f>_xlfn.XLOOKUP(D119,'consolidated tracker'!D:D,'consolidated tracker'!G:G)</f>
        <v>302508355.49000013</v>
      </c>
      <c r="I119" s="33">
        <f>_xlfn.XLOOKUP(D119,'consolidated tracker'!D:D,'consolidated tracker'!H:H)</f>
        <v>105636555.49999987</v>
      </c>
      <c r="J119" s="33">
        <f>_xlfn.XLOOKUP(D119,'consolidated tracker'!D:D,'consolidated tracker'!I:I)</f>
        <v>100144763.56000005</v>
      </c>
      <c r="K119" s="33">
        <f>_xlfn.XLOOKUP(D119,'consolidated tracker'!D:D,'consolidated tracker'!J:J)</f>
        <v>6166448.4899999993</v>
      </c>
      <c r="L119" s="34">
        <f>_xlfn.XLOOKUP(D119,'consolidated tracker'!D:D,'consolidated tracker'!K:K)</f>
        <v>0.94801239103257373</v>
      </c>
      <c r="M119" s="36">
        <f>_xlfn.XLOOKUP('consolidated - Offplan'!D119,'consolidated tracker'!D:D,'consolidated tracker'!L:L)</f>
        <v>5491791.9400000004</v>
      </c>
      <c r="N119" s="30">
        <f>_xlfn.XLOOKUP($D119,'consolidated tracker'!$D:$D,'consolidated tracker'!M:M)</f>
        <v>190705351.50000027</v>
      </c>
      <c r="O119" s="40">
        <f>_xlfn.XLOOKUP($D119,'consolidated tracker'!$D:$D,'consolidated tracker'!N:N)</f>
        <v>28194060.490000397</v>
      </c>
      <c r="P119" s="33">
        <f>_xlfn.XLOOKUP($D119,'consolidated tracker'!$D:$D,'consolidated tracker'!O:O)</f>
        <v>33082223.539999992</v>
      </c>
      <c r="Q119" s="33">
        <f>_xlfn.XLOOKUP($D119,'consolidated tracker'!$D:$D,'consolidated tracker'!P:P)</f>
        <v>9449648.8299999982</v>
      </c>
      <c r="R119" s="33">
        <f>_xlfn.XLOOKUP($D119,'consolidated tracker'!$D:$D,'consolidated tracker'!Q:Q)</f>
        <v>119979418.6399999</v>
      </c>
      <c r="S119" s="33">
        <f>_xlfn.XLOOKUP($D119,'consolidated tracker'!$D:$D,'consolidated tracker'!R:R)</f>
        <v>0</v>
      </c>
      <c r="T119" s="33">
        <f>_xlfn.XLOOKUP($D119,'consolidated tracker'!$D:$D,'consolidated tracker'!S:S)</f>
        <v>0</v>
      </c>
      <c r="U119" s="33">
        <f>_xlfn.XLOOKUP($D119,'consolidated tracker'!$D:$D,'consolidated tracker'!T:T)</f>
        <v>0</v>
      </c>
      <c r="V119" s="33">
        <f>_xlfn.XLOOKUP($D119,'consolidated tracker'!$D:$D,'consolidated tracker'!U:U)</f>
        <v>0</v>
      </c>
      <c r="W119" s="33">
        <f>_xlfn.XLOOKUP($D119,'consolidated tracker'!$D:$D,'consolidated tracker'!V:V)</f>
        <v>0</v>
      </c>
      <c r="X119" s="33">
        <f>_xlfn.XLOOKUP($D119,'consolidated tracker'!$D:$D,'consolidated tracker'!W:W)</f>
        <v>0</v>
      </c>
      <c r="Y119" s="17"/>
      <c r="Z119" s="17"/>
      <c r="AA119" s="11"/>
      <c r="AB119" s="16"/>
    </row>
    <row r="120" spans="1:35" s="7" customFormat="1" ht="150" hidden="1" customHeight="1" outlineLevel="2" x14ac:dyDescent="1.25">
      <c r="A120" s="4"/>
      <c r="C120" s="77"/>
      <c r="D120" s="94" t="s">
        <v>73</v>
      </c>
      <c r="E120" s="49" t="str">
        <f>_xlfn.XLOOKUP(D120,'consolidated tracker'!D:D,'consolidated tracker'!E:E)</f>
        <v>RERA</v>
      </c>
      <c r="F120" s="134">
        <v>47208</v>
      </c>
      <c r="G120" s="33">
        <f>_xlfn.XLOOKUP(D120,'consolidated tracker'!D:D,'consolidated tracker'!F:F)</f>
        <v>62</v>
      </c>
      <c r="H120" s="33">
        <f>_xlfn.XLOOKUP(D120,'consolidated tracker'!D:D,'consolidated tracker'!G:G)</f>
        <v>109349382.32999995</v>
      </c>
      <c r="I120" s="33">
        <f>_xlfn.XLOOKUP(D120,'consolidated tracker'!D:D,'consolidated tracker'!H:H)</f>
        <v>34886771.150000021</v>
      </c>
      <c r="J120" s="33">
        <f>_xlfn.XLOOKUP(D120,'consolidated tracker'!D:D,'consolidated tracker'!I:I)</f>
        <v>32588515.139999993</v>
      </c>
      <c r="K120" s="33">
        <f>_xlfn.XLOOKUP(D120,'consolidated tracker'!D:D,'consolidated tracker'!J:J)</f>
        <v>410796.92999999988</v>
      </c>
      <c r="L120" s="34">
        <f>_xlfn.XLOOKUP(D120,'consolidated tracker'!D:D,'consolidated tracker'!K:K)</f>
        <v>0.93412242135798729</v>
      </c>
      <c r="M120" s="36">
        <f>_xlfn.XLOOKUP('consolidated - Offplan'!D120,'consolidated tracker'!D:D,'consolidated tracker'!L:L)</f>
        <v>2298256.0100000002</v>
      </c>
      <c r="N120" s="30">
        <f>_xlfn.XLOOKUP($D120,'consolidated tracker'!$D:$D,'consolidated tracker'!M:M)</f>
        <v>74051814.24999994</v>
      </c>
      <c r="O120" s="40">
        <f>_xlfn.XLOOKUP($D120,'consolidated tracker'!$D:$D,'consolidated tracker'!N:N)</f>
        <v>11395908.159999967</v>
      </c>
      <c r="P120" s="33">
        <f>_xlfn.XLOOKUP($D120,'consolidated tracker'!$D:$D,'consolidated tracker'!O:O)</f>
        <v>13312787.84</v>
      </c>
      <c r="Q120" s="33">
        <f>_xlfn.XLOOKUP($D120,'consolidated tracker'!$D:$D,'consolidated tracker'!P:P)</f>
        <v>5603365.2199999997</v>
      </c>
      <c r="R120" s="33">
        <f>_xlfn.XLOOKUP($D120,'consolidated tracker'!$D:$D,'consolidated tracker'!Q:Q)</f>
        <v>43739753.029999971</v>
      </c>
      <c r="S120" s="33">
        <f>_xlfn.XLOOKUP($D120,'consolidated tracker'!$D:$D,'consolidated tracker'!R:R)</f>
        <v>0</v>
      </c>
      <c r="T120" s="33">
        <f>_xlfn.XLOOKUP($D120,'consolidated tracker'!$D:$D,'consolidated tracker'!S:S)</f>
        <v>0</v>
      </c>
      <c r="U120" s="33">
        <f>_xlfn.XLOOKUP($D120,'consolidated tracker'!$D:$D,'consolidated tracker'!T:T)</f>
        <v>0</v>
      </c>
      <c r="V120" s="33">
        <f>_xlfn.XLOOKUP($D120,'consolidated tracker'!$D:$D,'consolidated tracker'!U:U)</f>
        <v>0</v>
      </c>
      <c r="W120" s="33">
        <f>_xlfn.XLOOKUP($D120,'consolidated tracker'!$D:$D,'consolidated tracker'!V:V)</f>
        <v>0</v>
      </c>
      <c r="X120" s="33">
        <f>_xlfn.XLOOKUP($D120,'consolidated tracker'!$D:$D,'consolidated tracker'!W:W)</f>
        <v>0</v>
      </c>
      <c r="Y120" s="17"/>
      <c r="Z120" s="17"/>
      <c r="AA120" s="11"/>
      <c r="AB120" s="16"/>
    </row>
    <row r="121" spans="1:35" s="7" customFormat="1" ht="150" hidden="1" customHeight="1" outlineLevel="2" x14ac:dyDescent="1.25">
      <c r="A121" s="4"/>
      <c r="C121" s="77"/>
      <c r="D121" s="94" t="s">
        <v>72</v>
      </c>
      <c r="E121" s="49" t="str">
        <f>_xlfn.XLOOKUP(D121,'consolidated tracker'!D:D,'consolidated tracker'!E:E)</f>
        <v>RERA</v>
      </c>
      <c r="F121" s="134">
        <v>47208</v>
      </c>
      <c r="G121" s="33">
        <f>_xlfn.XLOOKUP(D121,'consolidated tracker'!D:D,'consolidated tracker'!F:F)</f>
        <v>2</v>
      </c>
      <c r="H121" s="33">
        <f>_xlfn.XLOOKUP(D121,'consolidated tracker'!D:D,'consolidated tracker'!G:G)</f>
        <v>7169339.9299999997</v>
      </c>
      <c r="I121" s="33">
        <f>_xlfn.XLOOKUP(D121,'consolidated tracker'!D:D,'consolidated tracker'!H:H)</f>
        <v>1967334.9100000001</v>
      </c>
      <c r="J121" s="33">
        <f>_xlfn.XLOOKUP(D121,'consolidated tracker'!D:D,'consolidated tracker'!I:I)</f>
        <v>1896741.7</v>
      </c>
      <c r="K121" s="33">
        <f>_xlfn.XLOOKUP(D121,'consolidated tracker'!D:D,'consolidated tracker'!J:J)</f>
        <v>0</v>
      </c>
      <c r="L121" s="34">
        <f>_xlfn.XLOOKUP(D121,'consolidated tracker'!D:D,'consolidated tracker'!K:K)</f>
        <v>0.96411733983818737</v>
      </c>
      <c r="M121" s="36">
        <f>_xlfn.XLOOKUP('consolidated - Offplan'!D121,'consolidated tracker'!D:D,'consolidated tracker'!L:L)</f>
        <v>70593.210000000006</v>
      </c>
      <c r="N121" s="30">
        <f>_xlfn.XLOOKUP($D121,'consolidated tracker'!$D:$D,'consolidated tracker'!M:M)</f>
        <v>5202005.0199999996</v>
      </c>
      <c r="O121" s="40">
        <f>_xlfn.XLOOKUP($D121,'consolidated tracker'!$D:$D,'consolidated tracker'!N:N)</f>
        <v>1167134.54</v>
      </c>
      <c r="P121" s="33">
        <f>_xlfn.XLOOKUP($D121,'consolidated tracker'!$D:$D,'consolidated tracker'!O:O)</f>
        <v>1167134.54</v>
      </c>
      <c r="Q121" s="33">
        <f>_xlfn.XLOOKUP($D121,'consolidated tracker'!$D:$D,'consolidated tracker'!P:P)</f>
        <v>0</v>
      </c>
      <c r="R121" s="33">
        <f>_xlfn.XLOOKUP($D121,'consolidated tracker'!$D:$D,'consolidated tracker'!Q:Q)</f>
        <v>2867735.9699999997</v>
      </c>
      <c r="S121" s="33">
        <f>_xlfn.XLOOKUP($D121,'consolidated tracker'!$D:$D,'consolidated tracker'!R:R)</f>
        <v>0</v>
      </c>
      <c r="T121" s="33">
        <f>_xlfn.XLOOKUP($D121,'consolidated tracker'!$D:$D,'consolidated tracker'!S:S)</f>
        <v>0</v>
      </c>
      <c r="U121" s="33">
        <f>_xlfn.XLOOKUP($D121,'consolidated tracker'!$D:$D,'consolidated tracker'!T:T)</f>
        <v>0</v>
      </c>
      <c r="V121" s="33">
        <f>_xlfn.XLOOKUP($D121,'consolidated tracker'!$D:$D,'consolidated tracker'!U:U)</f>
        <v>0</v>
      </c>
      <c r="W121" s="33">
        <f>_xlfn.XLOOKUP($D121,'consolidated tracker'!$D:$D,'consolidated tracker'!V:V)</f>
        <v>0</v>
      </c>
      <c r="X121" s="33">
        <f>_xlfn.XLOOKUP($D121,'consolidated tracker'!$D:$D,'consolidated tracker'!W:W)</f>
        <v>0</v>
      </c>
      <c r="Y121" s="17"/>
      <c r="Z121" s="17"/>
      <c r="AA121" s="11"/>
      <c r="AB121" s="16"/>
    </row>
    <row r="122" spans="1:35" s="7" customFormat="1" ht="150" hidden="1" customHeight="1" outlineLevel="1" x14ac:dyDescent="1.25">
      <c r="A122" s="4"/>
      <c r="C122" s="77"/>
      <c r="D122" s="94" t="s">
        <v>71</v>
      </c>
      <c r="E122" s="49" t="str">
        <f>_xlfn.XLOOKUP(D122,'consolidated tracker'!D:D,'consolidated tracker'!E:E)</f>
        <v>RERA</v>
      </c>
      <c r="F122" s="134" t="s">
        <v>232</v>
      </c>
      <c r="G122" s="33">
        <f>_xlfn.XLOOKUP(D122,'consolidated tracker'!D:D,'consolidated tracker'!F:F)</f>
        <v>338</v>
      </c>
      <c r="H122" s="33">
        <f>_xlfn.XLOOKUP(D122,'consolidated tracker'!D:D,'consolidated tracker'!G:G)</f>
        <v>551079298.84999967</v>
      </c>
      <c r="I122" s="33">
        <f>_xlfn.XLOOKUP(D122,'consolidated tracker'!D:D,'consolidated tracker'!H:H)</f>
        <v>190954233.22999963</v>
      </c>
      <c r="J122" s="33">
        <f>_xlfn.XLOOKUP(D122,'consolidated tracker'!D:D,'consolidated tracker'!I:I)</f>
        <v>182341992.22000009</v>
      </c>
      <c r="K122" s="33">
        <f>_xlfn.XLOOKUP(D122,'consolidated tracker'!D:D,'consolidated tracker'!J:J)</f>
        <v>14450465.629999999</v>
      </c>
      <c r="L122" s="34">
        <f>_xlfn.XLOOKUP(D122,'consolidated tracker'!D:D,'consolidated tracker'!K:K)</f>
        <v>0.95489892596606485</v>
      </c>
      <c r="M122" s="36">
        <f>_xlfn.XLOOKUP('consolidated - Offplan'!D122,'consolidated tracker'!D:D,'consolidated tracker'!L:L)</f>
        <v>8612241.0099999979</v>
      </c>
      <c r="N122" s="30">
        <f>_xlfn.XLOOKUP($D122,'consolidated tracker'!$D:$D,'consolidated tracker'!M:M)</f>
        <v>345674599.99000001</v>
      </c>
      <c r="O122" s="40">
        <f>_xlfn.XLOOKUP($D122,'consolidated tracker'!$D:$D,'consolidated tracker'!N:N)</f>
        <v>51963098.839999914</v>
      </c>
      <c r="P122" s="33">
        <f>_xlfn.XLOOKUP($D122,'consolidated tracker'!$D:$D,'consolidated tracker'!O:O)</f>
        <v>56986304.14000003</v>
      </c>
      <c r="Q122" s="33">
        <f>_xlfn.XLOOKUP($D122,'consolidated tracker'!$D:$D,'consolidated tracker'!P:P)</f>
        <v>20545917.330000002</v>
      </c>
      <c r="R122" s="33">
        <f>_xlfn.XLOOKUP($D122,'consolidated tracker'!$D:$D,'consolidated tracker'!Q:Q)</f>
        <v>216179279.6800001</v>
      </c>
      <c r="S122" s="33">
        <f>_xlfn.XLOOKUP($D122,'consolidated tracker'!$D:$D,'consolidated tracker'!R:R)</f>
        <v>0</v>
      </c>
      <c r="T122" s="33">
        <f>_xlfn.XLOOKUP($D122,'consolidated tracker'!$D:$D,'consolidated tracker'!S:S)</f>
        <v>0</v>
      </c>
      <c r="U122" s="33">
        <f>_xlfn.XLOOKUP($D122,'consolidated tracker'!$D:$D,'consolidated tracker'!T:T)</f>
        <v>0</v>
      </c>
      <c r="V122" s="33">
        <f>_xlfn.XLOOKUP($D122,'consolidated tracker'!$D:$D,'consolidated tracker'!U:U)</f>
        <v>0</v>
      </c>
      <c r="W122" s="33">
        <f>_xlfn.XLOOKUP($D122,'consolidated tracker'!$D:$D,'consolidated tracker'!V:V)</f>
        <v>0</v>
      </c>
      <c r="X122" s="33">
        <f>_xlfn.XLOOKUP($D122,'consolidated tracker'!$D:$D,'consolidated tracker'!W:W)</f>
        <v>0</v>
      </c>
      <c r="Y122" s="17"/>
      <c r="Z122" s="17"/>
      <c r="AA122" s="11"/>
      <c r="AB122" s="16"/>
    </row>
    <row r="123" spans="1:35" s="7" customFormat="1" ht="150" hidden="1" customHeight="1" outlineLevel="2" x14ac:dyDescent="1.25">
      <c r="A123" s="4"/>
      <c r="C123" s="77"/>
      <c r="D123" s="104" t="s">
        <v>70</v>
      </c>
      <c r="E123" s="49" t="str">
        <f>_xlfn.XLOOKUP(D123,'consolidated tracker'!D:D,'consolidated tracker'!E:E)</f>
        <v>RERA</v>
      </c>
      <c r="F123" s="134">
        <v>47208</v>
      </c>
      <c r="G123" s="33">
        <f>_xlfn.XLOOKUP(D123,'consolidated tracker'!D:D,'consolidated tracker'!F:F)</f>
        <v>61</v>
      </c>
      <c r="H123" s="33">
        <f>_xlfn.XLOOKUP(D123,'consolidated tracker'!D:D,'consolidated tracker'!G:G)</f>
        <v>98654797.970000014</v>
      </c>
      <c r="I123" s="33">
        <f>_xlfn.XLOOKUP(D123,'consolidated tracker'!D:D,'consolidated tracker'!H:H)</f>
        <v>30439836.579999998</v>
      </c>
      <c r="J123" s="33">
        <f>_xlfn.XLOOKUP(D123,'consolidated tracker'!D:D,'consolidated tracker'!I:I)</f>
        <v>27696749.899999995</v>
      </c>
      <c r="K123" s="33">
        <f>_xlfn.XLOOKUP(D123,'consolidated tracker'!D:D,'consolidated tracker'!J:J)</f>
        <v>2625300.0599999996</v>
      </c>
      <c r="L123" s="34">
        <f>_xlfn.XLOOKUP(D123,'consolidated tracker'!D:D,'consolidated tracker'!K:K)</f>
        <v>0.90988497350204878</v>
      </c>
      <c r="M123" s="36">
        <f>_xlfn.XLOOKUP('consolidated - Offplan'!D123,'consolidated tracker'!D:D,'consolidated tracker'!L:L)</f>
        <v>2743086.68</v>
      </c>
      <c r="N123" s="30">
        <f>_xlfn.XLOOKUP($D123,'consolidated tracker'!$D:$D,'consolidated tracker'!M:M)</f>
        <v>65589661.330000013</v>
      </c>
      <c r="O123" s="40">
        <f>_xlfn.XLOOKUP($D123,'consolidated tracker'!$D:$D,'consolidated tracker'!N:N)</f>
        <v>9340249.8700000271</v>
      </c>
      <c r="P123" s="33">
        <f>_xlfn.XLOOKUP($D123,'consolidated tracker'!$D:$D,'consolidated tracker'!O:O)</f>
        <v>11093092.43</v>
      </c>
      <c r="Q123" s="33">
        <f>_xlfn.XLOOKUP($D123,'consolidated tracker'!$D:$D,'consolidated tracker'!P:P)</f>
        <v>5067199.6500000004</v>
      </c>
      <c r="R123" s="33">
        <f>_xlfn.XLOOKUP($D123,'consolidated tracker'!$D:$D,'consolidated tracker'!Q:Q)</f>
        <v>40089119.379999988</v>
      </c>
      <c r="S123" s="33">
        <f>_xlfn.XLOOKUP($D123,'consolidated tracker'!$D:$D,'consolidated tracker'!R:R)</f>
        <v>0</v>
      </c>
      <c r="T123" s="33">
        <f>_xlfn.XLOOKUP($D123,'consolidated tracker'!$D:$D,'consolidated tracker'!S:S)</f>
        <v>0</v>
      </c>
      <c r="U123" s="33">
        <f>_xlfn.XLOOKUP($D123,'consolidated tracker'!$D:$D,'consolidated tracker'!T:T)</f>
        <v>0</v>
      </c>
      <c r="V123" s="33">
        <f>_xlfn.XLOOKUP($D123,'consolidated tracker'!$D:$D,'consolidated tracker'!U:U)</f>
        <v>0</v>
      </c>
      <c r="W123" s="33">
        <f>_xlfn.XLOOKUP($D123,'consolidated tracker'!$D:$D,'consolidated tracker'!V:V)</f>
        <v>0</v>
      </c>
      <c r="X123" s="33">
        <f>_xlfn.XLOOKUP($D123,'consolidated tracker'!$D:$D,'consolidated tracker'!W:W)</f>
        <v>0</v>
      </c>
      <c r="Y123" s="17"/>
      <c r="Z123" s="17"/>
      <c r="AA123" s="11"/>
      <c r="AB123" s="16"/>
    </row>
    <row r="124" spans="1:35" s="7" customFormat="1" ht="150" hidden="1" customHeight="1" outlineLevel="2" x14ac:dyDescent="1.25">
      <c r="A124" s="4"/>
      <c r="C124" s="77"/>
      <c r="D124" s="104" t="s">
        <v>69</v>
      </c>
      <c r="E124" s="49" t="str">
        <f>_xlfn.XLOOKUP(D124,'consolidated tracker'!D:D,'consolidated tracker'!E:E)</f>
        <v>RERA</v>
      </c>
      <c r="F124" s="134">
        <v>47208</v>
      </c>
      <c r="G124" s="33">
        <f>_xlfn.XLOOKUP(D124,'consolidated tracker'!D:D,'consolidated tracker'!F:F)</f>
        <v>207</v>
      </c>
      <c r="H124" s="33">
        <f>_xlfn.XLOOKUP(D124,'consolidated tracker'!D:D,'consolidated tracker'!G:G)</f>
        <v>333473985.47999972</v>
      </c>
      <c r="I124" s="33">
        <f>_xlfn.XLOOKUP(D124,'consolidated tracker'!D:D,'consolidated tracker'!H:H)</f>
        <v>119475814.84999962</v>
      </c>
      <c r="J124" s="33">
        <f>_xlfn.XLOOKUP(D124,'consolidated tracker'!D:D,'consolidated tracker'!I:I)</f>
        <v>115139880.64000009</v>
      </c>
      <c r="K124" s="33">
        <f>_xlfn.XLOOKUP(D124,'consolidated tracker'!D:D,'consolidated tracker'!J:J)</f>
        <v>4560908.5099999988</v>
      </c>
      <c r="L124" s="34">
        <f>_xlfn.XLOOKUP(D124,'consolidated tracker'!D:D,'consolidated tracker'!K:K)</f>
        <v>0.96370868685479782</v>
      </c>
      <c r="M124" s="36">
        <f>_xlfn.XLOOKUP('consolidated - Offplan'!D124,'consolidated tracker'!D:D,'consolidated tracker'!L:L)</f>
        <v>4335934.209999999</v>
      </c>
      <c r="N124" s="30">
        <f>_xlfn.XLOOKUP($D124,'consolidated tracker'!$D:$D,'consolidated tracker'!M:M)</f>
        <v>209437262.12000009</v>
      </c>
      <c r="O124" s="40">
        <f>_xlfn.XLOOKUP($D124,'consolidated tracker'!$D:$D,'consolidated tracker'!N:N)</f>
        <v>31889760.74999997</v>
      </c>
      <c r="P124" s="33">
        <f>_xlfn.XLOOKUP($D124,'consolidated tracker'!$D:$D,'consolidated tracker'!O:O)</f>
        <v>34741248.720000029</v>
      </c>
      <c r="Q124" s="33">
        <f>_xlfn.XLOOKUP($D124,'consolidated tracker'!$D:$D,'consolidated tracker'!P:P)</f>
        <v>10383953.750000002</v>
      </c>
      <c r="R124" s="33">
        <f>_xlfn.XLOOKUP($D124,'consolidated tracker'!$D:$D,'consolidated tracker'!Q:Q)</f>
        <v>132422298.9000001</v>
      </c>
      <c r="S124" s="33">
        <f>_xlfn.XLOOKUP($D124,'consolidated tracker'!$D:$D,'consolidated tracker'!R:R)</f>
        <v>0</v>
      </c>
      <c r="T124" s="33">
        <f>_xlfn.XLOOKUP($D124,'consolidated tracker'!$D:$D,'consolidated tracker'!S:S)</f>
        <v>0</v>
      </c>
      <c r="U124" s="33">
        <f>_xlfn.XLOOKUP($D124,'consolidated tracker'!$D:$D,'consolidated tracker'!T:T)</f>
        <v>0</v>
      </c>
      <c r="V124" s="33">
        <f>_xlfn.XLOOKUP($D124,'consolidated tracker'!$D:$D,'consolidated tracker'!U:U)</f>
        <v>0</v>
      </c>
      <c r="W124" s="33">
        <f>_xlfn.XLOOKUP($D124,'consolidated tracker'!$D:$D,'consolidated tracker'!V:V)</f>
        <v>0</v>
      </c>
      <c r="X124" s="33">
        <f>_xlfn.XLOOKUP($D124,'consolidated tracker'!$D:$D,'consolidated tracker'!W:W)</f>
        <v>0</v>
      </c>
      <c r="Y124" s="17"/>
      <c r="Z124" s="17"/>
      <c r="AA124" s="11"/>
      <c r="AB124" s="16"/>
    </row>
    <row r="125" spans="1:35" s="7" customFormat="1" ht="150" hidden="1" customHeight="1" outlineLevel="2" x14ac:dyDescent="1.25">
      <c r="A125" s="4"/>
      <c r="C125" s="77"/>
      <c r="D125" s="104" t="s">
        <v>68</v>
      </c>
      <c r="E125" s="49" t="str">
        <f>_xlfn.XLOOKUP(D125,'consolidated tracker'!D:D,'consolidated tracker'!E:E)</f>
        <v>RERA</v>
      </c>
      <c r="F125" s="134">
        <v>47208</v>
      </c>
      <c r="G125" s="33">
        <f>_xlfn.XLOOKUP(D125,'consolidated tracker'!D:D,'consolidated tracker'!F:F)</f>
        <v>70</v>
      </c>
      <c r="H125" s="33">
        <f>_xlfn.XLOOKUP(D125,'consolidated tracker'!D:D,'consolidated tracker'!G:G)</f>
        <v>118950515.39999996</v>
      </c>
      <c r="I125" s="33">
        <f>_xlfn.XLOOKUP(D125,'consolidated tracker'!D:D,'consolidated tracker'!H:H)</f>
        <v>41038581.800000004</v>
      </c>
      <c r="J125" s="33">
        <f>_xlfn.XLOOKUP(D125,'consolidated tracker'!D:D,'consolidated tracker'!I:I)</f>
        <v>39505361.680000015</v>
      </c>
      <c r="K125" s="33">
        <f>_xlfn.XLOOKUP(D125,'consolidated tracker'!D:D,'consolidated tracker'!J:J)</f>
        <v>7264257.0600000015</v>
      </c>
      <c r="L125" s="34">
        <f>_xlfn.XLOOKUP(D125,'consolidated tracker'!D:D,'consolidated tracker'!K:K)</f>
        <v>0.96263954423493281</v>
      </c>
      <c r="M125" s="36">
        <f>_xlfn.XLOOKUP('consolidated - Offplan'!D125,'consolidated tracker'!D:D,'consolidated tracker'!L:L)</f>
        <v>1533220.1199999996</v>
      </c>
      <c r="N125" s="30">
        <f>_xlfn.XLOOKUP($D125,'consolidated tracker'!$D:$D,'consolidated tracker'!M:M)</f>
        <v>70647676.539999962</v>
      </c>
      <c r="O125" s="40">
        <f>_xlfn.XLOOKUP($D125,'consolidated tracker'!$D:$D,'consolidated tracker'!N:N)</f>
        <v>10733088.219999954</v>
      </c>
      <c r="P125" s="33">
        <f>_xlfn.XLOOKUP($D125,'consolidated tracker'!$D:$D,'consolidated tracker'!O:O)</f>
        <v>11151962.990000002</v>
      </c>
      <c r="Q125" s="33">
        <f>_xlfn.XLOOKUP($D125,'consolidated tracker'!$D:$D,'consolidated tracker'!P:P)</f>
        <v>5094763.9299999988</v>
      </c>
      <c r="R125" s="33">
        <f>_xlfn.XLOOKUP($D125,'consolidated tracker'!$D:$D,'consolidated tracker'!Q:Q)</f>
        <v>43667861.400000006</v>
      </c>
      <c r="S125" s="33">
        <f>_xlfn.XLOOKUP($D125,'consolidated tracker'!$D:$D,'consolidated tracker'!R:R)</f>
        <v>0</v>
      </c>
      <c r="T125" s="33">
        <f>_xlfn.XLOOKUP($D125,'consolidated tracker'!$D:$D,'consolidated tracker'!S:S)</f>
        <v>0</v>
      </c>
      <c r="U125" s="33">
        <f>_xlfn.XLOOKUP($D125,'consolidated tracker'!$D:$D,'consolidated tracker'!T:T)</f>
        <v>0</v>
      </c>
      <c r="V125" s="33">
        <f>_xlfn.XLOOKUP($D125,'consolidated tracker'!$D:$D,'consolidated tracker'!U:U)</f>
        <v>0</v>
      </c>
      <c r="W125" s="33">
        <f>_xlfn.XLOOKUP($D125,'consolidated tracker'!$D:$D,'consolidated tracker'!V:V)</f>
        <v>0</v>
      </c>
      <c r="X125" s="33">
        <f>_xlfn.XLOOKUP($D125,'consolidated tracker'!$D:$D,'consolidated tracker'!W:W)</f>
        <v>0</v>
      </c>
      <c r="Y125" s="17"/>
      <c r="Z125" s="17"/>
      <c r="AA125" s="11"/>
      <c r="AB125" s="16"/>
    </row>
    <row r="126" spans="1:35" s="7" customFormat="1" ht="150" hidden="1" customHeight="1" outlineLevel="2" x14ac:dyDescent="1.25">
      <c r="A126" s="4"/>
      <c r="C126" s="77"/>
      <c r="D126" s="104" t="s">
        <v>67</v>
      </c>
      <c r="E126" s="49" t="str">
        <f>_xlfn.XLOOKUP(D126,'consolidated tracker'!D:D,'consolidated tracker'!E:E)</f>
        <v>RERA</v>
      </c>
      <c r="F126" s="134">
        <v>47208</v>
      </c>
      <c r="G126" s="33">
        <f>_xlfn.XLOOKUP(D126,'consolidated tracker'!D:D,'consolidated tracker'!F:F)</f>
        <v>0</v>
      </c>
      <c r="H126" s="33">
        <f>_xlfn.XLOOKUP(D126,'consolidated tracker'!D:D,'consolidated tracker'!G:G)</f>
        <v>0</v>
      </c>
      <c r="I126" s="33">
        <f>_xlfn.XLOOKUP(D126,'consolidated tracker'!D:D,'consolidated tracker'!H:H)</f>
        <v>0</v>
      </c>
      <c r="J126" s="33">
        <f>_xlfn.XLOOKUP(D126,'consolidated tracker'!D:D,'consolidated tracker'!I:I)</f>
        <v>0</v>
      </c>
      <c r="K126" s="33">
        <f>_xlfn.XLOOKUP(D126,'consolidated tracker'!D:D,'consolidated tracker'!J:J)</f>
        <v>0</v>
      </c>
      <c r="L126" s="34">
        <f>_xlfn.XLOOKUP(D126,'consolidated tracker'!D:D,'consolidated tracker'!K:K)</f>
        <v>0</v>
      </c>
      <c r="M126" s="36">
        <f>_xlfn.XLOOKUP('consolidated - Offplan'!D126,'consolidated tracker'!D:D,'consolidated tracker'!L:L)</f>
        <v>0</v>
      </c>
      <c r="N126" s="30">
        <f>_xlfn.XLOOKUP($D126,'consolidated tracker'!$D:$D,'consolidated tracker'!M:M)</f>
        <v>0</v>
      </c>
      <c r="O126" s="40">
        <f>_xlfn.XLOOKUP($D126,'consolidated tracker'!$D:$D,'consolidated tracker'!N:N)</f>
        <v>0</v>
      </c>
      <c r="P126" s="33">
        <f>_xlfn.XLOOKUP($D126,'consolidated tracker'!$D:$D,'consolidated tracker'!O:O)</f>
        <v>0</v>
      </c>
      <c r="Q126" s="33">
        <f>_xlfn.XLOOKUP($D126,'consolidated tracker'!$D:$D,'consolidated tracker'!P:P)</f>
        <v>0</v>
      </c>
      <c r="R126" s="33">
        <f>_xlfn.XLOOKUP($D126,'consolidated tracker'!$D:$D,'consolidated tracker'!Q:Q)</f>
        <v>0</v>
      </c>
      <c r="S126" s="33">
        <f>_xlfn.XLOOKUP($D126,'consolidated tracker'!$D:$D,'consolidated tracker'!R:R)</f>
        <v>0</v>
      </c>
      <c r="T126" s="33">
        <f>_xlfn.XLOOKUP($D126,'consolidated tracker'!$D:$D,'consolidated tracker'!S:S)</f>
        <v>0</v>
      </c>
      <c r="U126" s="33">
        <f>_xlfn.XLOOKUP($D126,'consolidated tracker'!$D:$D,'consolidated tracker'!T:T)</f>
        <v>0</v>
      </c>
      <c r="V126" s="33">
        <f>_xlfn.XLOOKUP($D126,'consolidated tracker'!$D:$D,'consolidated tracker'!U:U)</f>
        <v>0</v>
      </c>
      <c r="W126" s="33">
        <f>_xlfn.XLOOKUP($D126,'consolidated tracker'!$D:$D,'consolidated tracker'!V:V)</f>
        <v>0</v>
      </c>
      <c r="X126" s="33">
        <f>_xlfn.XLOOKUP($D126,'consolidated tracker'!$D:$D,'consolidated tracker'!W:W)</f>
        <v>0</v>
      </c>
      <c r="Y126" s="17"/>
      <c r="Z126" s="17"/>
      <c r="AA126" s="11"/>
      <c r="AB126" s="16"/>
    </row>
    <row r="127" spans="1:35" s="7" customFormat="1" ht="150" hidden="1" customHeight="1" outlineLevel="1" x14ac:dyDescent="1.25">
      <c r="A127" s="4"/>
      <c r="C127" s="77"/>
      <c r="D127" s="94" t="s">
        <v>66</v>
      </c>
      <c r="E127" s="49" t="str">
        <f>_xlfn.XLOOKUP(D127,'consolidated tracker'!D:D,'consolidated tracker'!E:E)</f>
        <v>RERA</v>
      </c>
      <c r="F127" s="134" t="s">
        <v>232</v>
      </c>
      <c r="G127" s="33">
        <f>_xlfn.XLOOKUP(D127,'consolidated tracker'!D:D,'consolidated tracker'!F:F)</f>
        <v>252</v>
      </c>
      <c r="H127" s="33">
        <f>_xlfn.XLOOKUP(D127,'consolidated tracker'!D:D,'consolidated tracker'!G:G)</f>
        <v>424661274.5200001</v>
      </c>
      <c r="I127" s="33">
        <f>_xlfn.XLOOKUP(D127,'consolidated tracker'!D:D,'consolidated tracker'!H:H)</f>
        <v>111167525.55999997</v>
      </c>
      <c r="J127" s="33">
        <f>_xlfn.XLOOKUP(D127,'consolidated tracker'!D:D,'consolidated tracker'!I:I)</f>
        <v>107642788.19</v>
      </c>
      <c r="K127" s="33">
        <f>_xlfn.XLOOKUP(D127,'consolidated tracker'!D:D,'consolidated tracker'!J:J)</f>
        <v>10597137.049999997</v>
      </c>
      <c r="L127" s="34">
        <f>_xlfn.XLOOKUP(D127,'consolidated tracker'!D:D,'consolidated tracker'!K:K)</f>
        <v>0.96829346203179112</v>
      </c>
      <c r="M127" s="36">
        <f>_xlfn.XLOOKUP('consolidated - Offplan'!D127,'consolidated tracker'!D:D,'consolidated tracker'!L:L)</f>
        <v>3524737.370000001</v>
      </c>
      <c r="N127" s="30">
        <f>_xlfn.XLOOKUP($D127,'consolidated tracker'!$D:$D,'consolidated tracker'!M:M)</f>
        <v>302896611.91000015</v>
      </c>
      <c r="O127" s="40">
        <f>_xlfn.XLOOKUP($D127,'consolidated tracker'!$D:$D,'consolidated tracker'!N:N)</f>
        <v>51430396.270000309</v>
      </c>
      <c r="P127" s="33">
        <f>_xlfn.XLOOKUP($D127,'consolidated tracker'!$D:$D,'consolidated tracker'!O:O)</f>
        <v>53948658.339999974</v>
      </c>
      <c r="Q127" s="33">
        <f>_xlfn.XLOOKUP($D127,'consolidated tracker'!$D:$D,'consolidated tracker'!P:P)</f>
        <v>22345955.729999997</v>
      </c>
      <c r="R127" s="33">
        <f>_xlfn.XLOOKUP($D127,'consolidated tracker'!$D:$D,'consolidated tracker'!Q:Q)</f>
        <v>175171601.56999987</v>
      </c>
      <c r="S127" s="33">
        <f>_xlfn.XLOOKUP($D127,'consolidated tracker'!$D:$D,'consolidated tracker'!R:R)</f>
        <v>0</v>
      </c>
      <c r="T127" s="33">
        <f>_xlfn.XLOOKUP($D127,'consolidated tracker'!$D:$D,'consolidated tracker'!S:S)</f>
        <v>0</v>
      </c>
      <c r="U127" s="33">
        <f>_xlfn.XLOOKUP($D127,'consolidated tracker'!$D:$D,'consolidated tracker'!T:T)</f>
        <v>0</v>
      </c>
      <c r="V127" s="33">
        <f>_xlfn.XLOOKUP($D127,'consolidated tracker'!$D:$D,'consolidated tracker'!U:U)</f>
        <v>0</v>
      </c>
      <c r="W127" s="33">
        <f>_xlfn.XLOOKUP($D127,'consolidated tracker'!$D:$D,'consolidated tracker'!V:V)</f>
        <v>0</v>
      </c>
      <c r="X127" s="33">
        <f>_xlfn.XLOOKUP($D127,'consolidated tracker'!$D:$D,'consolidated tracker'!W:W)</f>
        <v>0</v>
      </c>
      <c r="Y127" s="17"/>
      <c r="Z127" s="17"/>
      <c r="AA127" s="11"/>
      <c r="AB127" s="16"/>
    </row>
    <row r="128" spans="1:35" s="7" customFormat="1" ht="150" hidden="1" customHeight="1" outlineLevel="2" x14ac:dyDescent="1.25">
      <c r="A128" s="4"/>
      <c r="C128" s="77"/>
      <c r="D128" s="104" t="s">
        <v>65</v>
      </c>
      <c r="E128" s="49" t="str">
        <f>_xlfn.XLOOKUP(D128,'consolidated tracker'!D:D,'consolidated tracker'!E:E)</f>
        <v>RERA</v>
      </c>
      <c r="F128" s="134">
        <v>47299</v>
      </c>
      <c r="G128" s="33">
        <f>_xlfn.XLOOKUP(D128,'consolidated tracker'!D:D,'consolidated tracker'!F:F)</f>
        <v>26</v>
      </c>
      <c r="H128" s="33">
        <f>_xlfn.XLOOKUP(D128,'consolidated tracker'!D:D,'consolidated tracker'!G:G)</f>
        <v>43066656.010000005</v>
      </c>
      <c r="I128" s="33">
        <f>_xlfn.XLOOKUP(D128,'consolidated tracker'!D:D,'consolidated tracker'!H:H)</f>
        <v>9628019.339999998</v>
      </c>
      <c r="J128" s="33">
        <f>_xlfn.XLOOKUP(D128,'consolidated tracker'!D:D,'consolidated tracker'!I:I)</f>
        <v>9508056.1400000006</v>
      </c>
      <c r="K128" s="33">
        <f>_xlfn.XLOOKUP(D128,'consolidated tracker'!D:D,'consolidated tracker'!J:J)</f>
        <v>3265976.4800000004</v>
      </c>
      <c r="L128" s="34">
        <f>_xlfn.XLOOKUP(D128,'consolidated tracker'!D:D,'consolidated tracker'!K:K)</f>
        <v>0.98754019951937511</v>
      </c>
      <c r="M128" s="36">
        <f>_xlfn.XLOOKUP('consolidated - Offplan'!D128,'consolidated tracker'!D:D,'consolidated tracker'!L:L)</f>
        <v>119963.2</v>
      </c>
      <c r="N128" s="30">
        <f>_xlfn.XLOOKUP($D128,'consolidated tracker'!$D:$D,'consolidated tracker'!M:M)</f>
        <v>30172660.190000005</v>
      </c>
      <c r="O128" s="40">
        <f>_xlfn.XLOOKUP($D128,'consolidated tracker'!$D:$D,'consolidated tracker'!N:N)</f>
        <v>4336314.7100000046</v>
      </c>
      <c r="P128" s="33">
        <f>_xlfn.XLOOKUP($D128,'consolidated tracker'!$D:$D,'consolidated tracker'!O:O)</f>
        <v>5685643.5000000009</v>
      </c>
      <c r="Q128" s="33">
        <f>_xlfn.XLOOKUP($D128,'consolidated tracker'!$D:$D,'consolidated tracker'!P:P)</f>
        <v>3323879.7699999991</v>
      </c>
      <c r="R128" s="33">
        <f>_xlfn.XLOOKUP($D128,'consolidated tracker'!$D:$D,'consolidated tracker'!Q:Q)</f>
        <v>16826822.210000001</v>
      </c>
      <c r="S128" s="33">
        <f>_xlfn.XLOOKUP($D128,'consolidated tracker'!$D:$D,'consolidated tracker'!R:R)</f>
        <v>0</v>
      </c>
      <c r="T128" s="33">
        <f>_xlfn.XLOOKUP($D128,'consolidated tracker'!$D:$D,'consolidated tracker'!S:S)</f>
        <v>0</v>
      </c>
      <c r="U128" s="33">
        <f>_xlfn.XLOOKUP($D128,'consolidated tracker'!$D:$D,'consolidated tracker'!T:T)</f>
        <v>0</v>
      </c>
      <c r="V128" s="33">
        <f>_xlfn.XLOOKUP($D128,'consolidated tracker'!$D:$D,'consolidated tracker'!U:U)</f>
        <v>0</v>
      </c>
      <c r="W128" s="33">
        <f>_xlfn.XLOOKUP($D128,'consolidated tracker'!$D:$D,'consolidated tracker'!V:V)</f>
        <v>0</v>
      </c>
      <c r="X128" s="33">
        <f>_xlfn.XLOOKUP($D128,'consolidated tracker'!$D:$D,'consolidated tracker'!W:W)</f>
        <v>0</v>
      </c>
      <c r="Y128" s="17"/>
      <c r="Z128" s="17"/>
      <c r="AA128" s="11"/>
      <c r="AB128" s="16"/>
    </row>
    <row r="129" spans="1:28" s="7" customFormat="1" ht="150" hidden="1" customHeight="1" outlineLevel="2" x14ac:dyDescent="1.25">
      <c r="A129" s="4"/>
      <c r="C129" s="77"/>
      <c r="D129" s="104" t="s">
        <v>64</v>
      </c>
      <c r="E129" s="49" t="str">
        <f>_xlfn.XLOOKUP(D129,'consolidated tracker'!D:D,'consolidated tracker'!E:E)</f>
        <v>RERA</v>
      </c>
      <c r="F129" s="134">
        <v>47299</v>
      </c>
      <c r="G129" s="33">
        <f>_xlfn.XLOOKUP(D129,'consolidated tracker'!D:D,'consolidated tracker'!F:F)</f>
        <v>183</v>
      </c>
      <c r="H129" s="33">
        <f>_xlfn.XLOOKUP(D129,'consolidated tracker'!D:D,'consolidated tracker'!G:G)</f>
        <v>307742223.7100001</v>
      </c>
      <c r="I129" s="33">
        <f>_xlfn.XLOOKUP(D129,'consolidated tracker'!D:D,'consolidated tracker'!H:H)</f>
        <v>85076248.469999969</v>
      </c>
      <c r="J129" s="33">
        <f>_xlfn.XLOOKUP(D129,'consolidated tracker'!D:D,'consolidated tracker'!I:I)</f>
        <v>82282178.769999996</v>
      </c>
      <c r="K129" s="33">
        <f>_xlfn.XLOOKUP(D129,'consolidated tracker'!D:D,'consolidated tracker'!J:J)</f>
        <v>6098937.8099999968</v>
      </c>
      <c r="L129" s="34">
        <f>_xlfn.XLOOKUP(D129,'consolidated tracker'!D:D,'consolidated tracker'!K:K)</f>
        <v>0.96715805233248819</v>
      </c>
      <c r="M129" s="36">
        <f>_xlfn.XLOOKUP('consolidated - Offplan'!D129,'consolidated tracker'!D:D,'consolidated tracker'!L:L)</f>
        <v>2794069.7000000007</v>
      </c>
      <c r="N129" s="30">
        <f>_xlfn.XLOOKUP($D129,'consolidated tracker'!$D:$D,'consolidated tracker'!M:M)</f>
        <v>216567037.43000013</v>
      </c>
      <c r="O129" s="40">
        <f>_xlfn.XLOOKUP($D129,'consolidated tracker'!$D:$D,'consolidated tracker'!N:N)</f>
        <v>39414065.370000303</v>
      </c>
      <c r="P129" s="33">
        <f>_xlfn.XLOOKUP($D129,'consolidated tracker'!$D:$D,'consolidated tracker'!O:O)</f>
        <v>38058624.689999968</v>
      </c>
      <c r="Q129" s="33">
        <f>_xlfn.XLOOKUP($D129,'consolidated tracker'!$D:$D,'consolidated tracker'!P:P)</f>
        <v>14136492.709999997</v>
      </c>
      <c r="R129" s="33">
        <f>_xlfn.XLOOKUP($D129,'consolidated tracker'!$D:$D,'consolidated tracker'!Q:Q)</f>
        <v>124957854.65999986</v>
      </c>
      <c r="S129" s="33">
        <f>_xlfn.XLOOKUP($D129,'consolidated tracker'!$D:$D,'consolidated tracker'!R:R)</f>
        <v>0</v>
      </c>
      <c r="T129" s="33">
        <f>_xlfn.XLOOKUP($D129,'consolidated tracker'!$D:$D,'consolidated tracker'!S:S)</f>
        <v>0</v>
      </c>
      <c r="U129" s="33">
        <f>_xlfn.XLOOKUP($D129,'consolidated tracker'!$D:$D,'consolidated tracker'!T:T)</f>
        <v>0</v>
      </c>
      <c r="V129" s="33">
        <f>_xlfn.XLOOKUP($D129,'consolidated tracker'!$D:$D,'consolidated tracker'!U:U)</f>
        <v>0</v>
      </c>
      <c r="W129" s="33">
        <f>_xlfn.XLOOKUP($D129,'consolidated tracker'!$D:$D,'consolidated tracker'!V:V)</f>
        <v>0</v>
      </c>
      <c r="X129" s="33">
        <f>_xlfn.XLOOKUP($D129,'consolidated tracker'!$D:$D,'consolidated tracker'!W:W)</f>
        <v>0</v>
      </c>
      <c r="Y129" s="17"/>
      <c r="Z129" s="17"/>
      <c r="AA129" s="11"/>
      <c r="AB129" s="16"/>
    </row>
    <row r="130" spans="1:28" s="7" customFormat="1" ht="150" hidden="1" customHeight="1" outlineLevel="2" x14ac:dyDescent="1.25">
      <c r="A130" s="4"/>
      <c r="C130" s="77"/>
      <c r="D130" s="104" t="s">
        <v>63</v>
      </c>
      <c r="E130" s="49" t="str">
        <f>_xlfn.XLOOKUP(D130,'consolidated tracker'!D:D,'consolidated tracker'!E:E)</f>
        <v>RERA</v>
      </c>
      <c r="F130" s="134">
        <v>47299</v>
      </c>
      <c r="G130" s="33">
        <f>_xlfn.XLOOKUP(D130,'consolidated tracker'!D:D,'consolidated tracker'!F:F)</f>
        <v>43</v>
      </c>
      <c r="H130" s="33">
        <f>_xlfn.XLOOKUP(D130,'consolidated tracker'!D:D,'consolidated tracker'!G:G)</f>
        <v>73852394.799999997</v>
      </c>
      <c r="I130" s="33">
        <f>_xlfn.XLOOKUP(D130,'consolidated tracker'!D:D,'consolidated tracker'!H:H)</f>
        <v>16463257.750000004</v>
      </c>
      <c r="J130" s="33">
        <f>_xlfn.XLOOKUP(D130,'consolidated tracker'!D:D,'consolidated tracker'!I:I)</f>
        <v>15852553.280000003</v>
      </c>
      <c r="K130" s="33">
        <f>_xlfn.XLOOKUP(D130,'consolidated tracker'!D:D,'consolidated tracker'!J:J)</f>
        <v>1232222.76</v>
      </c>
      <c r="L130" s="34">
        <f>_xlfn.XLOOKUP(D130,'consolidated tracker'!D:D,'consolidated tracker'!K:K)</f>
        <v>0.9629050046306904</v>
      </c>
      <c r="M130" s="36">
        <f>_xlfn.XLOOKUP('consolidated - Offplan'!D130,'consolidated tracker'!D:D,'consolidated tracker'!L:L)</f>
        <v>610704.47000000009</v>
      </c>
      <c r="N130" s="30">
        <f>_xlfn.XLOOKUP($D130,'consolidated tracker'!$D:$D,'consolidated tracker'!M:M)</f>
        <v>56156914.289999992</v>
      </c>
      <c r="O130" s="40">
        <f>_xlfn.XLOOKUP($D130,'consolidated tracker'!$D:$D,'consolidated tracker'!N:N)</f>
        <v>7680016.1899999827</v>
      </c>
      <c r="P130" s="33">
        <f>_xlfn.XLOOKUP($D130,'consolidated tracker'!$D:$D,'consolidated tracker'!O:O)</f>
        <v>10204390.150000002</v>
      </c>
      <c r="Q130" s="33">
        <f>_xlfn.XLOOKUP($D130,'consolidated tracker'!$D:$D,'consolidated tracker'!P:P)</f>
        <v>4885583.2499999991</v>
      </c>
      <c r="R130" s="33">
        <f>_xlfn.XLOOKUP($D130,'consolidated tracker'!$D:$D,'consolidated tracker'!Q:Q)</f>
        <v>33386924.700000003</v>
      </c>
      <c r="S130" s="33">
        <f>_xlfn.XLOOKUP($D130,'consolidated tracker'!$D:$D,'consolidated tracker'!R:R)</f>
        <v>0</v>
      </c>
      <c r="T130" s="33">
        <f>_xlfn.XLOOKUP($D130,'consolidated tracker'!$D:$D,'consolidated tracker'!S:S)</f>
        <v>0</v>
      </c>
      <c r="U130" s="33">
        <f>_xlfn.XLOOKUP($D130,'consolidated tracker'!$D:$D,'consolidated tracker'!T:T)</f>
        <v>0</v>
      </c>
      <c r="V130" s="33">
        <f>_xlfn.XLOOKUP($D130,'consolidated tracker'!$D:$D,'consolidated tracker'!U:U)</f>
        <v>0</v>
      </c>
      <c r="W130" s="33">
        <f>_xlfn.XLOOKUP($D130,'consolidated tracker'!$D:$D,'consolidated tracker'!V:V)</f>
        <v>0</v>
      </c>
      <c r="X130" s="33">
        <f>_xlfn.XLOOKUP($D130,'consolidated tracker'!$D:$D,'consolidated tracker'!W:W)</f>
        <v>0</v>
      </c>
      <c r="Y130" s="17"/>
      <c r="Z130" s="17"/>
      <c r="AA130" s="11"/>
      <c r="AB130" s="16"/>
    </row>
    <row r="131" spans="1:28" s="7" customFormat="1" ht="150" hidden="1" customHeight="1" outlineLevel="2" x14ac:dyDescent="1.25">
      <c r="A131" s="4"/>
      <c r="C131" s="77"/>
      <c r="D131" s="104" t="s">
        <v>62</v>
      </c>
      <c r="E131" s="49" t="str">
        <f>_xlfn.XLOOKUP(D131,'consolidated tracker'!D:D,'consolidated tracker'!E:E)</f>
        <v>RERA</v>
      </c>
      <c r="F131" s="134">
        <v>47299</v>
      </c>
      <c r="G131" s="33">
        <f>_xlfn.XLOOKUP(D131,'consolidated tracker'!D:D,'consolidated tracker'!F:F)</f>
        <v>0</v>
      </c>
      <c r="H131" s="33">
        <f>_xlfn.XLOOKUP(D131,'consolidated tracker'!D:D,'consolidated tracker'!G:G)</f>
        <v>0</v>
      </c>
      <c r="I131" s="33">
        <f>_xlfn.XLOOKUP(D131,'consolidated tracker'!D:D,'consolidated tracker'!H:H)</f>
        <v>0</v>
      </c>
      <c r="J131" s="33">
        <f>_xlfn.XLOOKUP(D131,'consolidated tracker'!D:D,'consolidated tracker'!I:I)</f>
        <v>0</v>
      </c>
      <c r="K131" s="33">
        <f>_xlfn.XLOOKUP(D131,'consolidated tracker'!D:D,'consolidated tracker'!J:J)</f>
        <v>0</v>
      </c>
      <c r="L131" s="34">
        <f>_xlfn.XLOOKUP(D131,'consolidated tracker'!D:D,'consolidated tracker'!K:K)</f>
        <v>0</v>
      </c>
      <c r="M131" s="36">
        <f>_xlfn.XLOOKUP('consolidated - Offplan'!D131,'consolidated tracker'!D:D,'consolidated tracker'!L:L)</f>
        <v>0</v>
      </c>
      <c r="N131" s="30">
        <f>_xlfn.XLOOKUP($D131,'consolidated tracker'!$D:$D,'consolidated tracker'!M:M)</f>
        <v>0</v>
      </c>
      <c r="O131" s="40">
        <f>_xlfn.XLOOKUP($D131,'consolidated tracker'!$D:$D,'consolidated tracker'!N:N)</f>
        <v>0</v>
      </c>
      <c r="P131" s="33">
        <f>_xlfn.XLOOKUP($D131,'consolidated tracker'!$D:$D,'consolidated tracker'!O:O)</f>
        <v>0</v>
      </c>
      <c r="Q131" s="33">
        <f>_xlfn.XLOOKUP($D131,'consolidated tracker'!$D:$D,'consolidated tracker'!P:P)</f>
        <v>0</v>
      </c>
      <c r="R131" s="33">
        <f>_xlfn.XLOOKUP($D131,'consolidated tracker'!$D:$D,'consolidated tracker'!Q:Q)</f>
        <v>0</v>
      </c>
      <c r="S131" s="33">
        <f>_xlfn.XLOOKUP($D131,'consolidated tracker'!$D:$D,'consolidated tracker'!R:R)</f>
        <v>0</v>
      </c>
      <c r="T131" s="33">
        <f>_xlfn.XLOOKUP($D131,'consolidated tracker'!$D:$D,'consolidated tracker'!S:S)</f>
        <v>0</v>
      </c>
      <c r="U131" s="33">
        <f>_xlfn.XLOOKUP($D131,'consolidated tracker'!$D:$D,'consolidated tracker'!T:T)</f>
        <v>0</v>
      </c>
      <c r="V131" s="33">
        <f>_xlfn.XLOOKUP($D131,'consolidated tracker'!$D:$D,'consolidated tracker'!U:U)</f>
        <v>0</v>
      </c>
      <c r="W131" s="33">
        <f>_xlfn.XLOOKUP($D131,'consolidated tracker'!$D:$D,'consolidated tracker'!V:V)</f>
        <v>0</v>
      </c>
      <c r="X131" s="33">
        <f>_xlfn.XLOOKUP($D131,'consolidated tracker'!$D:$D,'consolidated tracker'!W:W)</f>
        <v>0</v>
      </c>
      <c r="Y131" s="17"/>
      <c r="Z131" s="17"/>
      <c r="AA131" s="11"/>
      <c r="AB131" s="16"/>
    </row>
    <row r="132" spans="1:28" s="7" customFormat="1" ht="150" hidden="1" customHeight="1" outlineLevel="1" x14ac:dyDescent="1.25">
      <c r="A132" s="4"/>
      <c r="C132" s="77"/>
      <c r="D132" s="94" t="s">
        <v>61</v>
      </c>
      <c r="E132" s="49" t="str">
        <f>_xlfn.XLOOKUP(D132,'consolidated tracker'!D:D,'consolidated tracker'!E:E)</f>
        <v>RERA</v>
      </c>
      <c r="F132" s="134" t="s">
        <v>232</v>
      </c>
      <c r="G132" s="33">
        <f>_xlfn.XLOOKUP(D132,'consolidated tracker'!D:D,'consolidated tracker'!F:F)</f>
        <v>343</v>
      </c>
      <c r="H132" s="33">
        <f>_xlfn.XLOOKUP(D132,'consolidated tracker'!D:D,'consolidated tracker'!G:G)</f>
        <v>537270092.80000007</v>
      </c>
      <c r="I132" s="33">
        <f>_xlfn.XLOOKUP(D132,'consolidated tracker'!D:D,'consolidated tracker'!H:H)</f>
        <v>123109691.73999998</v>
      </c>
      <c r="J132" s="33">
        <f>_xlfn.XLOOKUP(D132,'consolidated tracker'!D:D,'consolidated tracker'!I:I)</f>
        <v>115651715.23</v>
      </c>
      <c r="K132" s="33">
        <f>_xlfn.XLOOKUP(D132,'consolidated tracker'!D:D,'consolidated tracker'!J:J)</f>
        <v>6406638.2600000016</v>
      </c>
      <c r="L132" s="34">
        <f>_xlfn.XLOOKUP(D132,'consolidated tracker'!D:D,'consolidated tracker'!K:K)</f>
        <v>0.93942006998319227</v>
      </c>
      <c r="M132" s="36">
        <f>_xlfn.XLOOKUP('consolidated - Offplan'!D132,'consolidated tracker'!D:D,'consolidated tracker'!L:L)</f>
        <v>7457976.5100000016</v>
      </c>
      <c r="N132" s="30">
        <f>_xlfn.XLOOKUP($D132,'consolidated tracker'!$D:$D,'consolidated tracker'!M:M)</f>
        <v>407753762.80000007</v>
      </c>
      <c r="O132" s="40">
        <f>_xlfn.XLOOKUP($D132,'consolidated tracker'!$D:$D,'consolidated tracker'!N:N)</f>
        <v>63421201.380000055</v>
      </c>
      <c r="P132" s="33">
        <f>_xlfn.XLOOKUP($D132,'consolidated tracker'!$D:$D,'consolidated tracker'!O:O)</f>
        <v>72909155.539999977</v>
      </c>
      <c r="Q132" s="33">
        <f>_xlfn.XLOOKUP($D132,'consolidated tracker'!$D:$D,'consolidated tracker'!P:P)</f>
        <v>31883108.390000008</v>
      </c>
      <c r="R132" s="33">
        <f>_xlfn.XLOOKUP($D132,'consolidated tracker'!$D:$D,'consolidated tracker'!Q:Q)</f>
        <v>239540297.49000004</v>
      </c>
      <c r="S132" s="33">
        <f>_xlfn.XLOOKUP($D132,'consolidated tracker'!$D:$D,'consolidated tracker'!R:R)</f>
        <v>0</v>
      </c>
      <c r="T132" s="33">
        <f>_xlfn.XLOOKUP($D132,'consolidated tracker'!$D:$D,'consolidated tracker'!S:S)</f>
        <v>0</v>
      </c>
      <c r="U132" s="33">
        <f>_xlfn.XLOOKUP($D132,'consolidated tracker'!$D:$D,'consolidated tracker'!T:T)</f>
        <v>0</v>
      </c>
      <c r="V132" s="33">
        <f>_xlfn.XLOOKUP($D132,'consolidated tracker'!$D:$D,'consolidated tracker'!U:U)</f>
        <v>0</v>
      </c>
      <c r="W132" s="33">
        <f>_xlfn.XLOOKUP($D132,'consolidated tracker'!$D:$D,'consolidated tracker'!V:V)</f>
        <v>0</v>
      </c>
      <c r="X132" s="33">
        <f>_xlfn.XLOOKUP($D132,'consolidated tracker'!$D:$D,'consolidated tracker'!W:W)</f>
        <v>0</v>
      </c>
      <c r="Y132" s="17"/>
      <c r="Z132" s="17"/>
      <c r="AA132" s="11"/>
      <c r="AB132" s="16"/>
    </row>
    <row r="133" spans="1:28" s="7" customFormat="1" ht="150" hidden="1" customHeight="1" outlineLevel="2" x14ac:dyDescent="1.25">
      <c r="A133" s="4"/>
      <c r="C133" s="77"/>
      <c r="D133" s="104" t="s">
        <v>60</v>
      </c>
      <c r="E133" s="49" t="str">
        <f>_xlfn.XLOOKUP(D133,'consolidated tracker'!D:D,'consolidated tracker'!E:E)</f>
        <v>RERA</v>
      </c>
      <c r="F133" s="134">
        <v>47391</v>
      </c>
      <c r="G133" s="33">
        <f>_xlfn.XLOOKUP(D133,'consolidated tracker'!D:D,'consolidated tracker'!F:F)</f>
        <v>62</v>
      </c>
      <c r="H133" s="33">
        <f>_xlfn.XLOOKUP(D133,'consolidated tracker'!D:D,'consolidated tracker'!G:G)</f>
        <v>102178718.46000002</v>
      </c>
      <c r="I133" s="33">
        <f>_xlfn.XLOOKUP(D133,'consolidated tracker'!D:D,'consolidated tracker'!H:H)</f>
        <v>24300364.609999992</v>
      </c>
      <c r="J133" s="33">
        <f>_xlfn.XLOOKUP(D133,'consolidated tracker'!D:D,'consolidated tracker'!I:I)</f>
        <v>23147070.129999995</v>
      </c>
      <c r="K133" s="33">
        <f>_xlfn.XLOOKUP(D133,'consolidated tracker'!D:D,'consolidated tracker'!J:J)</f>
        <v>353036.02</v>
      </c>
      <c r="L133" s="34">
        <f>_xlfn.XLOOKUP(D133,'consolidated tracker'!D:D,'consolidated tracker'!K:K)</f>
        <v>0.95254003392503017</v>
      </c>
      <c r="M133" s="36">
        <f>_xlfn.XLOOKUP('consolidated - Offplan'!D133,'consolidated tracker'!D:D,'consolidated tracker'!L:L)</f>
        <v>1153294.48</v>
      </c>
      <c r="N133" s="30">
        <f>_xlfn.XLOOKUP($D133,'consolidated tracker'!$D:$D,'consolidated tracker'!M:M)</f>
        <v>77525317.830000028</v>
      </c>
      <c r="O133" s="40">
        <f>_xlfn.XLOOKUP($D133,'consolidated tracker'!$D:$D,'consolidated tracker'!N:N)</f>
        <v>12614908.720000021</v>
      </c>
      <c r="P133" s="33">
        <f>_xlfn.XLOOKUP($D133,'consolidated tracker'!$D:$D,'consolidated tracker'!O:O)</f>
        <v>13748141.869999992</v>
      </c>
      <c r="Q133" s="33">
        <f>_xlfn.XLOOKUP($D133,'consolidated tracker'!$D:$D,'consolidated tracker'!P:P)</f>
        <v>6328672.5300000012</v>
      </c>
      <c r="R133" s="33">
        <f>_xlfn.XLOOKUP($D133,'consolidated tracker'!$D:$D,'consolidated tracker'!Q:Q)</f>
        <v>44833594.710000016</v>
      </c>
      <c r="S133" s="33">
        <f>_xlfn.XLOOKUP($D133,'consolidated tracker'!$D:$D,'consolidated tracker'!R:R)</f>
        <v>0</v>
      </c>
      <c r="T133" s="33">
        <f>_xlfn.XLOOKUP($D133,'consolidated tracker'!$D:$D,'consolidated tracker'!S:S)</f>
        <v>0</v>
      </c>
      <c r="U133" s="33">
        <f>_xlfn.XLOOKUP($D133,'consolidated tracker'!$D:$D,'consolidated tracker'!T:T)</f>
        <v>0</v>
      </c>
      <c r="V133" s="33">
        <f>_xlfn.XLOOKUP($D133,'consolidated tracker'!$D:$D,'consolidated tracker'!U:U)</f>
        <v>0</v>
      </c>
      <c r="W133" s="33">
        <f>_xlfn.XLOOKUP($D133,'consolidated tracker'!$D:$D,'consolidated tracker'!V:V)</f>
        <v>0</v>
      </c>
      <c r="X133" s="33">
        <f>_xlfn.XLOOKUP($D133,'consolidated tracker'!$D:$D,'consolidated tracker'!W:W)</f>
        <v>0</v>
      </c>
      <c r="Y133" s="17"/>
      <c r="Z133" s="17"/>
      <c r="AA133" s="11"/>
      <c r="AB133" s="16"/>
    </row>
    <row r="134" spans="1:28" s="7" customFormat="1" ht="150" hidden="1" customHeight="1" outlineLevel="2" x14ac:dyDescent="1.25">
      <c r="A134" s="4"/>
      <c r="C134" s="77"/>
      <c r="D134" s="104" t="s">
        <v>59</v>
      </c>
      <c r="E134" s="49" t="str">
        <f>_xlfn.XLOOKUP(D134,'consolidated tracker'!D:D,'consolidated tracker'!E:E)</f>
        <v>RERA</v>
      </c>
      <c r="F134" s="134">
        <v>47391</v>
      </c>
      <c r="G134" s="33">
        <f>_xlfn.XLOOKUP(D134,'consolidated tracker'!D:D,'consolidated tracker'!F:F)</f>
        <v>212</v>
      </c>
      <c r="H134" s="33">
        <f>_xlfn.XLOOKUP(D134,'consolidated tracker'!D:D,'consolidated tracker'!G:G)</f>
        <v>323752706.84000003</v>
      </c>
      <c r="I134" s="33">
        <f>_xlfn.XLOOKUP(D134,'consolidated tracker'!D:D,'consolidated tracker'!H:H)</f>
        <v>74770331.420000017</v>
      </c>
      <c r="J134" s="33">
        <f>_xlfn.XLOOKUP(D134,'consolidated tracker'!D:D,'consolidated tracker'!I:I)</f>
        <v>69922866.560000002</v>
      </c>
      <c r="K134" s="33">
        <f>_xlfn.XLOOKUP(D134,'consolidated tracker'!D:D,'consolidated tracker'!J:J)</f>
        <v>5048056.8400000008</v>
      </c>
      <c r="L134" s="34">
        <f>_xlfn.XLOOKUP(D134,'consolidated tracker'!D:D,'consolidated tracker'!K:K)</f>
        <v>0.93516860540886426</v>
      </c>
      <c r="M134" s="36">
        <f>_xlfn.XLOOKUP('consolidated - Offplan'!D134,'consolidated tracker'!D:D,'consolidated tracker'!L:L)</f>
        <v>4847464.8600000013</v>
      </c>
      <c r="N134" s="30">
        <f>_xlfn.XLOOKUP($D134,'consolidated tracker'!$D:$D,'consolidated tracker'!M:M)</f>
        <v>243934318.58000001</v>
      </c>
      <c r="O134" s="40">
        <f>_xlfn.XLOOKUP($D134,'consolidated tracker'!$D:$D,'consolidated tracker'!N:N)</f>
        <v>38094784.079999983</v>
      </c>
      <c r="P134" s="33">
        <f>_xlfn.XLOOKUP($D134,'consolidated tracker'!$D:$D,'consolidated tracker'!O:O)</f>
        <v>44387913.749999985</v>
      </c>
      <c r="Q134" s="33">
        <f>_xlfn.XLOOKUP($D134,'consolidated tracker'!$D:$D,'consolidated tracker'!P:P)</f>
        <v>19383633.640000008</v>
      </c>
      <c r="R134" s="33">
        <f>_xlfn.XLOOKUP($D134,'consolidated tracker'!$D:$D,'consolidated tracker'!Q:Q)</f>
        <v>142067987.11000004</v>
      </c>
      <c r="S134" s="33">
        <f>_xlfn.XLOOKUP($D134,'consolidated tracker'!$D:$D,'consolidated tracker'!R:R)</f>
        <v>0</v>
      </c>
      <c r="T134" s="33">
        <f>_xlfn.XLOOKUP($D134,'consolidated tracker'!$D:$D,'consolidated tracker'!S:S)</f>
        <v>0</v>
      </c>
      <c r="U134" s="33">
        <f>_xlfn.XLOOKUP($D134,'consolidated tracker'!$D:$D,'consolidated tracker'!T:T)</f>
        <v>0</v>
      </c>
      <c r="V134" s="33">
        <f>_xlfn.XLOOKUP($D134,'consolidated tracker'!$D:$D,'consolidated tracker'!U:U)</f>
        <v>0</v>
      </c>
      <c r="W134" s="33">
        <f>_xlfn.XLOOKUP($D134,'consolidated tracker'!$D:$D,'consolidated tracker'!V:V)</f>
        <v>0</v>
      </c>
      <c r="X134" s="33">
        <f>_xlfn.XLOOKUP($D134,'consolidated tracker'!$D:$D,'consolidated tracker'!W:W)</f>
        <v>0</v>
      </c>
      <c r="Y134" s="17"/>
      <c r="Z134" s="17"/>
      <c r="AA134" s="11"/>
      <c r="AB134" s="16"/>
    </row>
    <row r="135" spans="1:28" s="7" customFormat="1" ht="150" hidden="1" customHeight="1" outlineLevel="2" x14ac:dyDescent="1.25">
      <c r="A135" s="4"/>
      <c r="C135" s="77"/>
      <c r="D135" s="104" t="s">
        <v>58</v>
      </c>
      <c r="E135" s="49" t="str">
        <f>_xlfn.XLOOKUP(D135,'consolidated tracker'!D:D,'consolidated tracker'!E:E)</f>
        <v>RERA</v>
      </c>
      <c r="F135" s="134">
        <v>47391</v>
      </c>
      <c r="G135" s="33">
        <f>_xlfn.XLOOKUP(D135,'consolidated tracker'!D:D,'consolidated tracker'!F:F)</f>
        <v>69</v>
      </c>
      <c r="H135" s="33">
        <f>_xlfn.XLOOKUP(D135,'consolidated tracker'!D:D,'consolidated tracker'!G:G)</f>
        <v>111338667.5</v>
      </c>
      <c r="I135" s="33">
        <f>_xlfn.XLOOKUP(D135,'consolidated tracker'!D:D,'consolidated tracker'!H:H)</f>
        <v>24038995.709999975</v>
      </c>
      <c r="J135" s="33">
        <f>_xlfn.XLOOKUP(D135,'consolidated tracker'!D:D,'consolidated tracker'!I:I)</f>
        <v>22581778.540000007</v>
      </c>
      <c r="K135" s="33">
        <f>_xlfn.XLOOKUP(D135,'consolidated tracker'!D:D,'consolidated tracker'!J:J)</f>
        <v>1005545.4000000001</v>
      </c>
      <c r="L135" s="34">
        <f>_xlfn.XLOOKUP(D135,'consolidated tracker'!D:D,'consolidated tracker'!K:K)</f>
        <v>0.93938111277278602</v>
      </c>
      <c r="M135" s="36">
        <f>_xlfn.XLOOKUP('consolidated - Offplan'!D135,'consolidated tracker'!D:D,'consolidated tracker'!L:L)</f>
        <v>1457217.17</v>
      </c>
      <c r="N135" s="30">
        <f>_xlfn.XLOOKUP($D135,'consolidated tracker'!$D:$D,'consolidated tracker'!M:M)</f>
        <v>86294126.39000003</v>
      </c>
      <c r="O135" s="40">
        <f>_xlfn.XLOOKUP($D135,'consolidated tracker'!$D:$D,'consolidated tracker'!N:N)</f>
        <v>12711508.580000028</v>
      </c>
      <c r="P135" s="33">
        <f>_xlfn.XLOOKUP($D135,'consolidated tracker'!$D:$D,'consolidated tracker'!O:O)</f>
        <v>14773099.92</v>
      </c>
      <c r="Q135" s="33">
        <f>_xlfn.XLOOKUP($D135,'consolidated tracker'!$D:$D,'consolidated tracker'!P:P)</f>
        <v>6170802.2199999997</v>
      </c>
      <c r="R135" s="33">
        <f>_xlfn.XLOOKUP($D135,'consolidated tracker'!$D:$D,'consolidated tracker'!Q:Q)</f>
        <v>52638715.669999994</v>
      </c>
      <c r="S135" s="33">
        <f>_xlfn.XLOOKUP($D135,'consolidated tracker'!$D:$D,'consolidated tracker'!R:R)</f>
        <v>0</v>
      </c>
      <c r="T135" s="33">
        <f>_xlfn.XLOOKUP($D135,'consolidated tracker'!$D:$D,'consolidated tracker'!S:S)</f>
        <v>0</v>
      </c>
      <c r="U135" s="33">
        <f>_xlfn.XLOOKUP($D135,'consolidated tracker'!$D:$D,'consolidated tracker'!T:T)</f>
        <v>0</v>
      </c>
      <c r="V135" s="33">
        <f>_xlfn.XLOOKUP($D135,'consolidated tracker'!$D:$D,'consolidated tracker'!U:U)</f>
        <v>0</v>
      </c>
      <c r="W135" s="33">
        <f>_xlfn.XLOOKUP($D135,'consolidated tracker'!$D:$D,'consolidated tracker'!V:V)</f>
        <v>0</v>
      </c>
      <c r="X135" s="33">
        <f>_xlfn.XLOOKUP($D135,'consolidated tracker'!$D:$D,'consolidated tracker'!W:W)</f>
        <v>0</v>
      </c>
      <c r="Y135" s="17"/>
      <c r="Z135" s="17"/>
      <c r="AA135" s="11"/>
      <c r="AB135" s="16"/>
    </row>
    <row r="136" spans="1:28" s="7" customFormat="1" ht="150" hidden="1" customHeight="1" outlineLevel="2" x14ac:dyDescent="1.25">
      <c r="A136" s="4"/>
      <c r="C136" s="77"/>
      <c r="D136" s="104" t="s">
        <v>57</v>
      </c>
      <c r="E136" s="49" t="str">
        <f>_xlfn.XLOOKUP(D136,'consolidated tracker'!D:D,'consolidated tracker'!E:E)</f>
        <v>RERA</v>
      </c>
      <c r="F136" s="134" t="s">
        <v>232</v>
      </c>
      <c r="G136" s="33">
        <f>_xlfn.XLOOKUP(D136,'consolidated tracker'!D:D,'consolidated tracker'!F:F)</f>
        <v>0</v>
      </c>
      <c r="H136" s="33">
        <f>_xlfn.XLOOKUP(D136,'consolidated tracker'!D:D,'consolidated tracker'!G:G)</f>
        <v>0</v>
      </c>
      <c r="I136" s="33">
        <f>_xlfn.XLOOKUP(D136,'consolidated tracker'!D:D,'consolidated tracker'!H:H)</f>
        <v>0</v>
      </c>
      <c r="J136" s="33">
        <f>_xlfn.XLOOKUP(D136,'consolidated tracker'!D:D,'consolidated tracker'!I:I)</f>
        <v>0</v>
      </c>
      <c r="K136" s="33">
        <f>_xlfn.XLOOKUP(D136,'consolidated tracker'!D:D,'consolidated tracker'!J:J)</f>
        <v>0</v>
      </c>
      <c r="L136" s="34">
        <f>_xlfn.XLOOKUP(D136,'consolidated tracker'!D:D,'consolidated tracker'!K:K)</f>
        <v>0</v>
      </c>
      <c r="M136" s="36">
        <f>_xlfn.XLOOKUP('consolidated - Offplan'!D136,'consolidated tracker'!D:D,'consolidated tracker'!L:L)</f>
        <v>0</v>
      </c>
      <c r="N136" s="30">
        <f>_xlfn.XLOOKUP($D136,'consolidated tracker'!$D:$D,'consolidated tracker'!M:M)</f>
        <v>0</v>
      </c>
      <c r="O136" s="40">
        <f>_xlfn.XLOOKUP($D136,'consolidated tracker'!$D:$D,'consolidated tracker'!N:N)</f>
        <v>0</v>
      </c>
      <c r="P136" s="33">
        <f>_xlfn.XLOOKUP($D136,'consolidated tracker'!$D:$D,'consolidated tracker'!O:O)</f>
        <v>0</v>
      </c>
      <c r="Q136" s="33">
        <f>_xlfn.XLOOKUP($D136,'consolidated tracker'!$D:$D,'consolidated tracker'!P:P)</f>
        <v>0</v>
      </c>
      <c r="R136" s="33">
        <f>_xlfn.XLOOKUP($D136,'consolidated tracker'!$D:$D,'consolidated tracker'!Q:Q)</f>
        <v>0</v>
      </c>
      <c r="S136" s="33">
        <f>_xlfn.XLOOKUP($D136,'consolidated tracker'!$D:$D,'consolidated tracker'!R:R)</f>
        <v>0</v>
      </c>
      <c r="T136" s="33">
        <f>_xlfn.XLOOKUP($D136,'consolidated tracker'!$D:$D,'consolidated tracker'!S:S)</f>
        <v>0</v>
      </c>
      <c r="U136" s="33">
        <f>_xlfn.XLOOKUP($D136,'consolidated tracker'!$D:$D,'consolidated tracker'!T:T)</f>
        <v>0</v>
      </c>
      <c r="V136" s="33">
        <f>_xlfn.XLOOKUP($D136,'consolidated tracker'!$D:$D,'consolidated tracker'!U:U)</f>
        <v>0</v>
      </c>
      <c r="W136" s="33">
        <f>_xlfn.XLOOKUP($D136,'consolidated tracker'!$D:$D,'consolidated tracker'!V:V)</f>
        <v>0</v>
      </c>
      <c r="X136" s="33">
        <f>_xlfn.XLOOKUP($D136,'consolidated tracker'!$D:$D,'consolidated tracker'!W:W)</f>
        <v>0</v>
      </c>
      <c r="Y136" s="17"/>
      <c r="Z136" s="17"/>
      <c r="AA136" s="11"/>
      <c r="AB136" s="16"/>
    </row>
    <row r="137" spans="1:28" s="7" customFormat="1" ht="150" hidden="1" customHeight="1" outlineLevel="1" x14ac:dyDescent="1.25">
      <c r="A137" s="4"/>
      <c r="C137" s="77"/>
      <c r="D137" s="94" t="s">
        <v>56</v>
      </c>
      <c r="E137" s="49" t="str">
        <f>_xlfn.XLOOKUP(D137,'consolidated tracker'!D:D,'consolidated tracker'!E:E)</f>
        <v>RERA</v>
      </c>
      <c r="F137" s="134" t="s">
        <v>232</v>
      </c>
      <c r="G137" s="33">
        <f>_xlfn.XLOOKUP(D137,'consolidated tracker'!D:D,'consolidated tracker'!F:F)</f>
        <v>268</v>
      </c>
      <c r="H137" s="33">
        <f>_xlfn.XLOOKUP(D137,'consolidated tracker'!D:D,'consolidated tracker'!G:G)</f>
        <v>428893661.30000025</v>
      </c>
      <c r="I137" s="33">
        <f>_xlfn.XLOOKUP(D137,'consolidated tracker'!D:D,'consolidated tracker'!H:H)</f>
        <v>93057205.189999968</v>
      </c>
      <c r="J137" s="33">
        <f>_xlfn.XLOOKUP(D137,'consolidated tracker'!D:D,'consolidated tracker'!I:I)</f>
        <v>89113530.070000023</v>
      </c>
      <c r="K137" s="33">
        <f>_xlfn.XLOOKUP(D137,'consolidated tracker'!D:D,'consolidated tracker'!J:J)</f>
        <v>6097748.9199999999</v>
      </c>
      <c r="L137" s="34">
        <f>_xlfn.XLOOKUP(D137,'consolidated tracker'!D:D,'consolidated tracker'!K:K)</f>
        <v>0.95762095893651733</v>
      </c>
      <c r="M137" s="36">
        <f>_xlfn.XLOOKUP('consolidated - Offplan'!D137,'consolidated tracker'!D:D,'consolidated tracker'!L:L)</f>
        <v>3943675.1199999987</v>
      </c>
      <c r="N137" s="30">
        <f>_xlfn.XLOOKUP($D137,'consolidated tracker'!$D:$D,'consolidated tracker'!M:M)</f>
        <v>329738707.1900003</v>
      </c>
      <c r="O137" s="40">
        <f>_xlfn.XLOOKUP($D137,'consolidated tracker'!$D:$D,'consolidated tracker'!N:N)</f>
        <v>44149483.910000205</v>
      </c>
      <c r="P137" s="33">
        <f>_xlfn.XLOOKUP($D137,'consolidated tracker'!$D:$D,'consolidated tracker'!O:O)</f>
        <v>59979205.940000013</v>
      </c>
      <c r="Q137" s="33">
        <f>_xlfn.XLOOKUP($D137,'consolidated tracker'!$D:$D,'consolidated tracker'!P:P)</f>
        <v>28529524.76000002</v>
      </c>
      <c r="R137" s="33">
        <f>_xlfn.XLOOKUP($D137,'consolidated tracker'!$D:$D,'consolidated tracker'!Q:Q)</f>
        <v>197080492.58000004</v>
      </c>
      <c r="S137" s="33">
        <f>_xlfn.XLOOKUP($D137,'consolidated tracker'!$D:$D,'consolidated tracker'!R:R)</f>
        <v>0</v>
      </c>
      <c r="T137" s="33">
        <f>_xlfn.XLOOKUP($D137,'consolidated tracker'!$D:$D,'consolidated tracker'!S:S)</f>
        <v>0</v>
      </c>
      <c r="U137" s="33">
        <f>_xlfn.XLOOKUP($D137,'consolidated tracker'!$D:$D,'consolidated tracker'!T:T)</f>
        <v>0</v>
      </c>
      <c r="V137" s="33">
        <f>_xlfn.XLOOKUP($D137,'consolidated tracker'!$D:$D,'consolidated tracker'!U:U)</f>
        <v>0</v>
      </c>
      <c r="W137" s="33">
        <f>_xlfn.XLOOKUP($D137,'consolidated tracker'!$D:$D,'consolidated tracker'!V:V)</f>
        <v>0</v>
      </c>
      <c r="X137" s="33">
        <f>_xlfn.XLOOKUP($D137,'consolidated tracker'!$D:$D,'consolidated tracker'!W:W)</f>
        <v>0</v>
      </c>
      <c r="Y137" s="17"/>
      <c r="Z137" s="17"/>
      <c r="AA137" s="11"/>
      <c r="AB137" s="16"/>
    </row>
    <row r="138" spans="1:28" s="7" customFormat="1" ht="150" hidden="1" customHeight="1" outlineLevel="2" x14ac:dyDescent="1.25">
      <c r="A138" s="4"/>
      <c r="C138" s="77"/>
      <c r="D138" s="104" t="s">
        <v>55</v>
      </c>
      <c r="E138" s="49" t="str">
        <f>_xlfn.XLOOKUP(D138,'consolidated tracker'!D:D,'consolidated tracker'!E:E)</f>
        <v>RERA</v>
      </c>
      <c r="F138" s="134">
        <v>47483</v>
      </c>
      <c r="G138" s="33">
        <f>_xlfn.XLOOKUP(D138,'consolidated tracker'!D:D,'consolidated tracker'!F:F)</f>
        <v>62</v>
      </c>
      <c r="H138" s="33">
        <f>_xlfn.XLOOKUP(D138,'consolidated tracker'!D:D,'consolidated tracker'!G:G)</f>
        <v>110209124.58999997</v>
      </c>
      <c r="I138" s="33">
        <f>_xlfn.XLOOKUP(D138,'consolidated tracker'!D:D,'consolidated tracker'!H:H)</f>
        <v>23758499.370000012</v>
      </c>
      <c r="J138" s="33">
        <f>_xlfn.XLOOKUP(D138,'consolidated tracker'!D:D,'consolidated tracker'!I:I)</f>
        <v>22756758.549999993</v>
      </c>
      <c r="K138" s="33">
        <f>_xlfn.XLOOKUP(D138,'consolidated tracker'!D:D,'consolidated tracker'!J:J)</f>
        <v>3097533.3599999989</v>
      </c>
      <c r="L138" s="34">
        <f>_xlfn.XLOOKUP(D138,'consolidated tracker'!D:D,'consolidated tracker'!K:K)</f>
        <v>0.95783652812412379</v>
      </c>
      <c r="M138" s="36">
        <f>_xlfn.XLOOKUP('consolidated - Offplan'!D138,'consolidated tracker'!D:D,'consolidated tracker'!L:L)</f>
        <v>1001740.82</v>
      </c>
      <c r="N138" s="30">
        <f>_xlfn.XLOOKUP($D138,'consolidated tracker'!$D:$D,'consolidated tracker'!M:M)</f>
        <v>83353091.859999955</v>
      </c>
      <c r="O138" s="40">
        <f>_xlfn.XLOOKUP($D138,'consolidated tracker'!$D:$D,'consolidated tracker'!N:N)</f>
        <v>11219155.469999939</v>
      </c>
      <c r="P138" s="33">
        <f>_xlfn.XLOOKUP($D138,'consolidated tracker'!$D:$D,'consolidated tracker'!O:O)</f>
        <v>13763546.479999999</v>
      </c>
      <c r="Q138" s="33">
        <f>_xlfn.XLOOKUP($D138,'consolidated tracker'!$D:$D,'consolidated tracker'!P:P)</f>
        <v>8197505.0100000026</v>
      </c>
      <c r="R138" s="33">
        <f>_xlfn.XLOOKUP($D138,'consolidated tracker'!$D:$D,'consolidated tracker'!Q:Q)</f>
        <v>50172884.900000013</v>
      </c>
      <c r="S138" s="33">
        <f>_xlfn.XLOOKUP($D138,'consolidated tracker'!$D:$D,'consolidated tracker'!R:R)</f>
        <v>0</v>
      </c>
      <c r="T138" s="33">
        <f>_xlfn.XLOOKUP($D138,'consolidated tracker'!$D:$D,'consolidated tracker'!S:S)</f>
        <v>0</v>
      </c>
      <c r="U138" s="33">
        <f>_xlfn.XLOOKUP($D138,'consolidated tracker'!$D:$D,'consolidated tracker'!T:T)</f>
        <v>0</v>
      </c>
      <c r="V138" s="33">
        <f>_xlfn.XLOOKUP($D138,'consolidated tracker'!$D:$D,'consolidated tracker'!U:U)</f>
        <v>0</v>
      </c>
      <c r="W138" s="33">
        <f>_xlfn.XLOOKUP($D138,'consolidated tracker'!$D:$D,'consolidated tracker'!V:V)</f>
        <v>0</v>
      </c>
      <c r="X138" s="33">
        <f>_xlfn.XLOOKUP($D138,'consolidated tracker'!$D:$D,'consolidated tracker'!W:W)</f>
        <v>0</v>
      </c>
      <c r="Y138" s="17"/>
      <c r="Z138" s="17"/>
      <c r="AA138" s="11"/>
      <c r="AB138" s="16"/>
    </row>
    <row r="139" spans="1:28" s="7" customFormat="1" ht="150" hidden="1" customHeight="1" outlineLevel="2" x14ac:dyDescent="1.25">
      <c r="A139" s="4"/>
      <c r="C139" s="77"/>
      <c r="D139" s="104" t="s">
        <v>54</v>
      </c>
      <c r="E139" s="49" t="str">
        <f>_xlfn.XLOOKUP(D139,'consolidated tracker'!D:D,'consolidated tracker'!E:E)</f>
        <v>RERA</v>
      </c>
      <c r="F139" s="134">
        <v>47483</v>
      </c>
      <c r="G139" s="33">
        <f>_xlfn.XLOOKUP(D139,'consolidated tracker'!D:D,'consolidated tracker'!F:F)</f>
        <v>206</v>
      </c>
      <c r="H139" s="33">
        <f>_xlfn.XLOOKUP(D139,'consolidated tracker'!D:D,'consolidated tracker'!G:G)</f>
        <v>318684536.71000028</v>
      </c>
      <c r="I139" s="33">
        <f>_xlfn.XLOOKUP(D139,'consolidated tracker'!D:D,'consolidated tracker'!H:H)</f>
        <v>69298705.819999963</v>
      </c>
      <c r="J139" s="33">
        <f>_xlfn.XLOOKUP(D139,'consolidated tracker'!D:D,'consolidated tracker'!I:I)</f>
        <v>66356771.520000033</v>
      </c>
      <c r="K139" s="33">
        <f>_xlfn.XLOOKUP(D139,'consolidated tracker'!D:D,'consolidated tracker'!J:J)</f>
        <v>3000215.5600000005</v>
      </c>
      <c r="L139" s="34">
        <f>_xlfn.XLOOKUP(D139,'consolidated tracker'!D:D,'consolidated tracker'!K:K)</f>
        <v>0.95754705278852592</v>
      </c>
      <c r="M139" s="36">
        <f>_xlfn.XLOOKUP('consolidated - Offplan'!D139,'consolidated tracker'!D:D,'consolidated tracker'!L:L)</f>
        <v>2941934.2999999989</v>
      </c>
      <c r="N139" s="30">
        <f>_xlfn.XLOOKUP($D139,'consolidated tracker'!$D:$D,'consolidated tracker'!M:M)</f>
        <v>246385615.33000031</v>
      </c>
      <c r="O139" s="40">
        <f>_xlfn.XLOOKUP($D139,'consolidated tracker'!$D:$D,'consolidated tracker'!N:N)</f>
        <v>32930483.070000015</v>
      </c>
      <c r="P139" s="33">
        <f>_xlfn.XLOOKUP($D139,'consolidated tracker'!$D:$D,'consolidated tracker'!O:O)</f>
        <v>46215659.460000016</v>
      </c>
      <c r="Q139" s="33">
        <f>_xlfn.XLOOKUP($D139,'consolidated tracker'!$D:$D,'consolidated tracker'!P:P)</f>
        <v>20332019.750000019</v>
      </c>
      <c r="R139" s="33">
        <f>_xlfn.XLOOKUP($D139,'consolidated tracker'!$D:$D,'consolidated tracker'!Q:Q)</f>
        <v>146907607.68000004</v>
      </c>
      <c r="S139" s="33">
        <f>_xlfn.XLOOKUP($D139,'consolidated tracker'!$D:$D,'consolidated tracker'!R:R)</f>
        <v>0</v>
      </c>
      <c r="T139" s="33">
        <f>_xlfn.XLOOKUP($D139,'consolidated tracker'!$D:$D,'consolidated tracker'!S:S)</f>
        <v>0</v>
      </c>
      <c r="U139" s="33">
        <f>_xlfn.XLOOKUP($D139,'consolidated tracker'!$D:$D,'consolidated tracker'!T:T)</f>
        <v>0</v>
      </c>
      <c r="V139" s="33">
        <f>_xlfn.XLOOKUP($D139,'consolidated tracker'!$D:$D,'consolidated tracker'!U:U)</f>
        <v>0</v>
      </c>
      <c r="W139" s="33">
        <f>_xlfn.XLOOKUP($D139,'consolidated tracker'!$D:$D,'consolidated tracker'!V:V)</f>
        <v>0</v>
      </c>
      <c r="X139" s="33">
        <f>_xlfn.XLOOKUP($D139,'consolidated tracker'!$D:$D,'consolidated tracker'!W:W)</f>
        <v>0</v>
      </c>
      <c r="Y139" s="17"/>
      <c r="Z139" s="17"/>
      <c r="AA139" s="11"/>
      <c r="AB139" s="16"/>
    </row>
    <row r="140" spans="1:28" s="7" customFormat="1" ht="150" hidden="1" customHeight="1" outlineLevel="2" x14ac:dyDescent="1.25">
      <c r="A140" s="4"/>
      <c r="C140" s="77"/>
      <c r="D140" s="104" t="s">
        <v>53</v>
      </c>
      <c r="E140" s="49" t="str">
        <f>_xlfn.XLOOKUP(D140,'consolidated tracker'!D:D,'consolidated tracker'!E:E)</f>
        <v>RERA</v>
      </c>
      <c r="F140" s="134" t="s">
        <v>232</v>
      </c>
      <c r="G140" s="33">
        <f>_xlfn.XLOOKUP(D140,'consolidated tracker'!D:D,'consolidated tracker'!F:F)</f>
        <v>0</v>
      </c>
      <c r="H140" s="33">
        <f>_xlfn.XLOOKUP(D140,'consolidated tracker'!D:D,'consolidated tracker'!G:G)</f>
        <v>0</v>
      </c>
      <c r="I140" s="33">
        <f>_xlfn.XLOOKUP(D140,'consolidated tracker'!D:D,'consolidated tracker'!H:H)</f>
        <v>0</v>
      </c>
      <c r="J140" s="33">
        <f>_xlfn.XLOOKUP(D140,'consolidated tracker'!D:D,'consolidated tracker'!I:I)</f>
        <v>0</v>
      </c>
      <c r="K140" s="33">
        <f>_xlfn.XLOOKUP(D140,'consolidated tracker'!D:D,'consolidated tracker'!J:J)</f>
        <v>0</v>
      </c>
      <c r="L140" s="34">
        <f>_xlfn.XLOOKUP(D140,'consolidated tracker'!D:D,'consolidated tracker'!K:K)</f>
        <v>0</v>
      </c>
      <c r="M140" s="36">
        <f>_xlfn.XLOOKUP('consolidated - Offplan'!D140,'consolidated tracker'!D:D,'consolidated tracker'!L:L)</f>
        <v>0</v>
      </c>
      <c r="N140" s="30">
        <f>_xlfn.XLOOKUP($D140,'consolidated tracker'!$D:$D,'consolidated tracker'!M:M)</f>
        <v>0</v>
      </c>
      <c r="O140" s="40">
        <f>_xlfn.XLOOKUP($D140,'consolidated tracker'!$D:$D,'consolidated tracker'!N:N)</f>
        <v>0</v>
      </c>
      <c r="P140" s="33">
        <f>_xlfn.XLOOKUP($D140,'consolidated tracker'!$D:$D,'consolidated tracker'!O:O)</f>
        <v>0</v>
      </c>
      <c r="Q140" s="33">
        <f>_xlfn.XLOOKUP($D140,'consolidated tracker'!$D:$D,'consolidated tracker'!P:P)</f>
        <v>0</v>
      </c>
      <c r="R140" s="33">
        <f>_xlfn.XLOOKUP($D140,'consolidated tracker'!$D:$D,'consolidated tracker'!Q:Q)</f>
        <v>0</v>
      </c>
      <c r="S140" s="33">
        <f>_xlfn.XLOOKUP($D140,'consolidated tracker'!$D:$D,'consolidated tracker'!R:R)</f>
        <v>0</v>
      </c>
      <c r="T140" s="33">
        <f>_xlfn.XLOOKUP($D140,'consolidated tracker'!$D:$D,'consolidated tracker'!S:S)</f>
        <v>0</v>
      </c>
      <c r="U140" s="33">
        <f>_xlfn.XLOOKUP($D140,'consolidated tracker'!$D:$D,'consolidated tracker'!T:T)</f>
        <v>0</v>
      </c>
      <c r="V140" s="33">
        <f>_xlfn.XLOOKUP($D140,'consolidated tracker'!$D:$D,'consolidated tracker'!U:U)</f>
        <v>0</v>
      </c>
      <c r="W140" s="33">
        <f>_xlfn.XLOOKUP($D140,'consolidated tracker'!$D:$D,'consolidated tracker'!V:V)</f>
        <v>0</v>
      </c>
      <c r="X140" s="33">
        <f>_xlfn.XLOOKUP($D140,'consolidated tracker'!$D:$D,'consolidated tracker'!W:W)</f>
        <v>0</v>
      </c>
      <c r="Y140" s="17"/>
      <c r="Z140" s="17"/>
      <c r="AA140" s="11"/>
      <c r="AB140" s="16"/>
    </row>
    <row r="141" spans="1:28" s="7" customFormat="1" ht="150" hidden="1" customHeight="1" outlineLevel="2" x14ac:dyDescent="1.25">
      <c r="A141" s="4"/>
      <c r="C141" s="77"/>
      <c r="D141" s="104" t="s">
        <v>52</v>
      </c>
      <c r="E141" s="49" t="str">
        <f>_xlfn.XLOOKUP(D141,'consolidated tracker'!D:D,'consolidated tracker'!E:E)</f>
        <v>RERA</v>
      </c>
      <c r="F141" s="134" t="s">
        <v>232</v>
      </c>
      <c r="G141" s="33">
        <f>_xlfn.XLOOKUP(D141,'consolidated tracker'!D:D,'consolidated tracker'!F:F)</f>
        <v>0</v>
      </c>
      <c r="H141" s="33">
        <f>_xlfn.XLOOKUP(D141,'consolidated tracker'!D:D,'consolidated tracker'!G:G)</f>
        <v>0</v>
      </c>
      <c r="I141" s="33">
        <f>_xlfn.XLOOKUP(D141,'consolidated tracker'!D:D,'consolidated tracker'!H:H)</f>
        <v>0</v>
      </c>
      <c r="J141" s="33">
        <f>_xlfn.XLOOKUP(D141,'consolidated tracker'!D:D,'consolidated tracker'!I:I)</f>
        <v>0</v>
      </c>
      <c r="K141" s="33">
        <f>_xlfn.XLOOKUP(D141,'consolidated tracker'!D:D,'consolidated tracker'!J:J)</f>
        <v>0</v>
      </c>
      <c r="L141" s="34">
        <f>_xlfn.XLOOKUP(D141,'consolidated tracker'!D:D,'consolidated tracker'!K:K)</f>
        <v>0</v>
      </c>
      <c r="M141" s="36">
        <f>_xlfn.XLOOKUP('consolidated - Offplan'!D141,'consolidated tracker'!D:D,'consolidated tracker'!L:L)</f>
        <v>0</v>
      </c>
      <c r="N141" s="30">
        <f>_xlfn.XLOOKUP($D141,'consolidated tracker'!$D:$D,'consolidated tracker'!M:M)</f>
        <v>0</v>
      </c>
      <c r="O141" s="40">
        <f>_xlfn.XLOOKUP($D141,'consolidated tracker'!$D:$D,'consolidated tracker'!N:N)</f>
        <v>0</v>
      </c>
      <c r="P141" s="33">
        <f>_xlfn.XLOOKUP($D141,'consolidated tracker'!$D:$D,'consolidated tracker'!O:O)</f>
        <v>0</v>
      </c>
      <c r="Q141" s="33">
        <f>_xlfn.XLOOKUP($D141,'consolidated tracker'!$D:$D,'consolidated tracker'!P:P)</f>
        <v>0</v>
      </c>
      <c r="R141" s="33">
        <f>_xlfn.XLOOKUP($D141,'consolidated tracker'!$D:$D,'consolidated tracker'!Q:Q)</f>
        <v>0</v>
      </c>
      <c r="S141" s="33">
        <f>_xlfn.XLOOKUP($D141,'consolidated tracker'!$D:$D,'consolidated tracker'!R:R)</f>
        <v>0</v>
      </c>
      <c r="T141" s="33">
        <f>_xlfn.XLOOKUP($D141,'consolidated tracker'!$D:$D,'consolidated tracker'!S:S)</f>
        <v>0</v>
      </c>
      <c r="U141" s="33">
        <f>_xlfn.XLOOKUP($D141,'consolidated tracker'!$D:$D,'consolidated tracker'!T:T)</f>
        <v>0</v>
      </c>
      <c r="V141" s="33">
        <f>_xlfn.XLOOKUP($D141,'consolidated tracker'!$D:$D,'consolidated tracker'!U:U)</f>
        <v>0</v>
      </c>
      <c r="W141" s="33">
        <f>_xlfn.XLOOKUP($D141,'consolidated tracker'!$D:$D,'consolidated tracker'!V:V)</f>
        <v>0</v>
      </c>
      <c r="X141" s="33">
        <f>_xlfn.XLOOKUP($D141,'consolidated tracker'!$D:$D,'consolidated tracker'!W:W)</f>
        <v>0</v>
      </c>
      <c r="Y141" s="17"/>
      <c r="Z141" s="17"/>
      <c r="AA141" s="11"/>
      <c r="AB141" s="16"/>
    </row>
    <row r="142" spans="1:28" s="7" customFormat="1" ht="150" hidden="1" customHeight="1" outlineLevel="1" x14ac:dyDescent="1.25">
      <c r="A142" s="4"/>
      <c r="C142" s="77"/>
      <c r="D142" s="94" t="s">
        <v>51</v>
      </c>
      <c r="E142" s="49" t="str">
        <f>_xlfn.XLOOKUP(D142,'consolidated tracker'!D:D,'consolidated tracker'!E:E)</f>
        <v>RERA</v>
      </c>
      <c r="F142" s="134" t="s">
        <v>232</v>
      </c>
      <c r="G142" s="33">
        <f>_xlfn.XLOOKUP(D142,'consolidated tracker'!D:D,'consolidated tracker'!F:F)</f>
        <v>98</v>
      </c>
      <c r="H142" s="33">
        <f>_xlfn.XLOOKUP(D142,'consolidated tracker'!D:D,'consolidated tracker'!G:G)</f>
        <v>157642313.97999999</v>
      </c>
      <c r="I142" s="33">
        <f>_xlfn.XLOOKUP(D142,'consolidated tracker'!D:D,'consolidated tracker'!H:H)</f>
        <v>31659019.079999994</v>
      </c>
      <c r="J142" s="33">
        <f>_xlfn.XLOOKUP(D142,'consolidated tracker'!D:D,'consolidated tracker'!I:I)</f>
        <v>30302059.680000003</v>
      </c>
      <c r="K142" s="33">
        <f>_xlfn.XLOOKUP(D142,'consolidated tracker'!D:D,'consolidated tracker'!J:J)</f>
        <v>861719.92999999993</v>
      </c>
      <c r="L142" s="34">
        <f>_xlfn.XLOOKUP(D142,'consolidated tracker'!D:D,'consolidated tracker'!K:K)</f>
        <v>0.95713829930829331</v>
      </c>
      <c r="M142" s="36">
        <f>_xlfn.XLOOKUP('consolidated - Offplan'!D142,'consolidated tracker'!D:D,'consolidated tracker'!L:L)</f>
        <v>1356959.4000000001</v>
      </c>
      <c r="N142" s="30">
        <f>_xlfn.XLOOKUP($D142,'consolidated tracker'!$D:$D,'consolidated tracker'!M:M)</f>
        <v>125121574.97</v>
      </c>
      <c r="O142" s="40">
        <f>_xlfn.XLOOKUP($D142,'consolidated tracker'!$D:$D,'consolidated tracker'!N:N)</f>
        <v>16202925.019999981</v>
      </c>
      <c r="P142" s="33">
        <f>_xlfn.XLOOKUP($D142,'consolidated tracker'!$D:$D,'consolidated tracker'!O:O)</f>
        <v>23815364.600000001</v>
      </c>
      <c r="Q142" s="33">
        <f>_xlfn.XLOOKUP($D142,'consolidated tracker'!$D:$D,'consolidated tracker'!P:P)</f>
        <v>10865156.760000002</v>
      </c>
      <c r="R142" s="33">
        <f>_xlfn.XLOOKUP($D142,'consolidated tracker'!$D:$D,'consolidated tracker'!Q:Q)</f>
        <v>8952263.2399999984</v>
      </c>
      <c r="S142" s="33">
        <f>_xlfn.XLOOKUP($D142,'consolidated tracker'!$D:$D,'consolidated tracker'!R:R)</f>
        <v>65285865.350000031</v>
      </c>
      <c r="T142" s="33">
        <f>_xlfn.XLOOKUP($D142,'consolidated tracker'!$D:$D,'consolidated tracker'!S:S)</f>
        <v>0</v>
      </c>
      <c r="U142" s="33">
        <f>_xlfn.XLOOKUP($D142,'consolidated tracker'!$D:$D,'consolidated tracker'!T:T)</f>
        <v>0</v>
      </c>
      <c r="V142" s="33">
        <f>_xlfn.XLOOKUP($D142,'consolidated tracker'!$D:$D,'consolidated tracker'!U:U)</f>
        <v>0</v>
      </c>
      <c r="W142" s="33">
        <f>_xlfn.XLOOKUP($D142,'consolidated tracker'!$D:$D,'consolidated tracker'!V:V)</f>
        <v>0</v>
      </c>
      <c r="X142" s="33">
        <f>_xlfn.XLOOKUP($D142,'consolidated tracker'!$D:$D,'consolidated tracker'!W:W)</f>
        <v>0</v>
      </c>
      <c r="Y142" s="17"/>
      <c r="Z142" s="17"/>
      <c r="AA142" s="11"/>
      <c r="AB142" s="16"/>
    </row>
    <row r="143" spans="1:28" s="7" customFormat="1" ht="150" hidden="1" customHeight="1" outlineLevel="2" x14ac:dyDescent="1.25">
      <c r="A143" s="4"/>
      <c r="C143" s="77"/>
      <c r="D143" s="104" t="s">
        <v>50</v>
      </c>
      <c r="E143" s="49" t="str">
        <f>_xlfn.XLOOKUP(D143,'consolidated tracker'!D:D,'consolidated tracker'!E:E)</f>
        <v>RERA</v>
      </c>
      <c r="F143" s="134">
        <v>47573</v>
      </c>
      <c r="G143" s="33">
        <f>_xlfn.XLOOKUP(D143,'consolidated tracker'!D:D,'consolidated tracker'!F:F)</f>
        <v>43</v>
      </c>
      <c r="H143" s="33">
        <f>_xlfn.XLOOKUP(D143,'consolidated tracker'!D:D,'consolidated tracker'!G:G)</f>
        <v>68528303.86999999</v>
      </c>
      <c r="I143" s="33">
        <f>_xlfn.XLOOKUP(D143,'consolidated tracker'!D:D,'consolidated tracker'!H:H)</f>
        <v>13143215.820000004</v>
      </c>
      <c r="J143" s="33">
        <f>_xlfn.XLOOKUP(D143,'consolidated tracker'!D:D,'consolidated tracker'!I:I)</f>
        <v>12382868.470000003</v>
      </c>
      <c r="K143" s="33">
        <f>_xlfn.XLOOKUP(D143,'consolidated tracker'!D:D,'consolidated tracker'!J:J)</f>
        <v>407963.62999999995</v>
      </c>
      <c r="L143" s="34">
        <f>_xlfn.XLOOKUP(D143,'consolidated tracker'!D:D,'consolidated tracker'!K:K)</f>
        <v>0.9421490630289292</v>
      </c>
      <c r="M143" s="36">
        <f>_xlfn.XLOOKUP('consolidated - Offplan'!D143,'consolidated tracker'!D:D,'consolidated tracker'!L:L)</f>
        <v>760347.35000000009</v>
      </c>
      <c r="N143" s="30">
        <f>_xlfn.XLOOKUP($D143,'consolidated tracker'!$D:$D,'consolidated tracker'!M:M)</f>
        <v>54977124.419999987</v>
      </c>
      <c r="O143" s="40">
        <f>_xlfn.XLOOKUP($D143,'consolidated tracker'!$D:$D,'consolidated tracker'!N:N)</f>
        <v>6848722.9399999678</v>
      </c>
      <c r="P143" s="33">
        <f>_xlfn.XLOOKUP($D143,'consolidated tracker'!$D:$D,'consolidated tracker'!O:O)</f>
        <v>11186431.770000001</v>
      </c>
      <c r="Q143" s="33">
        <f>_xlfn.XLOOKUP($D143,'consolidated tracker'!$D:$D,'consolidated tracker'!P:P)</f>
        <v>4734104.0600000005</v>
      </c>
      <c r="R143" s="33">
        <f>_xlfn.XLOOKUP($D143,'consolidated tracker'!$D:$D,'consolidated tracker'!Q:Q)</f>
        <v>4019103.5599999987</v>
      </c>
      <c r="S143" s="33">
        <f>_xlfn.XLOOKUP($D143,'consolidated tracker'!$D:$D,'consolidated tracker'!R:R)</f>
        <v>28188762.090000018</v>
      </c>
      <c r="T143" s="33">
        <f>_xlfn.XLOOKUP($D143,'consolidated tracker'!$D:$D,'consolidated tracker'!S:S)</f>
        <v>0</v>
      </c>
      <c r="U143" s="33">
        <f>_xlfn.XLOOKUP($D143,'consolidated tracker'!$D:$D,'consolidated tracker'!T:T)</f>
        <v>0</v>
      </c>
      <c r="V143" s="33">
        <f>_xlfn.XLOOKUP($D143,'consolidated tracker'!$D:$D,'consolidated tracker'!U:U)</f>
        <v>0</v>
      </c>
      <c r="W143" s="33">
        <f>_xlfn.XLOOKUP($D143,'consolidated tracker'!$D:$D,'consolidated tracker'!V:V)</f>
        <v>0</v>
      </c>
      <c r="X143" s="33">
        <f>_xlfn.XLOOKUP($D143,'consolidated tracker'!$D:$D,'consolidated tracker'!W:W)</f>
        <v>0</v>
      </c>
      <c r="Y143" s="17"/>
      <c r="Z143" s="17"/>
      <c r="AA143" s="11"/>
      <c r="AB143" s="16"/>
    </row>
    <row r="144" spans="1:28" s="7" customFormat="1" ht="150" hidden="1" customHeight="1" outlineLevel="2" x14ac:dyDescent="1.25">
      <c r="A144" s="4"/>
      <c r="C144" s="77"/>
      <c r="D144" s="104" t="s">
        <v>49</v>
      </c>
      <c r="E144" s="49" t="str">
        <f>_xlfn.XLOOKUP(D144,'consolidated tracker'!D:D,'consolidated tracker'!E:E)</f>
        <v>RERA</v>
      </c>
      <c r="F144" s="134">
        <v>47573</v>
      </c>
      <c r="G144" s="33">
        <f>_xlfn.XLOOKUP(D144,'consolidated tracker'!D:D,'consolidated tracker'!F:F)</f>
        <v>55</v>
      </c>
      <c r="H144" s="33">
        <f>_xlfn.XLOOKUP(D144,'consolidated tracker'!D:D,'consolidated tracker'!G:G)</f>
        <v>89114010.109999999</v>
      </c>
      <c r="I144" s="33">
        <f>_xlfn.XLOOKUP(D144,'consolidated tracker'!D:D,'consolidated tracker'!H:H)</f>
        <v>18515803.25999999</v>
      </c>
      <c r="J144" s="33">
        <f>_xlfn.XLOOKUP(D144,'consolidated tracker'!D:D,'consolidated tracker'!I:I)</f>
        <v>17919191.210000001</v>
      </c>
      <c r="K144" s="33">
        <f>_xlfn.XLOOKUP(D144,'consolidated tracker'!D:D,'consolidated tracker'!J:J)</f>
        <v>453756.29999999993</v>
      </c>
      <c r="L144" s="34">
        <f>_xlfn.XLOOKUP(D144,'consolidated tracker'!D:D,'consolidated tracker'!K:K)</f>
        <v>0.96777822481572484</v>
      </c>
      <c r="M144" s="36">
        <f>_xlfn.XLOOKUP('consolidated - Offplan'!D144,'consolidated tracker'!D:D,'consolidated tracker'!L:L)</f>
        <v>596612.05000000005</v>
      </c>
      <c r="N144" s="30">
        <f>_xlfn.XLOOKUP($D144,'consolidated tracker'!$D:$D,'consolidated tracker'!M:M)</f>
        <v>70144450.550000012</v>
      </c>
      <c r="O144" s="40">
        <f>_xlfn.XLOOKUP($D144,'consolidated tracker'!$D:$D,'consolidated tracker'!N:N)</f>
        <v>9354202.0799999982</v>
      </c>
      <c r="P144" s="33">
        <f>_xlfn.XLOOKUP($D144,'consolidated tracker'!$D:$D,'consolidated tracker'!O:O)</f>
        <v>12628932.829999998</v>
      </c>
      <c r="Q144" s="33">
        <f>_xlfn.XLOOKUP($D144,'consolidated tracker'!$D:$D,'consolidated tracker'!P:P)</f>
        <v>6131052.7000000011</v>
      </c>
      <c r="R144" s="33">
        <f>_xlfn.XLOOKUP($D144,'consolidated tracker'!$D:$D,'consolidated tracker'!Q:Q)</f>
        <v>4933159.6800000006</v>
      </c>
      <c r="S144" s="33">
        <f>_xlfn.XLOOKUP($D144,'consolidated tracker'!$D:$D,'consolidated tracker'!R:R)</f>
        <v>37097103.260000013</v>
      </c>
      <c r="T144" s="33">
        <f>_xlfn.XLOOKUP($D144,'consolidated tracker'!$D:$D,'consolidated tracker'!S:S)</f>
        <v>0</v>
      </c>
      <c r="U144" s="33">
        <f>_xlfn.XLOOKUP($D144,'consolidated tracker'!$D:$D,'consolidated tracker'!T:T)</f>
        <v>0</v>
      </c>
      <c r="V144" s="33">
        <f>_xlfn.XLOOKUP($D144,'consolidated tracker'!$D:$D,'consolidated tracker'!U:U)</f>
        <v>0</v>
      </c>
      <c r="W144" s="33">
        <f>_xlfn.XLOOKUP($D144,'consolidated tracker'!$D:$D,'consolidated tracker'!V:V)</f>
        <v>0</v>
      </c>
      <c r="X144" s="33">
        <f>_xlfn.XLOOKUP($D144,'consolidated tracker'!$D:$D,'consolidated tracker'!W:W)</f>
        <v>0</v>
      </c>
      <c r="Y144" s="17"/>
      <c r="Z144" s="17"/>
      <c r="AA144" s="11"/>
      <c r="AB144" s="16"/>
    </row>
    <row r="145" spans="1:28" s="7" customFormat="1" ht="150" customHeight="1" collapsed="1" x14ac:dyDescent="1.25">
      <c r="A145" s="4"/>
      <c r="C145" s="77">
        <v>22</v>
      </c>
      <c r="D145" s="76" t="s">
        <v>48</v>
      </c>
      <c r="E145" s="49" t="str">
        <f>_xlfn.XLOOKUP(D145,'consolidated tracker'!D:D,'consolidated tracker'!E:E)</f>
        <v>Pre-Launch</v>
      </c>
      <c r="F145" s="134">
        <v>47483</v>
      </c>
      <c r="G145" s="33">
        <f>_xlfn.XLOOKUP(D145,'consolidated tracker'!D:D,'consolidated tracker'!F:F)</f>
        <v>352</v>
      </c>
      <c r="H145" s="33">
        <f>_xlfn.XLOOKUP(D145,'consolidated tracker'!D:D,'consolidated tracker'!G:G)</f>
        <v>767755653.95999968</v>
      </c>
      <c r="I145" s="33">
        <f>_xlfn.XLOOKUP(D145,'consolidated tracker'!D:D,'consolidated tracker'!H:H)</f>
        <v>155502596.26000002</v>
      </c>
      <c r="J145" s="33">
        <f>_xlfn.XLOOKUP(D145,'consolidated tracker'!D:D,'consolidated tracker'!I:I)</f>
        <v>153559126.75000009</v>
      </c>
      <c r="K145" s="33">
        <f>_xlfn.XLOOKUP(D145,'consolidated tracker'!D:D,'consolidated tracker'!J:J)</f>
        <v>13542202.470000001</v>
      </c>
      <c r="L145" s="34">
        <f>_xlfn.XLOOKUP(D145,'consolidated tracker'!D:D,'consolidated tracker'!K:K)</f>
        <v>0.98750201246318448</v>
      </c>
      <c r="M145" s="36">
        <f>_xlfn.XLOOKUP('consolidated - Offplan'!D145,'consolidated tracker'!D:D,'consolidated tracker'!L:L)</f>
        <v>1943469.51</v>
      </c>
      <c r="N145" s="30">
        <f>_xlfn.XLOOKUP($D145,'consolidated tracker'!$D:$D,'consolidated tracker'!M:M)</f>
        <v>598710855.22999966</v>
      </c>
      <c r="O145" s="40">
        <f>_xlfn.XLOOKUP($D145,'consolidated tracker'!$D:$D,'consolidated tracker'!N:N)</f>
        <v>66885489.799999714</v>
      </c>
      <c r="P145" s="33">
        <f>_xlfn.XLOOKUP($D145,'consolidated tracker'!$D:$D,'consolidated tracker'!O:O)</f>
        <v>74922328.530000091</v>
      </c>
      <c r="Q145" s="33">
        <f>_xlfn.XLOOKUP($D145,'consolidated tracker'!$D:$D,'consolidated tracker'!P:P)</f>
        <v>71773232.50000003</v>
      </c>
      <c r="R145" s="33">
        <f>_xlfn.XLOOKUP($D145,'consolidated tracker'!$D:$D,'consolidated tracker'!Q:Q)</f>
        <v>385129804.39999986</v>
      </c>
      <c r="S145" s="33">
        <f>_xlfn.XLOOKUP($D145,'consolidated tracker'!$D:$D,'consolidated tracker'!R:R)</f>
        <v>0</v>
      </c>
      <c r="T145" s="33">
        <f>_xlfn.XLOOKUP($D145,'consolidated tracker'!$D:$D,'consolidated tracker'!S:S)</f>
        <v>0</v>
      </c>
      <c r="U145" s="33">
        <f>_xlfn.XLOOKUP($D145,'consolidated tracker'!$D:$D,'consolidated tracker'!T:T)</f>
        <v>0</v>
      </c>
      <c r="V145" s="33">
        <f>_xlfn.XLOOKUP($D145,'consolidated tracker'!$D:$D,'consolidated tracker'!U:U)</f>
        <v>0</v>
      </c>
      <c r="W145" s="33">
        <f>_xlfn.XLOOKUP($D145,'consolidated tracker'!$D:$D,'consolidated tracker'!V:V)</f>
        <v>0</v>
      </c>
      <c r="X145" s="33">
        <f>_xlfn.XLOOKUP($D145,'consolidated tracker'!$D:$D,'consolidated tracker'!W:W)</f>
        <v>0</v>
      </c>
      <c r="Y145" s="17"/>
      <c r="Z145" s="17"/>
      <c r="AA145" s="11"/>
      <c r="AB145" s="16"/>
    </row>
    <row r="146" spans="1:28" s="7" customFormat="1" ht="150" customHeight="1" x14ac:dyDescent="1.25">
      <c r="A146" s="4"/>
      <c r="C146" s="77">
        <v>23</v>
      </c>
      <c r="D146" s="76" t="s">
        <v>47</v>
      </c>
      <c r="E146" s="49" t="str">
        <f>_xlfn.XLOOKUP(D146,'consolidated tracker'!D:D,'consolidated tracker'!E:E)</f>
        <v>Pre-Launch</v>
      </c>
      <c r="F146" s="134">
        <v>47483</v>
      </c>
      <c r="G146" s="33">
        <f>_xlfn.XLOOKUP(D146,'consolidated tracker'!D:D,'consolidated tracker'!F:F)</f>
        <v>371</v>
      </c>
      <c r="H146" s="33">
        <f>_xlfn.XLOOKUP(D146,'consolidated tracker'!D:D,'consolidated tracker'!G:G)</f>
        <v>806869395.10000038</v>
      </c>
      <c r="I146" s="33">
        <f>_xlfn.XLOOKUP(D146,'consolidated tracker'!D:D,'consolidated tracker'!H:H)</f>
        <v>160057195.97000006</v>
      </c>
      <c r="J146" s="33">
        <f>_xlfn.XLOOKUP(D146,'consolidated tracker'!D:D,'consolidated tracker'!I:I)</f>
        <v>155620981.19000006</v>
      </c>
      <c r="K146" s="33">
        <f>_xlfn.XLOOKUP(D146,'consolidated tracker'!D:D,'consolidated tracker'!J:J)</f>
        <v>10338128.229999999</v>
      </c>
      <c r="L146" s="34">
        <f>_xlfn.XLOOKUP(D146,'consolidated tracker'!D:D,'consolidated tracker'!K:K)</f>
        <v>0.97228356555220741</v>
      </c>
      <c r="M146" s="36">
        <f>_xlfn.XLOOKUP('consolidated - Offplan'!D146,'consolidated tracker'!D:D,'consolidated tracker'!L:L)</f>
        <v>4436214.78</v>
      </c>
      <c r="N146" s="30">
        <f>_xlfn.XLOOKUP($D146,'consolidated tracker'!$D:$D,'consolidated tracker'!M:M)</f>
        <v>636474070.90000033</v>
      </c>
      <c r="O146" s="40">
        <f>_xlfn.XLOOKUP($D146,'consolidated tracker'!$D:$D,'consolidated tracker'!N:N)</f>
        <v>71423214.940000296</v>
      </c>
      <c r="P146" s="33">
        <f>_xlfn.XLOOKUP($D146,'consolidated tracker'!$D:$D,'consolidated tracker'!O:O)</f>
        <v>80738093.470000044</v>
      </c>
      <c r="Q146" s="33">
        <f>_xlfn.XLOOKUP($D146,'consolidated tracker'!$D:$D,'consolidated tracker'!P:P)</f>
        <v>73067089.480000034</v>
      </c>
      <c r="R146" s="33">
        <f>_xlfn.XLOOKUP($D146,'consolidated tracker'!$D:$D,'consolidated tracker'!Q:Q)</f>
        <v>411245673.00999999</v>
      </c>
      <c r="S146" s="33">
        <f>_xlfn.XLOOKUP($D146,'consolidated tracker'!$D:$D,'consolidated tracker'!R:R)</f>
        <v>0</v>
      </c>
      <c r="T146" s="33">
        <f>_xlfn.XLOOKUP($D146,'consolidated tracker'!$D:$D,'consolidated tracker'!S:S)</f>
        <v>0</v>
      </c>
      <c r="U146" s="33">
        <f>_xlfn.XLOOKUP($D146,'consolidated tracker'!$D:$D,'consolidated tracker'!T:T)</f>
        <v>0</v>
      </c>
      <c r="V146" s="33">
        <f>_xlfn.XLOOKUP($D146,'consolidated tracker'!$D:$D,'consolidated tracker'!U:U)</f>
        <v>0</v>
      </c>
      <c r="W146" s="33">
        <f>_xlfn.XLOOKUP($D146,'consolidated tracker'!$D:$D,'consolidated tracker'!V:V)</f>
        <v>0</v>
      </c>
      <c r="X146" s="33">
        <f>_xlfn.XLOOKUP($D146,'consolidated tracker'!$D:$D,'consolidated tracker'!W:W)</f>
        <v>0</v>
      </c>
      <c r="Y146" s="17"/>
      <c r="Z146" s="17"/>
      <c r="AA146" s="11"/>
      <c r="AB146" s="16"/>
    </row>
    <row r="147" spans="1:28" s="7" customFormat="1" ht="150" customHeight="1" x14ac:dyDescent="1.25">
      <c r="A147" s="4"/>
      <c r="C147" s="77">
        <v>24</v>
      </c>
      <c r="D147" s="76" t="s">
        <v>46</v>
      </c>
      <c r="E147" s="49" t="str">
        <f>_xlfn.XLOOKUP(D147,'consolidated tracker'!D:D,'consolidated tracker'!E:E)</f>
        <v>Pre-Launch</v>
      </c>
      <c r="F147" s="134" t="s">
        <v>232</v>
      </c>
      <c r="G147" s="33">
        <f>_xlfn.XLOOKUP(D147,'consolidated tracker'!D:D,'consolidated tracker'!F:F)</f>
        <v>122</v>
      </c>
      <c r="H147" s="33">
        <f>_xlfn.XLOOKUP(D147,'consolidated tracker'!D:D,'consolidated tracker'!G:G)</f>
        <v>169893891.99000001</v>
      </c>
      <c r="I147" s="33">
        <f>_xlfn.XLOOKUP(D147,'consolidated tracker'!D:D,'consolidated tracker'!H:H)</f>
        <v>34194183.979999989</v>
      </c>
      <c r="J147" s="33">
        <f>_xlfn.XLOOKUP(D147,'consolidated tracker'!D:D,'consolidated tracker'!I:I)</f>
        <v>32980287.309999995</v>
      </c>
      <c r="K147" s="33">
        <f>_xlfn.XLOOKUP(D147,'consolidated tracker'!D:D,'consolidated tracker'!J:J)</f>
        <v>3441448.71</v>
      </c>
      <c r="L147" s="34">
        <f>_xlfn.XLOOKUP(D147,'consolidated tracker'!D:D,'consolidated tracker'!K:K)</f>
        <v>0.96449990820924414</v>
      </c>
      <c r="M147" s="36">
        <f>_xlfn.XLOOKUP('consolidated - Offplan'!D147,'consolidated tracker'!D:D,'consolidated tracker'!L:L)</f>
        <v>1213896.67</v>
      </c>
      <c r="N147" s="30">
        <f>_xlfn.XLOOKUP($D147,'consolidated tracker'!$D:$D,'consolidated tracker'!M:M)</f>
        <v>132258259.30000001</v>
      </c>
      <c r="O147" s="40">
        <f>_xlfn.XLOOKUP($D147,'consolidated tracker'!$D:$D,'consolidated tracker'!N:N)</f>
        <v>17549244.900000036</v>
      </c>
      <c r="P147" s="33">
        <f>_xlfn.XLOOKUP($D147,'consolidated tracker'!$D:$D,'consolidated tracker'!O:O)</f>
        <v>24132362.459999997</v>
      </c>
      <c r="Q147" s="33">
        <f>_xlfn.XLOOKUP($D147,'consolidated tracker'!$D:$D,'consolidated tracker'!P:P)</f>
        <v>9863847.3099999987</v>
      </c>
      <c r="R147" s="33">
        <f>_xlfn.XLOOKUP($D147,'consolidated tracker'!$D:$D,'consolidated tracker'!Q:Q)</f>
        <v>80712804.62999998</v>
      </c>
      <c r="S147" s="33">
        <f>_xlfn.XLOOKUP($D147,'consolidated tracker'!$D:$D,'consolidated tracker'!R:R)</f>
        <v>0</v>
      </c>
      <c r="T147" s="33">
        <f>_xlfn.XLOOKUP($D147,'consolidated tracker'!$D:$D,'consolidated tracker'!S:S)</f>
        <v>0</v>
      </c>
      <c r="U147" s="33">
        <f>_xlfn.XLOOKUP($D147,'consolidated tracker'!$D:$D,'consolidated tracker'!T:T)</f>
        <v>0</v>
      </c>
      <c r="V147" s="33">
        <f>_xlfn.XLOOKUP($D147,'consolidated tracker'!$D:$D,'consolidated tracker'!U:U)</f>
        <v>0</v>
      </c>
      <c r="W147" s="33">
        <f>_xlfn.XLOOKUP($D147,'consolidated tracker'!$D:$D,'consolidated tracker'!V:V)</f>
        <v>0</v>
      </c>
      <c r="X147" s="33">
        <f>_xlfn.XLOOKUP($D147,'consolidated tracker'!$D:$D,'consolidated tracker'!W:W)</f>
        <v>0</v>
      </c>
      <c r="Y147" s="17"/>
      <c r="Z147" s="17"/>
      <c r="AA147" s="11"/>
      <c r="AB147" s="16"/>
    </row>
    <row r="148" spans="1:28" s="7" customFormat="1" ht="150" hidden="1" customHeight="1" outlineLevel="1" x14ac:dyDescent="1.25">
      <c r="A148" s="4"/>
      <c r="C148" s="77"/>
      <c r="D148" s="104" t="s">
        <v>45</v>
      </c>
      <c r="E148" s="49" t="str">
        <f>_xlfn.XLOOKUP(D148,'consolidated tracker'!D:D,'consolidated tracker'!E:E)</f>
        <v>Pre-Launch</v>
      </c>
      <c r="F148" s="134">
        <v>47299</v>
      </c>
      <c r="G148" s="33">
        <f>_xlfn.XLOOKUP(D148,'consolidated tracker'!D:D,'consolidated tracker'!F:F)</f>
        <v>60</v>
      </c>
      <c r="H148" s="33">
        <f>_xlfn.XLOOKUP(D148,'consolidated tracker'!D:D,'consolidated tracker'!G:G)</f>
        <v>85143839.729999989</v>
      </c>
      <c r="I148" s="33">
        <f>_xlfn.XLOOKUP(D148,'consolidated tracker'!D:D,'consolidated tracker'!H:H)</f>
        <v>17562072.729999986</v>
      </c>
      <c r="J148" s="33">
        <f>_xlfn.XLOOKUP(D148,'consolidated tracker'!D:D,'consolidated tracker'!I:I)</f>
        <v>17318672.849999994</v>
      </c>
      <c r="K148" s="33">
        <f>_xlfn.XLOOKUP(D148,'consolidated tracker'!D:D,'consolidated tracker'!J:J)</f>
        <v>2718916.61</v>
      </c>
      <c r="L148" s="34">
        <f>_xlfn.XLOOKUP(D148,'consolidated tracker'!D:D,'consolidated tracker'!K:K)</f>
        <v>0.98614059492054096</v>
      </c>
      <c r="M148" s="36">
        <f>_xlfn.XLOOKUP('consolidated - Offplan'!D148,'consolidated tracker'!D:D,'consolidated tracker'!L:L)</f>
        <v>243399.87999999998</v>
      </c>
      <c r="N148" s="30">
        <f>_xlfn.XLOOKUP($D148,'consolidated tracker'!$D:$D,'consolidated tracker'!M:M)</f>
        <v>64862850.390000001</v>
      </c>
      <c r="O148" s="40">
        <f>_xlfn.XLOOKUP($D148,'consolidated tracker'!$D:$D,'consolidated tracker'!N:N)</f>
        <v>8181034.8500000238</v>
      </c>
      <c r="P148" s="33">
        <f>_xlfn.XLOOKUP($D148,'consolidated tracker'!$D:$D,'consolidated tracker'!O:O)</f>
        <v>10577566.409999998</v>
      </c>
      <c r="Q148" s="33">
        <f>_xlfn.XLOOKUP($D148,'consolidated tracker'!$D:$D,'consolidated tracker'!P:P)</f>
        <v>3056220.7500000009</v>
      </c>
      <c r="R148" s="33">
        <f>_xlfn.XLOOKUP($D148,'consolidated tracker'!$D:$D,'consolidated tracker'!Q:Q)</f>
        <v>43048028.37999998</v>
      </c>
      <c r="S148" s="33">
        <f>_xlfn.XLOOKUP($D148,'consolidated tracker'!$D:$D,'consolidated tracker'!R:R)</f>
        <v>0</v>
      </c>
      <c r="T148" s="33">
        <f>_xlfn.XLOOKUP($D148,'consolidated tracker'!$D:$D,'consolidated tracker'!S:S)</f>
        <v>0</v>
      </c>
      <c r="U148" s="33">
        <f>_xlfn.XLOOKUP($D148,'consolidated tracker'!$D:$D,'consolidated tracker'!T:T)</f>
        <v>0</v>
      </c>
      <c r="V148" s="33">
        <f>_xlfn.XLOOKUP($D148,'consolidated tracker'!$D:$D,'consolidated tracker'!U:U)</f>
        <v>0</v>
      </c>
      <c r="W148" s="33">
        <f>_xlfn.XLOOKUP($D148,'consolidated tracker'!$D:$D,'consolidated tracker'!V:V)</f>
        <v>0</v>
      </c>
      <c r="X148" s="33">
        <f>_xlfn.XLOOKUP($D148,'consolidated tracker'!$D:$D,'consolidated tracker'!W:W)</f>
        <v>0</v>
      </c>
      <c r="Y148" s="17"/>
      <c r="Z148" s="17"/>
      <c r="AA148" s="11"/>
      <c r="AB148" s="16"/>
    </row>
    <row r="149" spans="1:28" s="7" customFormat="1" ht="150" hidden="1" customHeight="1" outlineLevel="1" x14ac:dyDescent="1.25">
      <c r="A149" s="4"/>
      <c r="C149" s="77"/>
      <c r="D149" s="94" t="s">
        <v>44</v>
      </c>
      <c r="E149" s="49" t="str">
        <f>_xlfn.XLOOKUP(D149,'consolidated tracker'!D:D,'consolidated tracker'!E:E)</f>
        <v>Pre-Launch</v>
      </c>
      <c r="F149" s="134">
        <v>47299</v>
      </c>
      <c r="G149" s="33">
        <f>_xlfn.XLOOKUP(D149,'consolidated tracker'!D:D,'consolidated tracker'!F:F)</f>
        <v>0</v>
      </c>
      <c r="H149" s="33">
        <f>_xlfn.XLOOKUP(D149,'consolidated tracker'!D:D,'consolidated tracker'!G:G)</f>
        <v>0</v>
      </c>
      <c r="I149" s="33">
        <f>_xlfn.XLOOKUP(D149,'consolidated tracker'!D:D,'consolidated tracker'!H:H)</f>
        <v>0</v>
      </c>
      <c r="J149" s="33">
        <f>_xlfn.XLOOKUP(D149,'consolidated tracker'!D:D,'consolidated tracker'!I:I)</f>
        <v>0</v>
      </c>
      <c r="K149" s="33">
        <f>_xlfn.XLOOKUP(D149,'consolidated tracker'!D:D,'consolidated tracker'!J:J)</f>
        <v>0</v>
      </c>
      <c r="L149" s="34">
        <f>_xlfn.XLOOKUP(D149,'consolidated tracker'!D:D,'consolidated tracker'!K:K)</f>
        <v>0</v>
      </c>
      <c r="M149" s="36">
        <f>_xlfn.XLOOKUP('consolidated - Offplan'!D149,'consolidated tracker'!D:D,'consolidated tracker'!L:L)</f>
        <v>0</v>
      </c>
      <c r="N149" s="30">
        <f>_xlfn.XLOOKUP($D149,'consolidated tracker'!$D:$D,'consolidated tracker'!M:M)</f>
        <v>0</v>
      </c>
      <c r="O149" s="40">
        <f>_xlfn.XLOOKUP($D149,'consolidated tracker'!$D:$D,'consolidated tracker'!N:N)</f>
        <v>0</v>
      </c>
      <c r="P149" s="33">
        <f>_xlfn.XLOOKUP($D149,'consolidated tracker'!$D:$D,'consolidated tracker'!O:O)</f>
        <v>0</v>
      </c>
      <c r="Q149" s="33">
        <f>_xlfn.XLOOKUP($D149,'consolidated tracker'!$D:$D,'consolidated tracker'!P:P)</f>
        <v>0</v>
      </c>
      <c r="R149" s="33">
        <f>_xlfn.XLOOKUP($D149,'consolidated tracker'!$D:$D,'consolidated tracker'!Q:Q)</f>
        <v>0</v>
      </c>
      <c r="S149" s="33">
        <f>_xlfn.XLOOKUP($D149,'consolidated tracker'!$D:$D,'consolidated tracker'!R:R)</f>
        <v>0</v>
      </c>
      <c r="T149" s="33">
        <f>_xlfn.XLOOKUP($D149,'consolidated tracker'!$D:$D,'consolidated tracker'!S:S)</f>
        <v>0</v>
      </c>
      <c r="U149" s="33">
        <f>_xlfn.XLOOKUP($D149,'consolidated tracker'!$D:$D,'consolidated tracker'!T:T)</f>
        <v>0</v>
      </c>
      <c r="V149" s="33">
        <f>_xlfn.XLOOKUP($D149,'consolidated tracker'!$D:$D,'consolidated tracker'!U:U)</f>
        <v>0</v>
      </c>
      <c r="W149" s="33">
        <f>_xlfn.XLOOKUP($D149,'consolidated tracker'!$D:$D,'consolidated tracker'!V:V)</f>
        <v>0</v>
      </c>
      <c r="X149" s="33">
        <f>_xlfn.XLOOKUP($D149,'consolidated tracker'!$D:$D,'consolidated tracker'!W:W)</f>
        <v>0</v>
      </c>
      <c r="Y149" s="17"/>
      <c r="Z149" s="17"/>
      <c r="AA149" s="11"/>
      <c r="AB149" s="16"/>
    </row>
    <row r="150" spans="1:28" s="7" customFormat="1" ht="150" hidden="1" customHeight="1" outlineLevel="1" x14ac:dyDescent="1.25">
      <c r="A150" s="4"/>
      <c r="C150" s="77"/>
      <c r="D150" s="94" t="s">
        <v>43</v>
      </c>
      <c r="E150" s="49" t="str">
        <f>_xlfn.XLOOKUP(D150,'consolidated tracker'!D:D,'consolidated tracker'!E:E)</f>
        <v>Pre-Launch</v>
      </c>
      <c r="F150" s="134">
        <v>47299</v>
      </c>
      <c r="G150" s="33">
        <f>_xlfn.XLOOKUP(D150,'consolidated tracker'!D:D,'consolidated tracker'!F:F)</f>
        <v>34</v>
      </c>
      <c r="H150" s="33">
        <f>_xlfn.XLOOKUP(D150,'consolidated tracker'!D:D,'consolidated tracker'!G:G)</f>
        <v>46691549.93</v>
      </c>
      <c r="I150" s="33">
        <f>_xlfn.XLOOKUP(D150,'consolidated tracker'!D:D,'consolidated tracker'!H:H)</f>
        <v>9606307.1000000015</v>
      </c>
      <c r="J150" s="33">
        <f>_xlfn.XLOOKUP(D150,'consolidated tracker'!D:D,'consolidated tracker'!I:I)</f>
        <v>8963610.4699999969</v>
      </c>
      <c r="K150" s="33">
        <f>_xlfn.XLOOKUP(D150,'consolidated tracker'!D:D,'consolidated tracker'!J:J)</f>
        <v>381877.16999999993</v>
      </c>
      <c r="L150" s="34">
        <f>_xlfn.XLOOKUP(D150,'consolidated tracker'!D:D,'consolidated tracker'!K:K)</f>
        <v>0.93309638935028383</v>
      </c>
      <c r="M150" s="36">
        <f>_xlfn.XLOOKUP('consolidated - Offplan'!D150,'consolidated tracker'!D:D,'consolidated tracker'!L:L)</f>
        <v>642696.63</v>
      </c>
      <c r="N150" s="30">
        <f>_xlfn.XLOOKUP($D150,'consolidated tracker'!$D:$D,'consolidated tracker'!M:M)</f>
        <v>36703365.659999996</v>
      </c>
      <c r="O150" s="40">
        <f>_xlfn.XLOOKUP($D150,'consolidated tracker'!$D:$D,'consolidated tracker'!N:N)</f>
        <v>4979975.6300000027</v>
      </c>
      <c r="P150" s="33">
        <f>_xlfn.XLOOKUP($D150,'consolidated tracker'!$D:$D,'consolidated tracker'!O:O)</f>
        <v>7517275.4999999991</v>
      </c>
      <c r="Q150" s="33">
        <f>_xlfn.XLOOKUP($D150,'consolidated tracker'!$D:$D,'consolidated tracker'!P:P)</f>
        <v>3874931.2599999993</v>
      </c>
      <c r="R150" s="33">
        <f>_xlfn.XLOOKUP($D150,'consolidated tracker'!$D:$D,'consolidated tracker'!Q:Q)</f>
        <v>20331183.269999996</v>
      </c>
      <c r="S150" s="33">
        <f>_xlfn.XLOOKUP($D150,'consolidated tracker'!$D:$D,'consolidated tracker'!R:R)</f>
        <v>0</v>
      </c>
      <c r="T150" s="33">
        <f>_xlfn.XLOOKUP($D150,'consolidated tracker'!$D:$D,'consolidated tracker'!S:S)</f>
        <v>0</v>
      </c>
      <c r="U150" s="33">
        <f>_xlfn.XLOOKUP($D150,'consolidated tracker'!$D:$D,'consolidated tracker'!T:T)</f>
        <v>0</v>
      </c>
      <c r="V150" s="33">
        <f>_xlfn.XLOOKUP($D150,'consolidated tracker'!$D:$D,'consolidated tracker'!U:U)</f>
        <v>0</v>
      </c>
      <c r="W150" s="33">
        <f>_xlfn.XLOOKUP($D150,'consolidated tracker'!$D:$D,'consolidated tracker'!V:V)</f>
        <v>0</v>
      </c>
      <c r="X150" s="33">
        <f>_xlfn.XLOOKUP($D150,'consolidated tracker'!$D:$D,'consolidated tracker'!W:W)</f>
        <v>0</v>
      </c>
      <c r="Y150" s="17"/>
      <c r="Z150" s="17"/>
      <c r="AA150" s="11"/>
      <c r="AB150" s="16"/>
    </row>
    <row r="151" spans="1:28" s="7" customFormat="1" ht="150" hidden="1" customHeight="1" outlineLevel="1" x14ac:dyDescent="1.25">
      <c r="A151" s="4"/>
      <c r="C151" s="77"/>
      <c r="D151" s="94" t="s">
        <v>42</v>
      </c>
      <c r="E151" s="49" t="str">
        <f>_xlfn.XLOOKUP(D151,'consolidated tracker'!D:D,'consolidated tracker'!E:E)</f>
        <v>Pre-Launch</v>
      </c>
      <c r="F151" s="134">
        <v>47299</v>
      </c>
      <c r="G151" s="33">
        <f>_xlfn.XLOOKUP(D151,'consolidated tracker'!D:D,'consolidated tracker'!F:F)</f>
        <v>28</v>
      </c>
      <c r="H151" s="33">
        <f>_xlfn.XLOOKUP(D151,'consolidated tracker'!D:D,'consolidated tracker'!G:G)</f>
        <v>38058502.330000006</v>
      </c>
      <c r="I151" s="33">
        <f>_xlfn.XLOOKUP(D151,'consolidated tracker'!D:D,'consolidated tracker'!H:H)</f>
        <v>7025804.1499999994</v>
      </c>
      <c r="J151" s="33">
        <f>_xlfn.XLOOKUP(D151,'consolidated tracker'!D:D,'consolidated tracker'!I:I)</f>
        <v>6698003.9900000012</v>
      </c>
      <c r="K151" s="33">
        <f>_xlfn.XLOOKUP(D151,'consolidated tracker'!D:D,'consolidated tracker'!J:J)</f>
        <v>340654.93</v>
      </c>
      <c r="L151" s="34">
        <f>_xlfn.XLOOKUP(D151,'consolidated tracker'!D:D,'consolidated tracker'!K:K)</f>
        <v>0.95334339628581899</v>
      </c>
      <c r="M151" s="36">
        <f>_xlfn.XLOOKUP('consolidated - Offplan'!D151,'consolidated tracker'!D:D,'consolidated tracker'!L:L)</f>
        <v>327800.15999999997</v>
      </c>
      <c r="N151" s="30">
        <f>_xlfn.XLOOKUP($D151,'consolidated tracker'!$D:$D,'consolidated tracker'!M:M)</f>
        <v>30692043.250000007</v>
      </c>
      <c r="O151" s="40">
        <f>_xlfn.XLOOKUP($D151,'consolidated tracker'!$D:$D,'consolidated tracker'!N:N)</f>
        <v>4388234.4200000018</v>
      </c>
      <c r="P151" s="33">
        <f>_xlfn.XLOOKUP($D151,'consolidated tracker'!$D:$D,'consolidated tracker'!O:O)</f>
        <v>6037520.5500000017</v>
      </c>
      <c r="Q151" s="33">
        <f>_xlfn.XLOOKUP($D151,'consolidated tracker'!$D:$D,'consolidated tracker'!P:P)</f>
        <v>2932695.3</v>
      </c>
      <c r="R151" s="33">
        <f>_xlfn.XLOOKUP($D151,'consolidated tracker'!$D:$D,'consolidated tracker'!Q:Q)</f>
        <v>17333592.980000004</v>
      </c>
      <c r="S151" s="33">
        <f>_xlfn.XLOOKUP($D151,'consolidated tracker'!$D:$D,'consolidated tracker'!R:R)</f>
        <v>0</v>
      </c>
      <c r="T151" s="33">
        <f>_xlfn.XLOOKUP($D151,'consolidated tracker'!$D:$D,'consolidated tracker'!S:S)</f>
        <v>0</v>
      </c>
      <c r="U151" s="33">
        <f>_xlfn.XLOOKUP($D151,'consolidated tracker'!$D:$D,'consolidated tracker'!T:T)</f>
        <v>0</v>
      </c>
      <c r="V151" s="33">
        <f>_xlfn.XLOOKUP($D151,'consolidated tracker'!$D:$D,'consolidated tracker'!U:U)</f>
        <v>0</v>
      </c>
      <c r="W151" s="33">
        <f>_xlfn.XLOOKUP($D151,'consolidated tracker'!$D:$D,'consolidated tracker'!V:V)</f>
        <v>0</v>
      </c>
      <c r="X151" s="33">
        <f>_xlfn.XLOOKUP($D151,'consolidated tracker'!$D:$D,'consolidated tracker'!W:W)</f>
        <v>0</v>
      </c>
      <c r="Y151" s="17"/>
      <c r="Z151" s="17"/>
      <c r="AA151" s="11"/>
      <c r="AB151" s="16"/>
    </row>
    <row r="152" spans="1:28" s="7" customFormat="1" ht="150" customHeight="1" collapsed="1" x14ac:dyDescent="1.25">
      <c r="A152" s="4"/>
      <c r="C152" s="77">
        <v>25</v>
      </c>
      <c r="D152" s="76" t="s">
        <v>41</v>
      </c>
      <c r="E152" s="49" t="str">
        <f>_xlfn.XLOOKUP(D152,'consolidated tracker'!D:D,'consolidated tracker'!E:E)</f>
        <v>Pre-Launch</v>
      </c>
      <c r="F152" s="134">
        <v>48213</v>
      </c>
      <c r="G152" s="33">
        <f>_xlfn.XLOOKUP(D152,'consolidated tracker'!D:D,'consolidated tracker'!F:F)</f>
        <v>116</v>
      </c>
      <c r="H152" s="33">
        <f>_xlfn.XLOOKUP(D152,'consolidated tracker'!D:D,'consolidated tracker'!G:G)</f>
        <v>563398526</v>
      </c>
      <c r="I152" s="33">
        <f>_xlfn.XLOOKUP(D152,'consolidated tracker'!D:D,'consolidated tracker'!H:H)</f>
        <v>103535608.13000007</v>
      </c>
      <c r="J152" s="33">
        <f>_xlfn.XLOOKUP(D152,'consolidated tracker'!D:D,'consolidated tracker'!I:I)</f>
        <v>98389626.309999973</v>
      </c>
      <c r="K152" s="33">
        <f>_xlfn.XLOOKUP(D152,'consolidated tracker'!D:D,'consolidated tracker'!J:J)</f>
        <v>12176372.290000003</v>
      </c>
      <c r="L152" s="34">
        <f>_xlfn.XLOOKUP(D152,'consolidated tracker'!D:D,'consolidated tracker'!K:K)</f>
        <v>0.95029746854300823</v>
      </c>
      <c r="M152" s="36">
        <f>_xlfn.XLOOKUP('consolidated - Offplan'!D152,'consolidated tracker'!D:D,'consolidated tracker'!L:L)</f>
        <v>5145981.82</v>
      </c>
      <c r="N152" s="30">
        <f>_xlfn.XLOOKUP($D152,'consolidated tracker'!$D:$D,'consolidated tracker'!M:M)</f>
        <v>447686545.57999992</v>
      </c>
      <c r="O152" s="40">
        <f>_xlfn.XLOOKUP($D152,'consolidated tracker'!$D:$D,'consolidated tracker'!N:N)</f>
        <v>53478810.25</v>
      </c>
      <c r="P152" s="33">
        <f>_xlfn.XLOOKUP($D152,'consolidated tracker'!$D:$D,'consolidated tracker'!O:O)</f>
        <v>55915199.450000003</v>
      </c>
      <c r="Q152" s="33">
        <f>_xlfn.XLOOKUP($D152,'consolidated tracker'!$D:$D,'consolidated tracker'!P:P)</f>
        <v>55129342.909999996</v>
      </c>
      <c r="R152" s="33">
        <f>_xlfn.XLOOKUP($D152,'consolidated tracker'!$D:$D,'consolidated tracker'!Q:Q)</f>
        <v>55995297.329999998</v>
      </c>
      <c r="S152" s="33">
        <f>_xlfn.XLOOKUP($D152,'consolidated tracker'!$D:$D,'consolidated tracker'!R:R)</f>
        <v>55601850.299999997</v>
      </c>
      <c r="T152" s="33">
        <f>_xlfn.XLOOKUP($D152,'consolidated tracker'!$D:$D,'consolidated tracker'!S:S)</f>
        <v>171566045.33999991</v>
      </c>
      <c r="U152" s="33">
        <f>_xlfn.XLOOKUP($D152,'consolidated tracker'!$D:$D,'consolidated tracker'!T:T)</f>
        <v>0</v>
      </c>
      <c r="V152" s="33">
        <f>_xlfn.XLOOKUP($D152,'consolidated tracker'!$D:$D,'consolidated tracker'!U:U)</f>
        <v>0</v>
      </c>
      <c r="W152" s="33">
        <f>_xlfn.XLOOKUP($D152,'consolidated tracker'!$D:$D,'consolidated tracker'!V:V)</f>
        <v>0</v>
      </c>
      <c r="X152" s="33">
        <f>_xlfn.XLOOKUP($D152,'consolidated tracker'!$D:$D,'consolidated tracker'!W:W)</f>
        <v>0</v>
      </c>
      <c r="Y152" s="17"/>
      <c r="Z152" s="17"/>
      <c r="AA152" s="11"/>
      <c r="AB152" s="16"/>
    </row>
    <row r="153" spans="1:28" s="7" customFormat="1" ht="150" customHeight="1" x14ac:dyDescent="1.25">
      <c r="A153" s="4"/>
      <c r="C153" s="77">
        <v>26</v>
      </c>
      <c r="D153" s="76" t="s">
        <v>40</v>
      </c>
      <c r="E153" s="49" t="str">
        <f>_xlfn.XLOOKUP(D153,'consolidated tracker'!D:D,'consolidated tracker'!E:E)</f>
        <v>Pre-Launch</v>
      </c>
      <c r="F153" s="134">
        <v>48213</v>
      </c>
      <c r="G153" s="33">
        <f>_xlfn.XLOOKUP(D153,'consolidated tracker'!D:D,'consolidated tracker'!F:F)</f>
        <v>213</v>
      </c>
      <c r="H153" s="33">
        <f>_xlfn.XLOOKUP(D153,'consolidated tracker'!D:D,'consolidated tracker'!G:G)</f>
        <v>553930211.53999996</v>
      </c>
      <c r="I153" s="33">
        <f>_xlfn.XLOOKUP(D153,'consolidated tracker'!D:D,'consolidated tracker'!H:H)</f>
        <v>104035900.91000003</v>
      </c>
      <c r="J153" s="33">
        <f>_xlfn.XLOOKUP(D153,'consolidated tracker'!D:D,'consolidated tracker'!I:I)</f>
        <v>96424495.040000007</v>
      </c>
      <c r="K153" s="33">
        <f>_xlfn.XLOOKUP(D153,'consolidated tracker'!D:D,'consolidated tracker'!J:J)</f>
        <v>1992951.0300000003</v>
      </c>
      <c r="L153" s="34">
        <f>_xlfn.XLOOKUP(D153,'consolidated tracker'!D:D,'consolidated tracker'!K:K)</f>
        <v>0.92683866046794228</v>
      </c>
      <c r="M153" s="36">
        <f>_xlfn.XLOOKUP('consolidated - Offplan'!D153,'consolidated tracker'!D:D,'consolidated tracker'!L:L)</f>
        <v>7611405.870000001</v>
      </c>
      <c r="N153" s="30">
        <f>_xlfn.XLOOKUP($D153,'consolidated tracker'!$D:$D,'consolidated tracker'!M:M)</f>
        <v>447901359.5999999</v>
      </c>
      <c r="O153" s="40">
        <f>_xlfn.XLOOKUP($D153,'consolidated tracker'!$D:$D,'consolidated tracker'!N:N)</f>
        <v>47642907.110000014</v>
      </c>
      <c r="P153" s="33">
        <f>_xlfn.XLOOKUP($D153,'consolidated tracker'!$D:$D,'consolidated tracker'!O:O)</f>
        <v>56700833.520000033</v>
      </c>
      <c r="Q153" s="33">
        <f>_xlfn.XLOOKUP($D153,'consolidated tracker'!$D:$D,'consolidated tracker'!P:P)</f>
        <v>36260581.240000017</v>
      </c>
      <c r="R153" s="33">
        <f>_xlfn.XLOOKUP($D153,'consolidated tracker'!$D:$D,'consolidated tracker'!Q:Q)</f>
        <v>41294791.290000014</v>
      </c>
      <c r="S153" s="33">
        <f>_xlfn.XLOOKUP($D153,'consolidated tracker'!$D:$D,'consolidated tracker'!R:R)</f>
        <v>266002246.43999982</v>
      </c>
      <c r="T153" s="33">
        <f>_xlfn.XLOOKUP($D153,'consolidated tracker'!$D:$D,'consolidated tracker'!S:S)</f>
        <v>0</v>
      </c>
      <c r="U153" s="33">
        <f>_xlfn.XLOOKUP($D153,'consolidated tracker'!$D:$D,'consolidated tracker'!T:T)</f>
        <v>0</v>
      </c>
      <c r="V153" s="33">
        <f>_xlfn.XLOOKUP($D153,'consolidated tracker'!$D:$D,'consolidated tracker'!U:U)</f>
        <v>0</v>
      </c>
      <c r="W153" s="33">
        <f>_xlfn.XLOOKUP($D153,'consolidated tracker'!$D:$D,'consolidated tracker'!V:V)</f>
        <v>0</v>
      </c>
      <c r="X153" s="33">
        <f>_xlfn.XLOOKUP($D153,'consolidated tracker'!$D:$D,'consolidated tracker'!W:W)</f>
        <v>0</v>
      </c>
      <c r="Y153" s="17"/>
      <c r="Z153" s="17"/>
      <c r="AA153" s="11"/>
      <c r="AB153" s="16"/>
    </row>
    <row r="154" spans="1:28" s="7" customFormat="1" ht="150" customHeight="1" x14ac:dyDescent="1.25">
      <c r="A154" s="4"/>
      <c r="C154" s="77">
        <v>27</v>
      </c>
      <c r="D154" s="76" t="s">
        <v>39</v>
      </c>
      <c r="E154" s="49" t="str">
        <f>_xlfn.XLOOKUP(D154,'consolidated tracker'!D:D,'consolidated tracker'!E:E)</f>
        <v>Pre-Launch</v>
      </c>
      <c r="F154" s="134">
        <v>47848</v>
      </c>
      <c r="G154" s="33">
        <f>_xlfn.XLOOKUP(D154,'consolidated tracker'!D:D,'consolidated tracker'!F:F)</f>
        <v>293</v>
      </c>
      <c r="H154" s="33">
        <f>_xlfn.XLOOKUP(D154,'consolidated tracker'!D:D,'consolidated tracker'!G:G)</f>
        <v>665379462.88999987</v>
      </c>
      <c r="I154" s="33">
        <f>_xlfn.XLOOKUP(D154,'consolidated tracker'!D:D,'consolidated tracker'!H:H)</f>
        <v>111574574.38999985</v>
      </c>
      <c r="J154" s="33">
        <f>_xlfn.XLOOKUP(D154,'consolidated tracker'!D:D,'consolidated tracker'!I:I)</f>
        <v>96740655.38000001</v>
      </c>
      <c r="K154" s="33">
        <f>_xlfn.XLOOKUP(D154,'consolidated tracker'!D:D,'consolidated tracker'!J:J)</f>
        <v>3690545.0200000009</v>
      </c>
      <c r="L154" s="34">
        <f>_xlfn.XLOOKUP(D154,'consolidated tracker'!D:D,'consolidated tracker'!K:K)</f>
        <v>0.86704928886263022</v>
      </c>
      <c r="M154" s="36">
        <f>_xlfn.XLOOKUP('consolidated - Offplan'!D154,'consolidated tracker'!D:D,'consolidated tracker'!L:L)</f>
        <v>14833919.010000002</v>
      </c>
      <c r="N154" s="30">
        <f>_xlfn.XLOOKUP($D154,'consolidated tracker'!$D:$D,'consolidated tracker'!M:M)</f>
        <v>550114343.48000002</v>
      </c>
      <c r="O154" s="40">
        <f>_xlfn.XLOOKUP($D154,'consolidated tracker'!$D:$D,'consolidated tracker'!N:N)</f>
        <v>36991537.570000112</v>
      </c>
      <c r="P154" s="33">
        <f>_xlfn.XLOOKUP($D154,'consolidated tracker'!$D:$D,'consolidated tracker'!O:O)</f>
        <v>72049470.000000015</v>
      </c>
      <c r="Q154" s="33">
        <f>_xlfn.XLOOKUP($D154,'consolidated tracker'!$D:$D,'consolidated tracker'!P:P)</f>
        <v>66323340.779999994</v>
      </c>
      <c r="R154" s="33">
        <f>_xlfn.XLOOKUP($D154,'consolidated tracker'!$D:$D,'consolidated tracker'!Q:Q)</f>
        <v>90023517.919999942</v>
      </c>
      <c r="S154" s="33">
        <f>_xlfn.XLOOKUP($D154,'consolidated tracker'!$D:$D,'consolidated tracker'!R:R)</f>
        <v>284726477.20999998</v>
      </c>
      <c r="T154" s="33">
        <f>_xlfn.XLOOKUP($D154,'consolidated tracker'!$D:$D,'consolidated tracker'!S:S)</f>
        <v>0</v>
      </c>
      <c r="U154" s="33">
        <f>_xlfn.XLOOKUP($D154,'consolidated tracker'!$D:$D,'consolidated tracker'!T:T)</f>
        <v>0</v>
      </c>
      <c r="V154" s="33">
        <f>_xlfn.XLOOKUP($D154,'consolidated tracker'!$D:$D,'consolidated tracker'!U:U)</f>
        <v>0</v>
      </c>
      <c r="W154" s="33">
        <f>_xlfn.XLOOKUP($D154,'consolidated tracker'!$D:$D,'consolidated tracker'!V:V)</f>
        <v>0</v>
      </c>
      <c r="X154" s="33">
        <f>_xlfn.XLOOKUP($D154,'consolidated tracker'!$D:$D,'consolidated tracker'!W:W)</f>
        <v>0</v>
      </c>
      <c r="Y154" s="17"/>
      <c r="Z154" s="17"/>
      <c r="AA154" s="11"/>
      <c r="AB154" s="16"/>
    </row>
    <row r="155" spans="1:28" s="7" customFormat="1" ht="150" customHeight="1" x14ac:dyDescent="1.25">
      <c r="A155" s="4"/>
      <c r="C155" s="77">
        <v>28</v>
      </c>
      <c r="D155" s="76" t="s">
        <v>38</v>
      </c>
      <c r="E155" s="49" t="str">
        <f>_xlfn.XLOOKUP(D155,'consolidated tracker'!D:D,'consolidated tracker'!E:E)</f>
        <v>Pre-Launch</v>
      </c>
      <c r="F155" s="134">
        <v>47848</v>
      </c>
      <c r="G155" s="33">
        <f>_xlfn.XLOOKUP(D155,'consolidated tracker'!D:D,'consolidated tracker'!F:F)</f>
        <v>49</v>
      </c>
      <c r="H155" s="33">
        <f>_xlfn.XLOOKUP(D155,'consolidated tracker'!D:D,'consolidated tracker'!G:G)</f>
        <v>393210660.60000002</v>
      </c>
      <c r="I155" s="33">
        <f>_xlfn.XLOOKUP(D155,'consolidated tracker'!D:D,'consolidated tracker'!H:H)</f>
        <v>70714827.00999999</v>
      </c>
      <c r="J155" s="33">
        <f>_xlfn.XLOOKUP(D155,'consolidated tracker'!D:D,'consolidated tracker'!I:I)</f>
        <v>63994980.059999995</v>
      </c>
      <c r="K155" s="33">
        <f>_xlfn.XLOOKUP(D155,'consolidated tracker'!D:D,'consolidated tracker'!J:J)</f>
        <v>2456825.4799999995</v>
      </c>
      <c r="L155" s="34">
        <f>_xlfn.XLOOKUP(D155,'consolidated tracker'!D:D,'consolidated tracker'!K:K)</f>
        <v>0.90497258871820863</v>
      </c>
      <c r="M155" s="36">
        <f>_xlfn.XLOOKUP('consolidated - Offplan'!D155,'consolidated tracker'!D:D,'consolidated tracker'!L:L)</f>
        <v>6719846.9500000002</v>
      </c>
      <c r="N155" s="30">
        <f>_xlfn.XLOOKUP($D155,'consolidated tracker'!$D:$D,'consolidated tracker'!M:M)</f>
        <v>320039008.11000001</v>
      </c>
      <c r="O155" s="40">
        <f>_xlfn.XLOOKUP($D155,'consolidated tracker'!$D:$D,'consolidated tracker'!N:N)</f>
        <v>7800846.8400000334</v>
      </c>
      <c r="P155" s="33">
        <f>_xlfn.XLOOKUP($D155,'consolidated tracker'!$D:$D,'consolidated tracker'!O:O)</f>
        <v>80835238.519999996</v>
      </c>
      <c r="Q155" s="33">
        <f>_xlfn.XLOOKUP($D155,'consolidated tracker'!$D:$D,'consolidated tracker'!P:P)</f>
        <v>41795452.769999996</v>
      </c>
      <c r="R155" s="33">
        <f>_xlfn.XLOOKUP($D155,'consolidated tracker'!$D:$D,'consolidated tracker'!Q:Q)</f>
        <v>19545725.59</v>
      </c>
      <c r="S155" s="33">
        <f>_xlfn.XLOOKUP($D155,'consolidated tracker'!$D:$D,'consolidated tracker'!R:R)</f>
        <v>170061744.38999999</v>
      </c>
      <c r="T155" s="33">
        <f>_xlfn.XLOOKUP($D155,'consolidated tracker'!$D:$D,'consolidated tracker'!S:S)</f>
        <v>0</v>
      </c>
      <c r="U155" s="33">
        <f>_xlfn.XLOOKUP($D155,'consolidated tracker'!$D:$D,'consolidated tracker'!T:T)</f>
        <v>0</v>
      </c>
      <c r="V155" s="33">
        <f>_xlfn.XLOOKUP($D155,'consolidated tracker'!$D:$D,'consolidated tracker'!U:U)</f>
        <v>0</v>
      </c>
      <c r="W155" s="33">
        <f>_xlfn.XLOOKUP($D155,'consolidated tracker'!$D:$D,'consolidated tracker'!V:V)</f>
        <v>0</v>
      </c>
      <c r="X155" s="33">
        <f>_xlfn.XLOOKUP($D155,'consolidated tracker'!$D:$D,'consolidated tracker'!W:W)</f>
        <v>0</v>
      </c>
      <c r="Y155" s="17"/>
      <c r="Z155" s="17"/>
      <c r="AA155" s="11"/>
      <c r="AB155" s="16"/>
    </row>
    <row r="156" spans="1:28" s="7" customFormat="1" ht="150" customHeight="1" x14ac:dyDescent="1.25">
      <c r="A156" s="4"/>
      <c r="C156" s="77">
        <v>29</v>
      </c>
      <c r="D156" s="76" t="s">
        <v>37</v>
      </c>
      <c r="E156" s="49" t="str">
        <f>_xlfn.XLOOKUP(D156,'consolidated tracker'!D:D,'consolidated tracker'!E:E)</f>
        <v>Pre-Launch</v>
      </c>
      <c r="F156" s="134" t="s">
        <v>232</v>
      </c>
      <c r="G156" s="33">
        <f>_xlfn.XLOOKUP(D156,'consolidated tracker'!D:D,'consolidated tracker'!F:F)</f>
        <v>324</v>
      </c>
      <c r="H156" s="33">
        <f>_xlfn.XLOOKUP(D156,'consolidated tracker'!D:D,'consolidated tracker'!G:G)</f>
        <v>1616050376.9699998</v>
      </c>
      <c r="I156" s="33">
        <f>_xlfn.XLOOKUP(D156,'consolidated tracker'!D:D,'consolidated tracker'!H:H)</f>
        <v>250206610.61999986</v>
      </c>
      <c r="J156" s="33">
        <f>_xlfn.XLOOKUP(D156,'consolidated tracker'!D:D,'consolidated tracker'!I:I)</f>
        <v>199790925.23999995</v>
      </c>
      <c r="K156" s="33">
        <f>_xlfn.XLOOKUP(D156,'consolidated tracker'!D:D,'consolidated tracker'!J:J)</f>
        <v>17494636.890000004</v>
      </c>
      <c r="L156" s="34">
        <f>_xlfn.XLOOKUP(D156,'consolidated tracker'!D:D,'consolidated tracker'!K:K)</f>
        <v>0.79850378351286455</v>
      </c>
      <c r="M156" s="36">
        <f>_xlfn.XLOOKUP('consolidated - Offplan'!D156,'consolidated tracker'!D:D,'consolidated tracker'!L:L)</f>
        <v>50415685.380000018</v>
      </c>
      <c r="N156" s="30">
        <f>_xlfn.XLOOKUP($D156,'consolidated tracker'!$D:$D,'consolidated tracker'!M:M)</f>
        <v>1348349129.46</v>
      </c>
      <c r="O156" s="40">
        <f>_xlfn.XLOOKUP($D156,'consolidated tracker'!$D:$D,'consolidated tracker'!N:N)</f>
        <v>173838541.11000058</v>
      </c>
      <c r="P156" s="33">
        <f>_xlfn.XLOOKUP($D156,'consolidated tracker'!$D:$D,'consolidated tracker'!O:O)</f>
        <v>186104499.0999999</v>
      </c>
      <c r="Q156" s="33">
        <f>_xlfn.XLOOKUP($D156,'consolidated tracker'!$D:$D,'consolidated tracker'!P:P)</f>
        <v>256560585.5399999</v>
      </c>
      <c r="R156" s="33">
        <f>_xlfn.XLOOKUP($D156,'consolidated tracker'!$D:$D,'consolidated tracker'!Q:Q)</f>
        <v>731845503.70999968</v>
      </c>
      <c r="S156" s="33">
        <f>_xlfn.XLOOKUP($D156,'consolidated tracker'!$D:$D,'consolidated tracker'!R:R)</f>
        <v>0</v>
      </c>
      <c r="T156" s="33">
        <f>_xlfn.XLOOKUP($D156,'consolidated tracker'!$D:$D,'consolidated tracker'!S:S)</f>
        <v>0</v>
      </c>
      <c r="U156" s="33">
        <f>_xlfn.XLOOKUP($D156,'consolidated tracker'!$D:$D,'consolidated tracker'!T:T)</f>
        <v>0</v>
      </c>
      <c r="V156" s="33">
        <f>_xlfn.XLOOKUP($D156,'consolidated tracker'!$D:$D,'consolidated tracker'!U:U)</f>
        <v>0</v>
      </c>
      <c r="W156" s="33">
        <f>_xlfn.XLOOKUP($D156,'consolidated tracker'!$D:$D,'consolidated tracker'!V:V)</f>
        <v>0</v>
      </c>
      <c r="X156" s="33">
        <f>_xlfn.XLOOKUP($D156,'consolidated tracker'!$D:$D,'consolidated tracker'!W:W)</f>
        <v>0</v>
      </c>
      <c r="Y156" s="17"/>
      <c r="Z156" s="17"/>
      <c r="AA156" s="11"/>
      <c r="AB156" s="16"/>
    </row>
    <row r="157" spans="1:28" s="7" customFormat="1" ht="150" hidden="1" customHeight="1" outlineLevel="1" x14ac:dyDescent="1.25">
      <c r="A157" s="4">
        <f>ROW()</f>
        <v>157</v>
      </c>
      <c r="C157" s="77"/>
      <c r="D157" s="76" t="s">
        <v>36</v>
      </c>
      <c r="E157" s="49" t="str">
        <f>_xlfn.XLOOKUP(D157,'consolidated tracker'!D:D,'consolidated tracker'!E:E)</f>
        <v>Pre-Launch</v>
      </c>
      <c r="F157" s="134">
        <v>47361</v>
      </c>
      <c r="G157" s="33">
        <f>_xlfn.XLOOKUP(D157,'consolidated tracker'!D:D,'consolidated tracker'!F:F)</f>
        <v>130</v>
      </c>
      <c r="H157" s="33">
        <f>_xlfn.XLOOKUP(D157,'consolidated tracker'!D:D,'consolidated tracker'!G:G)</f>
        <v>589121955.75999999</v>
      </c>
      <c r="I157" s="33">
        <f>_xlfn.XLOOKUP(D157,'consolidated tracker'!D:D,'consolidated tracker'!H:H)</f>
        <v>91549118.429999962</v>
      </c>
      <c r="J157" s="33">
        <f>_xlfn.XLOOKUP(D157,'consolidated tracker'!D:D,'consolidated tracker'!I:I)</f>
        <v>71670445.779999956</v>
      </c>
      <c r="K157" s="33">
        <f>_xlfn.XLOOKUP(D157,'consolidated tracker'!D:D,'consolidated tracker'!J:J)</f>
        <v>4684299.3500000006</v>
      </c>
      <c r="L157" s="34">
        <f>_xlfn.XLOOKUP(D157,'consolidated tracker'!D:D,'consolidated tracker'!K:K)</f>
        <v>0.7828633088892103</v>
      </c>
      <c r="M157" s="36">
        <f>_xlfn.XLOOKUP('consolidated - Offplan'!D157,'consolidated tracker'!D:D,'consolidated tracker'!L:L)</f>
        <v>19878672.65000001</v>
      </c>
      <c r="N157" s="30">
        <f>_xlfn.XLOOKUP($D157,'consolidated tracker'!$D:$D,'consolidated tracker'!M:M)</f>
        <v>492888537.98000002</v>
      </c>
      <c r="O157" s="40">
        <f>_xlfn.XLOOKUP($D157,'consolidated tracker'!$D:$D,'consolidated tracker'!N:N)</f>
        <v>65604244.200000405</v>
      </c>
      <c r="P157" s="33">
        <f>_xlfn.XLOOKUP($D157,'consolidated tracker'!$D:$D,'consolidated tracker'!O:O)</f>
        <v>67115003.379999936</v>
      </c>
      <c r="Q157" s="33">
        <f>_xlfn.XLOOKUP($D157,'consolidated tracker'!$D:$D,'consolidated tracker'!P:P)</f>
        <v>97033628.789999902</v>
      </c>
      <c r="R157" s="33">
        <f>_xlfn.XLOOKUP($D157,'consolidated tracker'!$D:$D,'consolidated tracker'!Q:Q)</f>
        <v>263135661.60999975</v>
      </c>
      <c r="S157" s="33">
        <f>_xlfn.XLOOKUP($D157,'consolidated tracker'!$D:$D,'consolidated tracker'!R:R)</f>
        <v>0</v>
      </c>
      <c r="T157" s="33">
        <f>_xlfn.XLOOKUP($D157,'consolidated tracker'!$D:$D,'consolidated tracker'!S:S)</f>
        <v>0</v>
      </c>
      <c r="U157" s="33">
        <f>_xlfn.XLOOKUP($D157,'consolidated tracker'!$D:$D,'consolidated tracker'!T:T)</f>
        <v>0</v>
      </c>
      <c r="V157" s="33">
        <f>_xlfn.XLOOKUP($D157,'consolidated tracker'!$D:$D,'consolidated tracker'!U:U)</f>
        <v>0</v>
      </c>
      <c r="W157" s="33">
        <f>_xlfn.XLOOKUP($D157,'consolidated tracker'!$D:$D,'consolidated tracker'!V:V)</f>
        <v>0</v>
      </c>
      <c r="X157" s="33">
        <f>_xlfn.XLOOKUP($D157,'consolidated tracker'!$D:$D,'consolidated tracker'!W:W)</f>
        <v>0</v>
      </c>
      <c r="Y157" s="17"/>
      <c r="Z157" s="17"/>
      <c r="AA157" s="11"/>
      <c r="AB157" s="16"/>
    </row>
    <row r="158" spans="1:28" s="7" customFormat="1" ht="150" hidden="1" customHeight="1" outlineLevel="1" x14ac:dyDescent="1.25">
      <c r="A158" s="4">
        <f>ROW()</f>
        <v>158</v>
      </c>
      <c r="C158" s="77"/>
      <c r="D158" s="76" t="s">
        <v>35</v>
      </c>
      <c r="E158" s="49" t="str">
        <f>_xlfn.XLOOKUP(D158,'consolidated tracker'!D:D,'consolidated tracker'!E:E)</f>
        <v>Pre-Launch</v>
      </c>
      <c r="F158" s="134">
        <v>47361</v>
      </c>
      <c r="G158" s="33">
        <f>_xlfn.XLOOKUP(D158,'consolidated tracker'!D:D,'consolidated tracker'!F:F)</f>
        <v>99</v>
      </c>
      <c r="H158" s="33">
        <f>_xlfn.XLOOKUP(D158,'consolidated tracker'!D:D,'consolidated tracker'!G:G)</f>
        <v>521314715.09999996</v>
      </c>
      <c r="I158" s="33">
        <f>_xlfn.XLOOKUP(D158,'consolidated tracker'!D:D,'consolidated tracker'!H:H)</f>
        <v>89618196.749999911</v>
      </c>
      <c r="J158" s="33">
        <f>_xlfn.XLOOKUP(D158,'consolidated tracker'!D:D,'consolidated tracker'!I:I)</f>
        <v>74222719.939999983</v>
      </c>
      <c r="K158" s="33">
        <f>_xlfn.XLOOKUP(D158,'consolidated tracker'!D:D,'consolidated tracker'!J:J)</f>
        <v>7221461.1300000027</v>
      </c>
      <c r="L158" s="34">
        <f>_xlfn.XLOOKUP(D158,'consolidated tracker'!D:D,'consolidated tracker'!K:K)</f>
        <v>0.8282103705685202</v>
      </c>
      <c r="M158" s="36">
        <f>_xlfn.XLOOKUP('consolidated - Offplan'!D158,'consolidated tracker'!D:D,'consolidated tracker'!L:L)</f>
        <v>15395476.810000008</v>
      </c>
      <c r="N158" s="30">
        <f>_xlfn.XLOOKUP($D158,'consolidated tracker'!$D:$D,'consolidated tracker'!M:M)</f>
        <v>424475057.22000003</v>
      </c>
      <c r="O158" s="40">
        <f>_xlfn.XLOOKUP($D158,'consolidated tracker'!$D:$D,'consolidated tracker'!N:N)</f>
        <v>50114114.740000129</v>
      </c>
      <c r="P158" s="33">
        <f>_xlfn.XLOOKUP($D158,'consolidated tracker'!$D:$D,'consolidated tracker'!O:O)</f>
        <v>57752355.539999992</v>
      </c>
      <c r="Q158" s="33">
        <f>_xlfn.XLOOKUP($D158,'consolidated tracker'!$D:$D,'consolidated tracker'!P:P)</f>
        <v>90055031.61999999</v>
      </c>
      <c r="R158" s="33">
        <f>_xlfn.XLOOKUP($D158,'consolidated tracker'!$D:$D,'consolidated tracker'!Q:Q)</f>
        <v>226553555.3199999</v>
      </c>
      <c r="S158" s="33">
        <f>_xlfn.XLOOKUP($D158,'consolidated tracker'!$D:$D,'consolidated tracker'!R:R)</f>
        <v>0</v>
      </c>
      <c r="T158" s="33">
        <f>_xlfn.XLOOKUP($D158,'consolidated tracker'!$D:$D,'consolidated tracker'!S:S)</f>
        <v>0</v>
      </c>
      <c r="U158" s="33">
        <f>_xlfn.XLOOKUP($D158,'consolidated tracker'!$D:$D,'consolidated tracker'!T:T)</f>
        <v>0</v>
      </c>
      <c r="V158" s="33">
        <f>_xlfn.XLOOKUP($D158,'consolidated tracker'!$D:$D,'consolidated tracker'!U:U)</f>
        <v>0</v>
      </c>
      <c r="W158" s="33">
        <f>_xlfn.XLOOKUP($D158,'consolidated tracker'!$D:$D,'consolidated tracker'!V:V)</f>
        <v>0</v>
      </c>
      <c r="X158" s="33">
        <f>_xlfn.XLOOKUP($D158,'consolidated tracker'!$D:$D,'consolidated tracker'!W:W)</f>
        <v>0</v>
      </c>
      <c r="Y158" s="17"/>
      <c r="Z158" s="17"/>
      <c r="AA158" s="11"/>
      <c r="AB158" s="16"/>
    </row>
    <row r="159" spans="1:28" s="7" customFormat="1" ht="150" hidden="1" customHeight="1" outlineLevel="1" x14ac:dyDescent="1.25">
      <c r="A159" s="4">
        <f>ROW()</f>
        <v>159</v>
      </c>
      <c r="C159" s="77"/>
      <c r="D159" s="76" t="s">
        <v>34</v>
      </c>
      <c r="E159" s="49" t="str">
        <f>_xlfn.XLOOKUP(D159,'consolidated tracker'!D:D,'consolidated tracker'!E:E)</f>
        <v>Pre-Launch</v>
      </c>
      <c r="F159" s="134">
        <v>47361</v>
      </c>
      <c r="G159" s="33">
        <f>_xlfn.XLOOKUP(D159,'consolidated tracker'!D:D,'consolidated tracker'!F:F)</f>
        <v>14</v>
      </c>
      <c r="H159" s="33">
        <f>_xlfn.XLOOKUP(D159,'consolidated tracker'!D:D,'consolidated tracker'!G:G)</f>
        <v>144763149.75</v>
      </c>
      <c r="I159" s="33">
        <f>_xlfn.XLOOKUP(D159,'consolidated tracker'!D:D,'consolidated tracker'!H:H)</f>
        <v>24360571.329999998</v>
      </c>
      <c r="J159" s="33">
        <f>_xlfn.XLOOKUP(D159,'consolidated tracker'!D:D,'consolidated tracker'!I:I)</f>
        <v>20670062.550000001</v>
      </c>
      <c r="K159" s="33">
        <f>_xlfn.XLOOKUP(D159,'consolidated tracker'!D:D,'consolidated tracker'!J:J)</f>
        <v>200094.85</v>
      </c>
      <c r="L159" s="34">
        <f>_xlfn.XLOOKUP(D159,'consolidated tracker'!D:D,'consolidated tracker'!K:K)</f>
        <v>0.84850483471809457</v>
      </c>
      <c r="M159" s="36">
        <f>_xlfn.XLOOKUP('consolidated - Offplan'!D159,'consolidated tracker'!D:D,'consolidated tracker'!L:L)</f>
        <v>3690508.7800000003</v>
      </c>
      <c r="N159" s="30">
        <f>_xlfn.XLOOKUP($D159,'consolidated tracker'!$D:$D,'consolidated tracker'!M:M)</f>
        <v>120202483.56999999</v>
      </c>
      <c r="O159" s="40">
        <f>_xlfn.XLOOKUP($D159,'consolidated tracker'!$D:$D,'consolidated tracker'!N:N)</f>
        <v>15112438.810000002</v>
      </c>
      <c r="P159" s="33">
        <f>_xlfn.XLOOKUP($D159,'consolidated tracker'!$D:$D,'consolidated tracker'!O:O)</f>
        <v>18720096.569999997</v>
      </c>
      <c r="Q159" s="33">
        <f>_xlfn.XLOOKUP($D159,'consolidated tracker'!$D:$D,'consolidated tracker'!P:P)</f>
        <v>23259505.099999998</v>
      </c>
      <c r="R159" s="33">
        <f>_xlfn.XLOOKUP($D159,'consolidated tracker'!$D:$D,'consolidated tracker'!Q:Q)</f>
        <v>63110443.090000004</v>
      </c>
      <c r="S159" s="33">
        <f>_xlfn.XLOOKUP($D159,'consolidated tracker'!$D:$D,'consolidated tracker'!R:R)</f>
        <v>0</v>
      </c>
      <c r="T159" s="33">
        <f>_xlfn.XLOOKUP($D159,'consolidated tracker'!$D:$D,'consolidated tracker'!S:S)</f>
        <v>0</v>
      </c>
      <c r="U159" s="33">
        <f>_xlfn.XLOOKUP($D159,'consolidated tracker'!$D:$D,'consolidated tracker'!T:T)</f>
        <v>0</v>
      </c>
      <c r="V159" s="33">
        <f>_xlfn.XLOOKUP($D159,'consolidated tracker'!$D:$D,'consolidated tracker'!U:U)</f>
        <v>0</v>
      </c>
      <c r="W159" s="33">
        <f>_xlfn.XLOOKUP($D159,'consolidated tracker'!$D:$D,'consolidated tracker'!V:V)</f>
        <v>0</v>
      </c>
      <c r="X159" s="33">
        <f>_xlfn.XLOOKUP($D159,'consolidated tracker'!$D:$D,'consolidated tracker'!W:W)</f>
        <v>0</v>
      </c>
      <c r="Y159" s="17"/>
      <c r="Z159" s="17"/>
      <c r="AA159" s="11"/>
      <c r="AB159" s="16"/>
    </row>
    <row r="160" spans="1:28" s="7" customFormat="1" ht="150" hidden="1" customHeight="1" outlineLevel="1" x14ac:dyDescent="1.25">
      <c r="A160" s="4">
        <f>ROW()</f>
        <v>160</v>
      </c>
      <c r="C160" s="77"/>
      <c r="D160" s="76" t="s">
        <v>33</v>
      </c>
      <c r="E160" s="49" t="str">
        <f>_xlfn.XLOOKUP(D160,'consolidated tracker'!D:D,'consolidated tracker'!E:E)</f>
        <v>Pre-Launch</v>
      </c>
      <c r="F160" s="134">
        <v>47361</v>
      </c>
      <c r="G160" s="33">
        <f>_xlfn.XLOOKUP(D160,'consolidated tracker'!D:D,'consolidated tracker'!F:F)</f>
        <v>81</v>
      </c>
      <c r="H160" s="33">
        <f>_xlfn.XLOOKUP(D160,'consolidated tracker'!D:D,'consolidated tracker'!G:G)</f>
        <v>360850556.36000001</v>
      </c>
      <c r="I160" s="33">
        <f>_xlfn.XLOOKUP(D160,'consolidated tracker'!D:D,'consolidated tracker'!H:H)</f>
        <v>44678724.109999985</v>
      </c>
      <c r="J160" s="33">
        <f>_xlfn.XLOOKUP(D160,'consolidated tracker'!D:D,'consolidated tracker'!I:I)</f>
        <v>33227696.970000014</v>
      </c>
      <c r="K160" s="33">
        <f>_xlfn.XLOOKUP(D160,'consolidated tracker'!D:D,'consolidated tracker'!J:J)</f>
        <v>5388781.5600000015</v>
      </c>
      <c r="L160" s="34">
        <f>_xlfn.XLOOKUP(D160,'consolidated tracker'!D:D,'consolidated tracker'!K:K)</f>
        <v>0.74370290629143088</v>
      </c>
      <c r="M160" s="36">
        <f>_xlfn.XLOOKUP('consolidated - Offplan'!D160,'consolidated tracker'!D:D,'consolidated tracker'!L:L)</f>
        <v>11451027.140000002</v>
      </c>
      <c r="N160" s="30">
        <f>_xlfn.XLOOKUP($D160,'consolidated tracker'!$D:$D,'consolidated tracker'!M:M)</f>
        <v>310783050.69000006</v>
      </c>
      <c r="O160" s="40">
        <f>_xlfn.XLOOKUP($D160,'consolidated tracker'!$D:$D,'consolidated tracker'!N:N)</f>
        <v>43007743.360000044</v>
      </c>
      <c r="P160" s="33">
        <f>_xlfn.XLOOKUP($D160,'consolidated tracker'!$D:$D,'consolidated tracker'!O:O)</f>
        <v>42517043.609999992</v>
      </c>
      <c r="Q160" s="33">
        <f>_xlfn.XLOOKUP($D160,'consolidated tracker'!$D:$D,'consolidated tracker'!P:P)</f>
        <v>46212420.029999994</v>
      </c>
      <c r="R160" s="33">
        <f>_xlfn.XLOOKUP($D160,'consolidated tracker'!$D:$D,'consolidated tracker'!Q:Q)</f>
        <v>179045843.69000003</v>
      </c>
      <c r="S160" s="33">
        <f>_xlfn.XLOOKUP($D160,'consolidated tracker'!$D:$D,'consolidated tracker'!R:R)</f>
        <v>0</v>
      </c>
      <c r="T160" s="33">
        <f>_xlfn.XLOOKUP($D160,'consolidated tracker'!$D:$D,'consolidated tracker'!S:S)</f>
        <v>0</v>
      </c>
      <c r="U160" s="33">
        <f>_xlfn.XLOOKUP($D160,'consolidated tracker'!$D:$D,'consolidated tracker'!T:T)</f>
        <v>0</v>
      </c>
      <c r="V160" s="33">
        <f>_xlfn.XLOOKUP($D160,'consolidated tracker'!$D:$D,'consolidated tracker'!U:U)</f>
        <v>0</v>
      </c>
      <c r="W160" s="33">
        <f>_xlfn.XLOOKUP($D160,'consolidated tracker'!$D:$D,'consolidated tracker'!V:V)</f>
        <v>0</v>
      </c>
      <c r="X160" s="33">
        <f>_xlfn.XLOOKUP($D160,'consolidated tracker'!$D:$D,'consolidated tracker'!W:W)</f>
        <v>0</v>
      </c>
      <c r="Y160" s="17"/>
      <c r="Z160" s="17"/>
      <c r="AA160" s="11"/>
      <c r="AB160" s="16"/>
    </row>
    <row r="161" spans="1:35" s="7" customFormat="1" ht="150" customHeight="1" collapsed="1" x14ac:dyDescent="1.25">
      <c r="A161" s="4"/>
      <c r="C161" s="77">
        <v>30</v>
      </c>
      <c r="D161" s="76" t="s">
        <v>32</v>
      </c>
      <c r="E161" s="49" t="str">
        <f>_xlfn.XLOOKUP(D161,'consolidated tracker'!D:D,'consolidated tracker'!E:E)</f>
        <v>Pre-Launch</v>
      </c>
      <c r="F161" s="134" t="s">
        <v>232</v>
      </c>
      <c r="G161" s="33">
        <f>SUM(G162:G164)</f>
        <v>340</v>
      </c>
      <c r="H161" s="33">
        <f>SUM(H162:H164)</f>
        <v>603661803.08999979</v>
      </c>
      <c r="I161" s="33">
        <f>SUM(I162:I164)</f>
        <v>84138755.400000006</v>
      </c>
      <c r="J161" s="33">
        <f>SUM(J162:J164)</f>
        <v>31913755.829999994</v>
      </c>
      <c r="K161" s="33">
        <f>SUM(K162:K164)</f>
        <v>1306157.04</v>
      </c>
      <c r="L161" s="34">
        <f>J161/I161</f>
        <v>0.37929911939248856</v>
      </c>
      <c r="M161" s="36">
        <f t="shared" ref="M161:X161" si="2">SUM(M162:M164)</f>
        <v>52224999.569999978</v>
      </c>
      <c r="N161" s="30">
        <f t="shared" si="2"/>
        <v>518216890.64999986</v>
      </c>
      <c r="O161" s="40">
        <f t="shared" si="2"/>
        <v>59906159.329999715</v>
      </c>
      <c r="P161" s="33">
        <f t="shared" si="2"/>
        <v>112780469.37000005</v>
      </c>
      <c r="Q161" s="33">
        <f t="shared" si="2"/>
        <v>63516263.060000032</v>
      </c>
      <c r="R161" s="33">
        <f t="shared" si="2"/>
        <v>282014059.28000021</v>
      </c>
      <c r="S161" s="33">
        <f t="shared" si="2"/>
        <v>0</v>
      </c>
      <c r="T161" s="33">
        <f t="shared" si="2"/>
        <v>0</v>
      </c>
      <c r="U161" s="33">
        <f t="shared" si="2"/>
        <v>0</v>
      </c>
      <c r="V161" s="33">
        <f t="shared" si="2"/>
        <v>0</v>
      </c>
      <c r="W161" s="33">
        <f t="shared" si="2"/>
        <v>0</v>
      </c>
      <c r="X161" s="33">
        <f t="shared" si="2"/>
        <v>0</v>
      </c>
      <c r="Y161" s="17"/>
      <c r="Z161" s="17"/>
      <c r="AA161" s="11"/>
      <c r="AB161" s="16"/>
    </row>
    <row r="162" spans="1:35" s="7" customFormat="1" ht="150" hidden="1" customHeight="1" outlineLevel="1" x14ac:dyDescent="1.25">
      <c r="A162" s="4"/>
      <c r="C162" s="77"/>
      <c r="D162" s="76" t="s">
        <v>31</v>
      </c>
      <c r="E162" s="49" t="str">
        <f>_xlfn.XLOOKUP(D162,'consolidated tracker'!D:D,'consolidated tracker'!E:E)</f>
        <v>Pre-Launch</v>
      </c>
      <c r="F162" s="134">
        <v>47483</v>
      </c>
      <c r="G162" s="33">
        <f>_xlfn.XLOOKUP(D162,'consolidated tracker'!D:D,'consolidated tracker'!F:F)</f>
        <v>150</v>
      </c>
      <c r="H162" s="33">
        <f>_xlfn.XLOOKUP(D162,'consolidated tracker'!D:D,'consolidated tracker'!G:G)</f>
        <v>260682085.55999997</v>
      </c>
      <c r="I162" s="33">
        <f>_xlfn.XLOOKUP(D162,'consolidated tracker'!D:D,'consolidated tracker'!H:H)</f>
        <v>36644605.539999999</v>
      </c>
      <c r="J162" s="33">
        <f>_xlfn.XLOOKUP(D162,'consolidated tracker'!D:D,'consolidated tracker'!I:I)</f>
        <v>13984786.189999998</v>
      </c>
      <c r="K162" s="33">
        <f>_xlfn.XLOOKUP(D162,'consolidated tracker'!D:D,'consolidated tracker'!J:J)</f>
        <v>736888.9800000001</v>
      </c>
      <c r="L162" s="34">
        <f>_xlfn.XLOOKUP(D162,'consolidated tracker'!D:D,'consolidated tracker'!K:K)</f>
        <v>0.38163287566937193</v>
      </c>
      <c r="M162" s="36">
        <f>_xlfn.XLOOKUP('consolidated - Offplan'!D162,'consolidated tracker'!D:D,'consolidated tracker'!L:L)</f>
        <v>22659819.349999987</v>
      </c>
      <c r="N162" s="30">
        <f>_xlfn.XLOOKUP($D162,'consolidated tracker'!$D:$D,'consolidated tracker'!M:M)</f>
        <v>223300591.03999996</v>
      </c>
      <c r="O162" s="40">
        <f>_xlfn.XLOOKUP($D162,'consolidated tracker'!$D:$D,'consolidated tracker'!N:N)</f>
        <v>25392083.039999783</v>
      </c>
      <c r="P162" s="33">
        <f>_xlfn.XLOOKUP($D162,'consolidated tracker'!$D:$D,'consolidated tracker'!O:O)</f>
        <v>48411995.88000004</v>
      </c>
      <c r="Q162" s="33">
        <f>_xlfn.XLOOKUP($D162,'consolidated tracker'!$D:$D,'consolidated tracker'!P:P)</f>
        <v>28200843.480000015</v>
      </c>
      <c r="R162" s="33">
        <f>_xlfn.XLOOKUP($D162,'consolidated tracker'!$D:$D,'consolidated tracker'!Q:Q)</f>
        <v>121295668.6400001</v>
      </c>
      <c r="S162" s="33">
        <f>_xlfn.XLOOKUP($D162,'consolidated tracker'!$D:$D,'consolidated tracker'!R:R)</f>
        <v>0</v>
      </c>
      <c r="T162" s="33">
        <f>_xlfn.XLOOKUP($D162,'consolidated tracker'!$D:$D,'consolidated tracker'!S:S)</f>
        <v>0</v>
      </c>
      <c r="U162" s="33">
        <f>_xlfn.XLOOKUP($D162,'consolidated tracker'!$D:$D,'consolidated tracker'!T:T)</f>
        <v>0</v>
      </c>
      <c r="V162" s="33">
        <f>_xlfn.XLOOKUP($D162,'consolidated tracker'!$D:$D,'consolidated tracker'!U:U)</f>
        <v>0</v>
      </c>
      <c r="W162" s="33">
        <f>_xlfn.XLOOKUP($D162,'consolidated tracker'!$D:$D,'consolidated tracker'!V:V)</f>
        <v>0</v>
      </c>
      <c r="X162" s="33">
        <f>_xlfn.XLOOKUP($D162,'consolidated tracker'!$D:$D,'consolidated tracker'!W:W)</f>
        <v>0</v>
      </c>
      <c r="Y162" s="17"/>
      <c r="Z162" s="17"/>
      <c r="AA162" s="11"/>
      <c r="AB162" s="16"/>
    </row>
    <row r="163" spans="1:35" s="7" customFormat="1" ht="150" hidden="1" customHeight="1" outlineLevel="1" x14ac:dyDescent="1.25">
      <c r="A163" s="4"/>
      <c r="C163" s="77"/>
      <c r="D163" s="76" t="s">
        <v>30</v>
      </c>
      <c r="E163" s="49" t="str">
        <f>_xlfn.XLOOKUP(D163,'consolidated tracker'!D:D,'consolidated tracker'!E:E)</f>
        <v>Pre-Launch</v>
      </c>
      <c r="F163" s="134">
        <v>47483</v>
      </c>
      <c r="G163" s="33">
        <f>_xlfn.XLOOKUP(D163,'consolidated tracker'!D:D,'consolidated tracker'!F:F)</f>
        <v>124</v>
      </c>
      <c r="H163" s="33">
        <f>_xlfn.XLOOKUP(D163,'consolidated tracker'!D:D,'consolidated tracker'!G:G)</f>
        <v>217336656.76999989</v>
      </c>
      <c r="I163" s="33">
        <f>_xlfn.XLOOKUP(D163,'consolidated tracker'!D:D,'consolidated tracker'!H:H)</f>
        <v>31188493.250000011</v>
      </c>
      <c r="J163" s="33">
        <f>_xlfn.XLOOKUP(D163,'consolidated tracker'!D:D,'consolidated tracker'!I:I)</f>
        <v>14741408.739999998</v>
      </c>
      <c r="K163" s="33">
        <f>_xlfn.XLOOKUP(D163,'consolidated tracker'!D:D,'consolidated tracker'!J:J)</f>
        <v>459695.71999999991</v>
      </c>
      <c r="L163" s="34">
        <f>_xlfn.XLOOKUP(D163,'consolidated tracker'!D:D,'consolidated tracker'!K:K)</f>
        <v>0.47265536753687171</v>
      </c>
      <c r="M163" s="36">
        <f>_xlfn.XLOOKUP('consolidated - Offplan'!D163,'consolidated tracker'!D:D,'consolidated tracker'!L:L)</f>
        <v>16447084.50999999</v>
      </c>
      <c r="N163" s="30">
        <f>_xlfn.XLOOKUP($D163,'consolidated tracker'!$D:$D,'consolidated tracker'!M:M)</f>
        <v>185688467.79999989</v>
      </c>
      <c r="O163" s="40">
        <f>_xlfn.XLOOKUP($D163,'consolidated tracker'!$D:$D,'consolidated tracker'!N:N)</f>
        <v>20847367.060000006</v>
      </c>
      <c r="P163" s="33">
        <f>_xlfn.XLOOKUP($D163,'consolidated tracker'!$D:$D,'consolidated tracker'!O:O)</f>
        <v>40756244.140000008</v>
      </c>
      <c r="Q163" s="33">
        <f>_xlfn.XLOOKUP($D163,'consolidated tracker'!$D:$D,'consolidated tracker'!P:P)</f>
        <v>22315573.780000001</v>
      </c>
      <c r="R163" s="33">
        <f>_xlfn.XLOOKUP($D163,'consolidated tracker'!$D:$D,'consolidated tracker'!Q:Q)</f>
        <v>101769343.2100001</v>
      </c>
      <c r="S163" s="33">
        <f>_xlfn.XLOOKUP($D163,'consolidated tracker'!$D:$D,'consolidated tracker'!R:R)</f>
        <v>0</v>
      </c>
      <c r="T163" s="33">
        <f>_xlfn.XLOOKUP($D163,'consolidated tracker'!$D:$D,'consolidated tracker'!S:S)</f>
        <v>0</v>
      </c>
      <c r="U163" s="33">
        <f>_xlfn.XLOOKUP($D163,'consolidated tracker'!$D:$D,'consolidated tracker'!T:T)</f>
        <v>0</v>
      </c>
      <c r="V163" s="33">
        <f>_xlfn.XLOOKUP($D163,'consolidated tracker'!$D:$D,'consolidated tracker'!U:U)</f>
        <v>0</v>
      </c>
      <c r="W163" s="33">
        <f>_xlfn.XLOOKUP($D163,'consolidated tracker'!$D:$D,'consolidated tracker'!V:V)</f>
        <v>0</v>
      </c>
      <c r="X163" s="33">
        <f>_xlfn.XLOOKUP($D163,'consolidated tracker'!$D:$D,'consolidated tracker'!W:W)</f>
        <v>0</v>
      </c>
      <c r="Y163" s="17"/>
      <c r="Z163" s="17"/>
      <c r="AA163" s="11"/>
      <c r="AB163" s="16"/>
    </row>
    <row r="164" spans="1:35" s="7" customFormat="1" ht="150" hidden="1" customHeight="1" outlineLevel="1" x14ac:dyDescent="1.25">
      <c r="A164" s="4"/>
      <c r="C164" s="77"/>
      <c r="D164" s="76" t="s">
        <v>29</v>
      </c>
      <c r="E164" s="49" t="str">
        <f>_xlfn.XLOOKUP(D164,'consolidated tracker'!D:D,'consolidated tracker'!E:E)</f>
        <v>Pre-Launch</v>
      </c>
      <c r="F164" s="134">
        <v>47483</v>
      </c>
      <c r="G164" s="33">
        <f>_xlfn.XLOOKUP(D164,'consolidated tracker'!D:D,'consolidated tracker'!F:F)</f>
        <v>66</v>
      </c>
      <c r="H164" s="33">
        <f>_xlfn.XLOOKUP(D164,'consolidated tracker'!D:D,'consolidated tracker'!G:G)</f>
        <v>125643060.75999998</v>
      </c>
      <c r="I164" s="33">
        <f>_xlfn.XLOOKUP(D164,'consolidated tracker'!D:D,'consolidated tracker'!H:H)</f>
        <v>16305656.610000007</v>
      </c>
      <c r="J164" s="33">
        <f>_xlfn.XLOOKUP(D164,'consolidated tracker'!D:D,'consolidated tracker'!I:I)</f>
        <v>3187560.9</v>
      </c>
      <c r="K164" s="33">
        <f>_xlfn.XLOOKUP(D164,'consolidated tracker'!D:D,'consolidated tracker'!J:J)</f>
        <v>109572.34</v>
      </c>
      <c r="L164" s="34">
        <f>_xlfn.XLOOKUP(D164,'consolidated tracker'!D:D,'consolidated tracker'!K:K)</f>
        <v>0.19548804296817573</v>
      </c>
      <c r="M164" s="36">
        <f>_xlfn.XLOOKUP('consolidated - Offplan'!D164,'consolidated tracker'!D:D,'consolidated tracker'!L:L)</f>
        <v>13118095.710000001</v>
      </c>
      <c r="N164" s="30">
        <f>_xlfn.XLOOKUP($D164,'consolidated tracker'!$D:$D,'consolidated tracker'!M:M)</f>
        <v>109227831.80999997</v>
      </c>
      <c r="O164" s="40">
        <f>_xlfn.XLOOKUP($D164,'consolidated tracker'!$D:$D,'consolidated tracker'!N:N)</f>
        <v>13666709.22999993</v>
      </c>
      <c r="P164" s="33">
        <f>_xlfn.XLOOKUP($D164,'consolidated tracker'!$D:$D,'consolidated tracker'!O:O)</f>
        <v>23612229.350000009</v>
      </c>
      <c r="Q164" s="33">
        <f>_xlfn.XLOOKUP($D164,'consolidated tracker'!$D:$D,'consolidated tracker'!P:P)</f>
        <v>12999845.800000008</v>
      </c>
      <c r="R164" s="33">
        <f>_xlfn.XLOOKUP($D164,'consolidated tracker'!$D:$D,'consolidated tracker'!Q:Q)</f>
        <v>58949047.430000022</v>
      </c>
      <c r="S164" s="33">
        <f>_xlfn.XLOOKUP($D164,'consolidated tracker'!$D:$D,'consolidated tracker'!R:R)</f>
        <v>0</v>
      </c>
      <c r="T164" s="33">
        <f>_xlfn.XLOOKUP($D164,'consolidated tracker'!$D:$D,'consolidated tracker'!S:S)</f>
        <v>0</v>
      </c>
      <c r="U164" s="33">
        <f>_xlfn.XLOOKUP($D164,'consolidated tracker'!$D:$D,'consolidated tracker'!T:T)</f>
        <v>0</v>
      </c>
      <c r="V164" s="33">
        <f>_xlfn.XLOOKUP($D164,'consolidated tracker'!$D:$D,'consolidated tracker'!U:U)</f>
        <v>0</v>
      </c>
      <c r="W164" s="33">
        <f>_xlfn.XLOOKUP($D164,'consolidated tracker'!$D:$D,'consolidated tracker'!V:V)</f>
        <v>0</v>
      </c>
      <c r="X164" s="33">
        <f>_xlfn.XLOOKUP($D164,'consolidated tracker'!$D:$D,'consolidated tracker'!W:W)</f>
        <v>0</v>
      </c>
      <c r="Y164" s="17"/>
      <c r="Z164" s="17"/>
      <c r="AA164" s="11"/>
      <c r="AB164" s="16"/>
    </row>
    <row r="165" spans="1:35" s="7" customFormat="1" ht="150" customHeight="1" collapsed="1" x14ac:dyDescent="1.25">
      <c r="A165" s="4"/>
      <c r="C165" s="77">
        <v>31</v>
      </c>
      <c r="D165" s="76" t="s">
        <v>28</v>
      </c>
      <c r="E165" s="49" t="str">
        <f>_xlfn.XLOOKUP(D165,'consolidated tracker'!D:D,'consolidated tracker'!E:E)</f>
        <v>Pre-Launch</v>
      </c>
      <c r="F165" s="134">
        <v>47483</v>
      </c>
      <c r="G165" s="33">
        <f>_xlfn.XLOOKUP(D165,'consolidated tracker'!D:D,'consolidated tracker'!F:F)</f>
        <v>40</v>
      </c>
      <c r="H165" s="33">
        <f>_xlfn.XLOOKUP(D165,'consolidated tracker'!D:D,'consolidated tracker'!G:G)</f>
        <v>230752586.9199999</v>
      </c>
      <c r="I165" s="33">
        <f>_xlfn.XLOOKUP(D165,'consolidated tracker'!D:D,'consolidated tracker'!H:H)</f>
        <v>31239338.439999994</v>
      </c>
      <c r="J165" s="33">
        <f>_xlfn.XLOOKUP(D165,'consolidated tracker'!D:D,'consolidated tracker'!I:I)</f>
        <v>15079433.340000004</v>
      </c>
      <c r="K165" s="33">
        <f>_xlfn.XLOOKUP(D165,'consolidated tracker'!D:D,'consolidated tracker'!J:J)</f>
        <v>1142253.1499999999</v>
      </c>
      <c r="L165" s="34">
        <f>_xlfn.XLOOKUP(D165,'consolidated tracker'!D:D,'consolidated tracker'!K:K)</f>
        <v>0.48270655183567346</v>
      </c>
      <c r="M165" s="36">
        <f>_xlfn.XLOOKUP('consolidated - Offplan'!D165,'consolidated tracker'!D:D,'consolidated tracker'!L:L)</f>
        <v>16159905.100000001</v>
      </c>
      <c r="N165" s="30">
        <f>_xlfn.XLOOKUP($D165,'consolidated tracker'!$D:$D,'consolidated tracker'!M:M)</f>
        <v>198370995.32999989</v>
      </c>
      <c r="O165" s="40">
        <f>_xlfn.XLOOKUP($D165,'consolidated tracker'!$D:$D,'consolidated tracker'!N:N)</f>
        <v>22974304.96999988</v>
      </c>
      <c r="P165" s="33">
        <f>_xlfn.XLOOKUP($D165,'consolidated tracker'!$D:$D,'consolidated tracker'!O:O)</f>
        <v>42986914.43</v>
      </c>
      <c r="Q165" s="33">
        <f>_xlfn.XLOOKUP($D165,'consolidated tracker'!$D:$D,'consolidated tracker'!P:P)</f>
        <v>25781797.219999999</v>
      </c>
      <c r="R165" s="33">
        <f>_xlfn.XLOOKUP($D165,'consolidated tracker'!$D:$D,'consolidated tracker'!Q:Q)</f>
        <v>106627978.70999999</v>
      </c>
      <c r="S165" s="33">
        <f>_xlfn.XLOOKUP($D165,'consolidated tracker'!$D:$D,'consolidated tracker'!R:R)</f>
        <v>0</v>
      </c>
      <c r="T165" s="33">
        <f>_xlfn.XLOOKUP($D165,'consolidated tracker'!$D:$D,'consolidated tracker'!S:S)</f>
        <v>0</v>
      </c>
      <c r="U165" s="33">
        <f>_xlfn.XLOOKUP($D165,'consolidated tracker'!$D:$D,'consolidated tracker'!T:T)</f>
        <v>0</v>
      </c>
      <c r="V165" s="33">
        <f>_xlfn.XLOOKUP($D165,'consolidated tracker'!$D:$D,'consolidated tracker'!U:U)</f>
        <v>0</v>
      </c>
      <c r="W165" s="33">
        <f>_xlfn.XLOOKUP($D165,'consolidated tracker'!$D:$D,'consolidated tracker'!V:V)</f>
        <v>0</v>
      </c>
      <c r="X165" s="33">
        <f>_xlfn.XLOOKUP($D165,'consolidated tracker'!$D:$D,'consolidated tracker'!W:W)</f>
        <v>0</v>
      </c>
      <c r="Y165" s="17"/>
      <c r="Z165" s="17"/>
      <c r="AA165" s="11"/>
      <c r="AB165" s="16"/>
    </row>
    <row r="166" spans="1:35" s="7" customFormat="1" ht="150" customHeight="1" thickBot="1" x14ac:dyDescent="1.3">
      <c r="A166" s="4"/>
      <c r="C166" s="77">
        <v>32</v>
      </c>
      <c r="D166" s="76" t="s">
        <v>27</v>
      </c>
      <c r="E166" s="49" t="str">
        <f>_xlfn.XLOOKUP(D166,'consolidated tracker'!D:D,'consolidated tracker'!E:E)</f>
        <v>Pre-Launch</v>
      </c>
      <c r="F166" s="134">
        <v>47483</v>
      </c>
      <c r="G166" s="33">
        <f>_xlfn.XLOOKUP(D166,'consolidated tracker'!D:D,'consolidated tracker'!F:F)</f>
        <v>15</v>
      </c>
      <c r="H166" s="33">
        <f>_xlfn.XLOOKUP(D166,'consolidated tracker'!D:D,'consolidated tracker'!G:G)</f>
        <v>157448458.45999998</v>
      </c>
      <c r="I166" s="33">
        <f>_xlfn.XLOOKUP(D166,'consolidated tracker'!D:D,'consolidated tracker'!H:H)</f>
        <v>18031500.77</v>
      </c>
      <c r="J166" s="33">
        <f>_xlfn.XLOOKUP(D166,'consolidated tracker'!D:D,'consolidated tracker'!I:I)</f>
        <v>6411356.21</v>
      </c>
      <c r="K166" s="33">
        <f>_xlfn.XLOOKUP(D166,'consolidated tracker'!D:D,'consolidated tracker'!J:J)</f>
        <v>1.79</v>
      </c>
      <c r="L166" s="34">
        <f>_xlfn.XLOOKUP(D166,'consolidated tracker'!D:D,'consolidated tracker'!K:K)</f>
        <v>0.35556420354466145</v>
      </c>
      <c r="M166" s="36">
        <f>_xlfn.XLOOKUP('consolidated - Offplan'!D166,'consolidated tracker'!D:D,'consolidated tracker'!L:L)</f>
        <v>11620144.559999999</v>
      </c>
      <c r="N166" s="30">
        <f>_xlfn.XLOOKUP($D166,'consolidated tracker'!$D:$D,'consolidated tracker'!M:M)</f>
        <v>139416955.89999998</v>
      </c>
      <c r="O166" s="40">
        <f>_xlfn.XLOOKUP($D166,'consolidated tracker'!$D:$D,'consolidated tracker'!N:N)</f>
        <v>15492173.589999974</v>
      </c>
      <c r="P166" s="33">
        <f>_xlfn.XLOOKUP($D166,'consolidated tracker'!$D:$D,'consolidated tracker'!O:O)</f>
        <v>25171852.420000002</v>
      </c>
      <c r="Q166" s="33">
        <f>_xlfn.XLOOKUP($D166,'consolidated tracker'!$D:$D,'consolidated tracker'!P:P)</f>
        <v>23141868.860000003</v>
      </c>
      <c r="R166" s="33">
        <f>_xlfn.XLOOKUP($D166,'consolidated tracker'!$D:$D,'consolidated tracker'!Q:Q)</f>
        <v>75611061.030000001</v>
      </c>
      <c r="S166" s="33">
        <f>_xlfn.XLOOKUP($D166,'consolidated tracker'!$D:$D,'consolidated tracker'!R:R)</f>
        <v>0</v>
      </c>
      <c r="T166" s="33">
        <f>_xlfn.XLOOKUP($D166,'consolidated tracker'!$D:$D,'consolidated tracker'!S:S)</f>
        <v>0</v>
      </c>
      <c r="U166" s="33">
        <f>_xlfn.XLOOKUP($D166,'consolidated tracker'!$D:$D,'consolidated tracker'!T:T)</f>
        <v>0</v>
      </c>
      <c r="V166" s="33">
        <f>_xlfn.XLOOKUP($D166,'consolidated tracker'!$D:$D,'consolidated tracker'!U:U)</f>
        <v>0</v>
      </c>
      <c r="W166" s="33">
        <f>_xlfn.XLOOKUP($D166,'consolidated tracker'!$D:$D,'consolidated tracker'!V:V)</f>
        <v>0</v>
      </c>
      <c r="X166" s="33">
        <f>_xlfn.XLOOKUP($D166,'consolidated tracker'!$D:$D,'consolidated tracker'!W:W)</f>
        <v>0</v>
      </c>
      <c r="Y166" s="17"/>
      <c r="Z166" s="17"/>
      <c r="AA166" s="11"/>
      <c r="AB166" s="16"/>
    </row>
    <row r="167" spans="1:35" s="83" customFormat="1" ht="150" customHeight="1" thickBot="1" x14ac:dyDescent="1.3">
      <c r="A167" s="88"/>
      <c r="C167" s="87"/>
      <c r="D167" s="86" t="s">
        <v>0</v>
      </c>
      <c r="E167" s="86" t="s">
        <v>25</v>
      </c>
      <c r="F167" s="133"/>
      <c r="G167" s="84">
        <f>SUM(G116,G166,G165,G161,G145,G146,G147,G152,G153,G154,G155,G156)</f>
        <v>3856</v>
      </c>
      <c r="H167" s="84">
        <f>SUM(H116,H166,H165,H161,H145,H146,H147,H152,H153,H154,H155,H156)</f>
        <v>9159531070.9599991</v>
      </c>
      <c r="I167" s="84">
        <f>SUM(I116,I166,I165,I161,I145,I146,I147,I152,I153,I154,I155,I156)</f>
        <v>1853643873.2199993</v>
      </c>
      <c r="J167" s="84">
        <f>SUM(J116,J166,J165,J161,J145,J146,J147,J152,J153,J154,J155,J156)</f>
        <v>1646961425.6800003</v>
      </c>
      <c r="K167" s="84">
        <f>SUM(K116,K166,K165,K161,K145,K146,K147,K152,K153,K154,K155,K156)</f>
        <v>114892523.17999999</v>
      </c>
      <c r="L167" s="85">
        <f>_xlfn.XLOOKUP(D167,'consolidated tracker'!D:D,'consolidated tracker'!K:K)</f>
        <v>0.9600710244536429</v>
      </c>
      <c r="M167" s="84">
        <f t="shared" ref="M167:X167" si="3">SUM(M116,M166,M165,M161,M145,M146,M147,M152,M153,M154,M155,M156)</f>
        <v>206682447.53999999</v>
      </c>
      <c r="N167" s="84">
        <f t="shared" si="3"/>
        <v>7190994674.5599995</v>
      </c>
      <c r="O167" s="84">
        <f t="shared" si="3"/>
        <v>1143421339.9900007</v>
      </c>
      <c r="P167" s="84">
        <f t="shared" si="3"/>
        <v>1079975949.8300002</v>
      </c>
      <c r="Q167" s="84">
        <f t="shared" si="3"/>
        <v>837383064.6400001</v>
      </c>
      <c r="R167" s="84">
        <f t="shared" si="3"/>
        <v>3116970151.46</v>
      </c>
      <c r="S167" s="84">
        <f t="shared" si="3"/>
        <v>841678183.68999982</v>
      </c>
      <c r="T167" s="84">
        <f t="shared" si="3"/>
        <v>171566045.33999991</v>
      </c>
      <c r="U167" s="84">
        <f t="shared" si="3"/>
        <v>0</v>
      </c>
      <c r="V167" s="84">
        <f t="shared" si="3"/>
        <v>0</v>
      </c>
      <c r="W167" s="84">
        <f t="shared" si="3"/>
        <v>0</v>
      </c>
      <c r="X167" s="84">
        <f t="shared" si="3"/>
        <v>0</v>
      </c>
      <c r="Y167" s="17"/>
      <c r="Z167" s="17"/>
      <c r="AA167" s="11"/>
      <c r="AB167" s="16"/>
      <c r="AC167" s="7"/>
      <c r="AD167" s="7"/>
      <c r="AG167" s="7"/>
      <c r="AI167" s="7"/>
    </row>
    <row r="168" spans="1:35" s="7" customFormat="1" ht="180" customHeight="1" x14ac:dyDescent="1.25">
      <c r="A168" s="4"/>
      <c r="B168" s="83"/>
      <c r="C168" s="75"/>
      <c r="D168" s="74" t="s">
        <v>15</v>
      </c>
      <c r="E168" s="74"/>
      <c r="F168" s="132"/>
      <c r="G168" s="73">
        <f>SUM(G115,G167)</f>
        <v>29236</v>
      </c>
      <c r="H168" s="73">
        <f>SUM(H115,H167)</f>
        <v>72316397485.01001</v>
      </c>
      <c r="I168" s="73">
        <f>SUM(I115,I167)</f>
        <v>29885454531.339958</v>
      </c>
      <c r="J168" s="73">
        <f>SUM(J115,J167)</f>
        <v>28254633911.849998</v>
      </c>
      <c r="K168" s="73">
        <f>SUM(K115,K167)</f>
        <v>2393788683.8800001</v>
      </c>
      <c r="L168" s="72">
        <f>IFERROR(J168/I168,0)</f>
        <v>0.94543095813450762</v>
      </c>
      <c r="M168" s="71">
        <f t="shared" ref="M168:X168" si="4">SUM(M115,M167)</f>
        <v>1630857939.4400001</v>
      </c>
      <c r="N168" s="70">
        <f t="shared" si="4"/>
        <v>40037154269.790039</v>
      </c>
      <c r="O168" s="23">
        <f t="shared" si="4"/>
        <v>13081593885.240044</v>
      </c>
      <c r="P168" s="23">
        <f t="shared" si="4"/>
        <v>12335368574.809998</v>
      </c>
      <c r="Q168" s="23">
        <f t="shared" si="4"/>
        <v>6890780628.2800007</v>
      </c>
      <c r="R168" s="23">
        <f t="shared" si="4"/>
        <v>6295378696.5699978</v>
      </c>
      <c r="S168" s="23">
        <f t="shared" si="4"/>
        <v>1261035676.9299996</v>
      </c>
      <c r="T168" s="23">
        <f t="shared" si="4"/>
        <v>172996868.3499999</v>
      </c>
      <c r="U168" s="23">
        <f t="shared" si="4"/>
        <v>0</v>
      </c>
      <c r="V168" s="23">
        <f t="shared" si="4"/>
        <v>0</v>
      </c>
      <c r="W168" s="23">
        <f t="shared" si="4"/>
        <v>0</v>
      </c>
      <c r="X168" s="23">
        <f t="shared" si="4"/>
        <v>0</v>
      </c>
      <c r="Y168" s="17"/>
      <c r="Z168" s="17"/>
      <c r="AA168" s="11"/>
      <c r="AB168" s="16"/>
    </row>
    <row r="169" spans="1:35" s="7" customFormat="1" ht="99" customHeight="1" x14ac:dyDescent="1.25">
      <c r="A169" s="4"/>
      <c r="C169" s="68"/>
      <c r="D169" s="67"/>
      <c r="E169" s="66"/>
      <c r="F169" s="131"/>
      <c r="G169" s="63"/>
      <c r="H169" s="63"/>
      <c r="I169" s="63"/>
      <c r="J169" s="63"/>
      <c r="K169" s="63"/>
      <c r="L169" s="65"/>
      <c r="M169" s="69"/>
      <c r="N169" s="64"/>
      <c r="O169" s="63"/>
      <c r="P169" s="63"/>
      <c r="Q169" s="63"/>
      <c r="R169" s="130"/>
      <c r="S169" s="130"/>
      <c r="T169" s="130"/>
      <c r="U169" s="130"/>
      <c r="V169" s="130"/>
      <c r="W169" s="130"/>
      <c r="X169" s="130"/>
      <c r="Y169" s="17"/>
      <c r="Z169" s="17"/>
      <c r="AA169" s="11"/>
      <c r="AB169" s="16"/>
    </row>
    <row r="171" spans="1:35" x14ac:dyDescent="1.1000000000000001">
      <c r="M171" s="129"/>
      <c r="N171" s="129"/>
      <c r="O171" s="129"/>
      <c r="P171" s="129"/>
      <c r="Q171" s="129"/>
      <c r="R171" s="129"/>
    </row>
    <row r="172" spans="1:35" x14ac:dyDescent="1.1000000000000001">
      <c r="G172" s="127">
        <f>'consolidated tracker'!F209-'consolidated tracker'!F4-'consolidated tracker'!F11-'consolidated tracker'!F17-'consolidated tracker'!F22-'consolidated tracker'!F23-'consolidated tracker'!F24-'consolidated tracker'!F25-'consolidated tracker'!F202-'consolidated tracker'!F208-'consolidated tracker'!F62-'consolidated tracker'!F26</f>
        <v>29236</v>
      </c>
      <c r="H172" s="127">
        <f>'consolidated tracker'!G209-'consolidated tracker'!G4-'consolidated tracker'!G11-'consolidated tracker'!G17-'consolidated tracker'!G22-'consolidated tracker'!G23-'consolidated tracker'!G24-'consolidated tracker'!G25-'consolidated tracker'!G202-'consolidated tracker'!G208-'consolidated tracker'!G62-'consolidated tracker'!G26</f>
        <v>72316397485.01001</v>
      </c>
      <c r="I172" s="127">
        <f>'consolidated tracker'!H209-'consolidated tracker'!H4-'consolidated tracker'!H11-'consolidated tracker'!H17-'consolidated tracker'!H22-'consolidated tracker'!H23-'consolidated tracker'!H24-'consolidated tracker'!H25-'consolidated tracker'!H202-'consolidated tracker'!H208-'consolidated tracker'!H62-'consolidated tracker'!H26</f>
        <v>29885454531.339962</v>
      </c>
      <c r="J172" s="127">
        <f>'consolidated tracker'!I209-'consolidated tracker'!I4-'consolidated tracker'!I11-'consolidated tracker'!I17-'consolidated tracker'!I22-'consolidated tracker'!I23-'consolidated tracker'!I24-'consolidated tracker'!I25-'consolidated tracker'!I202-'consolidated tracker'!I208-'consolidated tracker'!I62-'consolidated tracker'!I26</f>
        <v>28254633911.849976</v>
      </c>
      <c r="K172" s="127">
        <f>'consolidated tracker'!J209-'consolidated tracker'!J4-'consolidated tracker'!J11-'consolidated tracker'!J17-'consolidated tracker'!J22-'consolidated tracker'!J23-'consolidated tracker'!J24-'consolidated tracker'!J25-'consolidated tracker'!J202-'consolidated tracker'!J208-'consolidated tracker'!J62-'consolidated tracker'!J26</f>
        <v>2393788683.8800001</v>
      </c>
      <c r="L172" s="127"/>
      <c r="M172" s="127">
        <f>'consolidated tracker'!L209-'consolidated tracker'!L4-'consolidated tracker'!L11-'consolidated tracker'!L17-'consolidated tracker'!L22-'consolidated tracker'!L23-'consolidated tracker'!L24-'consolidated tracker'!L25-'consolidated tracker'!L202-'consolidated tracker'!L208-'consolidated tracker'!L62-'consolidated tracker'!L26</f>
        <v>1630857939.4400001</v>
      </c>
      <c r="N172" s="127">
        <f>'consolidated tracker'!M209-'consolidated tracker'!M4-'consolidated tracker'!M11-'consolidated tracker'!M17-'consolidated tracker'!M22-'consolidated tracker'!M23-'consolidated tracker'!M24-'consolidated tracker'!M25-'consolidated tracker'!M202-'consolidated tracker'!M208-'consolidated tracker'!M62-'consolidated tracker'!M26</f>
        <v>40037154269.790039</v>
      </c>
      <c r="O172" s="127">
        <f>'consolidated tracker'!N209-'consolidated tracker'!N4-'consolidated tracker'!N11-'consolidated tracker'!N17-'consolidated tracker'!N22-'consolidated tracker'!N23-'consolidated tracker'!N24-'consolidated tracker'!N25-'consolidated tracker'!N202-'consolidated tracker'!N208-'consolidated tracker'!N62-'consolidated tracker'!N26</f>
        <v>13081593885.240042</v>
      </c>
      <c r="P172" s="127">
        <f>'consolidated tracker'!O209-'consolidated tracker'!O4-'consolidated tracker'!O11-'consolidated tracker'!O17-'consolidated tracker'!O22-'consolidated tracker'!O23-'consolidated tracker'!O24-'consolidated tracker'!O25-'consolidated tracker'!O202-'consolidated tracker'!O208-'consolidated tracker'!O62-'consolidated tracker'!O26</f>
        <v>12335368574.809998</v>
      </c>
      <c r="Q172" s="127">
        <f>'consolidated tracker'!P209-'consolidated tracker'!P4-'consolidated tracker'!P11-'consolidated tracker'!P17-'consolidated tracker'!P22-'consolidated tracker'!P23-'consolidated tracker'!P24-'consolidated tracker'!P25-'consolidated tracker'!P202-'consolidated tracker'!P208-'consolidated tracker'!P62-'consolidated tracker'!P26</f>
        <v>6890780628.2800007</v>
      </c>
      <c r="R172" s="127">
        <f>'consolidated tracker'!Q209-'consolidated tracker'!Q4-'consolidated tracker'!Q11-'consolidated tracker'!Q17-'consolidated tracker'!Q22-'consolidated tracker'!Q23-'consolidated tracker'!Q24-'consolidated tracker'!Q25-'consolidated tracker'!Q202-'consolidated tracker'!Q208-'consolidated tracker'!Q62-'consolidated tracker'!Q26</f>
        <v>6295378696.5699978</v>
      </c>
      <c r="S172" s="127">
        <f>'consolidated tracker'!R209-'consolidated tracker'!R4-'consolidated tracker'!R11-'consolidated tracker'!R17-'consolidated tracker'!R22-'consolidated tracker'!R23-'consolidated tracker'!R24-'consolidated tracker'!R25-'consolidated tracker'!R202-'consolidated tracker'!R208-'consolidated tracker'!R62-'consolidated tracker'!R26</f>
        <v>1261035676.9299996</v>
      </c>
      <c r="T172" s="127">
        <f>'consolidated tracker'!S209-'consolidated tracker'!S4-'consolidated tracker'!S11-'consolidated tracker'!S17-'consolidated tracker'!S22-'consolidated tracker'!S23-'consolidated tracker'!S24-'consolidated tracker'!S25-'consolidated tracker'!S202-'consolidated tracker'!S208-'consolidated tracker'!S62-'consolidated tracker'!S26</f>
        <v>172996868.3499999</v>
      </c>
      <c r="U172" s="127">
        <f>'consolidated tracker'!T209-'consolidated tracker'!T4-'consolidated tracker'!T11-'consolidated tracker'!T17-'consolidated tracker'!T22-'consolidated tracker'!T23-'consolidated tracker'!T24-'consolidated tracker'!T25-'consolidated tracker'!T202-'consolidated tracker'!T208-'consolidated tracker'!T62-'consolidated tracker'!T26</f>
        <v>0</v>
      </c>
      <c r="V172" s="127">
        <f>'consolidated tracker'!U209-'consolidated tracker'!U4-'consolidated tracker'!U11-'consolidated tracker'!U17-'consolidated tracker'!U22-'consolidated tracker'!U23-'consolidated tracker'!U24-'consolidated tracker'!U25-'consolidated tracker'!U202-'consolidated tracker'!U208-'consolidated tracker'!U62-'consolidated tracker'!U26</f>
        <v>0</v>
      </c>
      <c r="W172" s="127">
        <f>'consolidated tracker'!V209-'consolidated tracker'!V4-'consolidated tracker'!V11-'consolidated tracker'!V17-'consolidated tracker'!V22-'consolidated tracker'!V23-'consolidated tracker'!V24-'consolidated tracker'!V25-'consolidated tracker'!V202-'consolidated tracker'!V208-'consolidated tracker'!V62-'consolidated tracker'!V26</f>
        <v>0</v>
      </c>
      <c r="X172" s="127">
        <f>'consolidated tracker'!W209-'consolidated tracker'!W4-'consolidated tracker'!W11-'consolidated tracker'!W17-'consolidated tracker'!W22-'consolidated tracker'!W23-'consolidated tracker'!W24-'consolidated tracker'!W25-'consolidated tracker'!W202-'consolidated tracker'!W208-'consolidated tracker'!W62-'consolidated tracker'!W26</f>
        <v>0</v>
      </c>
    </row>
    <row r="173" spans="1:35" x14ac:dyDescent="1.1000000000000001">
      <c r="F173" s="129"/>
      <c r="G173" s="10">
        <f>G168-G172</f>
        <v>0</v>
      </c>
    </row>
    <row r="174" spans="1:35" x14ac:dyDescent="1.1000000000000001">
      <c r="G174" s="128" t="b">
        <f>G172=G168</f>
        <v>1</v>
      </c>
      <c r="H174" s="128" t="b">
        <f>H172=H168</f>
        <v>1</v>
      </c>
      <c r="I174" s="128" t="b">
        <f>I172=I168</f>
        <v>1</v>
      </c>
      <c r="J174" s="128" t="b">
        <f>J172=J168</f>
        <v>1</v>
      </c>
      <c r="K174" s="128" t="b">
        <f>K172=K168</f>
        <v>1</v>
      </c>
      <c r="L174" s="128"/>
      <c r="M174" s="128" t="b">
        <f t="shared" ref="M174:X174" si="5">M172=M168</f>
        <v>1</v>
      </c>
      <c r="N174" s="128" t="b">
        <f t="shared" si="5"/>
        <v>1</v>
      </c>
      <c r="O174" s="128" t="b">
        <f t="shared" si="5"/>
        <v>1</v>
      </c>
      <c r="P174" s="128" t="b">
        <f t="shared" si="5"/>
        <v>1</v>
      </c>
      <c r="Q174" s="128" t="b">
        <f t="shared" si="5"/>
        <v>1</v>
      </c>
      <c r="R174" s="128" t="b">
        <f t="shared" si="5"/>
        <v>1</v>
      </c>
      <c r="S174" s="128" t="b">
        <f t="shared" si="5"/>
        <v>1</v>
      </c>
      <c r="T174" s="128" t="b">
        <f t="shared" si="5"/>
        <v>1</v>
      </c>
      <c r="U174" s="128" t="b">
        <f t="shared" si="5"/>
        <v>1</v>
      </c>
      <c r="V174" s="128" t="b">
        <f t="shared" si="5"/>
        <v>1</v>
      </c>
      <c r="W174" s="128" t="b">
        <f t="shared" si="5"/>
        <v>1</v>
      </c>
      <c r="X174" s="128" t="b">
        <f t="shared" si="5"/>
        <v>1</v>
      </c>
    </row>
    <row r="175" spans="1:35" x14ac:dyDescent="1.1000000000000001">
      <c r="M175" s="10"/>
      <c r="N175" s="10">
        <f>N168-N172</f>
        <v>0</v>
      </c>
      <c r="O175" s="10">
        <f>O168-O172</f>
        <v>0</v>
      </c>
      <c r="P175" s="10">
        <f>P168-P172</f>
        <v>0</v>
      </c>
      <c r="Q175" s="10">
        <f>Q168-Q172</f>
        <v>0</v>
      </c>
      <c r="R175" s="10">
        <f>R168-R172</f>
        <v>0</v>
      </c>
    </row>
    <row r="176" spans="1:35" x14ac:dyDescent="1.1000000000000001">
      <c r="M176" s="128"/>
      <c r="N176" s="127"/>
    </row>
  </sheetData>
  <conditionalFormatting sqref="N1:X170 S171:X171 N172:X1048576">
    <cfRule type="cellIs" dxfId="0" priority="1" operator="lessThan">
      <formula>0</formula>
    </cfRule>
  </conditionalFormatting>
  <pageMargins left="1.0236220472440944" right="0.59055118110236227" top="0.70866141732283472" bottom="0.55118110236220474" header="0.31496062992125984" footer="0.31496062992125984"/>
  <pageSetup paperSize="8" scale="10" orientation="landscape" r:id="rId1"/>
  <headerFooter alignWithMargins="0">
    <oddHeader>&amp;L&amp;36SOBHA LLC&amp;R&amp;36&amp;D</oddHeader>
    <oddFooter>&amp;L&amp;36COLLECTIONS&amp;R&amp;36 1/1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924D-95DC-4D01-BEDE-958C80DAA9E6}">
  <sheetPr>
    <tabColor theme="8" tint="0.79998168889431442"/>
  </sheetPr>
  <dimension ref="A1:AU113"/>
  <sheetViews>
    <sheetView view="pageBreakPreview" zoomScale="20" zoomScaleNormal="10" zoomScaleSheetLayoutView="20" zoomScalePageLayoutView="40" workbookViewId="0">
      <pane xSplit="4" ySplit="3" topLeftCell="E26" activePane="bottomRight" state="frozen"/>
      <selection pane="topRight"/>
      <selection pane="bottomLeft"/>
      <selection pane="bottomRight"/>
    </sheetView>
  </sheetViews>
  <sheetFormatPr defaultColWidth="9.26953125" defaultRowHeight="23.5" x14ac:dyDescent="0.55000000000000004"/>
  <cols>
    <col min="1" max="1" width="24.7265625" style="1" customWidth="1"/>
    <col min="2" max="2" width="4.26953125" style="1" customWidth="1"/>
    <col min="3" max="3" width="32.453125" style="1" customWidth="1"/>
    <col min="4" max="4" width="126.54296875" style="1" customWidth="1"/>
    <col min="5" max="5" width="98.7265625" style="1" customWidth="1"/>
    <col min="6" max="6" width="48.7265625" style="1" bestFit="1" customWidth="1"/>
    <col min="7" max="7" width="98.26953125" style="1" customWidth="1"/>
    <col min="8" max="8" width="97.26953125" style="1" customWidth="1"/>
    <col min="9" max="10" width="93.26953125" style="1" customWidth="1"/>
    <col min="11" max="11" width="77.7265625" style="1" customWidth="1"/>
    <col min="12" max="12" width="91.54296875" style="1" customWidth="1"/>
    <col min="13" max="13" width="118.7265625" style="1" customWidth="1"/>
    <col min="14" max="14" width="89.26953125" style="1" customWidth="1"/>
    <col min="15" max="15" width="90.81640625" style="1" customWidth="1"/>
    <col min="16" max="16" width="81.26953125" style="1" customWidth="1"/>
    <col min="17" max="23" width="85.7265625" style="1" customWidth="1"/>
    <col min="24" max="24" width="69.26953125" style="1" customWidth="1"/>
    <col min="25" max="25" width="75.7265625" style="1" customWidth="1"/>
    <col min="26" max="26" width="82.54296875" style="142" customWidth="1"/>
    <col min="27" max="27" width="41.453125" style="1" bestFit="1" customWidth="1"/>
    <col min="28" max="29" width="37.453125" style="1" bestFit="1" customWidth="1"/>
    <col min="30" max="30" width="21" style="1" bestFit="1" customWidth="1"/>
    <col min="31" max="32" width="9.26953125" style="1"/>
    <col min="33" max="33" width="24.54296875" style="1" bestFit="1" customWidth="1"/>
    <col min="34" max="46" width="9.26953125" style="1"/>
    <col min="47" max="47" width="30.54296875" style="1" customWidth="1"/>
    <col min="48" max="16384" width="9.26953125" style="1"/>
  </cols>
  <sheetData>
    <row r="1" spans="1:29" ht="95.5" customHeight="1" x14ac:dyDescent="0.55000000000000004">
      <c r="A1" s="126">
        <v>46143</v>
      </c>
    </row>
    <row r="2" spans="1:29" ht="78" customHeight="1" x14ac:dyDescent="1.55">
      <c r="C2" s="7"/>
      <c r="D2" s="7"/>
      <c r="E2" s="7"/>
      <c r="F2" s="7"/>
      <c r="G2" s="7"/>
      <c r="H2" s="7"/>
      <c r="I2" s="123"/>
      <c r="J2" s="124" t="s">
        <v>231</v>
      </c>
      <c r="K2" s="124"/>
      <c r="L2" s="123"/>
      <c r="M2" s="7"/>
      <c r="N2" s="122" t="s">
        <v>230</v>
      </c>
      <c r="O2" s="121">
        <v>46143</v>
      </c>
      <c r="P2" s="121"/>
    </row>
    <row r="3" spans="1:29" s="7" customFormat="1" ht="180" customHeight="1" x14ac:dyDescent="1.25">
      <c r="C3" s="119" t="s">
        <v>229</v>
      </c>
      <c r="D3" s="160" t="s">
        <v>228</v>
      </c>
      <c r="E3" s="118" t="s">
        <v>227</v>
      </c>
      <c r="F3" s="117" t="s">
        <v>226</v>
      </c>
      <c r="G3" s="116" t="s">
        <v>225</v>
      </c>
      <c r="H3" s="116" t="s">
        <v>224</v>
      </c>
      <c r="I3" s="116" t="s">
        <v>223</v>
      </c>
      <c r="J3" s="116" t="s">
        <v>222</v>
      </c>
      <c r="K3" s="116" t="s">
        <v>221</v>
      </c>
      <c r="L3" s="115" t="s">
        <v>220</v>
      </c>
      <c r="M3" s="114" t="s">
        <v>219</v>
      </c>
      <c r="N3" s="113">
        <v>2026</v>
      </c>
      <c r="O3" s="113">
        <v>2027</v>
      </c>
      <c r="P3" s="113">
        <v>2028</v>
      </c>
      <c r="Q3" s="113">
        <v>2029</v>
      </c>
      <c r="R3" s="113">
        <v>2030</v>
      </c>
      <c r="S3" s="113">
        <f>R3+1</f>
        <v>2031</v>
      </c>
      <c r="T3" s="113">
        <f>S3+1</f>
        <v>2032</v>
      </c>
      <c r="U3" s="113">
        <f>T3+1</f>
        <v>2033</v>
      </c>
      <c r="V3" s="113">
        <f>U3+1</f>
        <v>2034</v>
      </c>
      <c r="W3" s="113">
        <f>V3+1</f>
        <v>2035</v>
      </c>
      <c r="Y3" s="113"/>
      <c r="Z3" s="113"/>
      <c r="AA3" s="113"/>
      <c r="AB3" s="113"/>
      <c r="AC3" s="113"/>
    </row>
    <row r="4" spans="1:29" s="7" customFormat="1" ht="180" customHeight="1" x14ac:dyDescent="1.25">
      <c r="C4" s="82">
        <v>1</v>
      </c>
      <c r="D4" s="76" t="s">
        <v>218</v>
      </c>
      <c r="E4" s="49" t="str">
        <f t="array" ref="E4:L4">VLOOKUP(D4,'consolidated tracker'!D:L,{2,3,4,5,6,7,8,9},0)</f>
        <v>RERA</v>
      </c>
      <c r="F4" s="33">
        <v>1026</v>
      </c>
      <c r="G4" s="33">
        <v>1560008516.7500002</v>
      </c>
      <c r="H4" s="33">
        <v>1560555223.2799993</v>
      </c>
      <c r="I4" s="33">
        <v>1557023969.95</v>
      </c>
      <c r="J4" s="33">
        <v>610608.84</v>
      </c>
      <c r="K4" s="42">
        <v>0.99773718143560652</v>
      </c>
      <c r="L4" s="36">
        <v>3531253.1799999997</v>
      </c>
      <c r="M4" s="30">
        <f>_xlfn.XLOOKUP($D4,'consolidated tracker'!$D:$D,'consolidated tracker'!M:M,,)</f>
        <v>2069265.8999999918</v>
      </c>
      <c r="N4" s="33">
        <f>_xlfn.XLOOKUP($D4,'consolidated tracker'!$D:$D,'consolidated tracker'!N:N,,)</f>
        <v>772553.75999999163</v>
      </c>
      <c r="O4" s="33">
        <f>_xlfn.XLOOKUP($D4,'consolidated tracker'!$D:$D,'consolidated tracker'!O:O,,)</f>
        <v>558962.14</v>
      </c>
      <c r="P4" s="33">
        <f>_xlfn.XLOOKUP($D4,'consolidated tracker'!$D:$D,'consolidated tracker'!P:P,,)</f>
        <v>368875</v>
      </c>
      <c r="Q4" s="33">
        <f>_xlfn.XLOOKUP($D4,'consolidated tracker'!$D:$D,'consolidated tracker'!Q:Q,,)</f>
        <v>368875</v>
      </c>
      <c r="R4" s="33">
        <f>_xlfn.XLOOKUP($D4,'consolidated tracker'!$D:$D,'consolidated tracker'!R:R,,)</f>
        <v>0</v>
      </c>
      <c r="S4" s="33">
        <f>_xlfn.XLOOKUP($D4,'consolidated tracker'!$D:$D,'consolidated tracker'!S:S,,)</f>
        <v>0</v>
      </c>
      <c r="T4" s="33">
        <f>_xlfn.XLOOKUP($D4,'consolidated tracker'!$D:$D,'consolidated tracker'!T:T,,)</f>
        <v>0</v>
      </c>
      <c r="U4" s="33">
        <f>_xlfn.XLOOKUP($D4,'consolidated tracker'!$D:$D,'consolidated tracker'!U:U,,)</f>
        <v>0</v>
      </c>
      <c r="V4" s="33">
        <f>_xlfn.XLOOKUP($D4,'consolidated tracker'!$D:$D,'consolidated tracker'!V:V,,)</f>
        <v>0</v>
      </c>
      <c r="W4" s="33">
        <f>_xlfn.XLOOKUP($D4,'consolidated tracker'!$D:$D,'consolidated tracker'!W:W,,)</f>
        <v>0</v>
      </c>
      <c r="Z4" s="146"/>
    </row>
    <row r="5" spans="1:29" s="7" customFormat="1" ht="150" customHeight="1" x14ac:dyDescent="1.25">
      <c r="C5" s="82">
        <v>2</v>
      </c>
      <c r="D5" s="79" t="s">
        <v>211</v>
      </c>
      <c r="E5" s="49" t="str">
        <f t="array" ref="E5:L5">VLOOKUP(D5,'consolidated tracker'!D:L,{2,3,4,5,6,7,8,9},0)</f>
        <v>RERA</v>
      </c>
      <c r="F5" s="33">
        <v>154</v>
      </c>
      <c r="G5" s="33">
        <v>1875287813.0100002</v>
      </c>
      <c r="H5" s="33">
        <v>1868294679.8599989</v>
      </c>
      <c r="I5" s="33">
        <v>1863774380.1600001</v>
      </c>
      <c r="J5" s="33">
        <v>837382.12000000011</v>
      </c>
      <c r="K5" s="42">
        <v>0.99758052102340855</v>
      </c>
      <c r="L5" s="36">
        <v>4520296.7699999996</v>
      </c>
      <c r="M5" s="30">
        <f>_xlfn.XLOOKUP($D5,'consolidated tracker'!$D:$D,'consolidated tracker'!M:M,,)</f>
        <v>6155754.580001235</v>
      </c>
      <c r="N5" s="33">
        <f>_xlfn.XLOOKUP($D5,'consolidated tracker'!$D:$D,'consolidated tracker'!N:N,,)</f>
        <v>6155754.580001235</v>
      </c>
      <c r="O5" s="33">
        <f>_xlfn.XLOOKUP($D5,'consolidated tracker'!$D:$D,'consolidated tracker'!O:O,,)</f>
        <v>0</v>
      </c>
      <c r="P5" s="33">
        <f>_xlfn.XLOOKUP($D5,'consolidated tracker'!$D:$D,'consolidated tracker'!P:P,,)</f>
        <v>0</v>
      </c>
      <c r="Q5" s="33">
        <f>_xlfn.XLOOKUP($D5,'consolidated tracker'!$D:$D,'consolidated tracker'!Q:Q,,)</f>
        <v>0</v>
      </c>
      <c r="R5" s="33">
        <f>_xlfn.XLOOKUP($D5,'consolidated tracker'!$D:$D,'consolidated tracker'!R:R,,)</f>
        <v>0</v>
      </c>
      <c r="S5" s="33">
        <f>_xlfn.XLOOKUP($D5,'consolidated tracker'!$D:$D,'consolidated tracker'!S:S,,)</f>
        <v>0</v>
      </c>
      <c r="T5" s="33">
        <f>_xlfn.XLOOKUP($D5,'consolidated tracker'!$D:$D,'consolidated tracker'!T:T,,)</f>
        <v>0</v>
      </c>
      <c r="U5" s="33">
        <f>_xlfn.XLOOKUP($D5,'consolidated tracker'!$D:$D,'consolidated tracker'!U:U,,)</f>
        <v>0</v>
      </c>
      <c r="V5" s="33">
        <f>_xlfn.XLOOKUP($D5,'consolidated tracker'!$D:$D,'consolidated tracker'!V:V,,)</f>
        <v>0</v>
      </c>
      <c r="W5" s="33">
        <f>_xlfn.XLOOKUP($D5,'consolidated tracker'!$D:$D,'consolidated tracker'!W:W,,)</f>
        <v>0</v>
      </c>
      <c r="X5" s="17"/>
      <c r="Z5" s="146"/>
    </row>
    <row r="6" spans="1:29" s="7" customFormat="1" ht="150" customHeight="1" x14ac:dyDescent="1.25">
      <c r="C6" s="77">
        <v>4</v>
      </c>
      <c r="D6" s="76" t="s">
        <v>205</v>
      </c>
      <c r="E6" s="49" t="str">
        <f t="array" ref="E6:L6">VLOOKUP(D6,'consolidated tracker'!D:L,{2,3,4,5,6,7,8,9},0)</f>
        <v>RERA</v>
      </c>
      <c r="F6" s="33">
        <v>1562</v>
      </c>
      <c r="G6" s="33">
        <v>1637639122.6399999</v>
      </c>
      <c r="H6" s="33">
        <v>1634992810.170002</v>
      </c>
      <c r="I6" s="33">
        <v>1632402675.8299994</v>
      </c>
      <c r="J6" s="33">
        <v>373043.070000001</v>
      </c>
      <c r="K6" s="42">
        <v>0.99841581300915128</v>
      </c>
      <c r="L6" s="36">
        <v>2590134.1100000003</v>
      </c>
      <c r="M6" s="30">
        <f>_xlfn.XLOOKUP($D6,'consolidated tracker'!$D:$D,'consolidated tracker'!M:M,,)</f>
        <v>2427182.3499988317</v>
      </c>
      <c r="N6" s="33">
        <f>_xlfn.XLOOKUP($D6,'consolidated tracker'!$D:$D,'consolidated tracker'!N:N,,)</f>
        <v>1036547.5499988319</v>
      </c>
      <c r="O6" s="33">
        <f>_xlfn.XLOOKUP($D6,'consolidated tracker'!$D:$D,'consolidated tracker'!O:O,,)</f>
        <v>1025238.7999999999</v>
      </c>
      <c r="P6" s="33">
        <f>_xlfn.XLOOKUP($D6,'consolidated tracker'!$D:$D,'consolidated tracker'!P:P,,)</f>
        <v>365396</v>
      </c>
      <c r="Q6" s="33">
        <f>_xlfn.XLOOKUP($D6,'consolidated tracker'!$D:$D,'consolidated tracker'!Q:Q,,)</f>
        <v>0</v>
      </c>
      <c r="R6" s="33">
        <f>_xlfn.XLOOKUP($D6,'consolidated tracker'!$D:$D,'consolidated tracker'!R:R,,)</f>
        <v>0</v>
      </c>
      <c r="S6" s="33">
        <f>_xlfn.XLOOKUP($D6,'consolidated tracker'!$D:$D,'consolidated tracker'!S:S,,)</f>
        <v>0</v>
      </c>
      <c r="T6" s="33">
        <f>_xlfn.XLOOKUP($D6,'consolidated tracker'!$D:$D,'consolidated tracker'!T:T,,)</f>
        <v>0</v>
      </c>
      <c r="U6" s="33">
        <f>_xlfn.XLOOKUP($D6,'consolidated tracker'!$D:$D,'consolidated tracker'!U:U,,)</f>
        <v>0</v>
      </c>
      <c r="V6" s="33">
        <f>_xlfn.XLOOKUP($D6,'consolidated tracker'!$D:$D,'consolidated tracker'!V:V,,)</f>
        <v>0</v>
      </c>
      <c r="W6" s="33">
        <f>_xlfn.XLOOKUP($D6,'consolidated tracker'!$D:$D,'consolidated tracker'!W:W,,)</f>
        <v>0</v>
      </c>
      <c r="Z6" s="146"/>
    </row>
    <row r="7" spans="1:29" s="7" customFormat="1" ht="150" customHeight="1" x14ac:dyDescent="1.25">
      <c r="C7" s="77">
        <v>5</v>
      </c>
      <c r="D7" s="79" t="s">
        <v>10</v>
      </c>
      <c r="E7" s="49" t="str">
        <f t="array" ref="E7:L7">VLOOKUP(D7,'consolidated tracker'!D:L,{2,3,4,5,6,7,8,9},0)</f>
        <v>RERA</v>
      </c>
      <c r="F7" s="33">
        <v>415</v>
      </c>
      <c r="G7" s="33">
        <v>776702862.11999893</v>
      </c>
      <c r="H7" s="33">
        <v>778355329.75999641</v>
      </c>
      <c r="I7" s="33">
        <v>776553473.00999916</v>
      </c>
      <c r="J7" s="33">
        <v>401335.66000000009</v>
      </c>
      <c r="K7" s="42">
        <v>0.99768504604374864</v>
      </c>
      <c r="L7" s="36">
        <v>1801856.45</v>
      </c>
      <c r="M7" s="30">
        <f>_xlfn.XLOOKUP($D7,'consolidated tracker'!$D:$D,'consolidated tracker'!M:M,,)</f>
        <v>260280.26</v>
      </c>
      <c r="N7" s="33">
        <f>_xlfn.XLOOKUP($D7,'consolidated tracker'!$D:$D,'consolidated tracker'!N:N,,)</f>
        <v>84418.14</v>
      </c>
      <c r="O7" s="33">
        <f>_xlfn.XLOOKUP($D7,'consolidated tracker'!$D:$D,'consolidated tracker'!O:O,,)</f>
        <v>175862.12</v>
      </c>
      <c r="P7" s="33">
        <f>_xlfn.XLOOKUP($D7,'consolidated tracker'!$D:$D,'consolidated tracker'!P:P,,)</f>
        <v>0</v>
      </c>
      <c r="Q7" s="33">
        <f>_xlfn.XLOOKUP($D7,'consolidated tracker'!$D:$D,'consolidated tracker'!Q:Q,,)</f>
        <v>0</v>
      </c>
      <c r="R7" s="33">
        <f>_xlfn.XLOOKUP($D7,'consolidated tracker'!$D:$D,'consolidated tracker'!R:R,,)</f>
        <v>0</v>
      </c>
      <c r="S7" s="33">
        <f>_xlfn.XLOOKUP($D7,'consolidated tracker'!$D:$D,'consolidated tracker'!S:S,,)</f>
        <v>0</v>
      </c>
      <c r="T7" s="33">
        <f>_xlfn.XLOOKUP($D7,'consolidated tracker'!$D:$D,'consolidated tracker'!T:T,,)</f>
        <v>0</v>
      </c>
      <c r="U7" s="33">
        <f>_xlfn.XLOOKUP($D7,'consolidated tracker'!$D:$D,'consolidated tracker'!U:U,,)</f>
        <v>0</v>
      </c>
      <c r="V7" s="33">
        <f>_xlfn.XLOOKUP($D7,'consolidated tracker'!$D:$D,'consolidated tracker'!V:V,,)</f>
        <v>0</v>
      </c>
      <c r="W7" s="33">
        <f>_xlfn.XLOOKUP($D7,'consolidated tracker'!$D:$D,'consolidated tracker'!W:W,,)</f>
        <v>0</v>
      </c>
      <c r="Z7" s="146"/>
    </row>
    <row r="8" spans="1:29" s="7" customFormat="1" ht="150" customHeight="1" x14ac:dyDescent="1.25">
      <c r="C8" s="77">
        <v>6</v>
      </c>
      <c r="D8" s="79" t="s">
        <v>5</v>
      </c>
      <c r="E8" s="49" t="str">
        <f t="array" ref="E8:L8">VLOOKUP(D8,'consolidated tracker'!D:L,{2,3,4,5,6,7,8,9},0)</f>
        <v>RERA</v>
      </c>
      <c r="F8" s="33">
        <v>600</v>
      </c>
      <c r="G8" s="33">
        <v>793673521.40999985</v>
      </c>
      <c r="H8" s="33">
        <v>794923048.28999949</v>
      </c>
      <c r="I8" s="33">
        <v>793964919.89999998</v>
      </c>
      <c r="J8" s="33">
        <v>0.22000000000000003</v>
      </c>
      <c r="K8" s="42">
        <v>0.99879469038913815</v>
      </c>
      <c r="L8" s="36">
        <v>958128.30999999994</v>
      </c>
      <c r="M8" s="30">
        <f>_xlfn.XLOOKUP($D8,'consolidated tracker'!$D:$D,'consolidated tracker'!M:M,,)</f>
        <v>0</v>
      </c>
      <c r="N8" s="33">
        <f>_xlfn.XLOOKUP($D8,'consolidated tracker'!$D:$D,'consolidated tracker'!N:N,,)</f>
        <v>0</v>
      </c>
      <c r="O8" s="33">
        <f>_xlfn.XLOOKUP($D8,'consolidated tracker'!$D:$D,'consolidated tracker'!O:O,,)</f>
        <v>0</v>
      </c>
      <c r="P8" s="33">
        <f>_xlfn.XLOOKUP($D8,'consolidated tracker'!$D:$D,'consolidated tracker'!P:P,,)</f>
        <v>0</v>
      </c>
      <c r="Q8" s="33">
        <f>_xlfn.XLOOKUP($D8,'consolidated tracker'!$D:$D,'consolidated tracker'!Q:Q,,)</f>
        <v>0</v>
      </c>
      <c r="R8" s="33">
        <f>_xlfn.XLOOKUP($D8,'consolidated tracker'!$D:$D,'consolidated tracker'!R:R,,)</f>
        <v>0</v>
      </c>
      <c r="S8" s="33">
        <f>_xlfn.XLOOKUP($D8,'consolidated tracker'!$D:$D,'consolidated tracker'!S:S,,)</f>
        <v>0</v>
      </c>
      <c r="T8" s="33">
        <f>_xlfn.XLOOKUP($D8,'consolidated tracker'!$D:$D,'consolidated tracker'!T:T,,)</f>
        <v>0</v>
      </c>
      <c r="U8" s="33">
        <f>_xlfn.XLOOKUP($D8,'consolidated tracker'!$D:$D,'consolidated tracker'!U:U,,)</f>
        <v>0</v>
      </c>
      <c r="V8" s="33">
        <f>_xlfn.XLOOKUP($D8,'consolidated tracker'!$D:$D,'consolidated tracker'!V:V,,)</f>
        <v>0</v>
      </c>
      <c r="W8" s="33">
        <f>_xlfn.XLOOKUP($D8,'consolidated tracker'!$D:$D,'consolidated tracker'!W:W,,)</f>
        <v>0</v>
      </c>
      <c r="Z8" s="146"/>
    </row>
    <row r="9" spans="1:29" s="7" customFormat="1" ht="150" customHeight="1" x14ac:dyDescent="1.25">
      <c r="C9" s="82">
        <v>7</v>
      </c>
      <c r="D9" s="76" t="s">
        <v>6</v>
      </c>
      <c r="E9" s="49" t="str">
        <f t="array" ref="E9:L9">VLOOKUP(D9,'consolidated tracker'!D:L,{2,3,4,5,6,7,8,9},0)</f>
        <v>RERA</v>
      </c>
      <c r="F9" s="33">
        <v>438</v>
      </c>
      <c r="G9" s="33">
        <v>797988715.11999989</v>
      </c>
      <c r="H9" s="33">
        <v>798746446.85000002</v>
      </c>
      <c r="I9" s="33">
        <v>797694530.77999938</v>
      </c>
      <c r="J9" s="33">
        <v>0.19000000000000003</v>
      </c>
      <c r="K9" s="42">
        <v>0.99868304131536478</v>
      </c>
      <c r="L9" s="36">
        <v>1051915.9399999997</v>
      </c>
      <c r="M9" s="30">
        <f>_xlfn.XLOOKUP($D9,'consolidated tracker'!$D:$D,'consolidated tracker'!M:M,,)</f>
        <v>1102957.97</v>
      </c>
      <c r="N9" s="33">
        <f>_xlfn.XLOOKUP($D9,'consolidated tracker'!$D:$D,'consolidated tracker'!N:N,,)</f>
        <v>940818.89999999991</v>
      </c>
      <c r="O9" s="33">
        <f>_xlfn.XLOOKUP($D9,'consolidated tracker'!$D:$D,'consolidated tracker'!O:O,,)</f>
        <v>162139.07</v>
      </c>
      <c r="P9" s="33">
        <f>_xlfn.XLOOKUP($D9,'consolidated tracker'!$D:$D,'consolidated tracker'!P:P,,)</f>
        <v>0</v>
      </c>
      <c r="Q9" s="33">
        <f>_xlfn.XLOOKUP($D9,'consolidated tracker'!$D:$D,'consolidated tracker'!Q:Q,,)</f>
        <v>0</v>
      </c>
      <c r="R9" s="33">
        <f>_xlfn.XLOOKUP($D9,'consolidated tracker'!$D:$D,'consolidated tracker'!R:R,,)</f>
        <v>0</v>
      </c>
      <c r="S9" s="33">
        <f>_xlfn.XLOOKUP($D9,'consolidated tracker'!$D:$D,'consolidated tracker'!S:S,,)</f>
        <v>0</v>
      </c>
      <c r="T9" s="33">
        <f>_xlfn.XLOOKUP($D9,'consolidated tracker'!$D:$D,'consolidated tracker'!T:T,,)</f>
        <v>0</v>
      </c>
      <c r="U9" s="33">
        <f>_xlfn.XLOOKUP($D9,'consolidated tracker'!$D:$D,'consolidated tracker'!U:U,,)</f>
        <v>0</v>
      </c>
      <c r="V9" s="33">
        <f>_xlfn.XLOOKUP($D9,'consolidated tracker'!$D:$D,'consolidated tracker'!V:V,,)</f>
        <v>0</v>
      </c>
      <c r="W9" s="33">
        <f>_xlfn.XLOOKUP($D9,'consolidated tracker'!$D:$D,'consolidated tracker'!W:W,,)</f>
        <v>0</v>
      </c>
      <c r="Z9" s="146"/>
    </row>
    <row r="10" spans="1:29" s="7" customFormat="1" ht="150" customHeight="1" x14ac:dyDescent="1.25">
      <c r="C10" s="77">
        <v>6</v>
      </c>
      <c r="D10" s="76" t="s">
        <v>204</v>
      </c>
      <c r="E10" s="49" t="str">
        <f t="array" ref="E10:L10">VLOOKUP(D10,'consolidated tracker'!D:L,{2,3,4,5,6,7,8,9},0)</f>
        <v>RERA</v>
      </c>
      <c r="F10" s="33">
        <v>399</v>
      </c>
      <c r="G10" s="33">
        <v>802635089.07000005</v>
      </c>
      <c r="H10" s="33">
        <v>677960738.09999609</v>
      </c>
      <c r="I10" s="33">
        <v>666711599.26999962</v>
      </c>
      <c r="J10" s="33">
        <v>57228840.810000025</v>
      </c>
      <c r="K10" s="42">
        <v>0.98340738895658986</v>
      </c>
      <c r="L10" s="36">
        <v>11249138.710000006</v>
      </c>
      <c r="M10" s="30">
        <f>_xlfn.XLOOKUP($D10,'consolidated tracker'!$D:$D,'consolidated tracker'!M:M,,)</f>
        <v>67445510.160003901</v>
      </c>
      <c r="N10" s="33">
        <f>_xlfn.XLOOKUP($D10,'consolidated tracker'!$D:$D,'consolidated tracker'!N:N,,)</f>
        <v>66338413.250003904</v>
      </c>
      <c r="O10" s="33">
        <f>_xlfn.XLOOKUP($D10,'consolidated tracker'!$D:$D,'consolidated tracker'!O:O,,)</f>
        <v>1107096.9099999999</v>
      </c>
      <c r="P10" s="33">
        <f>_xlfn.XLOOKUP($D10,'consolidated tracker'!$D:$D,'consolidated tracker'!P:P,,)</f>
        <v>0</v>
      </c>
      <c r="Q10" s="33">
        <f>_xlfn.XLOOKUP($D10,'consolidated tracker'!$D:$D,'consolidated tracker'!Q:Q,,)</f>
        <v>0</v>
      </c>
      <c r="R10" s="33">
        <f>_xlfn.XLOOKUP($D10,'consolidated tracker'!$D:$D,'consolidated tracker'!R:R,,)</f>
        <v>0</v>
      </c>
      <c r="S10" s="33">
        <f>_xlfn.XLOOKUP($D10,'consolidated tracker'!$D:$D,'consolidated tracker'!S:S,,)</f>
        <v>0</v>
      </c>
      <c r="T10" s="33">
        <f>_xlfn.XLOOKUP($D10,'consolidated tracker'!$D:$D,'consolidated tracker'!T:T,,)</f>
        <v>0</v>
      </c>
      <c r="U10" s="33">
        <f>_xlfn.XLOOKUP($D10,'consolidated tracker'!$D:$D,'consolidated tracker'!U:U,,)</f>
        <v>0</v>
      </c>
      <c r="V10" s="33">
        <f>_xlfn.XLOOKUP($D10,'consolidated tracker'!$D:$D,'consolidated tracker'!V:V,,)</f>
        <v>0</v>
      </c>
      <c r="W10" s="33">
        <f>_xlfn.XLOOKUP($D10,'consolidated tracker'!$D:$D,'consolidated tracker'!W:W,,)</f>
        <v>0</v>
      </c>
      <c r="Z10" s="146"/>
    </row>
    <row r="11" spans="1:29" s="7" customFormat="1" ht="150" customHeight="1" x14ac:dyDescent="1.25">
      <c r="C11" s="77">
        <v>7</v>
      </c>
      <c r="D11" s="76" t="s">
        <v>203</v>
      </c>
      <c r="E11" s="49" t="str">
        <f t="array" ref="E11:L11">VLOOKUP(D11,'consolidated tracker'!D:L,{2,3,4,5,6,7,8,9},0)</f>
        <v>RERA</v>
      </c>
      <c r="F11" s="33">
        <v>976</v>
      </c>
      <c r="G11" s="33">
        <v>2548741854.77</v>
      </c>
      <c r="H11" s="33">
        <v>1860490380.8199992</v>
      </c>
      <c r="I11" s="33">
        <v>1749557552.6000006</v>
      </c>
      <c r="J11" s="33">
        <v>88303513.029999986</v>
      </c>
      <c r="K11" s="42">
        <v>0.94037441452876225</v>
      </c>
      <c r="L11" s="36">
        <v>110932827.58000004</v>
      </c>
      <c r="M11" s="30">
        <f>_xlfn.XLOOKUP($D11,'consolidated tracker'!$D:$D,'consolidated tracker'!M:M,,)</f>
        <v>602330643.2590009</v>
      </c>
      <c r="N11" s="33">
        <f>_xlfn.XLOOKUP($D11,'consolidated tracker'!$D:$D,'consolidated tracker'!N:N,,)</f>
        <v>136603039.37900043</v>
      </c>
      <c r="O11" s="33">
        <f>_xlfn.XLOOKUP($D11,'consolidated tracker'!$D:$D,'consolidated tracker'!O:O,,)</f>
        <v>308054849.1200003</v>
      </c>
      <c r="P11" s="33">
        <f>_xlfn.XLOOKUP($D11,'consolidated tracker'!$D:$D,'consolidated tracker'!P:P,,)</f>
        <v>157672754.76000017</v>
      </c>
      <c r="Q11" s="33">
        <f>_xlfn.XLOOKUP($D11,'consolidated tracker'!$D:$D,'consolidated tracker'!Q:Q,,)</f>
        <v>0</v>
      </c>
      <c r="R11" s="33">
        <f>_xlfn.XLOOKUP($D11,'consolidated tracker'!$D:$D,'consolidated tracker'!R:R,,)</f>
        <v>0</v>
      </c>
      <c r="S11" s="33">
        <f>_xlfn.XLOOKUP($D11,'consolidated tracker'!$D:$D,'consolidated tracker'!S:S,,)</f>
        <v>0</v>
      </c>
      <c r="T11" s="33">
        <f>_xlfn.XLOOKUP($D11,'consolidated tracker'!$D:$D,'consolidated tracker'!T:T,,)</f>
        <v>0</v>
      </c>
      <c r="U11" s="33">
        <f>_xlfn.XLOOKUP($D11,'consolidated tracker'!$D:$D,'consolidated tracker'!U:U,,)</f>
        <v>0</v>
      </c>
      <c r="V11" s="33">
        <f>_xlfn.XLOOKUP($D11,'consolidated tracker'!$D:$D,'consolidated tracker'!V:V,,)</f>
        <v>0</v>
      </c>
      <c r="W11" s="33">
        <f>_xlfn.XLOOKUP($D11,'consolidated tracker'!$D:$D,'consolidated tracker'!W:W,,)</f>
        <v>0</v>
      </c>
      <c r="Z11" s="146"/>
    </row>
    <row r="12" spans="1:29" s="7" customFormat="1" ht="150" customHeight="1" x14ac:dyDescent="1.25">
      <c r="C12" s="77">
        <v>8</v>
      </c>
      <c r="D12" s="79" t="s">
        <v>198</v>
      </c>
      <c r="E12" s="49" t="str">
        <f t="array" ref="E12:L12">VLOOKUP(D12,'consolidated tracker'!D:L,{2,3,4,5,6,7,8,9},0)</f>
        <v>RERA</v>
      </c>
      <c r="F12" s="33">
        <v>357</v>
      </c>
      <c r="G12" s="33">
        <v>1007360090.5500002</v>
      </c>
      <c r="H12" s="33">
        <v>598134517.1899991</v>
      </c>
      <c r="I12" s="33">
        <v>588102005.86999953</v>
      </c>
      <c r="J12" s="33">
        <v>101762337.62999991</v>
      </c>
      <c r="K12" s="42">
        <v>0.98322699822252069</v>
      </c>
      <c r="L12" s="36">
        <v>10032510.960000001</v>
      </c>
      <c r="M12" s="30">
        <f>_xlfn.XLOOKUP($D12,'consolidated tracker'!$D:$D,'consolidated tracker'!M:M,,)</f>
        <v>307463235.73000121</v>
      </c>
      <c r="N12" s="33">
        <f>_xlfn.XLOOKUP($D12,'consolidated tracker'!$D:$D,'consolidated tracker'!N:N,,)</f>
        <v>307463235.73000121</v>
      </c>
      <c r="O12" s="33">
        <f>_xlfn.XLOOKUP($D12,'consolidated tracker'!$D:$D,'consolidated tracker'!O:O,,)</f>
        <v>0</v>
      </c>
      <c r="P12" s="33">
        <f>_xlfn.XLOOKUP($D12,'consolidated tracker'!$D:$D,'consolidated tracker'!P:P,,)</f>
        <v>0</v>
      </c>
      <c r="Q12" s="33">
        <f>_xlfn.XLOOKUP($D12,'consolidated tracker'!$D:$D,'consolidated tracker'!Q:Q,,)</f>
        <v>0</v>
      </c>
      <c r="R12" s="33">
        <f>_xlfn.XLOOKUP($D12,'consolidated tracker'!$D:$D,'consolidated tracker'!R:R,,)</f>
        <v>0</v>
      </c>
      <c r="S12" s="33">
        <f>_xlfn.XLOOKUP($D12,'consolidated tracker'!$D:$D,'consolidated tracker'!S:S,,)</f>
        <v>0</v>
      </c>
      <c r="T12" s="33">
        <f>_xlfn.XLOOKUP($D12,'consolidated tracker'!$D:$D,'consolidated tracker'!T:T,,)</f>
        <v>0</v>
      </c>
      <c r="U12" s="33">
        <f>_xlfn.XLOOKUP($D12,'consolidated tracker'!$D:$D,'consolidated tracker'!U:U,,)</f>
        <v>0</v>
      </c>
      <c r="V12" s="33">
        <f>_xlfn.XLOOKUP($D12,'consolidated tracker'!$D:$D,'consolidated tracker'!V:V,,)</f>
        <v>0</v>
      </c>
      <c r="W12" s="33">
        <f>_xlfn.XLOOKUP($D12,'consolidated tracker'!$D:$D,'consolidated tracker'!W:W,,)</f>
        <v>0</v>
      </c>
      <c r="Z12" s="146"/>
    </row>
    <row r="13" spans="1:29" s="7" customFormat="1" ht="150" customHeight="1" x14ac:dyDescent="1.25">
      <c r="C13" s="77">
        <v>9</v>
      </c>
      <c r="D13" s="76" t="s">
        <v>197</v>
      </c>
      <c r="E13" s="49" t="str">
        <f t="array" ref="E13:L13">VLOOKUP(D13,'consolidated tracker'!D:L,{2,3,4,5,6,7,8,9},0)</f>
        <v>RERA</v>
      </c>
      <c r="F13" s="33">
        <v>1324</v>
      </c>
      <c r="G13" s="33">
        <v>2541198797.9000025</v>
      </c>
      <c r="H13" s="33">
        <v>1548350914.5199885</v>
      </c>
      <c r="I13" s="33">
        <v>1527323781.1800008</v>
      </c>
      <c r="J13" s="33">
        <v>184292194.43000007</v>
      </c>
      <c r="K13" s="42">
        <v>0.98641965904317852</v>
      </c>
      <c r="L13" s="36">
        <v>20972071.429999996</v>
      </c>
      <c r="M13" s="30">
        <f>_xlfn.XLOOKUP($D13,'consolidated tracker'!$D:$D,'consolidated tracker'!M:M,,)</f>
        <v>808555688.95001388</v>
      </c>
      <c r="N13" s="33">
        <f>_xlfn.XLOOKUP($D13,'consolidated tracker'!$D:$D,'consolidated tracker'!N:N,,)</f>
        <v>808555688.95001388</v>
      </c>
      <c r="O13" s="33">
        <f>_xlfn.XLOOKUP($D13,'consolidated tracker'!$D:$D,'consolidated tracker'!O:O,,)</f>
        <v>0</v>
      </c>
      <c r="P13" s="33">
        <f>_xlfn.XLOOKUP($D13,'consolidated tracker'!$D:$D,'consolidated tracker'!P:P,,)</f>
        <v>0</v>
      </c>
      <c r="Q13" s="33">
        <f>_xlfn.XLOOKUP($D13,'consolidated tracker'!$D:$D,'consolidated tracker'!Q:Q,,)</f>
        <v>0</v>
      </c>
      <c r="R13" s="33">
        <f>_xlfn.XLOOKUP($D13,'consolidated tracker'!$D:$D,'consolidated tracker'!R:R,,)</f>
        <v>0</v>
      </c>
      <c r="S13" s="33">
        <f>_xlfn.XLOOKUP($D13,'consolidated tracker'!$D:$D,'consolidated tracker'!S:S,,)</f>
        <v>0</v>
      </c>
      <c r="T13" s="33">
        <f>_xlfn.XLOOKUP($D13,'consolidated tracker'!$D:$D,'consolidated tracker'!T:T,,)</f>
        <v>0</v>
      </c>
      <c r="U13" s="33">
        <f>_xlfn.XLOOKUP($D13,'consolidated tracker'!$D:$D,'consolidated tracker'!U:U,,)</f>
        <v>0</v>
      </c>
      <c r="V13" s="33">
        <f>_xlfn.XLOOKUP($D13,'consolidated tracker'!$D:$D,'consolidated tracker'!V:V,,)</f>
        <v>0</v>
      </c>
      <c r="W13" s="33">
        <f>_xlfn.XLOOKUP($D13,'consolidated tracker'!$D:$D,'consolidated tracker'!W:W,,)</f>
        <v>0</v>
      </c>
      <c r="Z13" s="146"/>
    </row>
    <row r="14" spans="1:29" s="7" customFormat="1" ht="150" customHeight="1" x14ac:dyDescent="1.25">
      <c r="C14" s="77">
        <v>10</v>
      </c>
      <c r="D14" s="79" t="s">
        <v>193</v>
      </c>
      <c r="E14" s="49" t="str">
        <f t="array" ref="E14:L14">VLOOKUP(D14,'consolidated tracker'!D:L,{2,3,4,5,6,7,8,9},0)</f>
        <v>RERA</v>
      </c>
      <c r="F14" s="33">
        <v>680</v>
      </c>
      <c r="G14" s="33">
        <v>5301963228.2799997</v>
      </c>
      <c r="H14" s="33">
        <v>3061852349.7400026</v>
      </c>
      <c r="I14" s="33">
        <v>2861273379.0300007</v>
      </c>
      <c r="J14" s="33">
        <v>258975239.60000002</v>
      </c>
      <c r="K14" s="42">
        <v>0.93449097219628041</v>
      </c>
      <c r="L14" s="36">
        <v>200578968.11000001</v>
      </c>
      <c r="M14" s="30">
        <f>_xlfn.XLOOKUP($D14,'consolidated tracker'!$D:$D,'consolidated tracker'!M:M,,)</f>
        <v>1981135638.9399972</v>
      </c>
      <c r="N14" s="33">
        <f>_xlfn.XLOOKUP($D14,'consolidated tracker'!$D:$D,'consolidated tracker'!N:N,,)</f>
        <v>965452935.35999727</v>
      </c>
      <c r="O14" s="33">
        <f>_xlfn.XLOOKUP($D14,'consolidated tracker'!$D:$D,'consolidated tracker'!O:O,,)</f>
        <v>1015682703.5799999</v>
      </c>
      <c r="P14" s="33">
        <f>_xlfn.XLOOKUP($D14,'consolidated tracker'!$D:$D,'consolidated tracker'!P:P,,)</f>
        <v>0</v>
      </c>
      <c r="Q14" s="33">
        <f>_xlfn.XLOOKUP($D14,'consolidated tracker'!$D:$D,'consolidated tracker'!Q:Q,,)</f>
        <v>0</v>
      </c>
      <c r="R14" s="33">
        <f>_xlfn.XLOOKUP($D14,'consolidated tracker'!$D:$D,'consolidated tracker'!R:R,,)</f>
        <v>0</v>
      </c>
      <c r="S14" s="33">
        <f>_xlfn.XLOOKUP($D14,'consolidated tracker'!$D:$D,'consolidated tracker'!S:S,,)</f>
        <v>0</v>
      </c>
      <c r="T14" s="33">
        <f>_xlfn.XLOOKUP($D14,'consolidated tracker'!$D:$D,'consolidated tracker'!T:T,,)</f>
        <v>0</v>
      </c>
      <c r="U14" s="33">
        <f>_xlfn.XLOOKUP($D14,'consolidated tracker'!$D:$D,'consolidated tracker'!U:U,,)</f>
        <v>0</v>
      </c>
      <c r="V14" s="33">
        <f>_xlfn.XLOOKUP($D14,'consolidated tracker'!$D:$D,'consolidated tracker'!V:V,,)</f>
        <v>0</v>
      </c>
      <c r="W14" s="33">
        <f>_xlfn.XLOOKUP($D14,'consolidated tracker'!$D:$D,'consolidated tracker'!W:W,,)</f>
        <v>0</v>
      </c>
      <c r="Z14" s="146"/>
    </row>
    <row r="15" spans="1:29" s="7" customFormat="1" ht="150" customHeight="1" x14ac:dyDescent="1.25">
      <c r="C15" s="77">
        <v>11</v>
      </c>
      <c r="D15" s="76" t="s">
        <v>189</v>
      </c>
      <c r="E15" s="49" t="str">
        <f t="array" ref="E15:L15">VLOOKUP(D15,'consolidated tracker'!D:L,{2,3,4,5,6,7,8,9},0)</f>
        <v>RERA</v>
      </c>
      <c r="F15" s="33">
        <v>606</v>
      </c>
      <c r="G15" s="33">
        <v>1535529679.7600019</v>
      </c>
      <c r="H15" s="33">
        <v>891061974.60999799</v>
      </c>
      <c r="I15" s="33">
        <v>863327073.92000043</v>
      </c>
      <c r="J15" s="33">
        <v>62673788.359999962</v>
      </c>
      <c r="K15" s="42">
        <v>0.96887433031564762</v>
      </c>
      <c r="L15" s="36">
        <v>27734900.610000011</v>
      </c>
      <c r="M15" s="30">
        <f>_xlfn.XLOOKUP($D15,'consolidated tracker'!$D:$D,'consolidated tracker'!M:M,,)</f>
        <v>581793916.7900039</v>
      </c>
      <c r="N15" s="33">
        <f>_xlfn.XLOOKUP($D15,'consolidated tracker'!$D:$D,'consolidated tracker'!N:N,,)</f>
        <v>581793916.7900039</v>
      </c>
      <c r="O15" s="33">
        <f>_xlfn.XLOOKUP($D15,'consolidated tracker'!$D:$D,'consolidated tracker'!O:O,,)</f>
        <v>0</v>
      </c>
      <c r="P15" s="33">
        <f>_xlfn.XLOOKUP($D15,'consolidated tracker'!$D:$D,'consolidated tracker'!P:P,,)</f>
        <v>0</v>
      </c>
      <c r="Q15" s="33">
        <f>_xlfn.XLOOKUP($D15,'consolidated tracker'!$D:$D,'consolidated tracker'!Q:Q,,)</f>
        <v>0</v>
      </c>
      <c r="R15" s="33">
        <f>_xlfn.XLOOKUP($D15,'consolidated tracker'!$D:$D,'consolidated tracker'!R:R,,)</f>
        <v>0</v>
      </c>
      <c r="S15" s="33">
        <f>_xlfn.XLOOKUP($D15,'consolidated tracker'!$D:$D,'consolidated tracker'!S:S,,)</f>
        <v>0</v>
      </c>
      <c r="T15" s="33">
        <f>_xlfn.XLOOKUP($D15,'consolidated tracker'!$D:$D,'consolidated tracker'!T:T,,)</f>
        <v>0</v>
      </c>
      <c r="U15" s="33">
        <f>_xlfn.XLOOKUP($D15,'consolidated tracker'!$D:$D,'consolidated tracker'!U:U,,)</f>
        <v>0</v>
      </c>
      <c r="V15" s="33">
        <f>_xlfn.XLOOKUP($D15,'consolidated tracker'!$D:$D,'consolidated tracker'!V:V,,)</f>
        <v>0</v>
      </c>
      <c r="W15" s="33">
        <f>_xlfn.XLOOKUP($D15,'consolidated tracker'!$D:$D,'consolidated tracker'!W:W,,)</f>
        <v>0</v>
      </c>
      <c r="Z15" s="146"/>
    </row>
    <row r="16" spans="1:29" s="7" customFormat="1" ht="150" customHeight="1" x14ac:dyDescent="1.25">
      <c r="C16" s="77">
        <v>12</v>
      </c>
      <c r="D16" s="79" t="s">
        <v>188</v>
      </c>
      <c r="E16" s="49" t="str">
        <f t="array" ref="E16:L16">VLOOKUP(D16,'consolidated tracker'!D:L,{2,3,4,5,6,7,8,9},0)</f>
        <v>RERA</v>
      </c>
      <c r="F16" s="33">
        <v>104</v>
      </c>
      <c r="G16" s="33">
        <v>2966057520.7600002</v>
      </c>
      <c r="H16" s="33">
        <v>1619130627.4600003</v>
      </c>
      <c r="I16" s="33">
        <v>1505348877.3899999</v>
      </c>
      <c r="J16" s="33">
        <v>214355430.16999999</v>
      </c>
      <c r="K16" s="42">
        <v>0.92972663962975322</v>
      </c>
      <c r="L16" s="36">
        <v>113781748.85000002</v>
      </c>
      <c r="M16" s="30">
        <f>_xlfn.XLOOKUP($D16,'consolidated tracker'!$D:$D,'consolidated tracker'!M:M,,)</f>
        <v>1132571463.1299999</v>
      </c>
      <c r="N16" s="33">
        <f>_xlfn.XLOOKUP($D16,'consolidated tracker'!$D:$D,'consolidated tracker'!N:N,,)</f>
        <v>619358623.52999973</v>
      </c>
      <c r="O16" s="33">
        <f>_xlfn.XLOOKUP($D16,'consolidated tracker'!$D:$D,'consolidated tracker'!O:O,,)</f>
        <v>513212839.60000008</v>
      </c>
      <c r="P16" s="33">
        <f>_xlfn.XLOOKUP($D16,'consolidated tracker'!$D:$D,'consolidated tracker'!P:P,,)</f>
        <v>0</v>
      </c>
      <c r="Q16" s="33">
        <f>_xlfn.XLOOKUP($D16,'consolidated tracker'!$D:$D,'consolidated tracker'!Q:Q,,)</f>
        <v>0</v>
      </c>
      <c r="R16" s="33">
        <f>_xlfn.XLOOKUP($D16,'consolidated tracker'!$D:$D,'consolidated tracker'!R:R,,)</f>
        <v>0</v>
      </c>
      <c r="S16" s="33">
        <f>_xlfn.XLOOKUP($D16,'consolidated tracker'!$D:$D,'consolidated tracker'!S:S,,)</f>
        <v>0</v>
      </c>
      <c r="T16" s="33">
        <f>_xlfn.XLOOKUP($D16,'consolidated tracker'!$D:$D,'consolidated tracker'!T:T,,)</f>
        <v>0</v>
      </c>
      <c r="U16" s="33">
        <f>_xlfn.XLOOKUP($D16,'consolidated tracker'!$D:$D,'consolidated tracker'!U:U,,)</f>
        <v>0</v>
      </c>
      <c r="V16" s="33">
        <f>_xlfn.XLOOKUP($D16,'consolidated tracker'!$D:$D,'consolidated tracker'!V:V,,)</f>
        <v>0</v>
      </c>
      <c r="W16" s="33">
        <f>_xlfn.XLOOKUP($D16,'consolidated tracker'!$D:$D,'consolidated tracker'!W:W,,)</f>
        <v>0</v>
      </c>
      <c r="Z16" s="146"/>
    </row>
    <row r="17" spans="1:33" s="7" customFormat="1" ht="150" customHeight="1" x14ac:dyDescent="1.25">
      <c r="C17" s="77">
        <v>13</v>
      </c>
      <c r="D17" s="76" t="s">
        <v>179</v>
      </c>
      <c r="E17" s="49" t="str">
        <f t="array" ref="E17:L17">VLOOKUP(D17,'consolidated tracker'!D:L,{2,3,4,5,6,7,8,9},0)</f>
        <v>RERA</v>
      </c>
      <c r="F17" s="33">
        <v>345</v>
      </c>
      <c r="G17" s="33">
        <v>3184231867.099999</v>
      </c>
      <c r="H17" s="33">
        <v>2118963166.0399885</v>
      </c>
      <c r="I17" s="33">
        <v>2004563019.559999</v>
      </c>
      <c r="J17" s="33">
        <v>112387998.13000004</v>
      </c>
      <c r="K17" s="42">
        <v>0.9460112623412017</v>
      </c>
      <c r="L17" s="36">
        <v>114400144.38999999</v>
      </c>
      <c r="M17" s="30">
        <f>_xlfn.XLOOKUP($D17,'consolidated tracker'!$D:$D,'consolidated tracker'!M:M,,)</f>
        <v>952880702.93001032</v>
      </c>
      <c r="N17" s="33">
        <f>_xlfn.XLOOKUP($D17,'consolidated tracker'!$D:$D,'consolidated tracker'!N:N,,)</f>
        <v>520052707.3500104</v>
      </c>
      <c r="O17" s="33">
        <f>_xlfn.XLOOKUP($D17,'consolidated tracker'!$D:$D,'consolidated tracker'!O:O,,)</f>
        <v>428897172.56999993</v>
      </c>
      <c r="P17" s="33">
        <f>_xlfn.XLOOKUP($D17,'consolidated tracker'!$D:$D,'consolidated tracker'!P:P,,)</f>
        <v>750000</v>
      </c>
      <c r="Q17" s="33">
        <f>_xlfn.XLOOKUP($D17,'consolidated tracker'!$D:$D,'consolidated tracker'!Q:Q,,)</f>
        <v>750000</v>
      </c>
      <c r="R17" s="33">
        <f>_xlfn.XLOOKUP($D17,'consolidated tracker'!$D:$D,'consolidated tracker'!R:R,,)</f>
        <v>1000000</v>
      </c>
      <c r="S17" s="33">
        <f>_xlfn.XLOOKUP($D17,'consolidated tracker'!$D:$D,'consolidated tracker'!S:S,,)</f>
        <v>1430823.01</v>
      </c>
      <c r="T17" s="33">
        <f>_xlfn.XLOOKUP($D17,'consolidated tracker'!$D:$D,'consolidated tracker'!T:T,,)</f>
        <v>0</v>
      </c>
      <c r="U17" s="33">
        <f>_xlfn.XLOOKUP($D17,'consolidated tracker'!$D:$D,'consolidated tracker'!U:U,,)</f>
        <v>0</v>
      </c>
      <c r="V17" s="33">
        <f>_xlfn.XLOOKUP($D17,'consolidated tracker'!$D:$D,'consolidated tracker'!V:V,,)</f>
        <v>0</v>
      </c>
      <c r="W17" s="33">
        <f>_xlfn.XLOOKUP($D17,'consolidated tracker'!$D:$D,'consolidated tracker'!W:W,,)</f>
        <v>0</v>
      </c>
      <c r="Z17" s="146"/>
    </row>
    <row r="18" spans="1:33" s="7" customFormat="1" ht="150" customHeight="1" x14ac:dyDescent="1.25">
      <c r="C18" s="77">
        <v>14</v>
      </c>
      <c r="D18" s="76" t="s">
        <v>178</v>
      </c>
      <c r="E18" s="49" t="str">
        <f t="array" ref="E18:L18">VLOOKUP(D18,'consolidated tracker'!D:L,{2,3,4,5,6,7,8,9},0)</f>
        <v>RERA</v>
      </c>
      <c r="F18" s="33">
        <v>2957</v>
      </c>
      <c r="G18" s="33">
        <v>6987776685.4200001</v>
      </c>
      <c r="H18" s="33">
        <v>3736014218.109992</v>
      </c>
      <c r="I18" s="33">
        <v>3590002271.7599978</v>
      </c>
      <c r="J18" s="33">
        <v>313172768.92999995</v>
      </c>
      <c r="K18" s="42">
        <v>0.9609177219823698</v>
      </c>
      <c r="L18" s="36">
        <v>146011945.82999998</v>
      </c>
      <c r="M18" s="30">
        <f>_xlfn.XLOOKUP($D18,'consolidated tracker'!$D:$D,'consolidated tracker'!M:M,,)</f>
        <v>2938589698.3800082</v>
      </c>
      <c r="N18" s="33">
        <f>_xlfn.XLOOKUP($D18,'consolidated tracker'!$D:$D,'consolidated tracker'!N:N,,)</f>
        <v>2936419781.6300082</v>
      </c>
      <c r="O18" s="33">
        <f>_xlfn.XLOOKUP($D18,'consolidated tracker'!$D:$D,'consolidated tracker'!O:O,,)</f>
        <v>2169916.75</v>
      </c>
      <c r="P18" s="33">
        <f>_xlfn.XLOOKUP($D18,'consolidated tracker'!$D:$D,'consolidated tracker'!P:P,,)</f>
        <v>0</v>
      </c>
      <c r="Q18" s="33">
        <f>_xlfn.XLOOKUP($D18,'consolidated tracker'!$D:$D,'consolidated tracker'!Q:Q,,)</f>
        <v>0</v>
      </c>
      <c r="R18" s="33">
        <f>_xlfn.XLOOKUP($D18,'consolidated tracker'!$D:$D,'consolidated tracker'!R:R,,)</f>
        <v>0</v>
      </c>
      <c r="S18" s="33">
        <f>_xlfn.XLOOKUP($D18,'consolidated tracker'!$D:$D,'consolidated tracker'!S:S,,)</f>
        <v>0</v>
      </c>
      <c r="T18" s="33">
        <f>_xlfn.XLOOKUP($D18,'consolidated tracker'!$D:$D,'consolidated tracker'!T:T,,)</f>
        <v>0</v>
      </c>
      <c r="U18" s="33">
        <f>_xlfn.XLOOKUP($D18,'consolidated tracker'!$D:$D,'consolidated tracker'!U:U,,)</f>
        <v>0</v>
      </c>
      <c r="V18" s="33">
        <f>_xlfn.XLOOKUP($D18,'consolidated tracker'!$D:$D,'consolidated tracker'!V:V,,)</f>
        <v>0</v>
      </c>
      <c r="W18" s="33">
        <f>_xlfn.XLOOKUP($D18,'consolidated tracker'!$D:$D,'consolidated tracker'!W:W,,)</f>
        <v>0</v>
      </c>
      <c r="Z18" s="146"/>
    </row>
    <row r="19" spans="1:33" s="7" customFormat="1" ht="150" customHeight="1" x14ac:dyDescent="1.25">
      <c r="C19" s="77">
        <v>15</v>
      </c>
      <c r="D19" s="76" t="s">
        <v>170</v>
      </c>
      <c r="E19" s="49" t="str">
        <f t="array" ref="E19:L19">VLOOKUP(D19,'consolidated tracker'!D:L,{2,3,4,5,6,7,8,9},0)</f>
        <v>RERA</v>
      </c>
      <c r="F19" s="33">
        <v>4608</v>
      </c>
      <c r="G19" s="33">
        <v>9390845349.4699955</v>
      </c>
      <c r="H19" s="33">
        <v>4905376235.9299879</v>
      </c>
      <c r="I19" s="33">
        <v>4659049754.3500004</v>
      </c>
      <c r="J19" s="33">
        <v>287677889.77999997</v>
      </c>
      <c r="K19" s="42">
        <v>0.94978438559396505</v>
      </c>
      <c r="L19" s="36">
        <v>246326481.47000006</v>
      </c>
      <c r="M19" s="30">
        <f>_xlfn.XLOOKUP($D19,'consolidated tracker'!$D:$D,'consolidated tracker'!M:M,,)</f>
        <v>4197791223.7600079</v>
      </c>
      <c r="N19" s="33">
        <f>_xlfn.XLOOKUP($D19,'consolidated tracker'!$D:$D,'consolidated tracker'!N:N,,)</f>
        <v>858839203.99000907</v>
      </c>
      <c r="O19" s="33">
        <f>_xlfn.XLOOKUP($D19,'consolidated tracker'!$D:$D,'consolidated tracker'!O:O,,)</f>
        <v>3338952019.769999</v>
      </c>
      <c r="P19" s="33">
        <f>_xlfn.XLOOKUP($D19,'consolidated tracker'!$D:$D,'consolidated tracker'!P:P,,)</f>
        <v>0</v>
      </c>
      <c r="Q19" s="33">
        <f>_xlfn.XLOOKUP($D19,'consolidated tracker'!$D:$D,'consolidated tracker'!Q:Q,,)</f>
        <v>0</v>
      </c>
      <c r="R19" s="33">
        <f>_xlfn.XLOOKUP($D19,'consolidated tracker'!$D:$D,'consolidated tracker'!R:R,,)</f>
        <v>0</v>
      </c>
      <c r="S19" s="33">
        <f>_xlfn.XLOOKUP($D19,'consolidated tracker'!$D:$D,'consolidated tracker'!S:S,,)</f>
        <v>0</v>
      </c>
      <c r="T19" s="33">
        <f>_xlfn.XLOOKUP($D19,'consolidated tracker'!$D:$D,'consolidated tracker'!T:T,,)</f>
        <v>0</v>
      </c>
      <c r="U19" s="33">
        <f>_xlfn.XLOOKUP($D19,'consolidated tracker'!$D:$D,'consolidated tracker'!U:U,,)</f>
        <v>0</v>
      </c>
      <c r="V19" s="33">
        <f>_xlfn.XLOOKUP($D19,'consolidated tracker'!$D:$D,'consolidated tracker'!V:V,,)</f>
        <v>0</v>
      </c>
      <c r="W19" s="33">
        <f>_xlfn.XLOOKUP($D19,'consolidated tracker'!$D:$D,'consolidated tracker'!W:W,,)</f>
        <v>0</v>
      </c>
      <c r="Z19" s="146"/>
    </row>
    <row r="20" spans="1:33" s="7" customFormat="1" ht="150" customHeight="1" x14ac:dyDescent="1.25">
      <c r="A20" s="7" t="s">
        <v>160</v>
      </c>
      <c r="C20" s="77">
        <v>16</v>
      </c>
      <c r="D20" s="76" t="s">
        <v>163</v>
      </c>
      <c r="E20" s="49" t="str">
        <f t="array" ref="E20:L20">VLOOKUP(D20,'consolidated tracker'!D:L,{2,3,4,5,6,7,8,9},0)</f>
        <v>Plots</v>
      </c>
      <c r="F20" s="33">
        <v>200</v>
      </c>
      <c r="G20" s="33">
        <v>1082691659.5900002</v>
      </c>
      <c r="H20" s="33">
        <v>1082691715.1800001</v>
      </c>
      <c r="I20" s="33">
        <v>1082688863.6999998</v>
      </c>
      <c r="J20" s="33">
        <v>0.38</v>
      </c>
      <c r="K20" s="34">
        <v>0.99999736630477509</v>
      </c>
      <c r="L20" s="36">
        <v>2851.1000000000004</v>
      </c>
      <c r="M20" s="30">
        <f>_xlfn.XLOOKUP($D20,'consolidated tracker'!$D:$D,'consolidated tracker'!M:M,,)</f>
        <v>0</v>
      </c>
      <c r="N20" s="33">
        <f>_xlfn.XLOOKUP($D20,'consolidated tracker'!$D:$D,'consolidated tracker'!N:N,,)</f>
        <v>0</v>
      </c>
      <c r="O20" s="33">
        <f>_xlfn.XLOOKUP($D20,'consolidated tracker'!$D:$D,'consolidated tracker'!O:O,,)</f>
        <v>0</v>
      </c>
      <c r="P20" s="33">
        <f>_xlfn.XLOOKUP($D20,'consolidated tracker'!$D:$D,'consolidated tracker'!P:P,,)</f>
        <v>0</v>
      </c>
      <c r="Q20" s="33">
        <f>_xlfn.XLOOKUP($D20,'consolidated tracker'!$D:$D,'consolidated tracker'!Q:Q,,)</f>
        <v>0</v>
      </c>
      <c r="R20" s="33">
        <f>_xlfn.XLOOKUP($D20,'consolidated tracker'!$D:$D,'consolidated tracker'!R:R,,)</f>
        <v>0</v>
      </c>
      <c r="S20" s="33">
        <f>_xlfn.XLOOKUP($D20,'consolidated tracker'!$D:$D,'consolidated tracker'!S:S,,)</f>
        <v>0</v>
      </c>
      <c r="T20" s="33">
        <f>_xlfn.XLOOKUP($D20,'consolidated tracker'!$D:$D,'consolidated tracker'!T:T,,)</f>
        <v>0</v>
      </c>
      <c r="U20" s="33">
        <f>_xlfn.XLOOKUP($D20,'consolidated tracker'!$D:$D,'consolidated tracker'!U:U,,)</f>
        <v>0</v>
      </c>
      <c r="V20" s="33">
        <f>_xlfn.XLOOKUP($D20,'consolidated tracker'!$D:$D,'consolidated tracker'!V:V,,)</f>
        <v>0</v>
      </c>
      <c r="W20" s="33">
        <f>_xlfn.XLOOKUP($D20,'consolidated tracker'!$D:$D,'consolidated tracker'!W:W,,)</f>
        <v>0</v>
      </c>
      <c r="Z20" s="146"/>
    </row>
    <row r="21" spans="1:33" s="7" customFormat="1" ht="150" customHeight="1" x14ac:dyDescent="1.25">
      <c r="C21" s="77">
        <v>17</v>
      </c>
      <c r="D21" s="76" t="s">
        <v>158</v>
      </c>
      <c r="E21" s="49" t="str">
        <f t="array" ref="E21:L21">VLOOKUP(D21,'consolidated tracker'!D:L,{2,3,4,5,6,7,8,9},0)</f>
        <v>RERA</v>
      </c>
      <c r="F21" s="33">
        <v>2906</v>
      </c>
      <c r="G21" s="33">
        <v>3738518271.7600002</v>
      </c>
      <c r="H21" s="33">
        <v>1582324083.3500047</v>
      </c>
      <c r="I21" s="33">
        <v>1507701123.5200002</v>
      </c>
      <c r="J21" s="33">
        <v>82998338.939999983</v>
      </c>
      <c r="K21" s="34">
        <v>0.95283964858070225</v>
      </c>
      <c r="L21" s="36">
        <v>74622959.759999961</v>
      </c>
      <c r="M21" s="30">
        <f>_xlfn.XLOOKUP($D21,'consolidated tracker'!$D:$D,'consolidated tracker'!M:M,,)</f>
        <v>2073195849.4699955</v>
      </c>
      <c r="N21" s="33">
        <f>_xlfn.XLOOKUP($D21,'consolidated tracker'!$D:$D,'consolidated tracker'!N:N,,)</f>
        <v>364122517.84999478</v>
      </c>
      <c r="O21" s="33">
        <f>_xlfn.XLOOKUP($D21,'consolidated tracker'!$D:$D,'consolidated tracker'!O:O,,)</f>
        <v>1708716279.6900005</v>
      </c>
      <c r="P21" s="33">
        <f>_xlfn.XLOOKUP($D21,'consolidated tracker'!$D:$D,'consolidated tracker'!P:P,,)</f>
        <v>357051.93</v>
      </c>
      <c r="Q21" s="33">
        <f>_xlfn.XLOOKUP($D21,'consolidated tracker'!$D:$D,'consolidated tracker'!Q:Q,,)</f>
        <v>0</v>
      </c>
      <c r="R21" s="33">
        <f>_xlfn.XLOOKUP($D21,'consolidated tracker'!$D:$D,'consolidated tracker'!R:R,,)</f>
        <v>0</v>
      </c>
      <c r="S21" s="33">
        <f>_xlfn.XLOOKUP($D21,'consolidated tracker'!$D:$D,'consolidated tracker'!S:S,,)</f>
        <v>0</v>
      </c>
      <c r="T21" s="33">
        <f>_xlfn.XLOOKUP($D21,'consolidated tracker'!$D:$D,'consolidated tracker'!T:T,,)</f>
        <v>0</v>
      </c>
      <c r="U21" s="33">
        <f>_xlfn.XLOOKUP($D21,'consolidated tracker'!$D:$D,'consolidated tracker'!U:U,,)</f>
        <v>0</v>
      </c>
      <c r="V21" s="33">
        <f>_xlfn.XLOOKUP($D21,'consolidated tracker'!$D:$D,'consolidated tracker'!V:V,,)</f>
        <v>0</v>
      </c>
      <c r="W21" s="33">
        <f>_xlfn.XLOOKUP($D21,'consolidated tracker'!$D:$D,'consolidated tracker'!W:W,,)</f>
        <v>0</v>
      </c>
      <c r="Z21" s="146"/>
    </row>
    <row r="22" spans="1:33" s="7" customFormat="1" ht="150" customHeight="1" x14ac:dyDescent="1.25">
      <c r="C22" s="77">
        <v>18</v>
      </c>
      <c r="D22" s="76" t="s">
        <v>149</v>
      </c>
      <c r="E22" s="49" t="str">
        <f t="array" ref="E22:L22">VLOOKUP(D22,'consolidated tracker'!D:L,{2,3,4,5,6,7,8,9},0)</f>
        <v>RERA</v>
      </c>
      <c r="F22" s="33">
        <v>1445</v>
      </c>
      <c r="G22" s="33">
        <v>3839886319.8000002</v>
      </c>
      <c r="H22" s="33">
        <v>1045588601.7500001</v>
      </c>
      <c r="I22" s="33">
        <v>1005409411.4799995</v>
      </c>
      <c r="J22" s="33">
        <v>150309394.14999992</v>
      </c>
      <c r="K22" s="34">
        <v>0.96157265849804341</v>
      </c>
      <c r="L22" s="36">
        <v>40179190.149999999</v>
      </c>
      <c r="M22" s="30">
        <f>_xlfn.XLOOKUP($D22,'consolidated tracker'!$D:$D,'consolidated tracker'!M:M,,)</f>
        <v>2643988323.9000001</v>
      </c>
      <c r="N22" s="33">
        <f>_xlfn.XLOOKUP($D22,'consolidated tracker'!$D:$D,'consolidated tracker'!N:N,,)</f>
        <v>331592429.57999897</v>
      </c>
      <c r="O22" s="33">
        <f>_xlfn.XLOOKUP($D22,'consolidated tracker'!$D:$D,'consolidated tracker'!O:O,,)</f>
        <v>552559356.07000017</v>
      </c>
      <c r="P22" s="33">
        <f>_xlfn.XLOOKUP($D22,'consolidated tracker'!$D:$D,'consolidated tracker'!P:P,,)</f>
        <v>1759836538.250001</v>
      </c>
      <c r="Q22" s="33">
        <f>_xlfn.XLOOKUP($D22,'consolidated tracker'!$D:$D,'consolidated tracker'!Q:Q,,)</f>
        <v>0</v>
      </c>
      <c r="R22" s="33">
        <f>_xlfn.XLOOKUP($D22,'consolidated tracker'!$D:$D,'consolidated tracker'!R:R,,)</f>
        <v>0</v>
      </c>
      <c r="S22" s="33">
        <f>_xlfn.XLOOKUP($D22,'consolidated tracker'!$D:$D,'consolidated tracker'!S:S,,)</f>
        <v>0</v>
      </c>
      <c r="T22" s="33">
        <f>_xlfn.XLOOKUP($D22,'consolidated tracker'!$D:$D,'consolidated tracker'!T:T,,)</f>
        <v>0</v>
      </c>
      <c r="U22" s="33">
        <f>_xlfn.XLOOKUP($D22,'consolidated tracker'!$D:$D,'consolidated tracker'!U:U,,)</f>
        <v>0</v>
      </c>
      <c r="V22" s="33">
        <f>_xlfn.XLOOKUP($D22,'consolidated tracker'!$D:$D,'consolidated tracker'!V:V,,)</f>
        <v>0</v>
      </c>
      <c r="W22" s="33">
        <f>_xlfn.XLOOKUP($D22,'consolidated tracker'!$D:$D,'consolidated tracker'!W:W,,)</f>
        <v>0</v>
      </c>
      <c r="Z22" s="146"/>
    </row>
    <row r="23" spans="1:33" s="7" customFormat="1" ht="150" customHeight="1" x14ac:dyDescent="1.25">
      <c r="C23" s="77">
        <v>18</v>
      </c>
      <c r="D23" s="76" t="s">
        <v>140</v>
      </c>
      <c r="E23" s="49" t="str">
        <f t="array" ref="E23:L23">VLOOKUP(D23,'consolidated tracker'!D:L,{2,3,4,5,6,7,8,9},0)</f>
        <v>RERA</v>
      </c>
      <c r="F23" s="33">
        <v>221</v>
      </c>
      <c r="G23" s="33">
        <v>1954312376.55</v>
      </c>
      <c r="H23" s="33">
        <v>768457079.78999925</v>
      </c>
      <c r="I23" s="33">
        <v>701877883.23999989</v>
      </c>
      <c r="J23" s="33">
        <v>59776025.799999997</v>
      </c>
      <c r="K23" s="34">
        <v>0.91335990219753871</v>
      </c>
      <c r="L23" s="36">
        <v>66579196.550000019</v>
      </c>
      <c r="M23" s="30">
        <f>_xlfn.XLOOKUP($D23,'consolidated tracker'!$D:$D,'consolidated tracker'!M:M,,)</f>
        <v>1126079270.9600008</v>
      </c>
      <c r="N23" s="33">
        <f>_xlfn.XLOOKUP($D23,'consolidated tracker'!$D:$D,'consolidated tracker'!N:N,,)</f>
        <v>227945653.66000068</v>
      </c>
      <c r="O23" s="33">
        <f>_xlfn.XLOOKUP($D23,'consolidated tracker'!$D:$D,'consolidated tracker'!O:O,,)</f>
        <v>898133617.30000007</v>
      </c>
      <c r="P23" s="33">
        <f>_xlfn.XLOOKUP($D23,'consolidated tracker'!$D:$D,'consolidated tracker'!P:P,,)</f>
        <v>0</v>
      </c>
      <c r="Q23" s="33">
        <f>_xlfn.XLOOKUP($D23,'consolidated tracker'!$D:$D,'consolidated tracker'!Q:Q,,)</f>
        <v>0</v>
      </c>
      <c r="R23" s="33">
        <f>_xlfn.XLOOKUP($D23,'consolidated tracker'!$D:$D,'consolidated tracker'!R:R,,)</f>
        <v>0</v>
      </c>
      <c r="S23" s="33">
        <f>_xlfn.XLOOKUP($D23,'consolidated tracker'!$D:$D,'consolidated tracker'!S:S,,)</f>
        <v>0</v>
      </c>
      <c r="T23" s="33">
        <f>_xlfn.XLOOKUP($D23,'consolidated tracker'!$D:$D,'consolidated tracker'!T:T,,)</f>
        <v>0</v>
      </c>
      <c r="U23" s="33">
        <f>_xlfn.XLOOKUP($D23,'consolidated tracker'!$D:$D,'consolidated tracker'!U:U,,)</f>
        <v>0</v>
      </c>
      <c r="V23" s="33">
        <f>_xlfn.XLOOKUP($D23,'consolidated tracker'!$D:$D,'consolidated tracker'!V:V,,)</f>
        <v>0</v>
      </c>
      <c r="W23" s="33">
        <f>_xlfn.XLOOKUP($D23,'consolidated tracker'!$D:$D,'consolidated tracker'!W:W,,)</f>
        <v>0</v>
      </c>
      <c r="Z23" s="146"/>
    </row>
    <row r="24" spans="1:33" s="7" customFormat="1" ht="150" customHeight="1" x14ac:dyDescent="1.25">
      <c r="C24" s="77">
        <v>19</v>
      </c>
      <c r="D24" s="76" t="s">
        <v>139</v>
      </c>
      <c r="E24" s="49" t="str">
        <f t="array" ref="E24:L24">VLOOKUP(D24,'consolidated tracker'!D:L,{2,3,4,5,6,7,8,9},0)</f>
        <v>RERA</v>
      </c>
      <c r="F24" s="33">
        <v>27</v>
      </c>
      <c r="G24" s="33">
        <v>294914060</v>
      </c>
      <c r="H24" s="33">
        <v>57991284</v>
      </c>
      <c r="I24" s="33">
        <v>50210980</v>
      </c>
      <c r="J24" s="33">
        <v>9851943.7400000002</v>
      </c>
      <c r="K24" s="34">
        <v>0.86583666607554333</v>
      </c>
      <c r="L24" s="36">
        <v>7780304</v>
      </c>
      <c r="M24" s="30">
        <f>_xlfn.XLOOKUP($D24,'consolidated tracker'!$D:$D,'consolidated tracker'!M:M,,)</f>
        <v>227070832.25999999</v>
      </c>
      <c r="N24" s="33">
        <f>_xlfn.XLOOKUP($D24,'consolidated tracker'!$D:$D,'consolidated tracker'!N:N,,)</f>
        <v>41969799.75</v>
      </c>
      <c r="O24" s="33">
        <f>_xlfn.XLOOKUP($D24,'consolidated tracker'!$D:$D,'consolidated tracker'!O:O,,)</f>
        <v>64002876.509999998</v>
      </c>
      <c r="P24" s="33">
        <f>_xlfn.XLOOKUP($D24,'consolidated tracker'!$D:$D,'consolidated tracker'!P:P,,)</f>
        <v>121098156</v>
      </c>
      <c r="Q24" s="33">
        <f>_xlfn.XLOOKUP($D24,'consolidated tracker'!$D:$D,'consolidated tracker'!Q:Q,,)</f>
        <v>0</v>
      </c>
      <c r="R24" s="33">
        <f>_xlfn.XLOOKUP($D24,'consolidated tracker'!$D:$D,'consolidated tracker'!R:R,,)</f>
        <v>0</v>
      </c>
      <c r="S24" s="33">
        <f>_xlfn.XLOOKUP($D24,'consolidated tracker'!$D:$D,'consolidated tracker'!S:S,,)</f>
        <v>0</v>
      </c>
      <c r="T24" s="33">
        <f>_xlfn.XLOOKUP($D24,'consolidated tracker'!$D:$D,'consolidated tracker'!T:T,,)</f>
        <v>0</v>
      </c>
      <c r="U24" s="33">
        <f>_xlfn.XLOOKUP($D24,'consolidated tracker'!$D:$D,'consolidated tracker'!U:U,,)</f>
        <v>0</v>
      </c>
      <c r="V24" s="33">
        <f>_xlfn.XLOOKUP($D24,'consolidated tracker'!$D:$D,'consolidated tracker'!V:V,,)</f>
        <v>0</v>
      </c>
      <c r="W24" s="33">
        <f>_xlfn.XLOOKUP($D24,'consolidated tracker'!$D:$D,'consolidated tracker'!W:W,,)</f>
        <v>0</v>
      </c>
      <c r="Z24" s="146"/>
    </row>
    <row r="25" spans="1:33" s="7" customFormat="1" ht="150" customHeight="1" x14ac:dyDescent="1.25">
      <c r="C25" s="77">
        <v>20</v>
      </c>
      <c r="D25" s="76" t="s">
        <v>138</v>
      </c>
      <c r="E25" s="49" t="str">
        <f t="array" ref="E25:L25">VLOOKUP(D25,'consolidated tracker'!D:L,{2,3,4,5,6,7,8,9},0)</f>
        <v>RERA</v>
      </c>
      <c r="F25" s="33">
        <v>2128</v>
      </c>
      <c r="G25" s="33">
        <v>2655913536.2199993</v>
      </c>
      <c r="H25" s="33">
        <v>843400732.57999992</v>
      </c>
      <c r="I25" s="33">
        <v>802824204.00999975</v>
      </c>
      <c r="J25" s="33">
        <v>52176492.309999995</v>
      </c>
      <c r="K25" s="34">
        <v>0.95188938424813219</v>
      </c>
      <c r="L25" s="36">
        <v>40576528.490000002</v>
      </c>
      <c r="M25" s="30">
        <f>_xlfn.XLOOKUP($D25,'consolidated tracker'!$D:$D,'consolidated tracker'!M:M,,)</f>
        <v>1760336311.3299994</v>
      </c>
      <c r="N25" s="33">
        <f>_xlfn.XLOOKUP($D25,'consolidated tracker'!$D:$D,'consolidated tracker'!N:N,,)</f>
        <v>1760336311.3299994</v>
      </c>
      <c r="O25" s="33">
        <f>_xlfn.XLOOKUP($D25,'consolidated tracker'!$D:$D,'consolidated tracker'!O:O,,)</f>
        <v>0</v>
      </c>
      <c r="P25" s="33">
        <f>_xlfn.XLOOKUP($D25,'consolidated tracker'!$D:$D,'consolidated tracker'!P:P,,)</f>
        <v>0</v>
      </c>
      <c r="Q25" s="33">
        <f>_xlfn.XLOOKUP($D25,'consolidated tracker'!$D:$D,'consolidated tracker'!Q:Q,,)</f>
        <v>0</v>
      </c>
      <c r="R25" s="33">
        <f>_xlfn.XLOOKUP($D25,'consolidated tracker'!$D:$D,'consolidated tracker'!R:R,,)</f>
        <v>0</v>
      </c>
      <c r="S25" s="33">
        <f>_xlfn.XLOOKUP($D25,'consolidated tracker'!$D:$D,'consolidated tracker'!S:S,,)</f>
        <v>0</v>
      </c>
      <c r="T25" s="33">
        <f>_xlfn.XLOOKUP($D25,'consolidated tracker'!$D:$D,'consolidated tracker'!T:T,,)</f>
        <v>0</v>
      </c>
      <c r="U25" s="33">
        <f>_xlfn.XLOOKUP($D25,'consolidated tracker'!$D:$D,'consolidated tracker'!U:U,,)</f>
        <v>0</v>
      </c>
      <c r="V25" s="33">
        <f>_xlfn.XLOOKUP($D25,'consolidated tracker'!$D:$D,'consolidated tracker'!V:V,,)</f>
        <v>0</v>
      </c>
      <c r="W25" s="33">
        <f>_xlfn.XLOOKUP($D25,'consolidated tracker'!$D:$D,'consolidated tracker'!W:W,,)</f>
        <v>0</v>
      </c>
      <c r="Z25" s="146"/>
    </row>
    <row r="26" spans="1:33" s="7" customFormat="1" ht="150" customHeight="1" x14ac:dyDescent="1.25">
      <c r="C26" s="77">
        <v>21</v>
      </c>
      <c r="D26" s="76" t="s">
        <v>133</v>
      </c>
      <c r="E26" s="49" t="str">
        <f t="array" ref="E26:L26">VLOOKUP(D26,'consolidated tracker'!D:L,{2,3,4,5,6,7,8,9},0)</f>
        <v>RERA</v>
      </c>
      <c r="F26" s="33">
        <v>258</v>
      </c>
      <c r="G26" s="33">
        <v>948166135.37000036</v>
      </c>
      <c r="H26" s="33">
        <v>242744868.43000039</v>
      </c>
      <c r="I26" s="33">
        <v>223599095.42999998</v>
      </c>
      <c r="J26" s="33">
        <v>19307987.160000004</v>
      </c>
      <c r="K26" s="42">
        <v>0.92112800108266168</v>
      </c>
      <c r="L26" s="36">
        <v>19145773</v>
      </c>
      <c r="M26" s="30">
        <f>_xlfn.XLOOKUP($D26,'consolidated tracker'!$D:$D,'consolidated tracker'!M:M,,)</f>
        <v>686113279.77999997</v>
      </c>
      <c r="N26" s="33">
        <f>_xlfn.XLOOKUP($D26,'consolidated tracker'!$D:$D,'consolidated tracker'!N:N,,)</f>
        <v>81920610.740000367</v>
      </c>
      <c r="O26" s="33">
        <f>_xlfn.XLOOKUP($D26,'consolidated tracker'!$D:$D,'consolidated tracker'!O:O,,)</f>
        <v>157365938.28999999</v>
      </c>
      <c r="P26" s="33">
        <f>_xlfn.XLOOKUP($D26,'consolidated tracker'!$D:$D,'consolidated tracker'!P:P,,)</f>
        <v>444895904.74999958</v>
      </c>
      <c r="Q26" s="33">
        <f>_xlfn.XLOOKUP($D26,'consolidated tracker'!$D:$D,'consolidated tracker'!Q:Q,,)</f>
        <v>1930826</v>
      </c>
      <c r="R26" s="33">
        <f>_xlfn.XLOOKUP($D26,'consolidated tracker'!$D:$D,'consolidated tracker'!R:R,,)</f>
        <v>0</v>
      </c>
      <c r="S26" s="33">
        <f>_xlfn.XLOOKUP($D26,'consolidated tracker'!$D:$D,'consolidated tracker'!S:S,,)</f>
        <v>0</v>
      </c>
      <c r="T26" s="33">
        <f>_xlfn.XLOOKUP($D26,'consolidated tracker'!$D:$D,'consolidated tracker'!T:T,,)</f>
        <v>0</v>
      </c>
      <c r="U26" s="33">
        <f>_xlfn.XLOOKUP($D26,'consolidated tracker'!$D:$D,'consolidated tracker'!U:U,,)</f>
        <v>0</v>
      </c>
      <c r="V26" s="33">
        <f>_xlfn.XLOOKUP($D26,'consolidated tracker'!$D:$D,'consolidated tracker'!V:V,,)</f>
        <v>0</v>
      </c>
      <c r="W26" s="33">
        <f>_xlfn.XLOOKUP($D26,'consolidated tracker'!$D:$D,'consolidated tracker'!W:W,,)</f>
        <v>0</v>
      </c>
      <c r="Z26" s="146"/>
    </row>
    <row r="27" spans="1:33" s="7" customFormat="1" ht="150" customHeight="1" x14ac:dyDescent="1.25">
      <c r="C27" s="77">
        <v>22</v>
      </c>
      <c r="D27" s="76" t="s">
        <v>132</v>
      </c>
      <c r="E27" s="49" t="str">
        <f t="array" ref="E27:L27">VLOOKUP(D27,'consolidated tracker'!D:L,{2,3,4,5,6,7,8,9},0)</f>
        <v>RERA</v>
      </c>
      <c r="F27" s="33">
        <v>2068</v>
      </c>
      <c r="G27" s="33">
        <v>4707104548.2700014</v>
      </c>
      <c r="H27" s="33">
        <v>1201503819.1500008</v>
      </c>
      <c r="I27" s="33">
        <v>1110390649.8599992</v>
      </c>
      <c r="J27" s="33">
        <v>85541920.189999968</v>
      </c>
      <c r="K27" s="34">
        <v>0.92416739103296464</v>
      </c>
      <c r="L27" s="36">
        <v>91113169.230000049</v>
      </c>
      <c r="M27" s="30">
        <f>_xlfn.XLOOKUP($D27,'consolidated tracker'!$D:$D,'consolidated tracker'!M:M,,)</f>
        <v>3420058808.9300003</v>
      </c>
      <c r="N27" s="33">
        <f>_xlfn.XLOOKUP($D27,'consolidated tracker'!$D:$D,'consolidated tracker'!N:N,,)</f>
        <v>225615022.57000291</v>
      </c>
      <c r="O27" s="33">
        <f>_xlfn.XLOOKUP($D27,'consolidated tracker'!$D:$D,'consolidated tracker'!O:O,,)</f>
        <v>449963200.78999954</v>
      </c>
      <c r="P27" s="33">
        <f>_xlfn.XLOOKUP($D27,'consolidated tracker'!$D:$D,'consolidated tracker'!P:P,,)</f>
        <v>699059119.08999979</v>
      </c>
      <c r="Q27" s="33">
        <f>_xlfn.XLOOKUP($D27,'consolidated tracker'!$D:$D,'consolidated tracker'!Q:Q,,)</f>
        <v>1664465059.809999</v>
      </c>
      <c r="R27" s="33">
        <f>_xlfn.XLOOKUP($D27,'consolidated tracker'!$D:$D,'consolidated tracker'!R:R,,)</f>
        <v>380956406.66999984</v>
      </c>
      <c r="S27" s="33">
        <f>_xlfn.XLOOKUP($D27,'consolidated tracker'!$D:$D,'consolidated tracker'!S:S,,)</f>
        <v>0</v>
      </c>
      <c r="T27" s="33">
        <f>_xlfn.XLOOKUP($D27,'consolidated tracker'!$D:$D,'consolidated tracker'!T:T,,)</f>
        <v>0</v>
      </c>
      <c r="U27" s="33">
        <f>_xlfn.XLOOKUP($D27,'consolidated tracker'!$D:$D,'consolidated tracker'!U:U,,)</f>
        <v>0</v>
      </c>
      <c r="V27" s="33">
        <f>_xlfn.XLOOKUP($D27,'consolidated tracker'!$D:$D,'consolidated tracker'!V:V,,)</f>
        <v>0</v>
      </c>
      <c r="W27" s="33">
        <f>_xlfn.XLOOKUP($D27,'consolidated tracker'!$D:$D,'consolidated tracker'!W:W,,)</f>
        <v>0</v>
      </c>
      <c r="Z27" s="146"/>
    </row>
    <row r="28" spans="1:33" s="7" customFormat="1" ht="150" customHeight="1" x14ac:dyDescent="1.25">
      <c r="C28" s="77">
        <v>23</v>
      </c>
      <c r="D28" s="76" t="s">
        <v>123</v>
      </c>
      <c r="E28" s="49" t="str">
        <f t="array" ref="E28:L28">VLOOKUP(D28,'consolidated tracker'!D:L,{2,3,4,5,6,7,8,9},0)</f>
        <v>RERA</v>
      </c>
      <c r="F28" s="33">
        <v>672</v>
      </c>
      <c r="G28" s="33">
        <v>1599366651.0000005</v>
      </c>
      <c r="H28" s="33">
        <v>315579971.6600005</v>
      </c>
      <c r="I28" s="33">
        <v>309757309.13999975</v>
      </c>
      <c r="J28" s="33">
        <v>47734481.490000054</v>
      </c>
      <c r="K28" s="34">
        <v>0.98154932808513595</v>
      </c>
      <c r="L28" s="36">
        <v>5822662.3200000003</v>
      </c>
      <c r="M28" s="30">
        <f>_xlfn.XLOOKUP($D28,'consolidated tracker'!$D:$D,'consolidated tracker'!M:M,,)</f>
        <v>1236052197.8499999</v>
      </c>
      <c r="N28" s="33">
        <f>_xlfn.XLOOKUP($D28,'consolidated tracker'!$D:$D,'consolidated tracker'!N:N,,)</f>
        <v>133071202.69000101</v>
      </c>
      <c r="O28" s="33">
        <f>_xlfn.XLOOKUP($D28,'consolidated tracker'!$D:$D,'consolidated tracker'!O:O,,)</f>
        <v>154417417.26999974</v>
      </c>
      <c r="P28" s="33">
        <f>_xlfn.XLOOKUP($D28,'consolidated tracker'!$D:$D,'consolidated tracker'!P:P,,)</f>
        <v>254592072.25000003</v>
      </c>
      <c r="Q28" s="33">
        <f>_xlfn.XLOOKUP($D28,'consolidated tracker'!$D:$D,'consolidated tracker'!Q:Q,,)</f>
        <v>693971505.63999903</v>
      </c>
      <c r="R28" s="33">
        <f>_xlfn.XLOOKUP($D28,'consolidated tracker'!$D:$D,'consolidated tracker'!R:R,,)</f>
        <v>0</v>
      </c>
      <c r="S28" s="33">
        <f>_xlfn.XLOOKUP($D28,'consolidated tracker'!$D:$D,'consolidated tracker'!S:S,,)</f>
        <v>0</v>
      </c>
      <c r="T28" s="33">
        <f>_xlfn.XLOOKUP($D28,'consolidated tracker'!$D:$D,'consolidated tracker'!T:T,,)</f>
        <v>0</v>
      </c>
      <c r="U28" s="33">
        <f>_xlfn.XLOOKUP($D28,'consolidated tracker'!$D:$D,'consolidated tracker'!U:U,,)</f>
        <v>0</v>
      </c>
      <c r="V28" s="33">
        <f>_xlfn.XLOOKUP($D28,'consolidated tracker'!$D:$D,'consolidated tracker'!V:V,,)</f>
        <v>0</v>
      </c>
      <c r="W28" s="33">
        <f>_xlfn.XLOOKUP($D28,'consolidated tracker'!$D:$D,'consolidated tracker'!W:W,,)</f>
        <v>0</v>
      </c>
      <c r="Z28" s="146"/>
    </row>
    <row r="29" spans="1:33" s="7" customFormat="1" ht="150" customHeight="1" thickBot="1" x14ac:dyDescent="1.3">
      <c r="C29" s="77">
        <v>24</v>
      </c>
      <c r="D29" s="76" t="s">
        <v>122</v>
      </c>
      <c r="E29" s="49" t="str">
        <f t="array" ref="E29:L29">VLOOKUP(D29,'consolidated tracker'!D:L,{2,3,4,5,6,7,8,9},0)</f>
        <v>RERA</v>
      </c>
      <c r="F29" s="33">
        <v>368</v>
      </c>
      <c r="G29" s="33">
        <v>815006748.8999995</v>
      </c>
      <c r="H29" s="33">
        <v>162408311.98000008</v>
      </c>
      <c r="I29" s="33">
        <v>159823019.47000015</v>
      </c>
      <c r="J29" s="33">
        <v>9155167.0500000026</v>
      </c>
      <c r="K29" s="34">
        <v>0.98408152588693676</v>
      </c>
      <c r="L29" s="36">
        <v>2585292.5100000002</v>
      </c>
      <c r="M29" s="30">
        <f>_xlfn.XLOOKUP($D29,'consolidated tracker'!$D:$D,'consolidated tracker'!M:M,,)</f>
        <v>643443269.86999941</v>
      </c>
      <c r="N29" s="33">
        <f>_xlfn.XLOOKUP($D29,'consolidated tracker'!$D:$D,'consolidated tracker'!N:N,,)</f>
        <v>72696838.599998951</v>
      </c>
      <c r="O29" s="33">
        <f>_xlfn.XLOOKUP($D29,'consolidated tracker'!$D:$D,'consolidated tracker'!O:O,,)</f>
        <v>79684748.500000015</v>
      </c>
      <c r="P29" s="33">
        <f>_xlfn.XLOOKUP($D29,'consolidated tracker'!$D:$D,'consolidated tracker'!P:P,,)</f>
        <v>127979495.55000024</v>
      </c>
      <c r="Q29" s="33">
        <f>_xlfn.XLOOKUP($D29,'consolidated tracker'!$D:$D,'consolidated tracker'!Q:Q,,)</f>
        <v>363082187.22000021</v>
      </c>
      <c r="R29" s="33">
        <f>_xlfn.XLOOKUP($D29,'consolidated tracker'!$D:$D,'consolidated tracker'!R:R,,)</f>
        <v>0</v>
      </c>
      <c r="S29" s="33">
        <f>_xlfn.XLOOKUP($D29,'consolidated tracker'!$D:$D,'consolidated tracker'!S:S,,)</f>
        <v>0</v>
      </c>
      <c r="T29" s="33">
        <f>_xlfn.XLOOKUP($D29,'consolidated tracker'!$D:$D,'consolidated tracker'!T:T,,)</f>
        <v>0</v>
      </c>
      <c r="U29" s="33">
        <f>_xlfn.XLOOKUP($D29,'consolidated tracker'!$D:$D,'consolidated tracker'!U:U,,)</f>
        <v>0</v>
      </c>
      <c r="V29" s="33">
        <f>_xlfn.XLOOKUP($D29,'consolidated tracker'!$D:$D,'consolidated tracker'!V:V,,)</f>
        <v>0</v>
      </c>
      <c r="W29" s="33">
        <f>_xlfn.XLOOKUP($D29,'consolidated tracker'!$D:$D,'consolidated tracker'!W:W,,)</f>
        <v>0</v>
      </c>
      <c r="Z29" s="146"/>
    </row>
    <row r="30" spans="1:33" s="83" customFormat="1" ht="150" customHeight="1" thickBot="1" x14ac:dyDescent="1.3">
      <c r="C30" s="87"/>
      <c r="D30" s="86" t="s">
        <v>0</v>
      </c>
      <c r="E30" s="86" t="s">
        <v>16</v>
      </c>
      <c r="F30" s="84">
        <f>SUM(F4:F29)</f>
        <v>26844</v>
      </c>
      <c r="G30" s="84">
        <f>SUM(G4:G29)</f>
        <v>65343521021.590004</v>
      </c>
      <c r="H30" s="84">
        <f>SUM(H4:H29)</f>
        <v>35755893128.599968</v>
      </c>
      <c r="I30" s="84">
        <f>SUM(I4:I29)</f>
        <v>34390955804.409996</v>
      </c>
      <c r="J30" s="84">
        <f>SUM(J4:J29)</f>
        <v>2199904122.1800003</v>
      </c>
      <c r="K30" s="101">
        <f>I30/H30</f>
        <v>0.96182622765761083</v>
      </c>
      <c r="L30" s="100">
        <f t="shared" ref="L30:W30" si="0">SUM(L4:L29)</f>
        <v>1364882249.8099999</v>
      </c>
      <c r="M30" s="84">
        <f t="shared" si="0"/>
        <v>27398911307.439037</v>
      </c>
      <c r="N30" s="84">
        <f t="shared" si="0"/>
        <v>11049138025.659044</v>
      </c>
      <c r="O30" s="84">
        <f t="shared" si="0"/>
        <v>9674842234.8500004</v>
      </c>
      <c r="P30" s="84">
        <f t="shared" si="0"/>
        <v>3566975363.5800004</v>
      </c>
      <c r="Q30" s="84">
        <f t="shared" si="0"/>
        <v>2724568453.6699982</v>
      </c>
      <c r="R30" s="84">
        <f t="shared" si="0"/>
        <v>381956406.66999984</v>
      </c>
      <c r="S30" s="84">
        <f t="shared" si="0"/>
        <v>1430823.01</v>
      </c>
      <c r="T30" s="84">
        <f t="shared" si="0"/>
        <v>0</v>
      </c>
      <c r="U30" s="84">
        <f t="shared" si="0"/>
        <v>0</v>
      </c>
      <c r="V30" s="84">
        <f t="shared" si="0"/>
        <v>0</v>
      </c>
      <c r="W30" s="84">
        <f t="shared" si="0"/>
        <v>0</v>
      </c>
      <c r="X30" s="7"/>
      <c r="Y30" s="7"/>
      <c r="Z30" s="146"/>
      <c r="AA30" s="7"/>
      <c r="AB30" s="7"/>
      <c r="AC30" s="7"/>
      <c r="AD30" s="7"/>
      <c r="AG30" s="7"/>
    </row>
    <row r="31" spans="1:33" s="7" customFormat="1" ht="150" customHeight="1" thickBot="1" x14ac:dyDescent="1.3">
      <c r="C31" s="77">
        <v>25</v>
      </c>
      <c r="D31" s="76" t="s">
        <v>48</v>
      </c>
      <c r="E31" s="49" t="str">
        <f t="array" ref="E31:L31">VLOOKUP(D31,'consolidated tracker'!D:L,{2,3,4,5,6,7,8,9},0)</f>
        <v>Pre-Launch</v>
      </c>
      <c r="F31" s="33">
        <v>352</v>
      </c>
      <c r="G31" s="33">
        <v>767755653.95999968</v>
      </c>
      <c r="H31" s="33">
        <v>155502596.26000002</v>
      </c>
      <c r="I31" s="33">
        <v>153559126.75000009</v>
      </c>
      <c r="J31" s="33">
        <v>13542202.470000001</v>
      </c>
      <c r="K31" s="34">
        <v>0.98750201246318448</v>
      </c>
      <c r="L31" s="36">
        <v>1943469.51</v>
      </c>
      <c r="M31" s="30">
        <f>_xlfn.XLOOKUP($D31,'consolidated tracker'!$D:$D,'consolidated tracker'!M:M,,)</f>
        <v>598710855.22999966</v>
      </c>
      <c r="N31" s="33">
        <f>_xlfn.XLOOKUP($D31,'consolidated tracker'!$D:$D,'consolidated tracker'!N:N,,)</f>
        <v>66885489.799999714</v>
      </c>
      <c r="O31" s="33">
        <f>_xlfn.XLOOKUP($D31,'consolidated tracker'!$D:$D,'consolidated tracker'!O:O,,)</f>
        <v>74922328.530000091</v>
      </c>
      <c r="P31" s="33">
        <f>_xlfn.XLOOKUP($D31,'consolidated tracker'!$D:$D,'consolidated tracker'!P:P,,)</f>
        <v>71773232.50000003</v>
      </c>
      <c r="Q31" s="33">
        <f>_xlfn.XLOOKUP($D31,'consolidated tracker'!$D:$D,'consolidated tracker'!Q:Q,,)</f>
        <v>385129804.39999986</v>
      </c>
      <c r="R31" s="33">
        <f>_xlfn.XLOOKUP($D31,'consolidated tracker'!$D:$D,'consolidated tracker'!R:R,,)</f>
        <v>0</v>
      </c>
      <c r="S31" s="33">
        <f>_xlfn.XLOOKUP($D31,'consolidated tracker'!$D:$D,'consolidated tracker'!S:S,,)</f>
        <v>0</v>
      </c>
      <c r="T31" s="33">
        <f>_xlfn.XLOOKUP($D31,'consolidated tracker'!$D:$D,'consolidated tracker'!T:T,,)</f>
        <v>0</v>
      </c>
      <c r="U31" s="33">
        <f>_xlfn.XLOOKUP($D31,'consolidated tracker'!$D:$D,'consolidated tracker'!U:U,,)</f>
        <v>0</v>
      </c>
      <c r="V31" s="33">
        <f>_xlfn.XLOOKUP($D31,'consolidated tracker'!$D:$D,'consolidated tracker'!V:V,,)</f>
        <v>0</v>
      </c>
      <c r="W31" s="33">
        <f>_xlfn.XLOOKUP($D31,'consolidated tracker'!$D:$D,'consolidated tracker'!W:W,,)</f>
        <v>0</v>
      </c>
      <c r="Z31" s="146"/>
    </row>
    <row r="32" spans="1:33" s="83" customFormat="1" ht="150" customHeight="1" thickBot="1" x14ac:dyDescent="1.3">
      <c r="C32" s="87"/>
      <c r="D32" s="86" t="s">
        <v>0</v>
      </c>
      <c r="E32" s="86" t="s">
        <v>25</v>
      </c>
      <c r="F32" s="84">
        <f>SUM(F31:F31)</f>
        <v>352</v>
      </c>
      <c r="G32" s="84">
        <f>SUM(G31:G31)</f>
        <v>767755653.95999968</v>
      </c>
      <c r="H32" s="84">
        <f>SUM(H31:H31)</f>
        <v>155502596.26000002</v>
      </c>
      <c r="I32" s="84">
        <f>SUM(I31:I31)</f>
        <v>153559126.75000009</v>
      </c>
      <c r="J32" s="84">
        <f>SUM(J31:J31)</f>
        <v>13542202.470000001</v>
      </c>
      <c r="K32" s="101">
        <f>I32/H32</f>
        <v>0.98750201246318448</v>
      </c>
      <c r="L32" s="100">
        <f t="shared" ref="L32:W32" si="1">SUM(L31:L31)</f>
        <v>1943469.51</v>
      </c>
      <c r="M32" s="84">
        <f t="shared" si="1"/>
        <v>598710855.22999966</v>
      </c>
      <c r="N32" s="84">
        <f t="shared" si="1"/>
        <v>66885489.799999714</v>
      </c>
      <c r="O32" s="84">
        <f t="shared" si="1"/>
        <v>74922328.530000091</v>
      </c>
      <c r="P32" s="84">
        <f t="shared" si="1"/>
        <v>71773232.50000003</v>
      </c>
      <c r="Q32" s="84">
        <f t="shared" si="1"/>
        <v>385129804.39999986</v>
      </c>
      <c r="R32" s="84">
        <f t="shared" si="1"/>
        <v>0</v>
      </c>
      <c r="S32" s="84">
        <f t="shared" si="1"/>
        <v>0</v>
      </c>
      <c r="T32" s="84">
        <f t="shared" si="1"/>
        <v>0</v>
      </c>
      <c r="U32" s="84">
        <f t="shared" si="1"/>
        <v>0</v>
      </c>
      <c r="V32" s="84">
        <f t="shared" si="1"/>
        <v>0</v>
      </c>
      <c r="W32" s="84">
        <f t="shared" si="1"/>
        <v>0</v>
      </c>
      <c r="X32" s="7"/>
      <c r="Y32" s="7"/>
      <c r="Z32" s="146"/>
      <c r="AA32" s="7"/>
      <c r="AB32" s="7"/>
      <c r="AC32" s="7"/>
      <c r="AD32" s="7"/>
      <c r="AG32" s="7"/>
    </row>
    <row r="33" spans="3:33" s="80" customFormat="1" ht="150" customHeight="1" x14ac:dyDescent="2">
      <c r="C33" s="82"/>
      <c r="D33" s="81" t="s">
        <v>24</v>
      </c>
      <c r="E33" s="49"/>
      <c r="F33" s="33"/>
      <c r="G33" s="33"/>
      <c r="H33" s="33"/>
      <c r="I33" s="33"/>
      <c r="J33" s="33"/>
      <c r="K33" s="34"/>
      <c r="L33" s="36"/>
      <c r="M33" s="30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7"/>
      <c r="Y33" s="7"/>
      <c r="Z33" s="146"/>
      <c r="AA33" s="7"/>
      <c r="AB33" s="7"/>
      <c r="AC33" s="7"/>
      <c r="AD33" s="7"/>
      <c r="AG33" s="7"/>
    </row>
    <row r="34" spans="3:33" s="7" customFormat="1" ht="150" customHeight="1" x14ac:dyDescent="1.25">
      <c r="C34" s="77">
        <v>26</v>
      </c>
      <c r="D34" s="79" t="s">
        <v>23</v>
      </c>
      <c r="E34" s="49" t="str">
        <f t="array" ref="E34:L34">VLOOKUP(D34,'consolidated tracker'!D:L,{2,3,4,5,6,7,8,9},0)</f>
        <v>RERA</v>
      </c>
      <c r="F34" s="33">
        <v>1510</v>
      </c>
      <c r="G34" s="33">
        <v>2522248415.8699999</v>
      </c>
      <c r="H34" s="33">
        <v>1769622993.5000036</v>
      </c>
      <c r="I34" s="33">
        <v>1747147409.7400002</v>
      </c>
      <c r="J34" s="33">
        <v>259312334.60000011</v>
      </c>
      <c r="K34" s="42">
        <v>0.98729922483909949</v>
      </c>
      <c r="L34" s="36">
        <v>22475583.109999999</v>
      </c>
      <c r="M34" s="30">
        <f>_xlfn.XLOOKUP($D34,'consolidated tracker'!$D:$D,'consolidated tracker'!M:M,,)</f>
        <v>495604540.55349636</v>
      </c>
      <c r="N34" s="33">
        <f>_xlfn.XLOOKUP($D34,'consolidated tracker'!$D:$D,'consolidated tracker'!N:N,,)</f>
        <v>307452204.33349645</v>
      </c>
      <c r="O34" s="33">
        <f>_xlfn.XLOOKUP($D34,'consolidated tracker'!$D:$D,'consolidated tracker'!O:O,,)</f>
        <v>186930880.21999988</v>
      </c>
      <c r="P34" s="33">
        <f>_xlfn.XLOOKUP($D34,'consolidated tracker'!$D:$D,'consolidated tracker'!P:P,,)</f>
        <v>120000</v>
      </c>
      <c r="Q34" s="33">
        <f>_xlfn.XLOOKUP($D34,'consolidated tracker'!$D:$D,'consolidated tracker'!Q:Q,,)</f>
        <v>144000</v>
      </c>
      <c r="R34" s="33">
        <f>_xlfn.XLOOKUP($D34,'consolidated tracker'!$D:$D,'consolidated tracker'!R:R,,)</f>
        <v>144000</v>
      </c>
      <c r="S34" s="33">
        <f>_xlfn.XLOOKUP($D34,'consolidated tracker'!$D:$D,'consolidated tracker'!S:S,,)</f>
        <v>144000</v>
      </c>
      <c r="T34" s="33">
        <f>_xlfn.XLOOKUP($D34,'consolidated tracker'!$D:$D,'consolidated tracker'!T:T,,)</f>
        <v>168000</v>
      </c>
      <c r="U34" s="33">
        <f>_xlfn.XLOOKUP($D34,'consolidated tracker'!$D:$D,'consolidated tracker'!U:U,,)</f>
        <v>168000</v>
      </c>
      <c r="V34" s="33">
        <f>_xlfn.XLOOKUP($D34,'consolidated tracker'!$D:$D,'consolidated tracker'!V:V,,)</f>
        <v>168000</v>
      </c>
      <c r="W34" s="33">
        <f>_xlfn.XLOOKUP($D34,'consolidated tracker'!$D:$D,'consolidated tracker'!W:W,,)</f>
        <v>165456</v>
      </c>
      <c r="Z34" s="146"/>
    </row>
    <row r="35" spans="3:33" s="7" customFormat="1" ht="150" customHeight="1" x14ac:dyDescent="1.25">
      <c r="C35" s="77">
        <v>27</v>
      </c>
      <c r="D35" s="76" t="s">
        <v>17</v>
      </c>
      <c r="E35" s="49" t="str">
        <f t="array" ref="E35:L35">VLOOKUP(D35,'consolidated tracker'!D:L,{2,3,4,5,6,7,8,9},0)</f>
        <v>RERA</v>
      </c>
      <c r="F35" s="33">
        <v>90</v>
      </c>
      <c r="G35" s="33">
        <v>1555013823.03</v>
      </c>
      <c r="H35" s="33">
        <v>1555013778.5400038</v>
      </c>
      <c r="I35" s="33">
        <v>1451205818.9300001</v>
      </c>
      <c r="J35" s="33">
        <v>45.639999999999979</v>
      </c>
      <c r="K35" s="42">
        <v>0.93324306122388923</v>
      </c>
      <c r="L35" s="36">
        <v>103807958.50999999</v>
      </c>
      <c r="M35" s="30">
        <f>_xlfn.XLOOKUP($D35,'consolidated tracker'!$D:$D,'consolidated tracker'!M:M,,)</f>
        <v>0</v>
      </c>
      <c r="N35" s="33">
        <f>_xlfn.XLOOKUP($D35,'consolidated tracker'!$D:$D,'consolidated tracker'!N:N,,)</f>
        <v>0</v>
      </c>
      <c r="O35" s="33">
        <f>_xlfn.XLOOKUP($D35,'consolidated tracker'!$D:$D,'consolidated tracker'!O:O,,)</f>
        <v>0</v>
      </c>
      <c r="P35" s="33">
        <f>_xlfn.XLOOKUP($D35,'consolidated tracker'!$D:$D,'consolidated tracker'!P:P,,)</f>
        <v>0</v>
      </c>
      <c r="Q35" s="33">
        <f>_xlfn.XLOOKUP($D35,'consolidated tracker'!$D:$D,'consolidated tracker'!Q:Q,,)</f>
        <v>0</v>
      </c>
      <c r="R35" s="33">
        <f>_xlfn.XLOOKUP($D35,'consolidated tracker'!$D:$D,'consolidated tracker'!R:R,,)</f>
        <v>0</v>
      </c>
      <c r="S35" s="33">
        <f>_xlfn.XLOOKUP($D35,'consolidated tracker'!$D:$D,'consolidated tracker'!S:S,,)</f>
        <v>0</v>
      </c>
      <c r="T35" s="33">
        <f>_xlfn.XLOOKUP($D35,'consolidated tracker'!$D:$D,'consolidated tracker'!T:T,,)</f>
        <v>0</v>
      </c>
      <c r="U35" s="33">
        <f>_xlfn.XLOOKUP($D35,'consolidated tracker'!$D:$D,'consolidated tracker'!U:U,,)</f>
        <v>0</v>
      </c>
      <c r="V35" s="33">
        <f>_xlfn.XLOOKUP($D35,'consolidated tracker'!$D:$D,'consolidated tracker'!V:V,,)</f>
        <v>0</v>
      </c>
      <c r="W35" s="33">
        <f>_xlfn.XLOOKUP($D35,'consolidated tracker'!$D:$D,'consolidated tracker'!W:W,,)</f>
        <v>0</v>
      </c>
      <c r="Z35" s="146"/>
    </row>
    <row r="36" spans="3:33" s="7" customFormat="1" ht="150" customHeight="1" x14ac:dyDescent="1.25">
      <c r="C36" s="77">
        <v>28</v>
      </c>
      <c r="D36" s="76" t="s">
        <v>47</v>
      </c>
      <c r="E36" s="49" t="str">
        <f t="array" ref="E36:L36">VLOOKUP(D36,'consolidated tracker'!D:L,{2,3,4,5,6,7,8,9},0)</f>
        <v>Pre-Launch</v>
      </c>
      <c r="F36" s="33">
        <v>371</v>
      </c>
      <c r="G36" s="33">
        <v>806869395.10000038</v>
      </c>
      <c r="H36" s="33">
        <v>160057195.97000006</v>
      </c>
      <c r="I36" s="33">
        <v>155620981.19000006</v>
      </c>
      <c r="J36" s="33">
        <v>10338128.229999999</v>
      </c>
      <c r="K36" s="42">
        <v>0.97228356555220741</v>
      </c>
      <c r="L36" s="36">
        <v>4436214.78</v>
      </c>
      <c r="M36" s="30">
        <f>_xlfn.XLOOKUP($D36,'consolidated tracker'!$D:$D,'consolidated tracker'!M:M,,)</f>
        <v>636474070.90000033</v>
      </c>
      <c r="N36" s="33">
        <f>_xlfn.XLOOKUP($D36,'consolidated tracker'!$D:$D,'consolidated tracker'!N:N,,)</f>
        <v>71423214.940000296</v>
      </c>
      <c r="O36" s="33">
        <f>_xlfn.XLOOKUP($D36,'consolidated tracker'!$D:$D,'consolidated tracker'!O:O,,)</f>
        <v>80738093.470000044</v>
      </c>
      <c r="P36" s="33">
        <f>_xlfn.XLOOKUP($D36,'consolidated tracker'!$D:$D,'consolidated tracker'!P:P,,)</f>
        <v>73067089.480000034</v>
      </c>
      <c r="Q36" s="33">
        <f>_xlfn.XLOOKUP($D36,'consolidated tracker'!$D:$D,'consolidated tracker'!Q:Q,,)</f>
        <v>411245673.00999999</v>
      </c>
      <c r="R36" s="33">
        <f>_xlfn.XLOOKUP($D36,'consolidated tracker'!$D:$D,'consolidated tracker'!R:R,,)</f>
        <v>0</v>
      </c>
      <c r="S36" s="33">
        <f>_xlfn.XLOOKUP($D36,'consolidated tracker'!$D:$D,'consolidated tracker'!S:S,,)</f>
        <v>0</v>
      </c>
      <c r="T36" s="33">
        <f>_xlfn.XLOOKUP($D36,'consolidated tracker'!$D:$D,'consolidated tracker'!T:T,,)</f>
        <v>0</v>
      </c>
      <c r="U36" s="33">
        <f>_xlfn.XLOOKUP($D36,'consolidated tracker'!$D:$D,'consolidated tracker'!U:U,,)</f>
        <v>0</v>
      </c>
      <c r="V36" s="33">
        <f>_xlfn.XLOOKUP($D36,'consolidated tracker'!$D:$D,'consolidated tracker'!V:V,,)</f>
        <v>0</v>
      </c>
      <c r="W36" s="33">
        <f>_xlfn.XLOOKUP($D36,'consolidated tracker'!$D:$D,'consolidated tracker'!W:W,,)</f>
        <v>0</v>
      </c>
      <c r="Z36" s="146"/>
    </row>
    <row r="37" spans="3:33" s="7" customFormat="1" ht="150" customHeight="1" x14ac:dyDescent="1.25">
      <c r="C37" s="77">
        <v>30</v>
      </c>
      <c r="D37" s="76" t="s">
        <v>41</v>
      </c>
      <c r="E37" s="49" t="str">
        <f t="array" ref="E37:L37">VLOOKUP(D37,'consolidated tracker'!D:L,{2,3,4,5,6,7,8,9},0)</f>
        <v>Pre-Launch</v>
      </c>
      <c r="F37" s="33">
        <v>116</v>
      </c>
      <c r="G37" s="33">
        <v>563398526</v>
      </c>
      <c r="H37" s="33">
        <v>103535608.13000007</v>
      </c>
      <c r="I37" s="33">
        <v>98389626.309999973</v>
      </c>
      <c r="J37" s="33">
        <v>12176372.290000003</v>
      </c>
      <c r="K37" s="42">
        <v>0.95029746854300823</v>
      </c>
      <c r="L37" s="36">
        <v>5145981.82</v>
      </c>
      <c r="M37" s="30">
        <f>_xlfn.XLOOKUP($D37,'consolidated tracker'!$D:$D,'consolidated tracker'!M:M,,)</f>
        <v>447686545.57999992</v>
      </c>
      <c r="N37" s="33">
        <f>_xlfn.XLOOKUP($D37,'consolidated tracker'!$D:$D,'consolidated tracker'!N:N,,)</f>
        <v>53478810.25</v>
      </c>
      <c r="O37" s="33">
        <f>_xlfn.XLOOKUP($D37,'consolidated tracker'!$D:$D,'consolidated tracker'!O:O,,)</f>
        <v>55915199.450000003</v>
      </c>
      <c r="P37" s="33">
        <f>_xlfn.XLOOKUP($D37,'consolidated tracker'!$D:$D,'consolidated tracker'!P:P,,)</f>
        <v>55129342.909999996</v>
      </c>
      <c r="Q37" s="33">
        <f>_xlfn.XLOOKUP($D37,'consolidated tracker'!$D:$D,'consolidated tracker'!Q:Q,,)</f>
        <v>55995297.329999998</v>
      </c>
      <c r="R37" s="33">
        <f>_xlfn.XLOOKUP($D37,'consolidated tracker'!$D:$D,'consolidated tracker'!R:R,,)</f>
        <v>55601850.299999997</v>
      </c>
      <c r="S37" s="33">
        <f>_xlfn.XLOOKUP($D37,'consolidated tracker'!$D:$D,'consolidated tracker'!S:S,,)</f>
        <v>171566045.33999991</v>
      </c>
      <c r="T37" s="33">
        <f>_xlfn.XLOOKUP($D37,'consolidated tracker'!$D:$D,'consolidated tracker'!T:T,,)</f>
        <v>0</v>
      </c>
      <c r="U37" s="33">
        <f>_xlfn.XLOOKUP($D37,'consolidated tracker'!$D:$D,'consolidated tracker'!U:U,,)</f>
        <v>0</v>
      </c>
      <c r="V37" s="33">
        <f>_xlfn.XLOOKUP($D37,'consolidated tracker'!$D:$D,'consolidated tracker'!V:V,,)</f>
        <v>0</v>
      </c>
      <c r="W37" s="33">
        <f>_xlfn.XLOOKUP($D37,'consolidated tracker'!$D:$D,'consolidated tracker'!W:W,,)</f>
        <v>0</v>
      </c>
      <c r="Z37" s="146"/>
    </row>
    <row r="38" spans="3:33" s="7" customFormat="1" ht="150" customHeight="1" x14ac:dyDescent="1.25">
      <c r="C38" s="77">
        <v>31</v>
      </c>
      <c r="D38" s="76" t="s">
        <v>40</v>
      </c>
      <c r="E38" s="49" t="str">
        <f t="array" ref="E38:L38">VLOOKUP(D38,'consolidated tracker'!D:L,{2,3,4,5,6,7,8,9},0)</f>
        <v>Pre-Launch</v>
      </c>
      <c r="F38" s="33">
        <v>213</v>
      </c>
      <c r="G38" s="33">
        <v>553930211.53999996</v>
      </c>
      <c r="H38" s="33">
        <v>104035900.91000003</v>
      </c>
      <c r="I38" s="33">
        <v>96424495.040000007</v>
      </c>
      <c r="J38" s="33">
        <v>1992951.0300000003</v>
      </c>
      <c r="K38" s="42">
        <v>0.92683866046794228</v>
      </c>
      <c r="L38" s="36">
        <v>7611405.870000001</v>
      </c>
      <c r="M38" s="30">
        <f>_xlfn.XLOOKUP($D38,'consolidated tracker'!$D:$D,'consolidated tracker'!M:M,,)</f>
        <v>447901359.5999999</v>
      </c>
      <c r="N38" s="33">
        <f>_xlfn.XLOOKUP($D38,'consolidated tracker'!$D:$D,'consolidated tracker'!N:N,,)</f>
        <v>47642907.110000014</v>
      </c>
      <c r="O38" s="33">
        <f>_xlfn.XLOOKUP($D38,'consolidated tracker'!$D:$D,'consolidated tracker'!O:O,,)</f>
        <v>56700833.520000033</v>
      </c>
      <c r="P38" s="33">
        <f>_xlfn.XLOOKUP($D38,'consolidated tracker'!$D:$D,'consolidated tracker'!P:P,,)</f>
        <v>36260581.240000017</v>
      </c>
      <c r="Q38" s="33">
        <f>_xlfn.XLOOKUP($D38,'consolidated tracker'!$D:$D,'consolidated tracker'!Q:Q,,)</f>
        <v>41294791.290000014</v>
      </c>
      <c r="R38" s="33">
        <f>_xlfn.XLOOKUP($D38,'consolidated tracker'!$D:$D,'consolidated tracker'!R:R,,)</f>
        <v>266002246.43999982</v>
      </c>
      <c r="S38" s="33">
        <f>_xlfn.XLOOKUP($D38,'consolidated tracker'!$D:$D,'consolidated tracker'!S:S,,)</f>
        <v>0</v>
      </c>
      <c r="T38" s="33">
        <f>_xlfn.XLOOKUP($D38,'consolidated tracker'!$D:$D,'consolidated tracker'!T:T,,)</f>
        <v>0</v>
      </c>
      <c r="U38" s="33">
        <f>_xlfn.XLOOKUP($D38,'consolidated tracker'!$D:$D,'consolidated tracker'!U:U,,)</f>
        <v>0</v>
      </c>
      <c r="V38" s="33">
        <f>_xlfn.XLOOKUP($D38,'consolidated tracker'!$D:$D,'consolidated tracker'!V:V,,)</f>
        <v>0</v>
      </c>
      <c r="W38" s="33">
        <f>_xlfn.XLOOKUP($D38,'consolidated tracker'!$D:$D,'consolidated tracker'!W:W,,)</f>
        <v>0</v>
      </c>
      <c r="Z38" s="146"/>
    </row>
    <row r="39" spans="3:33" s="7" customFormat="1" ht="150" customHeight="1" x14ac:dyDescent="1.25">
      <c r="C39" s="77">
        <v>32</v>
      </c>
      <c r="D39" s="76" t="s">
        <v>39</v>
      </c>
      <c r="E39" s="49" t="str">
        <f t="array" ref="E39:L39">VLOOKUP(D39,'consolidated tracker'!D:L,{2,3,4,5,6,7,8,9},0)</f>
        <v>Pre-Launch</v>
      </c>
      <c r="F39" s="33">
        <v>293</v>
      </c>
      <c r="G39" s="33">
        <v>665379462.88999987</v>
      </c>
      <c r="H39" s="33">
        <v>111574574.38999985</v>
      </c>
      <c r="I39" s="33">
        <v>96740655.38000001</v>
      </c>
      <c r="J39" s="33">
        <v>3690545.0200000009</v>
      </c>
      <c r="K39" s="42">
        <v>0.86704928886263022</v>
      </c>
      <c r="L39" s="36">
        <v>14833919.010000002</v>
      </c>
      <c r="M39" s="30">
        <f>_xlfn.XLOOKUP($D39,'consolidated tracker'!$D:$D,'consolidated tracker'!M:M,,)</f>
        <v>550114343.48000002</v>
      </c>
      <c r="N39" s="33">
        <f>_xlfn.XLOOKUP($D39,'consolidated tracker'!$D:$D,'consolidated tracker'!N:N,,)</f>
        <v>36991537.570000112</v>
      </c>
      <c r="O39" s="33">
        <f>_xlfn.XLOOKUP($D39,'consolidated tracker'!$D:$D,'consolidated tracker'!O:O,,)</f>
        <v>72049470.000000015</v>
      </c>
      <c r="P39" s="33">
        <f>_xlfn.XLOOKUP($D39,'consolidated tracker'!$D:$D,'consolidated tracker'!P:P,,)</f>
        <v>66323340.779999994</v>
      </c>
      <c r="Q39" s="33">
        <f>_xlfn.XLOOKUP($D39,'consolidated tracker'!$D:$D,'consolidated tracker'!Q:Q,,)</f>
        <v>90023517.919999942</v>
      </c>
      <c r="R39" s="33">
        <f>_xlfn.XLOOKUP($D39,'consolidated tracker'!$D:$D,'consolidated tracker'!R:R,,)</f>
        <v>284726477.20999998</v>
      </c>
      <c r="S39" s="33">
        <f>_xlfn.XLOOKUP($D39,'consolidated tracker'!$D:$D,'consolidated tracker'!S:S,,)</f>
        <v>0</v>
      </c>
      <c r="T39" s="33">
        <f>_xlfn.XLOOKUP($D39,'consolidated tracker'!$D:$D,'consolidated tracker'!T:T,,)</f>
        <v>0</v>
      </c>
      <c r="U39" s="33">
        <f>_xlfn.XLOOKUP($D39,'consolidated tracker'!$D:$D,'consolidated tracker'!U:U,,)</f>
        <v>0</v>
      </c>
      <c r="V39" s="33">
        <f>_xlfn.XLOOKUP($D39,'consolidated tracker'!$D:$D,'consolidated tracker'!V:V,,)</f>
        <v>0</v>
      </c>
      <c r="W39" s="33">
        <f>_xlfn.XLOOKUP($D39,'consolidated tracker'!$D:$D,'consolidated tracker'!W:W,,)</f>
        <v>0</v>
      </c>
      <c r="Z39" s="146"/>
    </row>
    <row r="40" spans="3:33" s="7" customFormat="1" ht="150" customHeight="1" x14ac:dyDescent="1.25">
      <c r="C40" s="77">
        <v>33</v>
      </c>
      <c r="D40" s="76" t="s">
        <v>38</v>
      </c>
      <c r="E40" s="49" t="str">
        <f t="array" ref="E40:L40">VLOOKUP(D40,'consolidated tracker'!D:L,{2,3,4,5,6,7,8,9},0)</f>
        <v>Pre-Launch</v>
      </c>
      <c r="F40" s="33">
        <v>49</v>
      </c>
      <c r="G40" s="33">
        <v>393210660.60000002</v>
      </c>
      <c r="H40" s="33">
        <v>70714827.00999999</v>
      </c>
      <c r="I40" s="33">
        <v>63994980.059999995</v>
      </c>
      <c r="J40" s="33">
        <v>2456825.4799999995</v>
      </c>
      <c r="K40" s="42">
        <v>0.90497258871820863</v>
      </c>
      <c r="L40" s="36">
        <v>6719846.9500000002</v>
      </c>
      <c r="M40" s="30">
        <f>_xlfn.XLOOKUP($D40,'consolidated tracker'!$D:$D,'consolidated tracker'!M:M,,)</f>
        <v>320039008.11000001</v>
      </c>
      <c r="N40" s="33">
        <f>_xlfn.XLOOKUP($D40,'consolidated tracker'!$D:$D,'consolidated tracker'!N:N,,)</f>
        <v>7800846.8400000334</v>
      </c>
      <c r="O40" s="33">
        <f>_xlfn.XLOOKUP($D40,'consolidated tracker'!$D:$D,'consolidated tracker'!O:O,,)</f>
        <v>80835238.519999996</v>
      </c>
      <c r="P40" s="33">
        <f>_xlfn.XLOOKUP($D40,'consolidated tracker'!$D:$D,'consolidated tracker'!P:P,,)</f>
        <v>41795452.769999996</v>
      </c>
      <c r="Q40" s="33">
        <f>_xlfn.XLOOKUP($D40,'consolidated tracker'!$D:$D,'consolidated tracker'!Q:Q,,)</f>
        <v>19545725.59</v>
      </c>
      <c r="R40" s="33">
        <f>_xlfn.XLOOKUP($D40,'consolidated tracker'!$D:$D,'consolidated tracker'!R:R,,)</f>
        <v>170061744.38999999</v>
      </c>
      <c r="S40" s="33">
        <f>_xlfn.XLOOKUP($D40,'consolidated tracker'!$D:$D,'consolidated tracker'!S:S,,)</f>
        <v>0</v>
      </c>
      <c r="T40" s="33">
        <f>_xlfn.XLOOKUP($D40,'consolidated tracker'!$D:$D,'consolidated tracker'!T:T,,)</f>
        <v>0</v>
      </c>
      <c r="U40" s="33">
        <f>_xlfn.XLOOKUP($D40,'consolidated tracker'!$D:$D,'consolidated tracker'!U:U,,)</f>
        <v>0</v>
      </c>
      <c r="V40" s="33">
        <f>_xlfn.XLOOKUP($D40,'consolidated tracker'!$D:$D,'consolidated tracker'!V:V,,)</f>
        <v>0</v>
      </c>
      <c r="W40" s="33">
        <f>_xlfn.XLOOKUP($D40,'consolidated tracker'!$D:$D,'consolidated tracker'!W:W,,)</f>
        <v>0</v>
      </c>
      <c r="Z40" s="146"/>
    </row>
    <row r="41" spans="3:33" s="7" customFormat="1" ht="150" customHeight="1" x14ac:dyDescent="1.25">
      <c r="C41" s="77">
        <v>33</v>
      </c>
      <c r="D41" s="76" t="s">
        <v>37</v>
      </c>
      <c r="E41" s="49" t="str">
        <f t="array" ref="E41:L41">VLOOKUP(D41,'consolidated tracker'!D:L,{2,3,4,5,6,7,8,9},0)</f>
        <v>Pre-Launch</v>
      </c>
      <c r="F41" s="33">
        <v>324</v>
      </c>
      <c r="G41" s="33">
        <v>1616050376.9699998</v>
      </c>
      <c r="H41" s="33">
        <v>250206610.61999986</v>
      </c>
      <c r="I41" s="33">
        <v>199790925.23999995</v>
      </c>
      <c r="J41" s="33">
        <v>17494636.890000004</v>
      </c>
      <c r="K41" s="42">
        <v>0.79850378351286455</v>
      </c>
      <c r="L41" s="36">
        <v>50415685.380000018</v>
      </c>
      <c r="M41" s="30">
        <f>_xlfn.XLOOKUP($D41,'consolidated tracker'!$D:$D,'consolidated tracker'!M:M,,)</f>
        <v>1348349129.46</v>
      </c>
      <c r="N41" s="33">
        <f>_xlfn.XLOOKUP($D41,'consolidated tracker'!$D:$D,'consolidated tracker'!N:N,,)</f>
        <v>173838541.11000058</v>
      </c>
      <c r="O41" s="33">
        <f>_xlfn.XLOOKUP($D41,'consolidated tracker'!$D:$D,'consolidated tracker'!O:O,,)</f>
        <v>186104499.0999999</v>
      </c>
      <c r="P41" s="33">
        <f>_xlfn.XLOOKUP($D41,'consolidated tracker'!$D:$D,'consolidated tracker'!P:P,,)</f>
        <v>256560585.5399999</v>
      </c>
      <c r="Q41" s="33">
        <f>_xlfn.XLOOKUP($D41,'consolidated tracker'!$D:$D,'consolidated tracker'!Q:Q,,)</f>
        <v>731845503.70999968</v>
      </c>
      <c r="R41" s="33">
        <f>_xlfn.XLOOKUP($D41,'consolidated tracker'!$D:$D,'consolidated tracker'!R:R,,)</f>
        <v>0</v>
      </c>
      <c r="S41" s="33">
        <f>_xlfn.XLOOKUP($D41,'consolidated tracker'!$D:$D,'consolidated tracker'!S:S,,)</f>
        <v>0</v>
      </c>
      <c r="T41" s="33">
        <f>_xlfn.XLOOKUP($D41,'consolidated tracker'!$D:$D,'consolidated tracker'!T:T,,)</f>
        <v>0</v>
      </c>
      <c r="U41" s="33">
        <f>_xlfn.XLOOKUP($D41,'consolidated tracker'!$D:$D,'consolidated tracker'!U:U,,)</f>
        <v>0</v>
      </c>
      <c r="V41" s="33">
        <f>_xlfn.XLOOKUP($D41,'consolidated tracker'!$D:$D,'consolidated tracker'!V:V,,)</f>
        <v>0</v>
      </c>
      <c r="W41" s="33">
        <f>_xlfn.XLOOKUP($D41,'consolidated tracker'!$D:$D,'consolidated tracker'!W:W,,)</f>
        <v>0</v>
      </c>
      <c r="Z41" s="146"/>
    </row>
    <row r="42" spans="3:33" s="7" customFormat="1" ht="180" customHeight="1" x14ac:dyDescent="1.25">
      <c r="C42" s="75"/>
      <c r="D42" s="75" t="s">
        <v>15</v>
      </c>
      <c r="E42" s="75"/>
      <c r="F42" s="159">
        <f>SUM(F30,F32,F34:F41)</f>
        <v>30162</v>
      </c>
      <c r="G42" s="159">
        <f>SUM(G30,G32,G34:G41)</f>
        <v>74787377547.550018</v>
      </c>
      <c r="H42" s="159">
        <f>SUM(H30,H32,H34:H41)</f>
        <v>40036157213.929977</v>
      </c>
      <c r="I42" s="159">
        <f>SUM(I30,I32,I34:I41)</f>
        <v>38453829823.049988</v>
      </c>
      <c r="J42" s="159">
        <f>SUM(J30,J32,J34:J41)</f>
        <v>2520908163.8299999</v>
      </c>
      <c r="K42" s="158">
        <f>I42/H42</f>
        <v>0.96047754077832814</v>
      </c>
      <c r="L42" s="157">
        <f t="shared" ref="L42:W42" si="2">SUM(L30,L32,L34:L41)</f>
        <v>1582272314.7499998</v>
      </c>
      <c r="M42" s="156">
        <f t="shared" si="2"/>
        <v>32243791160.352535</v>
      </c>
      <c r="N42" s="155">
        <f t="shared" si="2"/>
        <v>11814651577.612541</v>
      </c>
      <c r="O42" s="155">
        <f t="shared" si="2"/>
        <v>10469038777.660002</v>
      </c>
      <c r="P42" s="155">
        <f t="shared" si="2"/>
        <v>4168004988.8000007</v>
      </c>
      <c r="Q42" s="155">
        <f t="shared" si="2"/>
        <v>4459792766.9199982</v>
      </c>
      <c r="R42" s="155">
        <f t="shared" si="2"/>
        <v>1158492725.0099998</v>
      </c>
      <c r="S42" s="155">
        <f t="shared" si="2"/>
        <v>173140868.3499999</v>
      </c>
      <c r="T42" s="155">
        <f t="shared" si="2"/>
        <v>168000</v>
      </c>
      <c r="U42" s="155">
        <f t="shared" si="2"/>
        <v>168000</v>
      </c>
      <c r="V42" s="155">
        <f t="shared" si="2"/>
        <v>168000</v>
      </c>
      <c r="W42" s="155">
        <f t="shared" si="2"/>
        <v>165456</v>
      </c>
      <c r="Z42" s="146"/>
    </row>
    <row r="43" spans="3:33" s="7" customFormat="1" ht="99" customHeight="1" x14ac:dyDescent="1.25">
      <c r="C43" s="154"/>
      <c r="D43" s="67"/>
      <c r="E43" s="66"/>
      <c r="F43" s="63"/>
      <c r="G43" s="63"/>
      <c r="H43" s="63"/>
      <c r="I43" s="63"/>
      <c r="J43" s="63"/>
      <c r="K43" s="65"/>
      <c r="L43" s="63"/>
      <c r="M43" s="64"/>
      <c r="N43" s="63"/>
      <c r="O43" s="63"/>
      <c r="P43" s="63"/>
      <c r="Q43" s="63"/>
      <c r="R43" s="63"/>
      <c r="S43" s="63"/>
      <c r="T43" s="63"/>
      <c r="U43" s="63"/>
      <c r="V43" s="63"/>
      <c r="W43" s="63"/>
      <c r="Z43" s="146"/>
    </row>
    <row r="44" spans="3:33" s="7" customFormat="1" ht="145.5" customHeight="1" x14ac:dyDescent="1.25">
      <c r="C44" s="62"/>
      <c r="D44" s="61" t="s">
        <v>14</v>
      </c>
      <c r="E44" s="60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Z44" s="146"/>
    </row>
    <row r="45" spans="3:33" s="21" customFormat="1" ht="160.15" customHeight="1" x14ac:dyDescent="1.35">
      <c r="C45" s="459">
        <v>1</v>
      </c>
      <c r="D45" s="462" t="s">
        <v>12</v>
      </c>
      <c r="E45" s="56" t="s">
        <v>4</v>
      </c>
      <c r="F45" s="36">
        <f>'consolidated tracker'!F213</f>
        <v>780</v>
      </c>
      <c r="G45" s="36">
        <f>'consolidated tracker'!G213</f>
        <v>834613869.1699996</v>
      </c>
      <c r="H45" s="36">
        <f>'consolidated tracker'!H213</f>
        <v>833782410.30000067</v>
      </c>
      <c r="I45" s="36">
        <f>'consolidated tracker'!I213</f>
        <v>833070122.08999968</v>
      </c>
      <c r="J45" s="36">
        <f>'consolidated tracker'!J213</f>
        <v>2549.400000000001</v>
      </c>
      <c r="K45" s="55">
        <f>'consolidated tracker'!K213</f>
        <v>0.99914571451591949</v>
      </c>
      <c r="L45" s="36">
        <f>'consolidated tracker'!L213</f>
        <v>712288.17000000016</v>
      </c>
      <c r="M45" s="30">
        <f>'consolidated tracker'!M213</f>
        <v>982822.41999971867</v>
      </c>
      <c r="N45" s="30">
        <f>'consolidated tracker'!N213</f>
        <v>298563.21999971871</v>
      </c>
      <c r="O45" s="30">
        <f>'consolidated tracker'!O213</f>
        <v>684259.2</v>
      </c>
      <c r="P45" s="30">
        <f>'consolidated tracker'!P213</f>
        <v>0</v>
      </c>
      <c r="Q45" s="30">
        <f>'consolidated tracker'!Q213</f>
        <v>0</v>
      </c>
      <c r="R45" s="30">
        <f>'consolidated tracker'!R213</f>
        <v>0</v>
      </c>
      <c r="S45" s="33">
        <f>'consolidated tracker'!S213</f>
        <v>0</v>
      </c>
      <c r="T45" s="33">
        <f>'consolidated tracker'!T213</f>
        <v>0</v>
      </c>
      <c r="U45" s="33">
        <f>'consolidated tracker'!U213</f>
        <v>0</v>
      </c>
      <c r="V45" s="33">
        <f>'consolidated tracker'!V213</f>
        <v>0</v>
      </c>
      <c r="W45" s="33">
        <f>'consolidated tracker'!W213</f>
        <v>0</v>
      </c>
      <c r="X45" s="7"/>
      <c r="Y45" s="7"/>
      <c r="Z45" s="146"/>
      <c r="AA45" s="7"/>
      <c r="AB45" s="7"/>
      <c r="AC45" s="7"/>
      <c r="AD45" s="7"/>
      <c r="AG45" s="7"/>
    </row>
    <row r="46" spans="3:33" s="21" customFormat="1" ht="160.15" customHeight="1" x14ac:dyDescent="1.35">
      <c r="C46" s="459"/>
      <c r="D46" s="462"/>
      <c r="E46" s="35" t="s">
        <v>3</v>
      </c>
      <c r="F46" s="33">
        <f>'consolidated tracker'!F214</f>
        <v>1</v>
      </c>
      <c r="G46" s="33">
        <f>'consolidated tracker'!G214</f>
        <v>801125</v>
      </c>
      <c r="H46" s="33">
        <f>'consolidated tracker'!H214</f>
        <v>801125</v>
      </c>
      <c r="I46" s="33">
        <f>'consolidated tracker'!I214</f>
        <v>160335</v>
      </c>
      <c r="J46" s="33">
        <f>'consolidated tracker'!J214</f>
        <v>0</v>
      </c>
      <c r="K46" s="34">
        <f>'consolidated tracker'!K214</f>
        <v>0.20013730691215478</v>
      </c>
      <c r="L46" s="33">
        <f>'consolidated tracker'!L214</f>
        <v>640790</v>
      </c>
      <c r="M46" s="30">
        <f>'consolidated tracker'!M214</f>
        <v>0</v>
      </c>
      <c r="N46" s="33">
        <f>'consolidated tracker'!N214</f>
        <v>0</v>
      </c>
      <c r="O46" s="33">
        <f>'consolidated tracker'!O214</f>
        <v>0</v>
      </c>
      <c r="P46" s="151">
        <f>'consolidated tracker'!P214</f>
        <v>0</v>
      </c>
      <c r="Q46" s="136">
        <f>'consolidated tracker'!Q214</f>
        <v>0</v>
      </c>
      <c r="R46" s="136">
        <f>'consolidated tracker'!R214</f>
        <v>0</v>
      </c>
      <c r="S46" s="136">
        <f>'consolidated tracker'!S214</f>
        <v>0</v>
      </c>
      <c r="T46" s="136">
        <f>'consolidated tracker'!T214</f>
        <v>0</v>
      </c>
      <c r="U46" s="136">
        <f>'consolidated tracker'!U214</f>
        <v>0</v>
      </c>
      <c r="V46" s="136">
        <f>'consolidated tracker'!V214</f>
        <v>0</v>
      </c>
      <c r="W46" s="136">
        <f>'consolidated tracker'!W214</f>
        <v>0</v>
      </c>
      <c r="X46" s="7"/>
      <c r="Y46" s="7"/>
      <c r="Z46" s="146"/>
      <c r="AA46" s="7"/>
      <c r="AB46" s="7"/>
      <c r="AC46" s="7"/>
      <c r="AD46" s="7"/>
      <c r="AG46" s="7"/>
    </row>
    <row r="47" spans="3:33" s="21" customFormat="1" ht="218.65" customHeight="1" x14ac:dyDescent="1.35">
      <c r="C47" s="459"/>
      <c r="D47" s="462"/>
      <c r="E47" s="35" t="s">
        <v>2</v>
      </c>
      <c r="F47" s="33">
        <f>'consolidated tracker'!F215</f>
        <v>0</v>
      </c>
      <c r="G47" s="33">
        <f>'consolidated tracker'!G215</f>
        <v>0</v>
      </c>
      <c r="H47" s="33">
        <f>'consolidated tracker'!H215</f>
        <v>0</v>
      </c>
      <c r="I47" s="33">
        <f>'consolidated tracker'!I215</f>
        <v>0</v>
      </c>
      <c r="J47" s="33">
        <f>'consolidated tracker'!J215</f>
        <v>0</v>
      </c>
      <c r="K47" s="34">
        <f>'consolidated tracker'!K215</f>
        <v>0</v>
      </c>
      <c r="L47" s="33">
        <f>'consolidated tracker'!L215</f>
        <v>0</v>
      </c>
      <c r="M47" s="30">
        <f>'consolidated tracker'!M215</f>
        <v>0</v>
      </c>
      <c r="N47" s="33">
        <f>'consolidated tracker'!N215</f>
        <v>0</v>
      </c>
      <c r="O47" s="33">
        <f>'consolidated tracker'!O215</f>
        <v>0</v>
      </c>
      <c r="P47" s="151">
        <f>'consolidated tracker'!P215</f>
        <v>0</v>
      </c>
      <c r="Q47" s="136">
        <f>'consolidated tracker'!Q215</f>
        <v>0</v>
      </c>
      <c r="R47" s="136">
        <f>'consolidated tracker'!R215</f>
        <v>0</v>
      </c>
      <c r="S47" s="136">
        <f>'consolidated tracker'!S215</f>
        <v>0</v>
      </c>
      <c r="T47" s="136">
        <f>'consolidated tracker'!T215</f>
        <v>0</v>
      </c>
      <c r="U47" s="136">
        <f>'consolidated tracker'!U215</f>
        <v>0</v>
      </c>
      <c r="V47" s="136">
        <f>'consolidated tracker'!V215</f>
        <v>0</v>
      </c>
      <c r="W47" s="136">
        <f>'consolidated tracker'!W215</f>
        <v>0</v>
      </c>
      <c r="X47" s="7"/>
      <c r="Y47" s="7"/>
      <c r="Z47" s="146"/>
      <c r="AA47" s="7"/>
      <c r="AB47" s="7"/>
      <c r="AC47" s="7"/>
      <c r="AD47" s="7"/>
      <c r="AG47" s="7"/>
    </row>
    <row r="48" spans="3:33" s="21" customFormat="1" ht="160.15" customHeight="1" x14ac:dyDescent="1.35">
      <c r="C48" s="460"/>
      <c r="D48" s="465"/>
      <c r="E48" s="49" t="s">
        <v>1</v>
      </c>
      <c r="F48" s="33">
        <f>'consolidated tracker'!F216</f>
        <v>779</v>
      </c>
      <c r="G48" s="33">
        <f>'consolidated tracker'!G216</f>
        <v>833812744.1699996</v>
      </c>
      <c r="H48" s="33">
        <f>'consolidated tracker'!H216</f>
        <v>832981285.30000067</v>
      </c>
      <c r="I48" s="33">
        <f>'consolidated tracker'!I216</f>
        <v>832909787.08999968</v>
      </c>
      <c r="J48" s="33">
        <f>'consolidated tracker'!J216</f>
        <v>2549.400000000001</v>
      </c>
      <c r="K48" s="34">
        <f>'consolidated tracker'!K216</f>
        <v>0.99991416588672188</v>
      </c>
      <c r="L48" s="33">
        <f>'consolidated tracker'!L216</f>
        <v>71498.170000000158</v>
      </c>
      <c r="M48" s="30">
        <f>'consolidated tracker'!M216</f>
        <v>982822.41999971867</v>
      </c>
      <c r="N48" s="33">
        <f>'consolidated tracker'!N216</f>
        <v>298563.21999971871</v>
      </c>
      <c r="O48" s="33">
        <f>'consolidated tracker'!O216</f>
        <v>684259.2</v>
      </c>
      <c r="P48" s="33">
        <f>'consolidated tracker'!P216</f>
        <v>0</v>
      </c>
      <c r="Q48" s="33">
        <f>'consolidated tracker'!Q216</f>
        <v>0</v>
      </c>
      <c r="R48" s="33">
        <f>'consolidated tracker'!R216</f>
        <v>0</v>
      </c>
      <c r="S48" s="33">
        <f>'consolidated tracker'!S216</f>
        <v>0</v>
      </c>
      <c r="T48" s="33">
        <f>'consolidated tracker'!T216</f>
        <v>0</v>
      </c>
      <c r="U48" s="33">
        <f>'consolidated tracker'!U216</f>
        <v>0</v>
      </c>
      <c r="V48" s="33">
        <f>'consolidated tracker'!V216</f>
        <v>0</v>
      </c>
      <c r="W48" s="33">
        <f>'consolidated tracker'!W216</f>
        <v>0</v>
      </c>
      <c r="X48" s="7"/>
      <c r="Y48" s="7"/>
      <c r="Z48" s="146"/>
      <c r="AA48" s="7"/>
      <c r="AB48" s="7"/>
      <c r="AC48" s="7"/>
      <c r="AD48" s="7"/>
      <c r="AG48" s="7"/>
    </row>
    <row r="49" spans="3:47" s="21" customFormat="1" ht="160.15" customHeight="1" x14ac:dyDescent="1.35">
      <c r="C49" s="454">
        <v>2</v>
      </c>
      <c r="D49" s="456" t="s">
        <v>10</v>
      </c>
      <c r="E49" s="48" t="s">
        <v>4</v>
      </c>
      <c r="F49" s="46">
        <f>'consolidated tracker'!F217</f>
        <v>415</v>
      </c>
      <c r="G49" s="46">
        <f>'consolidated tracker'!G217</f>
        <v>776702862.11999893</v>
      </c>
      <c r="H49" s="46">
        <f>'consolidated tracker'!H217</f>
        <v>778355329.75999641</v>
      </c>
      <c r="I49" s="46">
        <f>'consolidated tracker'!I217</f>
        <v>776553473.00999916</v>
      </c>
      <c r="J49" s="46">
        <f>'consolidated tracker'!J217</f>
        <v>401335.66000000009</v>
      </c>
      <c r="K49" s="47">
        <f>'consolidated tracker'!K217</f>
        <v>0.99768504604374864</v>
      </c>
      <c r="L49" s="36">
        <f>'consolidated tracker'!L217</f>
        <v>1801856.45</v>
      </c>
      <c r="M49" s="41">
        <f>'consolidated tracker'!M217</f>
        <v>260280.26</v>
      </c>
      <c r="N49" s="46">
        <f>'consolidated tracker'!N217</f>
        <v>84418.14</v>
      </c>
      <c r="O49" s="46">
        <f>'consolidated tracker'!O217</f>
        <v>175862.12</v>
      </c>
      <c r="P49" s="46">
        <f>'consolidated tracker'!P217</f>
        <v>0</v>
      </c>
      <c r="Q49" s="46">
        <f>'consolidated tracker'!Q217</f>
        <v>0</v>
      </c>
      <c r="R49" s="46">
        <f>'consolidated tracker'!R217</f>
        <v>0</v>
      </c>
      <c r="S49" s="46">
        <f>'consolidated tracker'!S217</f>
        <v>0</v>
      </c>
      <c r="T49" s="46">
        <f>'consolidated tracker'!T217</f>
        <v>0</v>
      </c>
      <c r="U49" s="46">
        <f>'consolidated tracker'!U217</f>
        <v>0</v>
      </c>
      <c r="V49" s="46">
        <f>'consolidated tracker'!V217</f>
        <v>0</v>
      </c>
      <c r="W49" s="46">
        <f>'consolidated tracker'!W217</f>
        <v>0</v>
      </c>
      <c r="X49" s="7"/>
      <c r="Y49" s="7"/>
      <c r="Z49" s="146"/>
      <c r="AA49" s="7"/>
      <c r="AB49" s="7"/>
      <c r="AC49" s="7"/>
      <c r="AD49" s="7"/>
      <c r="AG49" s="7"/>
    </row>
    <row r="50" spans="3:47" s="21" customFormat="1" ht="160.15" customHeight="1" x14ac:dyDescent="1.35">
      <c r="C50" s="454"/>
      <c r="D50" s="457"/>
      <c r="E50" s="53" t="s">
        <v>3</v>
      </c>
      <c r="F50" s="50">
        <f>'consolidated tracker'!F218</f>
        <v>0</v>
      </c>
      <c r="G50" s="40">
        <f>'consolidated tracker'!G218</f>
        <v>0</v>
      </c>
      <c r="H50" s="40">
        <f>'consolidated tracker'!H218</f>
        <v>0</v>
      </c>
      <c r="I50" s="40">
        <f>'consolidated tracker'!I218</f>
        <v>0</v>
      </c>
      <c r="J50" s="40">
        <f>'consolidated tracker'!J218</f>
        <v>0</v>
      </c>
      <c r="K50" s="42">
        <f>'consolidated tracker'!K218</f>
        <v>0</v>
      </c>
      <c r="L50" s="45">
        <f>'consolidated tracker'!L218</f>
        <v>0</v>
      </c>
      <c r="M50" s="41">
        <f>'consolidated tracker'!M218</f>
        <v>0</v>
      </c>
      <c r="N50" s="40">
        <f>'consolidated tracker'!N218</f>
        <v>0</v>
      </c>
      <c r="O50" s="40">
        <f>'consolidated tracker'!O218</f>
        <v>0</v>
      </c>
      <c r="P50" s="150">
        <f>'consolidated tracker'!P218</f>
        <v>0</v>
      </c>
      <c r="Q50" s="137">
        <f>'consolidated tracker'!Q218</f>
        <v>0</v>
      </c>
      <c r="R50" s="137">
        <f>'consolidated tracker'!R218</f>
        <v>0</v>
      </c>
      <c r="S50" s="137">
        <f>'consolidated tracker'!S218</f>
        <v>0</v>
      </c>
      <c r="T50" s="137">
        <f>'consolidated tracker'!T218</f>
        <v>0</v>
      </c>
      <c r="U50" s="137">
        <f>'consolidated tracker'!U218</f>
        <v>0</v>
      </c>
      <c r="V50" s="137">
        <f>'consolidated tracker'!V218</f>
        <v>0</v>
      </c>
      <c r="W50" s="137">
        <f>'consolidated tracker'!W218</f>
        <v>0</v>
      </c>
      <c r="X50" s="7"/>
      <c r="Y50" s="7"/>
      <c r="Z50" s="146"/>
      <c r="AA50" s="7"/>
      <c r="AB50" s="7"/>
      <c r="AC50" s="7"/>
      <c r="AD50" s="7"/>
      <c r="AG50" s="7"/>
    </row>
    <row r="51" spans="3:47" s="21" customFormat="1" ht="235.15" customHeight="1" x14ac:dyDescent="1.35">
      <c r="C51" s="454"/>
      <c r="D51" s="457"/>
      <c r="E51" s="54" t="s">
        <v>2</v>
      </c>
      <c r="F51" s="40">
        <f>'consolidated tracker'!F219</f>
        <v>0</v>
      </c>
      <c r="G51" s="40">
        <f>'consolidated tracker'!G219</f>
        <v>0</v>
      </c>
      <c r="H51" s="40">
        <f>'consolidated tracker'!H219</f>
        <v>0</v>
      </c>
      <c r="I51" s="40">
        <f>'consolidated tracker'!I219</f>
        <v>0</v>
      </c>
      <c r="J51" s="40">
        <f>'consolidated tracker'!J219</f>
        <v>0</v>
      </c>
      <c r="K51" s="42">
        <f>'consolidated tracker'!K219</f>
        <v>0</v>
      </c>
      <c r="L51" s="40">
        <f>'consolidated tracker'!L219</f>
        <v>0</v>
      </c>
      <c r="M51" s="41">
        <f>'consolidated tracker'!M219</f>
        <v>0</v>
      </c>
      <c r="N51" s="40">
        <f>'consolidated tracker'!N219</f>
        <v>0</v>
      </c>
      <c r="O51" s="40">
        <f>'consolidated tracker'!O219</f>
        <v>0</v>
      </c>
      <c r="P51" s="150">
        <f>'consolidated tracker'!P219</f>
        <v>0</v>
      </c>
      <c r="Q51" s="137">
        <f>'consolidated tracker'!Q219</f>
        <v>0</v>
      </c>
      <c r="R51" s="137">
        <f>'consolidated tracker'!R219</f>
        <v>0</v>
      </c>
      <c r="S51" s="137">
        <f>'consolidated tracker'!S219</f>
        <v>0</v>
      </c>
      <c r="T51" s="137">
        <f>'consolidated tracker'!T219</f>
        <v>0</v>
      </c>
      <c r="U51" s="137">
        <f>'consolidated tracker'!U219</f>
        <v>0</v>
      </c>
      <c r="V51" s="137">
        <f>'consolidated tracker'!V219</f>
        <v>0</v>
      </c>
      <c r="W51" s="137">
        <f>'consolidated tracker'!W219</f>
        <v>0</v>
      </c>
      <c r="X51" s="7"/>
      <c r="Y51" s="7"/>
      <c r="Z51" s="146"/>
      <c r="AA51" s="7"/>
      <c r="AB51" s="7"/>
      <c r="AC51" s="7"/>
      <c r="AD51" s="7"/>
      <c r="AG51" s="7"/>
    </row>
    <row r="52" spans="3:47" s="21" customFormat="1" ht="160.15" customHeight="1" x14ac:dyDescent="1.35">
      <c r="C52" s="455"/>
      <c r="D52" s="458"/>
      <c r="E52" s="53" t="s">
        <v>1</v>
      </c>
      <c r="F52" s="50">
        <f>'consolidated tracker'!F220</f>
        <v>415</v>
      </c>
      <c r="G52" s="50">
        <f>'consolidated tracker'!G220</f>
        <v>776702862.11999893</v>
      </c>
      <c r="H52" s="50">
        <f>'consolidated tracker'!H220</f>
        <v>778355329.75999641</v>
      </c>
      <c r="I52" s="50">
        <f>'consolidated tracker'!I220</f>
        <v>776553473.00999916</v>
      </c>
      <c r="J52" s="40">
        <f>'consolidated tracker'!J220</f>
        <v>401335.66000000009</v>
      </c>
      <c r="K52" s="52">
        <f>'consolidated tracker'!K220</f>
        <v>0.99768504604374864</v>
      </c>
      <c r="L52" s="40">
        <f>'consolidated tracker'!L220</f>
        <v>1801856.45</v>
      </c>
      <c r="M52" s="51">
        <f>'consolidated tracker'!M220</f>
        <v>260280.26</v>
      </c>
      <c r="N52" s="50">
        <f>'consolidated tracker'!N220</f>
        <v>84418.14</v>
      </c>
      <c r="O52" s="50">
        <f>'consolidated tracker'!O220</f>
        <v>175862.12</v>
      </c>
      <c r="P52" s="153">
        <f>'consolidated tracker'!P220</f>
        <v>0</v>
      </c>
      <c r="Q52" s="152">
        <f>'consolidated tracker'!Q220</f>
        <v>0</v>
      </c>
      <c r="R52" s="152">
        <f>'consolidated tracker'!R220</f>
        <v>0</v>
      </c>
      <c r="S52" s="152">
        <f>'consolidated tracker'!S220</f>
        <v>0</v>
      </c>
      <c r="T52" s="152">
        <f>'consolidated tracker'!T220</f>
        <v>0</v>
      </c>
      <c r="U52" s="152">
        <f>'consolidated tracker'!U220</f>
        <v>0</v>
      </c>
      <c r="V52" s="152">
        <f>'consolidated tracker'!V220</f>
        <v>0</v>
      </c>
      <c r="W52" s="152">
        <f>'consolidated tracker'!W220</f>
        <v>0</v>
      </c>
      <c r="X52" s="7"/>
      <c r="Y52" s="7"/>
      <c r="Z52" s="146"/>
      <c r="AA52" s="7"/>
      <c r="AB52" s="7"/>
      <c r="AC52" s="7"/>
      <c r="AD52" s="7"/>
      <c r="AG52" s="7"/>
    </row>
    <row r="53" spans="3:47" s="21" customFormat="1" ht="160.15" customHeight="1" x14ac:dyDescent="1.35">
      <c r="C53" s="459">
        <v>3</v>
      </c>
      <c r="D53" s="461" t="s">
        <v>8</v>
      </c>
      <c r="E53" s="38" t="s">
        <v>4</v>
      </c>
      <c r="F53" s="36">
        <f>'consolidated tracker'!F221</f>
        <v>782</v>
      </c>
      <c r="G53" s="36">
        <f>'consolidated tracker'!G221</f>
        <v>803025253.47000039</v>
      </c>
      <c r="H53" s="36">
        <f>'consolidated tracker'!H221</f>
        <v>801210399.87000132</v>
      </c>
      <c r="I53" s="36">
        <f>'consolidated tracker'!I221</f>
        <v>799332553.74000001</v>
      </c>
      <c r="J53" s="36">
        <f>'consolidated tracker'!J221</f>
        <v>370493.67000000103</v>
      </c>
      <c r="K53" s="37">
        <f>'consolidated tracker'!K221</f>
        <v>0.99765623844834517</v>
      </c>
      <c r="L53" s="36">
        <f>'consolidated tracker'!L221</f>
        <v>1877845.9400000002</v>
      </c>
      <c r="M53" s="30">
        <f>'consolidated tracker'!M221</f>
        <v>1444359.9299991131</v>
      </c>
      <c r="N53" s="36">
        <f>'consolidated tracker'!N221</f>
        <v>737984.32999911311</v>
      </c>
      <c r="O53" s="36">
        <f>'consolidated tracker'!O221</f>
        <v>340979.6</v>
      </c>
      <c r="P53" s="36">
        <f>'consolidated tracker'!P221</f>
        <v>365396</v>
      </c>
      <c r="Q53" s="36">
        <f>'consolidated tracker'!Q221</f>
        <v>0</v>
      </c>
      <c r="R53" s="36">
        <f>'consolidated tracker'!R221</f>
        <v>0</v>
      </c>
      <c r="S53" s="36">
        <f>'consolidated tracker'!S221</f>
        <v>0</v>
      </c>
      <c r="T53" s="36">
        <f>'consolidated tracker'!T221</f>
        <v>0</v>
      </c>
      <c r="U53" s="36">
        <f>'consolidated tracker'!U221</f>
        <v>0</v>
      </c>
      <c r="V53" s="36">
        <f>'consolidated tracker'!V221</f>
        <v>0</v>
      </c>
      <c r="W53" s="36">
        <f>'consolidated tracker'!W221</f>
        <v>0</v>
      </c>
      <c r="X53" s="7"/>
      <c r="Y53" s="7"/>
      <c r="Z53" s="146"/>
      <c r="AA53" s="7"/>
      <c r="AB53" s="7"/>
      <c r="AC53" s="7"/>
      <c r="AD53" s="7"/>
      <c r="AG53" s="7"/>
    </row>
    <row r="54" spans="3:47" s="21" customFormat="1" ht="160.15" customHeight="1" x14ac:dyDescent="1.35">
      <c r="C54" s="459"/>
      <c r="D54" s="462"/>
      <c r="E54" s="35" t="s">
        <v>3</v>
      </c>
      <c r="F54" s="33">
        <f>'consolidated tracker'!F222</f>
        <v>4</v>
      </c>
      <c r="G54" s="33">
        <f>'consolidated tracker'!G222</f>
        <v>3893501.08</v>
      </c>
      <c r="H54" s="33">
        <f>'consolidated tracker'!H222</f>
        <v>3893500.9600000009</v>
      </c>
      <c r="I54" s="33">
        <f>'consolidated tracker'!I222</f>
        <v>2456373.54</v>
      </c>
      <c r="J54" s="33">
        <f>'consolidated tracker'!J222</f>
        <v>0</v>
      </c>
      <c r="K54" s="34">
        <f>'consolidated tracker'!K222</f>
        <v>0.63089069843198387</v>
      </c>
      <c r="L54" s="33">
        <f>'consolidated tracker'!L222</f>
        <v>1437127.4200000009</v>
      </c>
      <c r="M54" s="30">
        <f>'consolidated tracker'!M222</f>
        <v>0.11999999918043613</v>
      </c>
      <c r="N54" s="33">
        <f>'consolidated tracker'!N222</f>
        <v>0</v>
      </c>
      <c r="O54" s="33">
        <f>'consolidated tracker'!O222</f>
        <v>0</v>
      </c>
      <c r="P54" s="151">
        <f>'consolidated tracker'!P222</f>
        <v>0</v>
      </c>
      <c r="Q54" s="136">
        <f>'consolidated tracker'!Q222</f>
        <v>0</v>
      </c>
      <c r="R54" s="136">
        <f>'consolidated tracker'!R222</f>
        <v>0</v>
      </c>
      <c r="S54" s="136">
        <f>'consolidated tracker'!S222</f>
        <v>0</v>
      </c>
      <c r="T54" s="136">
        <f>'consolidated tracker'!T222</f>
        <v>0</v>
      </c>
      <c r="U54" s="136">
        <f>'consolidated tracker'!U222</f>
        <v>0</v>
      </c>
      <c r="V54" s="136">
        <f>'consolidated tracker'!V222</f>
        <v>0</v>
      </c>
      <c r="W54" s="136">
        <f>'consolidated tracker'!W222</f>
        <v>0</v>
      </c>
      <c r="X54" s="7"/>
      <c r="Y54" s="7"/>
      <c r="Z54" s="146"/>
      <c r="AA54" s="7"/>
      <c r="AB54" s="7"/>
      <c r="AC54" s="7"/>
      <c r="AD54" s="7"/>
      <c r="AG54" s="7"/>
    </row>
    <row r="55" spans="3:47" s="21" customFormat="1" ht="251.65" customHeight="1" x14ac:dyDescent="1.35">
      <c r="C55" s="459"/>
      <c r="D55" s="462"/>
      <c r="E55" s="35" t="s">
        <v>2</v>
      </c>
      <c r="F55" s="33">
        <f>'consolidated tracker'!F223</f>
        <v>1</v>
      </c>
      <c r="G55" s="33">
        <f>'consolidated tracker'!G223</f>
        <v>833060.7</v>
      </c>
      <c r="H55" s="33">
        <f>'consolidated tracker'!H223</f>
        <v>833060.7</v>
      </c>
      <c r="I55" s="33">
        <f>'consolidated tracker'!I223</f>
        <v>833060.7</v>
      </c>
      <c r="J55" s="33">
        <f>'consolidated tracker'!J223</f>
        <v>0</v>
      </c>
      <c r="K55" s="34">
        <f>'consolidated tracker'!K223</f>
        <v>1</v>
      </c>
      <c r="L55" s="33">
        <f>'consolidated tracker'!L223</f>
        <v>0</v>
      </c>
      <c r="M55" s="30">
        <f>'consolidated tracker'!M223</f>
        <v>0</v>
      </c>
      <c r="N55" s="33">
        <f>'consolidated tracker'!N223</f>
        <v>0</v>
      </c>
      <c r="O55" s="33">
        <f>'consolidated tracker'!O223</f>
        <v>0</v>
      </c>
      <c r="P55" s="151">
        <f>'consolidated tracker'!P223</f>
        <v>0</v>
      </c>
      <c r="Q55" s="136">
        <f>'consolidated tracker'!Q223</f>
        <v>0</v>
      </c>
      <c r="R55" s="136">
        <f>'consolidated tracker'!R223</f>
        <v>0</v>
      </c>
      <c r="S55" s="136">
        <f>'consolidated tracker'!S223</f>
        <v>0</v>
      </c>
      <c r="T55" s="136">
        <f>'consolidated tracker'!T223</f>
        <v>0</v>
      </c>
      <c r="U55" s="136">
        <f>'consolidated tracker'!U223</f>
        <v>0</v>
      </c>
      <c r="V55" s="136">
        <f>'consolidated tracker'!V223</f>
        <v>0</v>
      </c>
      <c r="W55" s="136">
        <f>'consolidated tracker'!W223</f>
        <v>0</v>
      </c>
      <c r="X55" s="7"/>
      <c r="Y55" s="7"/>
      <c r="Z55" s="146"/>
      <c r="AA55" s="7"/>
      <c r="AB55" s="7"/>
      <c r="AC55" s="7"/>
      <c r="AD55" s="7"/>
      <c r="AG55" s="7"/>
    </row>
    <row r="56" spans="3:47" s="21" customFormat="1" ht="160.15" customHeight="1" x14ac:dyDescent="1.35">
      <c r="C56" s="460"/>
      <c r="D56" s="465"/>
      <c r="E56" s="49" t="s">
        <v>1</v>
      </c>
      <c r="F56" s="33">
        <f>'consolidated tracker'!F224</f>
        <v>777</v>
      </c>
      <c r="G56" s="33">
        <f>'consolidated tracker'!G224</f>
        <v>798298691.69000041</v>
      </c>
      <c r="H56" s="33">
        <f>'consolidated tracker'!H224</f>
        <v>796483838.21000135</v>
      </c>
      <c r="I56" s="33">
        <f>'consolidated tracker'!I224</f>
        <v>796043119.5</v>
      </c>
      <c r="J56" s="33">
        <f>'consolidated tracker'!J224</f>
        <v>370493.67000000103</v>
      </c>
      <c r="K56" s="34">
        <f>'consolidated tracker'!K224</f>
        <v>0.99944666961354567</v>
      </c>
      <c r="L56" s="33">
        <f>'consolidated tracker'!L224</f>
        <v>440718.51999999932</v>
      </c>
      <c r="M56" s="30">
        <f>'consolidated tracker'!M224</f>
        <v>1444359.8099991139</v>
      </c>
      <c r="N56" s="33">
        <f>'consolidated tracker'!N224</f>
        <v>737984.32999911311</v>
      </c>
      <c r="O56" s="33">
        <f>'consolidated tracker'!O224</f>
        <v>340979.6</v>
      </c>
      <c r="P56" s="151">
        <f>'consolidated tracker'!P224</f>
        <v>365396</v>
      </c>
      <c r="Q56" s="136">
        <f>'consolidated tracker'!Q224</f>
        <v>0</v>
      </c>
      <c r="R56" s="136">
        <f>'consolidated tracker'!R224</f>
        <v>0</v>
      </c>
      <c r="S56" s="136">
        <f>'consolidated tracker'!S224</f>
        <v>0</v>
      </c>
      <c r="T56" s="136">
        <f>'consolidated tracker'!T224</f>
        <v>0</v>
      </c>
      <c r="U56" s="136">
        <f>'consolidated tracker'!U224</f>
        <v>0</v>
      </c>
      <c r="V56" s="136">
        <f>'consolidated tracker'!V224</f>
        <v>0</v>
      </c>
      <c r="W56" s="136">
        <f>'consolidated tracker'!W224</f>
        <v>0</v>
      </c>
      <c r="X56" s="7"/>
      <c r="Y56" s="7"/>
      <c r="Z56" s="146"/>
      <c r="AA56" s="7"/>
      <c r="AB56" s="7"/>
      <c r="AC56" s="7"/>
      <c r="AD56" s="7"/>
      <c r="AG56" s="7"/>
    </row>
    <row r="57" spans="3:47" s="21" customFormat="1" ht="160.15" customHeight="1" x14ac:dyDescent="1.35">
      <c r="C57" s="454">
        <v>4</v>
      </c>
      <c r="D57" s="456" t="s">
        <v>6</v>
      </c>
      <c r="E57" s="48" t="s">
        <v>4</v>
      </c>
      <c r="F57" s="46">
        <f>'consolidated tracker'!F225</f>
        <v>438</v>
      </c>
      <c r="G57" s="46">
        <f>'consolidated tracker'!G225</f>
        <v>797988715.11999989</v>
      </c>
      <c r="H57" s="46">
        <f>'consolidated tracker'!H225</f>
        <v>798746446.85000002</v>
      </c>
      <c r="I57" s="46">
        <f>'consolidated tracker'!I225</f>
        <v>797694530.77999938</v>
      </c>
      <c r="J57" s="46">
        <f>'consolidated tracker'!J225</f>
        <v>0.19000000000000003</v>
      </c>
      <c r="K57" s="47">
        <f>'consolidated tracker'!K225</f>
        <v>0.99868304131536478</v>
      </c>
      <c r="L57" s="36">
        <f>'consolidated tracker'!L225</f>
        <v>1051915.9399999997</v>
      </c>
      <c r="M57" s="41">
        <f>'consolidated tracker'!M225</f>
        <v>1102957.97</v>
      </c>
      <c r="N57" s="46">
        <f>'consolidated tracker'!N225</f>
        <v>940818.89999999991</v>
      </c>
      <c r="O57" s="46">
        <f>'consolidated tracker'!O225</f>
        <v>162139.07</v>
      </c>
      <c r="P57" s="46">
        <f>'consolidated tracker'!P225</f>
        <v>0</v>
      </c>
      <c r="Q57" s="46">
        <f>'consolidated tracker'!Q225</f>
        <v>0</v>
      </c>
      <c r="R57" s="46">
        <f>'consolidated tracker'!R225</f>
        <v>0</v>
      </c>
      <c r="S57" s="46">
        <f>'consolidated tracker'!S225</f>
        <v>0</v>
      </c>
      <c r="T57" s="46">
        <f>'consolidated tracker'!T225</f>
        <v>0</v>
      </c>
      <c r="U57" s="46">
        <f>'consolidated tracker'!U225</f>
        <v>0</v>
      </c>
      <c r="V57" s="46">
        <f>'consolidated tracker'!V225</f>
        <v>0</v>
      </c>
      <c r="W57" s="46">
        <f>'consolidated tracker'!W225</f>
        <v>0</v>
      </c>
      <c r="X57" s="7"/>
      <c r="Y57" s="7"/>
      <c r="Z57" s="146"/>
      <c r="AA57" s="7"/>
      <c r="AB57" s="7"/>
      <c r="AC57" s="7"/>
      <c r="AD57" s="7"/>
      <c r="AG57" s="7"/>
      <c r="AU57" s="33"/>
    </row>
    <row r="58" spans="3:47" s="21" customFormat="1" ht="160.15" customHeight="1" x14ac:dyDescent="1.35">
      <c r="C58" s="454"/>
      <c r="D58" s="457"/>
      <c r="E58" s="44" t="s">
        <v>3</v>
      </c>
      <c r="F58" s="40">
        <f>'consolidated tracker'!F226</f>
        <v>1</v>
      </c>
      <c r="G58" s="40">
        <f>'consolidated tracker'!G226</f>
        <v>2138753</v>
      </c>
      <c r="H58" s="40">
        <f>'consolidated tracker'!H226</f>
        <v>2138753</v>
      </c>
      <c r="I58" s="40">
        <f>'consolidated tracker'!I226</f>
        <v>1769064.75</v>
      </c>
      <c r="J58" s="40">
        <f>'consolidated tracker'!J226</f>
        <v>0</v>
      </c>
      <c r="K58" s="42">
        <f>'consolidated tracker'!K226</f>
        <v>0.82714775853032119</v>
      </c>
      <c r="L58" s="45">
        <f>'consolidated tracker'!L226</f>
        <v>369688.25</v>
      </c>
      <c r="M58" s="41">
        <f>'consolidated tracker'!M226</f>
        <v>0</v>
      </c>
      <c r="N58" s="40">
        <f>'consolidated tracker'!N226</f>
        <v>0</v>
      </c>
      <c r="O58" s="40">
        <f>'consolidated tracker'!O226</f>
        <v>0</v>
      </c>
      <c r="P58" s="150">
        <f>'consolidated tracker'!P226</f>
        <v>0</v>
      </c>
      <c r="Q58" s="137">
        <f>'consolidated tracker'!Q226</f>
        <v>0</v>
      </c>
      <c r="R58" s="137">
        <f>'consolidated tracker'!R226</f>
        <v>0</v>
      </c>
      <c r="S58" s="137">
        <f>'consolidated tracker'!S226</f>
        <v>0</v>
      </c>
      <c r="T58" s="137">
        <f>'consolidated tracker'!T226</f>
        <v>0</v>
      </c>
      <c r="U58" s="137">
        <f>'consolidated tracker'!U226</f>
        <v>0</v>
      </c>
      <c r="V58" s="137">
        <f>'consolidated tracker'!V226</f>
        <v>0</v>
      </c>
      <c r="W58" s="137">
        <f>'consolidated tracker'!W226</f>
        <v>0</v>
      </c>
      <c r="X58" s="7"/>
      <c r="Y58" s="7"/>
      <c r="Z58" s="146"/>
      <c r="AA58" s="7"/>
      <c r="AB58" s="7"/>
      <c r="AC58" s="7"/>
      <c r="AD58" s="7"/>
      <c r="AG58" s="7"/>
    </row>
    <row r="59" spans="3:47" s="21" customFormat="1" ht="160.15" customHeight="1" x14ac:dyDescent="1.35">
      <c r="C59" s="454"/>
      <c r="D59" s="457"/>
      <c r="E59" s="44" t="s">
        <v>2</v>
      </c>
      <c r="F59" s="40">
        <f>'consolidated tracker'!F227</f>
        <v>0</v>
      </c>
      <c r="G59" s="40">
        <f>'consolidated tracker'!G227</f>
        <v>0</v>
      </c>
      <c r="H59" s="40">
        <f>'consolidated tracker'!H227</f>
        <v>0</v>
      </c>
      <c r="I59" s="40">
        <f>'consolidated tracker'!I227</f>
        <v>0</v>
      </c>
      <c r="J59" s="40">
        <f>'consolidated tracker'!J227</f>
        <v>0</v>
      </c>
      <c r="K59" s="42">
        <f>'consolidated tracker'!K227</f>
        <v>0</v>
      </c>
      <c r="L59" s="40">
        <f>'consolidated tracker'!L227</f>
        <v>0</v>
      </c>
      <c r="M59" s="41">
        <f>'consolidated tracker'!M227</f>
        <v>0</v>
      </c>
      <c r="N59" s="40">
        <f>'consolidated tracker'!N227</f>
        <v>0</v>
      </c>
      <c r="O59" s="40">
        <f>'consolidated tracker'!O227</f>
        <v>0</v>
      </c>
      <c r="P59" s="150">
        <f>'consolidated tracker'!P227</f>
        <v>0</v>
      </c>
      <c r="Q59" s="137">
        <f>'consolidated tracker'!Q227</f>
        <v>0</v>
      </c>
      <c r="R59" s="137">
        <f>'consolidated tracker'!R227</f>
        <v>0</v>
      </c>
      <c r="S59" s="137">
        <f>'consolidated tracker'!S227</f>
        <v>0</v>
      </c>
      <c r="T59" s="137">
        <f>'consolidated tracker'!T227</f>
        <v>0</v>
      </c>
      <c r="U59" s="137">
        <f>'consolidated tracker'!U227</f>
        <v>0</v>
      </c>
      <c r="V59" s="137">
        <f>'consolidated tracker'!V227</f>
        <v>0</v>
      </c>
      <c r="W59" s="137">
        <f>'consolidated tracker'!W227</f>
        <v>0</v>
      </c>
      <c r="X59" s="7"/>
      <c r="Y59" s="7"/>
      <c r="Z59" s="146"/>
      <c r="AA59" s="7"/>
      <c r="AB59" s="7"/>
      <c r="AC59" s="7"/>
      <c r="AD59" s="7"/>
      <c r="AG59" s="7"/>
    </row>
    <row r="60" spans="3:47" s="21" customFormat="1" ht="160.15" customHeight="1" x14ac:dyDescent="1.35">
      <c r="C60" s="455"/>
      <c r="D60" s="458"/>
      <c r="E60" s="43" t="s">
        <v>1</v>
      </c>
      <c r="F60" s="40">
        <f>'consolidated tracker'!F228</f>
        <v>437</v>
      </c>
      <c r="G60" s="40">
        <f>'consolidated tracker'!G228</f>
        <v>795849962.11999989</v>
      </c>
      <c r="H60" s="40">
        <f>'consolidated tracker'!H228</f>
        <v>796607693.85000002</v>
      </c>
      <c r="I60" s="40">
        <f>'consolidated tracker'!I228</f>
        <v>795925466.02999938</v>
      </c>
      <c r="J60" s="40">
        <f>'consolidated tracker'!J228</f>
        <v>0.19000000000000003</v>
      </c>
      <c r="K60" s="42">
        <f>'consolidated tracker'!K228</f>
        <v>0.99914358369211398</v>
      </c>
      <c r="L60" s="40">
        <f>'consolidated tracker'!L228</f>
        <v>682227.8200006485</v>
      </c>
      <c r="M60" s="41">
        <f>'consolidated tracker'!M228</f>
        <v>1102957.97</v>
      </c>
      <c r="N60" s="40">
        <f>'consolidated tracker'!N228</f>
        <v>940818.89999999991</v>
      </c>
      <c r="O60" s="40">
        <f>'consolidated tracker'!O228</f>
        <v>162139.07</v>
      </c>
      <c r="P60" s="150">
        <f>'consolidated tracker'!P228</f>
        <v>0</v>
      </c>
      <c r="Q60" s="137">
        <f>'consolidated tracker'!Q228</f>
        <v>0</v>
      </c>
      <c r="R60" s="137">
        <f>'consolidated tracker'!R228</f>
        <v>0</v>
      </c>
      <c r="S60" s="137">
        <f>'consolidated tracker'!S228</f>
        <v>0</v>
      </c>
      <c r="T60" s="137">
        <f>'consolidated tracker'!T228</f>
        <v>0</v>
      </c>
      <c r="U60" s="137">
        <f>'consolidated tracker'!U228</f>
        <v>0</v>
      </c>
      <c r="V60" s="137">
        <f>'consolidated tracker'!V228</f>
        <v>0</v>
      </c>
      <c r="W60" s="137">
        <f>'consolidated tracker'!W228</f>
        <v>0</v>
      </c>
      <c r="X60" s="7"/>
      <c r="Y60" s="7"/>
      <c r="Z60" s="146"/>
      <c r="AA60" s="7"/>
      <c r="AB60" s="7"/>
      <c r="AC60" s="7"/>
      <c r="AD60" s="7"/>
      <c r="AG60" s="7"/>
    </row>
    <row r="61" spans="3:47" s="21" customFormat="1" ht="160.15" customHeight="1" x14ac:dyDescent="1.35">
      <c r="C61" s="459">
        <v>5</v>
      </c>
      <c r="D61" s="461" t="s">
        <v>5</v>
      </c>
      <c r="E61" s="38" t="s">
        <v>4</v>
      </c>
      <c r="F61" s="36">
        <f>'consolidated tracker'!F229</f>
        <v>600</v>
      </c>
      <c r="G61" s="36">
        <f>'consolidated tracker'!G229</f>
        <v>793673521.40999985</v>
      </c>
      <c r="H61" s="36">
        <f>'consolidated tracker'!H229</f>
        <v>794923048.28999949</v>
      </c>
      <c r="I61" s="36">
        <f>'consolidated tracker'!I229</f>
        <v>793964919.89999998</v>
      </c>
      <c r="J61" s="36">
        <f>'consolidated tracker'!J229</f>
        <v>0.22000000000000003</v>
      </c>
      <c r="K61" s="37">
        <f>'consolidated tracker'!K229</f>
        <v>0.99879469038913815</v>
      </c>
      <c r="L61" s="36">
        <f>'consolidated tracker'!L229</f>
        <v>958128.30999999994</v>
      </c>
      <c r="M61" s="30">
        <f>'consolidated tracker'!M229</f>
        <v>0</v>
      </c>
      <c r="N61" s="36">
        <f>'consolidated tracker'!N229</f>
        <v>0</v>
      </c>
      <c r="O61" s="36">
        <f>'consolidated tracker'!O229</f>
        <v>0</v>
      </c>
      <c r="P61" s="36">
        <f>'consolidated tracker'!P229</f>
        <v>0</v>
      </c>
      <c r="Q61" s="36">
        <f>'consolidated tracker'!Q229</f>
        <v>0</v>
      </c>
      <c r="R61" s="36">
        <f>'consolidated tracker'!R229</f>
        <v>0</v>
      </c>
      <c r="S61" s="36">
        <f>'consolidated tracker'!S229</f>
        <v>0</v>
      </c>
      <c r="T61" s="36">
        <f>'consolidated tracker'!T229</f>
        <v>0</v>
      </c>
      <c r="U61" s="36">
        <f>'consolidated tracker'!U229</f>
        <v>0</v>
      </c>
      <c r="V61" s="36">
        <f>'consolidated tracker'!V229</f>
        <v>0</v>
      </c>
      <c r="W61" s="36">
        <f>'consolidated tracker'!W229</f>
        <v>0</v>
      </c>
      <c r="X61" s="7"/>
      <c r="Y61" s="7"/>
      <c r="Z61" s="146"/>
      <c r="AA61" s="7"/>
      <c r="AB61" s="7"/>
      <c r="AC61" s="7"/>
      <c r="AD61" s="7"/>
      <c r="AG61" s="7"/>
    </row>
    <row r="62" spans="3:47" s="21" customFormat="1" ht="160.15" customHeight="1" x14ac:dyDescent="1.35">
      <c r="C62" s="459"/>
      <c r="D62" s="462"/>
      <c r="E62" s="35" t="s">
        <v>3</v>
      </c>
      <c r="F62" s="33">
        <f>'consolidated tracker'!F230</f>
        <v>1</v>
      </c>
      <c r="G62" s="33">
        <f>'consolidated tracker'!G230</f>
        <v>1650000</v>
      </c>
      <c r="H62" s="33">
        <f>'consolidated tracker'!H230</f>
        <v>1650000</v>
      </c>
      <c r="I62" s="33">
        <f>'consolidated tracker'!I230</f>
        <v>1443749.8</v>
      </c>
      <c r="J62" s="33">
        <f>'consolidated tracker'!J230</f>
        <v>0</v>
      </c>
      <c r="K62" s="34">
        <f>'consolidated tracker'!K230</f>
        <v>0.87499987878787877</v>
      </c>
      <c r="L62" s="33">
        <f>'consolidated tracker'!L230</f>
        <v>206250.19999999995</v>
      </c>
      <c r="M62" s="30">
        <f>'consolidated tracker'!M230</f>
        <v>0</v>
      </c>
      <c r="N62" s="33">
        <f>'consolidated tracker'!N230</f>
        <v>0</v>
      </c>
      <c r="O62" s="33">
        <f>'consolidated tracker'!O230</f>
        <v>0</v>
      </c>
      <c r="P62" s="33">
        <f>'consolidated tracker'!P230</f>
        <v>0</v>
      </c>
      <c r="Q62" s="33">
        <f>'consolidated tracker'!Q230</f>
        <v>0</v>
      </c>
      <c r="R62" s="33">
        <f>'consolidated tracker'!R230</f>
        <v>0</v>
      </c>
      <c r="S62" s="33">
        <f>'consolidated tracker'!S230</f>
        <v>0</v>
      </c>
      <c r="T62" s="33">
        <f>'consolidated tracker'!T230</f>
        <v>0</v>
      </c>
      <c r="U62" s="33">
        <f>'consolidated tracker'!U230</f>
        <v>0</v>
      </c>
      <c r="V62" s="33">
        <f>'consolidated tracker'!V230</f>
        <v>0</v>
      </c>
      <c r="W62" s="33">
        <f>'consolidated tracker'!W230</f>
        <v>0</v>
      </c>
      <c r="X62" s="7"/>
      <c r="Y62" s="7"/>
      <c r="Z62" s="146"/>
      <c r="AA62" s="7"/>
      <c r="AB62" s="7"/>
      <c r="AC62" s="7"/>
      <c r="AD62" s="7"/>
      <c r="AG62" s="7"/>
    </row>
    <row r="63" spans="3:47" s="21" customFormat="1" ht="251.65" customHeight="1" x14ac:dyDescent="1.35">
      <c r="C63" s="459"/>
      <c r="D63" s="462"/>
      <c r="E63" s="35" t="s">
        <v>2</v>
      </c>
      <c r="F63" s="33">
        <f>'consolidated tracker'!F231</f>
        <v>1</v>
      </c>
      <c r="G63" s="33">
        <f>'consolidated tracker'!G231</f>
        <v>1075000</v>
      </c>
      <c r="H63" s="33">
        <f>'consolidated tracker'!H231</f>
        <v>1075000</v>
      </c>
      <c r="I63" s="33">
        <f>'consolidated tracker'!I231</f>
        <v>1075000</v>
      </c>
      <c r="J63" s="33">
        <f>'consolidated tracker'!J231</f>
        <v>0</v>
      </c>
      <c r="K63" s="34">
        <f>'consolidated tracker'!K231</f>
        <v>1</v>
      </c>
      <c r="L63" s="33">
        <f>'consolidated tracker'!L231</f>
        <v>0</v>
      </c>
      <c r="M63" s="30">
        <f>'consolidated tracker'!M231</f>
        <v>0</v>
      </c>
      <c r="N63" s="33">
        <f>'consolidated tracker'!N231</f>
        <v>0</v>
      </c>
      <c r="O63" s="33">
        <f>'consolidated tracker'!O231</f>
        <v>0</v>
      </c>
      <c r="P63" s="33">
        <f>'consolidated tracker'!P231</f>
        <v>0</v>
      </c>
      <c r="Q63" s="33">
        <f>'consolidated tracker'!Q231</f>
        <v>0</v>
      </c>
      <c r="R63" s="33">
        <f>'consolidated tracker'!R231</f>
        <v>0</v>
      </c>
      <c r="S63" s="33">
        <f>'consolidated tracker'!S231</f>
        <v>0</v>
      </c>
      <c r="T63" s="33">
        <f>'consolidated tracker'!T231</f>
        <v>0</v>
      </c>
      <c r="U63" s="33">
        <f>'consolidated tracker'!U231</f>
        <v>0</v>
      </c>
      <c r="V63" s="33">
        <f>'consolidated tracker'!V231</f>
        <v>0</v>
      </c>
      <c r="W63" s="33">
        <f>'consolidated tracker'!W231</f>
        <v>0</v>
      </c>
      <c r="X63" s="7"/>
      <c r="Y63" s="7"/>
      <c r="Z63" s="146"/>
      <c r="AA63" s="7"/>
      <c r="AB63" s="7"/>
      <c r="AC63" s="7"/>
      <c r="AD63" s="7"/>
      <c r="AG63" s="7"/>
    </row>
    <row r="64" spans="3:47" s="21" customFormat="1" ht="160.15" customHeight="1" x14ac:dyDescent="1.35">
      <c r="C64" s="460"/>
      <c r="D64" s="465"/>
      <c r="E64" s="32" t="s">
        <v>1</v>
      </c>
      <c r="F64" s="29">
        <f>'consolidated tracker'!F232</f>
        <v>598</v>
      </c>
      <c r="G64" s="29">
        <f>'consolidated tracker'!G232</f>
        <v>790948521.40999985</v>
      </c>
      <c r="H64" s="29">
        <f>'consolidated tracker'!H232</f>
        <v>792198048.28999949</v>
      </c>
      <c r="I64" s="29">
        <f>'consolidated tracker'!I232</f>
        <v>791446170.10000002</v>
      </c>
      <c r="J64" s="29">
        <f>'consolidated tracker'!J232</f>
        <v>0.22000000000000003</v>
      </c>
      <c r="K64" s="31">
        <f>'consolidated tracker'!K232</f>
        <v>0.99905089618483356</v>
      </c>
      <c r="L64" s="29">
        <f>'consolidated tracker'!L232</f>
        <v>751878.18999946117</v>
      </c>
      <c r="M64" s="149">
        <f>'consolidated tracker'!M232</f>
        <v>0</v>
      </c>
      <c r="N64" s="29">
        <f>'consolidated tracker'!N232</f>
        <v>0</v>
      </c>
      <c r="O64" s="29">
        <f>'consolidated tracker'!O232</f>
        <v>0</v>
      </c>
      <c r="P64" s="148">
        <f>'consolidated tracker'!P232</f>
        <v>0</v>
      </c>
      <c r="Q64" s="147">
        <f>'consolidated tracker'!Q232</f>
        <v>0</v>
      </c>
      <c r="R64" s="147">
        <f>'consolidated tracker'!R232</f>
        <v>0</v>
      </c>
      <c r="S64" s="147">
        <f>'consolidated tracker'!S232</f>
        <v>0</v>
      </c>
      <c r="T64" s="147">
        <f>'consolidated tracker'!T232</f>
        <v>0</v>
      </c>
      <c r="U64" s="147">
        <f>'consolidated tracker'!U232</f>
        <v>0</v>
      </c>
      <c r="V64" s="147">
        <f>'consolidated tracker'!V232</f>
        <v>0</v>
      </c>
      <c r="W64" s="147">
        <f>'consolidated tracker'!W232</f>
        <v>0</v>
      </c>
      <c r="X64" s="7"/>
      <c r="Y64" s="7"/>
      <c r="Z64" s="146"/>
      <c r="AA64" s="7"/>
      <c r="AB64" s="7"/>
      <c r="AC64" s="7"/>
      <c r="AD64" s="7"/>
      <c r="AG64" s="7"/>
    </row>
    <row r="65" spans="3:33" s="21" customFormat="1" ht="180" customHeight="1" x14ac:dyDescent="1.35">
      <c r="C65" s="28"/>
      <c r="D65" s="27" t="s">
        <v>0</v>
      </c>
      <c r="E65" s="27"/>
      <c r="F65" s="26">
        <f>SUM(F45,F49,F53,F61,F57)</f>
        <v>3015</v>
      </c>
      <c r="G65" s="26">
        <f>SUM(G45,G49,G53,G61,G57)</f>
        <v>4006004221.2899985</v>
      </c>
      <c r="H65" s="26">
        <f>SUM(H45,H49,H53,H61,H57)</f>
        <v>4007017635.0699978</v>
      </c>
      <c r="I65" s="26">
        <f>SUM(I45,I49,I53,I61,I57)</f>
        <v>4000615599.5199986</v>
      </c>
      <c r="J65" s="26">
        <f>SUM(J45,J49,J53,J61,J57)</f>
        <v>774379.14000000106</v>
      </c>
      <c r="K65" s="25">
        <f>I65/H65</f>
        <v>0.99840229414166592</v>
      </c>
      <c r="L65" s="24">
        <f>SUM(L45,L49,L53,L61,L57)</f>
        <v>6402034.8099999996</v>
      </c>
      <c r="M65" s="23">
        <f>'consolidated tracker'!M233</f>
        <v>3790420.5799988313</v>
      </c>
      <c r="N65" s="22">
        <f>'consolidated tracker'!N233</f>
        <v>2061784.5899988317</v>
      </c>
      <c r="O65" s="22">
        <f>'consolidated tracker'!O233</f>
        <v>1363239.99</v>
      </c>
      <c r="P65" s="22">
        <f>'consolidated tracker'!P233</f>
        <v>365396</v>
      </c>
      <c r="Q65" s="22">
        <f>'consolidated tracker'!Q233</f>
        <v>0</v>
      </c>
      <c r="R65" s="22">
        <f>'consolidated tracker'!R233</f>
        <v>0</v>
      </c>
      <c r="S65" s="22">
        <f>'consolidated tracker'!S233</f>
        <v>0</v>
      </c>
      <c r="T65" s="22">
        <f>'consolidated tracker'!T233</f>
        <v>0</v>
      </c>
      <c r="U65" s="22">
        <f>'consolidated tracker'!U233</f>
        <v>0</v>
      </c>
      <c r="V65" s="22">
        <f>'consolidated tracker'!V233</f>
        <v>0</v>
      </c>
      <c r="W65" s="22">
        <f>'consolidated tracker'!W233</f>
        <v>0</v>
      </c>
      <c r="Y65" s="7"/>
      <c r="Z65" s="146"/>
      <c r="AA65" s="7"/>
      <c r="AB65" s="7"/>
      <c r="AC65" s="7"/>
      <c r="AD65" s="7"/>
      <c r="AG65" s="7"/>
    </row>
    <row r="66" spans="3:33" ht="54.75" customHeight="1" x14ac:dyDescent="1.35">
      <c r="D66" s="20"/>
      <c r="F66" s="18"/>
      <c r="G66" s="18"/>
      <c r="H66" s="18"/>
      <c r="I66" s="18"/>
      <c r="J66" s="18"/>
      <c r="K66" s="19"/>
      <c r="L66" s="18"/>
      <c r="M66" s="18"/>
      <c r="N66" s="18"/>
      <c r="O66" s="18"/>
      <c r="P66" s="18"/>
      <c r="Y66" s="7"/>
      <c r="Z66" s="146"/>
      <c r="AA66" s="7"/>
      <c r="AB66" s="7"/>
      <c r="AC66" s="7"/>
      <c r="AD66" s="7"/>
      <c r="AG66" s="7"/>
    </row>
    <row r="67" spans="3:33" ht="56.5" x14ac:dyDescent="1.25">
      <c r="Y67" s="7"/>
      <c r="Z67" s="146"/>
      <c r="AA67" s="7"/>
      <c r="AB67" s="7"/>
      <c r="AC67" s="7"/>
      <c r="AD67" s="7"/>
      <c r="AG67" s="7"/>
    </row>
    <row r="68" spans="3:33" s="13" customFormat="1" ht="56.5" x14ac:dyDescent="1.25">
      <c r="M68" s="15"/>
      <c r="Y68" s="7"/>
      <c r="Z68" s="146"/>
      <c r="AA68" s="7"/>
      <c r="AB68" s="7"/>
      <c r="AC68" s="7"/>
      <c r="AD68" s="7"/>
      <c r="AG68" s="7"/>
    </row>
    <row r="69" spans="3:33" s="143" customFormat="1" ht="51" x14ac:dyDescent="1.1000000000000001">
      <c r="F69" s="145" t="e">
        <f>'consolidated tracker'!F209-'consolidated tracker'!F148-'consolidated tracker'!F103-'consolidated tracker'!F97-'consolidated tracker'!F79-'consolidated tracker'!F179-'consolidated tracker'!#REF!</f>
        <v>#REF!</v>
      </c>
      <c r="G69" s="145" t="e">
        <f>'consolidated tracker'!G209-'consolidated tracker'!G148-'consolidated tracker'!G103-'consolidated tracker'!G97-'consolidated tracker'!G79-'consolidated tracker'!G179-'consolidated tracker'!#REF!</f>
        <v>#REF!</v>
      </c>
      <c r="H69" s="145" t="e">
        <f>'consolidated tracker'!H209-'consolidated tracker'!H148-'consolidated tracker'!H103-'consolidated tracker'!H97-'consolidated tracker'!H79-'consolidated tracker'!H179-'consolidated tracker'!#REF!</f>
        <v>#REF!</v>
      </c>
      <c r="I69" s="145" t="e">
        <f>'consolidated tracker'!I209-'consolidated tracker'!I148-'consolidated tracker'!I103-'consolidated tracker'!I97-'consolidated tracker'!I79-'consolidated tracker'!I179-'consolidated tracker'!#REF!</f>
        <v>#REF!</v>
      </c>
      <c r="J69" s="145" t="e">
        <f>'consolidated tracker'!J209-'consolidated tracker'!J148-'consolidated tracker'!J103-'consolidated tracker'!J97-'consolidated tracker'!J79-'consolidated tracker'!J179-'consolidated tracker'!#REF!</f>
        <v>#REF!</v>
      </c>
      <c r="K69" s="145"/>
      <c r="L69" s="145" t="e">
        <f>'consolidated tracker'!L209-'consolidated tracker'!L148-'consolidated tracker'!L103-'consolidated tracker'!L97-'consolidated tracker'!L79-'consolidated tracker'!L179-'consolidated tracker'!#REF!</f>
        <v>#REF!</v>
      </c>
      <c r="M69" s="145" t="e">
        <f>'consolidated tracker'!M209-'consolidated tracker'!M148-'consolidated tracker'!M103-'consolidated tracker'!M97-'consolidated tracker'!M79-'consolidated tracker'!M179-'consolidated tracker'!#REF!</f>
        <v>#REF!</v>
      </c>
      <c r="N69" s="145" t="e">
        <f>'consolidated tracker'!N209-'consolidated tracker'!N148-'consolidated tracker'!N103-'consolidated tracker'!N97-'consolidated tracker'!N79-'consolidated tracker'!N179-'consolidated tracker'!#REF!</f>
        <v>#REF!</v>
      </c>
      <c r="O69" s="145" t="e">
        <f>'consolidated tracker'!O209-'consolidated tracker'!O148-'consolidated tracker'!O103-'consolidated tracker'!O97-'consolidated tracker'!O79-'consolidated tracker'!O179-'consolidated tracker'!#REF!</f>
        <v>#REF!</v>
      </c>
      <c r="P69" s="145" t="e">
        <f>'consolidated tracker'!P209-'consolidated tracker'!P148-'consolidated tracker'!P103-'consolidated tracker'!P97-'consolidated tracker'!P79-'consolidated tracker'!P179-'consolidated tracker'!#REF!</f>
        <v>#REF!</v>
      </c>
      <c r="Q69" s="145" t="e">
        <f>'consolidated tracker'!Q209-'consolidated tracker'!Q148-'consolidated tracker'!Q103-'consolidated tracker'!Q97-'consolidated tracker'!Q79-'consolidated tracker'!Q179-'consolidated tracker'!#REF!</f>
        <v>#REF!</v>
      </c>
      <c r="R69" s="145" t="e">
        <f>'consolidated tracker'!R209-'consolidated tracker'!R148-'consolidated tracker'!R103-'consolidated tracker'!R97-'consolidated tracker'!R79-'consolidated tracker'!R179-'consolidated tracker'!#REF!</f>
        <v>#REF!</v>
      </c>
      <c r="S69" s="145" t="e">
        <f>'consolidated tracker'!S209-'consolidated tracker'!S148-'consolidated tracker'!S103-'consolidated tracker'!S97-'consolidated tracker'!S79-'consolidated tracker'!S179-'consolidated tracker'!#REF!</f>
        <v>#REF!</v>
      </c>
      <c r="T69" s="145" t="e">
        <f>'consolidated tracker'!T209-'consolidated tracker'!T148-'consolidated tracker'!T103-'consolidated tracker'!T97-'consolidated tracker'!T79-'consolidated tracker'!T179-'consolidated tracker'!#REF!</f>
        <v>#REF!</v>
      </c>
      <c r="U69" s="145" t="e">
        <f>'consolidated tracker'!U209-'consolidated tracker'!U148-'consolidated tracker'!U103-'consolidated tracker'!U97-'consolidated tracker'!U79-'consolidated tracker'!U179-'consolidated tracker'!#REF!</f>
        <v>#REF!</v>
      </c>
      <c r="V69" s="145" t="e">
        <f>'consolidated tracker'!V209-'consolidated tracker'!V148-'consolidated tracker'!V103-'consolidated tracker'!V97-'consolidated tracker'!V79-'consolidated tracker'!V179-'consolidated tracker'!#REF!</f>
        <v>#REF!</v>
      </c>
      <c r="W69" s="145" t="e">
        <f>'consolidated tracker'!W209-'consolidated tracker'!W148-'consolidated tracker'!W103-'consolidated tracker'!W97-'consolidated tracker'!W79-'consolidated tracker'!W179-'consolidated tracker'!#REF!</f>
        <v>#REF!</v>
      </c>
      <c r="Z69" s="144"/>
    </row>
    <row r="70" spans="3:33" s="143" customFormat="1" ht="51" x14ac:dyDescent="1.1000000000000001">
      <c r="F70" s="145" t="e">
        <f>F69=F42</f>
        <v>#REF!</v>
      </c>
      <c r="G70" s="145" t="e">
        <f>G69=G42</f>
        <v>#REF!</v>
      </c>
      <c r="H70" s="145" t="e">
        <f>H69=H42</f>
        <v>#REF!</v>
      </c>
      <c r="I70" s="145" t="e">
        <f>I69=I42</f>
        <v>#REF!</v>
      </c>
      <c r="J70" s="145" t="e">
        <f>J69=J42</f>
        <v>#REF!</v>
      </c>
      <c r="K70" s="145"/>
      <c r="L70" s="145" t="e">
        <f t="shared" ref="L70:W70" si="3">L69=L42</f>
        <v>#REF!</v>
      </c>
      <c r="M70" s="145" t="e">
        <f t="shared" si="3"/>
        <v>#REF!</v>
      </c>
      <c r="N70" s="145" t="e">
        <f t="shared" si="3"/>
        <v>#REF!</v>
      </c>
      <c r="O70" s="145" t="e">
        <f t="shared" si="3"/>
        <v>#REF!</v>
      </c>
      <c r="P70" s="145" t="e">
        <f t="shared" si="3"/>
        <v>#REF!</v>
      </c>
      <c r="Q70" s="145" t="e">
        <f t="shared" si="3"/>
        <v>#REF!</v>
      </c>
      <c r="R70" s="145" t="e">
        <f t="shared" si="3"/>
        <v>#REF!</v>
      </c>
      <c r="S70" s="145" t="e">
        <f t="shared" si="3"/>
        <v>#REF!</v>
      </c>
      <c r="T70" s="145" t="e">
        <f t="shared" si="3"/>
        <v>#REF!</v>
      </c>
      <c r="U70" s="145" t="e">
        <f t="shared" si="3"/>
        <v>#REF!</v>
      </c>
      <c r="V70" s="145" t="e">
        <f t="shared" si="3"/>
        <v>#REF!</v>
      </c>
      <c r="W70" s="145" t="e">
        <f t="shared" si="3"/>
        <v>#REF!</v>
      </c>
      <c r="Z70" s="144"/>
    </row>
    <row r="71" spans="3:33" ht="92" x14ac:dyDescent="2">
      <c r="G71" s="9"/>
      <c r="H71" s="9"/>
      <c r="I71" s="9"/>
      <c r="J71" s="9"/>
      <c r="K71" s="9"/>
      <c r="L71" s="9"/>
      <c r="M71" s="5"/>
      <c r="AG71" s="7"/>
    </row>
    <row r="72" spans="3:33" ht="92" x14ac:dyDescent="2">
      <c r="I72" s="10"/>
      <c r="L72" s="9"/>
      <c r="M72" s="5"/>
      <c r="AG72" s="7"/>
    </row>
    <row r="73" spans="3:33" ht="92" x14ac:dyDescent="2">
      <c r="G73" s="9"/>
      <c r="H73" s="9"/>
      <c r="I73" s="9"/>
      <c r="J73" s="9"/>
      <c r="M73" s="5"/>
      <c r="AG73" s="7"/>
    </row>
    <row r="74" spans="3:33" ht="92" x14ac:dyDescent="2">
      <c r="D74"/>
      <c r="E74"/>
      <c r="F74"/>
      <c r="M74" s="5"/>
      <c r="AG74" s="7"/>
    </row>
    <row r="75" spans="3:33" ht="92" x14ac:dyDescent="2">
      <c r="D75"/>
      <c r="E75"/>
      <c r="M75" s="5"/>
      <c r="AG75" s="7"/>
    </row>
    <row r="76" spans="3:33" ht="92" x14ac:dyDescent="2">
      <c r="D76"/>
      <c r="E76"/>
      <c r="M76" s="5"/>
      <c r="AG76" s="7"/>
    </row>
    <row r="77" spans="3:33" ht="92" x14ac:dyDescent="2">
      <c r="D77"/>
      <c r="E77"/>
      <c r="M77" s="5"/>
      <c r="AG77" s="7"/>
    </row>
    <row r="78" spans="3:33" ht="92" x14ac:dyDescent="2">
      <c r="D78"/>
      <c r="E78"/>
      <c r="M78" s="5"/>
      <c r="AG78" s="7"/>
    </row>
    <row r="79" spans="3:33" ht="92" x14ac:dyDescent="2">
      <c r="D79"/>
      <c r="E79"/>
      <c r="M79" s="5"/>
      <c r="AG79" s="7"/>
    </row>
    <row r="80" spans="3:33" ht="92" x14ac:dyDescent="2">
      <c r="D80"/>
      <c r="E80"/>
      <c r="M80" s="5"/>
      <c r="AG80" s="7"/>
    </row>
    <row r="81" spans="4:33" ht="92" x14ac:dyDescent="2">
      <c r="D81"/>
      <c r="E81"/>
      <c r="M81" s="5"/>
      <c r="AG81" s="7"/>
    </row>
    <row r="82" spans="4:33" ht="92" x14ac:dyDescent="2">
      <c r="D82"/>
      <c r="E82"/>
      <c r="M82" s="5"/>
      <c r="AG82" s="7"/>
    </row>
    <row r="83" spans="4:33" ht="92" x14ac:dyDescent="2">
      <c r="D83"/>
      <c r="E83"/>
      <c r="M83" s="5"/>
      <c r="AG83" s="7"/>
    </row>
    <row r="84" spans="4:33" ht="92" x14ac:dyDescent="2">
      <c r="D84"/>
      <c r="E84"/>
      <c r="M84" s="5"/>
      <c r="AG84" s="7"/>
    </row>
    <row r="85" spans="4:33" ht="92" x14ac:dyDescent="2">
      <c r="D85"/>
      <c r="E85"/>
      <c r="M85" s="5"/>
    </row>
    <row r="86" spans="4:33" ht="92" x14ac:dyDescent="2">
      <c r="D86"/>
      <c r="E86"/>
      <c r="M86" s="5"/>
    </row>
    <row r="87" spans="4:33" ht="92" x14ac:dyDescent="2">
      <c r="D87"/>
      <c r="E87"/>
      <c r="M87" s="5"/>
    </row>
    <row r="88" spans="4:33" ht="92" x14ac:dyDescent="2">
      <c r="D88"/>
      <c r="E88"/>
      <c r="M88" s="5"/>
    </row>
    <row r="89" spans="4:33" ht="92" x14ac:dyDescent="2">
      <c r="D89"/>
      <c r="E89"/>
      <c r="M89" s="5"/>
    </row>
    <row r="90" spans="4:33" ht="92" x14ac:dyDescent="2">
      <c r="D90"/>
      <c r="E90"/>
      <c r="M90" s="5"/>
    </row>
    <row r="91" spans="4:33" ht="92" x14ac:dyDescent="2">
      <c r="D91"/>
      <c r="E91"/>
      <c r="M91" s="5"/>
    </row>
    <row r="92" spans="4:33" ht="92" x14ac:dyDescent="2">
      <c r="M92" s="5"/>
    </row>
    <row r="93" spans="4:33" ht="92" x14ac:dyDescent="2">
      <c r="M93" s="5"/>
    </row>
    <row r="94" spans="4:33" ht="92" x14ac:dyDescent="2">
      <c r="M94" s="5"/>
    </row>
    <row r="95" spans="4:33" ht="35.15" customHeight="1" x14ac:dyDescent="2">
      <c r="M95" s="5"/>
    </row>
    <row r="96" spans="4:33" ht="35.15" customHeight="1" x14ac:dyDescent="2">
      <c r="M96" s="5"/>
    </row>
    <row r="97" spans="9:13" ht="35.15" customHeight="1" x14ac:dyDescent="2">
      <c r="M97" s="5"/>
    </row>
    <row r="98" spans="9:13" ht="35.15" customHeight="1" x14ac:dyDescent="2">
      <c r="I98" s="6"/>
      <c r="J98" s="6"/>
      <c r="K98" s="6"/>
      <c r="M98" s="5"/>
    </row>
    <row r="99" spans="9:13" ht="35.15" customHeight="1" x14ac:dyDescent="2">
      <c r="M99" s="5"/>
    </row>
    <row r="100" spans="9:13" ht="35.15" customHeight="1" x14ac:dyDescent="2">
      <c r="M100" s="5"/>
    </row>
    <row r="101" spans="9:13" ht="35.15" customHeight="1" x14ac:dyDescent="2">
      <c r="M101" s="5"/>
    </row>
    <row r="102" spans="9:13" ht="35.15" customHeight="1" x14ac:dyDescent="2">
      <c r="M102" s="5"/>
    </row>
    <row r="103" spans="9:13" ht="35.15" customHeight="1" x14ac:dyDescent="2">
      <c r="M103" s="5"/>
    </row>
    <row r="104" spans="9:13" ht="35.15" customHeight="1" x14ac:dyDescent="2">
      <c r="M104" s="5"/>
    </row>
    <row r="105" spans="9:13" ht="35.15" customHeight="1" x14ac:dyDescent="2">
      <c r="M105" s="5"/>
    </row>
    <row r="106" spans="9:13" ht="35.15" customHeight="1" x14ac:dyDescent="2">
      <c r="M106" s="5"/>
    </row>
    <row r="107" spans="9:13" ht="35.15" customHeight="1" x14ac:dyDescent="2">
      <c r="M107" s="5"/>
    </row>
    <row r="108" spans="9:13" ht="35.15" customHeight="1" x14ac:dyDescent="0.55000000000000004"/>
    <row r="109" spans="9:13" ht="35.15" customHeight="1" x14ac:dyDescent="0.55000000000000004"/>
    <row r="110" spans="9:13" ht="35.15" customHeight="1" x14ac:dyDescent="0.55000000000000004"/>
    <row r="111" spans="9:13" ht="35.15" customHeight="1" x14ac:dyDescent="0.55000000000000004"/>
    <row r="112" spans="9:13" ht="35.15" customHeight="1" x14ac:dyDescent="0.55000000000000004"/>
    <row r="113" ht="35.15" customHeight="1" x14ac:dyDescent="0.55000000000000004"/>
  </sheetData>
  <mergeCells count="10">
    <mergeCell ref="C57:C60"/>
    <mergeCell ref="D57:D60"/>
    <mergeCell ref="C61:C64"/>
    <mergeCell ref="D61:D64"/>
    <mergeCell ref="C45:C48"/>
    <mergeCell ref="D45:D48"/>
    <mergeCell ref="C49:C52"/>
    <mergeCell ref="D49:D52"/>
    <mergeCell ref="C53:C56"/>
    <mergeCell ref="D53:D56"/>
  </mergeCells>
  <pageMargins left="1.0236220472440944" right="0.59055118110236227" top="0.70866141732283472" bottom="0.55118110236220474" header="0.31496062992125984" footer="0.31496062992125984"/>
  <pageSetup paperSize="8" scale="10" orientation="landscape" r:id="rId1"/>
  <headerFooter alignWithMargins="0">
    <oddHeader>&amp;L&amp;36SOBHA LLC&amp;R&amp;36&amp;D</oddHeader>
    <oddFooter>&amp;L&amp;36COLLECTIONS&amp;R&amp;36 1/1</oddFooter>
  </headerFooter>
  <rowBreaks count="1" manualBreakCount="1">
    <brk id="43" min="2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56E4-000D-47D0-91C1-1DF0573C7511}">
  <sheetPr>
    <tabColor theme="8" tint="0.79998168889431442"/>
    <pageSetUpPr fitToPage="1"/>
  </sheetPr>
  <dimension ref="A1:X77"/>
  <sheetViews>
    <sheetView view="pageBreakPreview" zoomScale="20" zoomScaleNormal="10" zoomScaleSheetLayoutView="20" zoomScalePageLayoutView="40" workbookViewId="0">
      <pane ySplit="3" topLeftCell="A20" activePane="bottomLeft" state="frozen"/>
      <selection pane="bottomLeft"/>
    </sheetView>
  </sheetViews>
  <sheetFormatPr defaultColWidth="9.26953125" defaultRowHeight="23.5" x14ac:dyDescent="0.55000000000000004"/>
  <cols>
    <col min="1" max="1" width="32.453125" style="1" customWidth="1"/>
    <col min="2" max="2" width="90" style="1" bestFit="1" customWidth="1"/>
    <col min="3" max="3" width="59.26953125" style="1" customWidth="1"/>
    <col min="4" max="4" width="86.26953125" style="1" customWidth="1"/>
    <col min="5" max="5" width="48.81640625" style="1" bestFit="1" customWidth="1"/>
    <col min="6" max="6" width="98.26953125" style="1" customWidth="1"/>
    <col min="7" max="7" width="97.26953125" style="1" bestFit="1" customWidth="1"/>
    <col min="8" max="9" width="93.26953125" style="1" customWidth="1"/>
    <col min="10" max="10" width="77.7265625" style="1" customWidth="1"/>
    <col min="11" max="11" width="91.54296875" style="1" customWidth="1"/>
    <col min="12" max="12" width="88.26953125" style="1" bestFit="1" customWidth="1"/>
    <col min="13" max="13" width="90.81640625" style="1" bestFit="1" customWidth="1"/>
    <col min="14" max="14" width="85.81640625" style="1" bestFit="1" customWidth="1"/>
    <col min="15" max="15" width="85.7265625" style="1" customWidth="1"/>
    <col min="16" max="17" width="78.26953125" style="1" customWidth="1"/>
    <col min="18" max="18" width="90.81640625" style="1" bestFit="1" customWidth="1"/>
    <col min="19" max="22" width="78.26953125" style="1" customWidth="1"/>
    <col min="23" max="23" width="9.26953125" style="1"/>
    <col min="24" max="24" width="64.453125" style="1" bestFit="1" customWidth="1"/>
    <col min="25" max="16384" width="9.26953125" style="1"/>
  </cols>
  <sheetData>
    <row r="1" spans="1:24" x14ac:dyDescent="0.55000000000000004">
      <c r="A1" s="126">
        <f>'Sobha - consolidated tracker '!A1</f>
        <v>46143</v>
      </c>
    </row>
    <row r="2" spans="1:24" ht="78" customHeight="1" x14ac:dyDescent="1.25">
      <c r="A2" s="7"/>
      <c r="B2" s="7"/>
      <c r="C2" s="7"/>
      <c r="D2" s="7"/>
      <c r="E2" s="7"/>
      <c r="F2" s="7"/>
      <c r="G2" s="7"/>
      <c r="H2" s="123"/>
      <c r="I2" s="123"/>
      <c r="J2" s="140" t="s">
        <v>234</v>
      </c>
      <c r="K2" s="123"/>
      <c r="L2" s="7"/>
      <c r="M2" s="171" t="s">
        <v>230</v>
      </c>
      <c r="N2" s="170">
        <v>46143</v>
      </c>
      <c r="O2" s="170"/>
    </row>
    <row r="3" spans="1:24" s="7" customFormat="1" ht="180" customHeight="1" x14ac:dyDescent="1.25">
      <c r="A3" s="119" t="s">
        <v>229</v>
      </c>
      <c r="B3" s="119" t="s">
        <v>228</v>
      </c>
      <c r="C3" s="118" t="s">
        <v>227</v>
      </c>
      <c r="D3" s="118" t="s">
        <v>233</v>
      </c>
      <c r="E3" s="117" t="s">
        <v>226</v>
      </c>
      <c r="F3" s="116" t="s">
        <v>225</v>
      </c>
      <c r="G3" s="116" t="s">
        <v>224</v>
      </c>
      <c r="H3" s="116" t="s">
        <v>223</v>
      </c>
      <c r="I3" s="116" t="s">
        <v>222</v>
      </c>
      <c r="J3" s="116" t="s">
        <v>221</v>
      </c>
      <c r="K3" s="115" t="s">
        <v>220</v>
      </c>
      <c r="L3" s="114" t="s">
        <v>219</v>
      </c>
      <c r="M3" s="113">
        <v>2026</v>
      </c>
      <c r="N3" s="113">
        <v>2027</v>
      </c>
      <c r="O3" s="169">
        <v>2028</v>
      </c>
      <c r="P3" s="138">
        <v>2029</v>
      </c>
      <c r="Q3" s="138">
        <v>2030</v>
      </c>
      <c r="R3" s="138">
        <f>+Q3+1</f>
        <v>2031</v>
      </c>
      <c r="S3" s="138">
        <f>+R3+1</f>
        <v>2032</v>
      </c>
      <c r="T3" s="138">
        <f>+S3+1</f>
        <v>2033</v>
      </c>
      <c r="U3" s="138">
        <f>+T3+1</f>
        <v>2034</v>
      </c>
      <c r="V3" s="138">
        <f>+U3+1</f>
        <v>2035</v>
      </c>
    </row>
    <row r="4" spans="1:24" s="7" customFormat="1" ht="169.5" customHeight="1" x14ac:dyDescent="1.25">
      <c r="A4" s="82">
        <v>1</v>
      </c>
      <c r="B4" s="76" t="s">
        <v>198</v>
      </c>
      <c r="C4" s="49" t="str">
        <f>_xlfn.XLOOKUP($B4,'Sobha - consolidated tracker '!$D:$D,'Sobha - consolidated tracker '!E:E,,)</f>
        <v>RERA</v>
      </c>
      <c r="D4" s="165">
        <v>45930</v>
      </c>
      <c r="E4" s="33">
        <f>_xlfn.XLOOKUP($B4,'Sobha - consolidated tracker '!$D:$D,'Sobha - consolidated tracker '!F:F,,)</f>
        <v>357</v>
      </c>
      <c r="F4" s="33">
        <f>_xlfn.XLOOKUP($B4,'Sobha - consolidated tracker '!$D:$D,'Sobha - consolidated tracker '!G:G,,)</f>
        <v>1007360090.5500002</v>
      </c>
      <c r="G4" s="33">
        <f>_xlfn.XLOOKUP($B4,'Sobha - consolidated tracker '!$D:$D,'Sobha - consolidated tracker '!H:H,,)</f>
        <v>598134517.1899991</v>
      </c>
      <c r="H4" s="33">
        <f>_xlfn.XLOOKUP($B4,'Sobha - consolidated tracker '!$D:$D,'Sobha - consolidated tracker '!I:I,,)</f>
        <v>588102005.86999953</v>
      </c>
      <c r="I4" s="33">
        <f>_xlfn.XLOOKUP($B4,'Sobha - consolidated tracker '!$D:$D,'Sobha - consolidated tracker '!J:J,,)</f>
        <v>101762337.62999991</v>
      </c>
      <c r="J4" s="164">
        <f>_xlfn.XLOOKUP($B4,'Sobha - consolidated tracker '!$D:$D,'Sobha - consolidated tracker '!K:K,,)</f>
        <v>0.98322699822252069</v>
      </c>
      <c r="K4" s="46">
        <f>_xlfn.XLOOKUP($B4,'Sobha - consolidated tracker '!$D:$D,'Sobha - consolidated tracker '!L:L,,)</f>
        <v>10032510.960000001</v>
      </c>
      <c r="L4" s="30">
        <f>_xlfn.XLOOKUP($B4,'Sobha - consolidated tracker '!$D:$D,'Sobha - consolidated tracker '!M:M,,)</f>
        <v>307463235.73000121</v>
      </c>
      <c r="M4" s="33">
        <f>_xlfn.XLOOKUP($B4,'Sobha - consolidated tracker '!$D:$D,'Sobha - consolidated tracker '!N:N,,)</f>
        <v>307463235.73000121</v>
      </c>
      <c r="N4" s="33">
        <f>_xlfn.XLOOKUP($B4,'Sobha - consolidated tracker '!$D:$D,'Sobha - consolidated tracker '!O:O,,)</f>
        <v>0</v>
      </c>
      <c r="O4" s="33">
        <f>_xlfn.XLOOKUP($B4,'Sobha - consolidated tracker '!$D:$D,'Sobha - consolidated tracker '!P:P,,)</f>
        <v>0</v>
      </c>
      <c r="P4" s="33">
        <f>_xlfn.XLOOKUP($B4,'Sobha - consolidated tracker '!$D:$D,'Sobha - consolidated tracker '!Q:Q,,)</f>
        <v>0</v>
      </c>
      <c r="Q4" s="33">
        <f>_xlfn.XLOOKUP($B4,'Sobha - consolidated tracker '!$D:$D,'Sobha - consolidated tracker '!R:R,,)</f>
        <v>0</v>
      </c>
      <c r="R4" s="33">
        <f>_xlfn.XLOOKUP($B4,'Sobha - consolidated tracker '!$D:$D,'Sobha - consolidated tracker '!S:S,,)</f>
        <v>0</v>
      </c>
      <c r="S4" s="33">
        <f>_xlfn.XLOOKUP($B4,'Sobha - consolidated tracker '!$D:$D,'Sobha - consolidated tracker '!T:T,,)</f>
        <v>0</v>
      </c>
      <c r="T4" s="33">
        <f>_xlfn.XLOOKUP($B4,'Sobha - consolidated tracker '!$D:$D,'Sobha - consolidated tracker '!U:U,,)</f>
        <v>0</v>
      </c>
      <c r="U4" s="33">
        <f>_xlfn.XLOOKUP($B4,'Sobha - consolidated tracker '!$D:$D,'Sobha - consolidated tracker '!V:V,,)</f>
        <v>0</v>
      </c>
      <c r="V4" s="33">
        <f>_xlfn.XLOOKUP($B4,'Sobha - consolidated tracker '!$D:$D,'Sobha - consolidated tracker '!W:W,,)</f>
        <v>0</v>
      </c>
      <c r="X4" s="17"/>
    </row>
    <row r="5" spans="1:24" s="7" customFormat="1" ht="169.5" customHeight="1" x14ac:dyDescent="1.25">
      <c r="A5" s="77">
        <v>2</v>
      </c>
      <c r="B5" s="79" t="s">
        <v>197</v>
      </c>
      <c r="C5" s="43" t="str">
        <f>_xlfn.XLOOKUP($B5,'Sobha - consolidated tracker '!$D:$D,'Sobha - consolidated tracker '!E:E,,)</f>
        <v>RERA</v>
      </c>
      <c r="D5" s="166">
        <v>46203</v>
      </c>
      <c r="E5" s="40">
        <f>_xlfn.XLOOKUP($B5,'Sobha - consolidated tracker '!$D:$D,'Sobha - consolidated tracker '!F:F,,)</f>
        <v>1324</v>
      </c>
      <c r="F5" s="40">
        <f>_xlfn.XLOOKUP($B5,'Sobha - consolidated tracker '!$D:$D,'Sobha - consolidated tracker '!G:G,,)</f>
        <v>2541198797.9000025</v>
      </c>
      <c r="G5" s="40">
        <f>_xlfn.XLOOKUP($B5,'Sobha - consolidated tracker '!$D:$D,'Sobha - consolidated tracker '!H:H,,)</f>
        <v>1548350914.5199885</v>
      </c>
      <c r="H5" s="40">
        <f>_xlfn.XLOOKUP($B5,'Sobha - consolidated tracker '!$D:$D,'Sobha - consolidated tracker '!I:I,,)</f>
        <v>1527323781.1800008</v>
      </c>
      <c r="I5" s="40">
        <f>_xlfn.XLOOKUP($B5,'Sobha - consolidated tracker '!$D:$D,'Sobha - consolidated tracker '!J:J,,)</f>
        <v>184292194.43000007</v>
      </c>
      <c r="J5" s="167">
        <f>_xlfn.XLOOKUP($B5,'Sobha - consolidated tracker '!$D:$D,'Sobha - consolidated tracker '!K:K,,)</f>
        <v>0.98641965904317852</v>
      </c>
      <c r="K5" s="46">
        <f>_xlfn.XLOOKUP($B5,'Sobha - consolidated tracker '!$D:$D,'Sobha - consolidated tracker '!L:L,,)</f>
        <v>20972071.429999996</v>
      </c>
      <c r="L5" s="41">
        <f>_xlfn.XLOOKUP($B5,'Sobha - consolidated tracker '!$D:$D,'Sobha - consolidated tracker '!M:M,,)</f>
        <v>808555688.95001388</v>
      </c>
      <c r="M5" s="40">
        <f>_xlfn.XLOOKUP($B5,'Sobha - consolidated tracker '!$D:$D,'Sobha - consolidated tracker '!N:N,,)</f>
        <v>808555688.95001388</v>
      </c>
      <c r="N5" s="40">
        <f>_xlfn.XLOOKUP($B5,'Sobha - consolidated tracker '!$D:$D,'Sobha - consolidated tracker '!O:O,,)</f>
        <v>0</v>
      </c>
      <c r="O5" s="40">
        <f>_xlfn.XLOOKUP($B5,'Sobha - consolidated tracker '!$D:$D,'Sobha - consolidated tracker '!P:P,,)</f>
        <v>0</v>
      </c>
      <c r="P5" s="40">
        <f>_xlfn.XLOOKUP($B5,'Sobha - consolidated tracker '!$D:$D,'Sobha - consolidated tracker '!Q:Q,,)</f>
        <v>0</v>
      </c>
      <c r="Q5" s="40">
        <f>_xlfn.XLOOKUP($B5,'Sobha - consolidated tracker '!$D:$D,'Sobha - consolidated tracker '!R:R,,)</f>
        <v>0</v>
      </c>
      <c r="R5" s="40">
        <f>_xlfn.XLOOKUP($B5,'Sobha - consolidated tracker '!$D:$D,'Sobha - consolidated tracker '!S:S,,)</f>
        <v>0</v>
      </c>
      <c r="S5" s="40">
        <f>_xlfn.XLOOKUP($B5,'Sobha - consolidated tracker '!$D:$D,'Sobha - consolidated tracker '!T:T,,)</f>
        <v>0</v>
      </c>
      <c r="T5" s="40">
        <f>_xlfn.XLOOKUP($B5,'Sobha - consolidated tracker '!$D:$D,'Sobha - consolidated tracker '!U:U,,)</f>
        <v>0</v>
      </c>
      <c r="U5" s="40">
        <f>_xlfn.XLOOKUP($B5,'Sobha - consolidated tracker '!$D:$D,'Sobha - consolidated tracker '!V:V,,)</f>
        <v>0</v>
      </c>
      <c r="V5" s="40">
        <f>_xlfn.XLOOKUP($B5,'Sobha - consolidated tracker '!$D:$D,'Sobha - consolidated tracker '!W:W,,)</f>
        <v>0</v>
      </c>
      <c r="X5" s="17"/>
    </row>
    <row r="6" spans="1:24" s="7" customFormat="1" ht="169.5" customHeight="1" x14ac:dyDescent="1.25">
      <c r="A6" s="77">
        <v>3</v>
      </c>
      <c r="B6" s="76" t="s">
        <v>193</v>
      </c>
      <c r="C6" s="49" t="str">
        <f>_xlfn.XLOOKUP($B6,'Sobha - consolidated tracker '!$D:$D,'Sobha - consolidated tracker '!E:E,,)</f>
        <v>RERA</v>
      </c>
      <c r="D6" s="165">
        <v>46387</v>
      </c>
      <c r="E6" s="33">
        <f>_xlfn.XLOOKUP($B6,'Sobha - consolidated tracker '!$D:$D,'Sobha - consolidated tracker '!F:F,,)</f>
        <v>680</v>
      </c>
      <c r="F6" s="33">
        <f>_xlfn.XLOOKUP($B6,'Sobha - consolidated tracker '!$D:$D,'Sobha - consolidated tracker '!G:G,,)</f>
        <v>5301963228.2799997</v>
      </c>
      <c r="G6" s="33">
        <f>_xlfn.XLOOKUP($B6,'Sobha - consolidated tracker '!$D:$D,'Sobha - consolidated tracker '!H:H,,)</f>
        <v>3061852349.7400026</v>
      </c>
      <c r="H6" s="33">
        <f>_xlfn.XLOOKUP($B6,'Sobha - consolidated tracker '!$D:$D,'Sobha - consolidated tracker '!I:I,,)</f>
        <v>2861273379.0300007</v>
      </c>
      <c r="I6" s="33">
        <f>_xlfn.XLOOKUP($B6,'Sobha - consolidated tracker '!$D:$D,'Sobha - consolidated tracker '!J:J,,)</f>
        <v>258975239.60000002</v>
      </c>
      <c r="J6" s="164">
        <f>_xlfn.XLOOKUP($B6,'Sobha - consolidated tracker '!$D:$D,'Sobha - consolidated tracker '!K:K,,)</f>
        <v>0.93449097219628041</v>
      </c>
      <c r="K6" s="46">
        <f>_xlfn.XLOOKUP($B6,'Sobha - consolidated tracker '!$D:$D,'Sobha - consolidated tracker '!L:L,,)</f>
        <v>200578968.11000001</v>
      </c>
      <c r="L6" s="41">
        <f>_xlfn.XLOOKUP($B6,'Sobha - consolidated tracker '!$D:$D,'Sobha - consolidated tracker '!M:M,,)</f>
        <v>1981135638.9399972</v>
      </c>
      <c r="M6" s="33">
        <f>_xlfn.XLOOKUP($B6,'Sobha - consolidated tracker '!$D:$D,'Sobha - consolidated tracker '!N:N,,)</f>
        <v>965452935.35999727</v>
      </c>
      <c r="N6" s="33">
        <f>_xlfn.XLOOKUP($B6,'Sobha - consolidated tracker '!$D:$D,'Sobha - consolidated tracker '!O:O,,)</f>
        <v>1015682703.5799999</v>
      </c>
      <c r="O6" s="33">
        <f>_xlfn.XLOOKUP($B6,'Sobha - consolidated tracker '!$D:$D,'Sobha - consolidated tracker '!P:P,,)</f>
        <v>0</v>
      </c>
      <c r="P6" s="33">
        <f>_xlfn.XLOOKUP($B6,'Sobha - consolidated tracker '!$D:$D,'Sobha - consolidated tracker '!Q:Q,,)</f>
        <v>0</v>
      </c>
      <c r="Q6" s="33">
        <f>_xlfn.XLOOKUP($B6,'Sobha - consolidated tracker '!$D:$D,'Sobha - consolidated tracker '!R:R,,)</f>
        <v>0</v>
      </c>
      <c r="R6" s="33">
        <f>_xlfn.XLOOKUP($B6,'Sobha - consolidated tracker '!$D:$D,'Sobha - consolidated tracker '!S:S,,)</f>
        <v>0</v>
      </c>
      <c r="S6" s="33">
        <f>_xlfn.XLOOKUP($B6,'Sobha - consolidated tracker '!$D:$D,'Sobha - consolidated tracker '!T:T,,)</f>
        <v>0</v>
      </c>
      <c r="T6" s="33">
        <f>_xlfn.XLOOKUP($B6,'Sobha - consolidated tracker '!$D:$D,'Sobha - consolidated tracker '!U:U,,)</f>
        <v>0</v>
      </c>
      <c r="U6" s="33">
        <f>_xlfn.XLOOKUP($B6,'Sobha - consolidated tracker '!$D:$D,'Sobha - consolidated tracker '!V:V,,)</f>
        <v>0</v>
      </c>
      <c r="V6" s="33">
        <f>_xlfn.XLOOKUP($B6,'Sobha - consolidated tracker '!$D:$D,'Sobha - consolidated tracker '!W:W,,)</f>
        <v>0</v>
      </c>
      <c r="X6" s="17"/>
    </row>
    <row r="7" spans="1:24" s="7" customFormat="1" ht="169.15" customHeight="1" x14ac:dyDescent="1.25">
      <c r="A7" s="77">
        <v>4</v>
      </c>
      <c r="B7" s="79" t="s">
        <v>189</v>
      </c>
      <c r="C7" s="43" t="str">
        <f>_xlfn.XLOOKUP($B7,'Sobha - consolidated tracker '!$D:$D,'Sobha - consolidated tracker '!E:E,,)</f>
        <v>RERA</v>
      </c>
      <c r="D7" s="166">
        <v>46387</v>
      </c>
      <c r="E7" s="40">
        <f>_xlfn.XLOOKUP($B7,'Sobha - consolidated tracker '!$D:$D,'Sobha - consolidated tracker '!F:F,,)</f>
        <v>606</v>
      </c>
      <c r="F7" s="40">
        <f>_xlfn.XLOOKUP($B7,'Sobha - consolidated tracker '!$D:$D,'Sobha - consolidated tracker '!G:G,,)</f>
        <v>1535529679.7600019</v>
      </c>
      <c r="G7" s="40">
        <f>_xlfn.XLOOKUP($B7,'Sobha - consolidated tracker '!$D:$D,'Sobha - consolidated tracker '!H:H,,)</f>
        <v>891061974.60999799</v>
      </c>
      <c r="H7" s="40">
        <f>_xlfn.XLOOKUP($B7,'Sobha - consolidated tracker '!$D:$D,'Sobha - consolidated tracker '!I:I,,)</f>
        <v>863327073.92000043</v>
      </c>
      <c r="I7" s="40">
        <f>_xlfn.XLOOKUP($B7,'Sobha - consolidated tracker '!$D:$D,'Sobha - consolidated tracker '!J:J,,)</f>
        <v>62673788.359999962</v>
      </c>
      <c r="J7" s="167">
        <f>_xlfn.XLOOKUP($B7,'Sobha - consolidated tracker '!$D:$D,'Sobha - consolidated tracker '!K:K,,)</f>
        <v>0.96887433031564762</v>
      </c>
      <c r="K7" s="46">
        <f>_xlfn.XLOOKUP($B7,'Sobha - consolidated tracker '!$D:$D,'Sobha - consolidated tracker '!L:L,,)</f>
        <v>27734900.610000011</v>
      </c>
      <c r="L7" s="41">
        <f>_xlfn.XLOOKUP($B7,'Sobha - consolidated tracker '!$D:$D,'Sobha - consolidated tracker '!M:M,,)</f>
        <v>581793916.7900039</v>
      </c>
      <c r="M7" s="40">
        <f>_xlfn.XLOOKUP($B7,'Sobha - consolidated tracker '!$D:$D,'Sobha - consolidated tracker '!N:N,,)</f>
        <v>581793916.7900039</v>
      </c>
      <c r="N7" s="40">
        <f>_xlfn.XLOOKUP($B7,'Sobha - consolidated tracker '!$D:$D,'Sobha - consolidated tracker '!O:O,,)</f>
        <v>0</v>
      </c>
      <c r="O7" s="40">
        <f>_xlfn.XLOOKUP($B7,'Sobha - consolidated tracker '!$D:$D,'Sobha - consolidated tracker '!P:P,,)</f>
        <v>0</v>
      </c>
      <c r="P7" s="40">
        <f>_xlfn.XLOOKUP($B7,'Sobha - consolidated tracker '!$D:$D,'Sobha - consolidated tracker '!Q:Q,,)</f>
        <v>0</v>
      </c>
      <c r="Q7" s="40">
        <f>_xlfn.XLOOKUP($B7,'Sobha - consolidated tracker '!$D:$D,'Sobha - consolidated tracker '!R:R,,)</f>
        <v>0</v>
      </c>
      <c r="R7" s="40">
        <f>_xlfn.XLOOKUP($B7,'Sobha - consolidated tracker '!$D:$D,'Sobha - consolidated tracker '!S:S,,)</f>
        <v>0</v>
      </c>
      <c r="S7" s="40">
        <f>_xlfn.XLOOKUP($B7,'Sobha - consolidated tracker '!$D:$D,'Sobha - consolidated tracker '!T:T,,)</f>
        <v>0</v>
      </c>
      <c r="T7" s="40">
        <f>_xlfn.XLOOKUP($B7,'Sobha - consolidated tracker '!$D:$D,'Sobha - consolidated tracker '!U:U,,)</f>
        <v>0</v>
      </c>
      <c r="U7" s="40">
        <f>_xlfn.XLOOKUP($B7,'Sobha - consolidated tracker '!$D:$D,'Sobha - consolidated tracker '!V:V,,)</f>
        <v>0</v>
      </c>
      <c r="V7" s="40">
        <f>_xlfn.XLOOKUP($B7,'Sobha - consolidated tracker '!$D:$D,'Sobha - consolidated tracker '!W:W,,)</f>
        <v>0</v>
      </c>
      <c r="X7" s="17"/>
    </row>
    <row r="8" spans="1:24" s="7" customFormat="1" ht="169.5" customHeight="1" x14ac:dyDescent="1.25">
      <c r="A8" s="77">
        <v>5</v>
      </c>
      <c r="B8" s="76" t="s">
        <v>178</v>
      </c>
      <c r="C8" s="43" t="str">
        <f>_xlfn.XLOOKUP($B8,'Sobha - consolidated tracker '!$D:$D,'Sobha - consolidated tracker '!E:E,,)</f>
        <v>RERA</v>
      </c>
      <c r="D8" s="165">
        <v>46387</v>
      </c>
      <c r="E8" s="33">
        <f>_xlfn.XLOOKUP($B8,'Sobha - consolidated tracker '!$D:$D,'Sobha - consolidated tracker '!F:F,,)</f>
        <v>2957</v>
      </c>
      <c r="F8" s="33">
        <f>_xlfn.XLOOKUP($B8,'Sobha - consolidated tracker '!$D:$D,'Sobha - consolidated tracker '!G:G,,)</f>
        <v>6987776685.4200001</v>
      </c>
      <c r="G8" s="33">
        <f>_xlfn.XLOOKUP($B8,'Sobha - consolidated tracker '!$D:$D,'Sobha - consolidated tracker '!H:H,,)</f>
        <v>3736014218.109992</v>
      </c>
      <c r="H8" s="33">
        <f>_xlfn.XLOOKUP($B8,'Sobha - consolidated tracker '!$D:$D,'Sobha - consolidated tracker '!I:I,,)</f>
        <v>3590002271.7599978</v>
      </c>
      <c r="I8" s="33">
        <f>_xlfn.XLOOKUP($B8,'Sobha - consolidated tracker '!$D:$D,'Sobha - consolidated tracker '!J:J,,)</f>
        <v>313172768.92999995</v>
      </c>
      <c r="J8" s="164">
        <f>_xlfn.XLOOKUP($B8,'Sobha - consolidated tracker '!$D:$D,'Sobha - consolidated tracker '!K:K,,)</f>
        <v>0.9609177219823698</v>
      </c>
      <c r="K8" s="46">
        <f>_xlfn.XLOOKUP($B8,'Sobha - consolidated tracker '!$D:$D,'Sobha - consolidated tracker '!L:L,,)</f>
        <v>146011945.82999998</v>
      </c>
      <c r="L8" s="30">
        <f>_xlfn.XLOOKUP($B8,'Sobha - consolidated tracker '!$D:$D,'Sobha - consolidated tracker '!M:M,,)</f>
        <v>2938589698.3800082</v>
      </c>
      <c r="M8" s="33">
        <f>_xlfn.XLOOKUP($B8,'Sobha - consolidated tracker '!$D:$D,'Sobha - consolidated tracker '!N:N,,)</f>
        <v>2936419781.6300082</v>
      </c>
      <c r="N8" s="33">
        <f>_xlfn.XLOOKUP($B8,'Sobha - consolidated tracker '!$D:$D,'Sobha - consolidated tracker '!O:O,,)</f>
        <v>2169916.75</v>
      </c>
      <c r="O8" s="33">
        <f>_xlfn.XLOOKUP($B8,'Sobha - consolidated tracker '!$D:$D,'Sobha - consolidated tracker '!P:P,,)</f>
        <v>0</v>
      </c>
      <c r="P8" s="33">
        <f>_xlfn.XLOOKUP($B8,'Sobha - consolidated tracker '!$D:$D,'Sobha - consolidated tracker '!Q:Q,,)</f>
        <v>0</v>
      </c>
      <c r="Q8" s="33">
        <f>_xlfn.XLOOKUP($B8,'Sobha - consolidated tracker '!$D:$D,'Sobha - consolidated tracker '!R:R,,)</f>
        <v>0</v>
      </c>
      <c r="R8" s="33">
        <f>_xlfn.XLOOKUP($B8,'Sobha - consolidated tracker '!$D:$D,'Sobha - consolidated tracker '!S:S,,)</f>
        <v>0</v>
      </c>
      <c r="S8" s="33">
        <f>_xlfn.XLOOKUP($B8,'Sobha - consolidated tracker '!$D:$D,'Sobha - consolidated tracker '!T:T,,)</f>
        <v>0</v>
      </c>
      <c r="T8" s="33">
        <f>_xlfn.XLOOKUP($B8,'Sobha - consolidated tracker '!$D:$D,'Sobha - consolidated tracker '!U:U,,)</f>
        <v>0</v>
      </c>
      <c r="U8" s="33">
        <f>_xlfn.XLOOKUP($B8,'Sobha - consolidated tracker '!$D:$D,'Sobha - consolidated tracker '!V:V,,)</f>
        <v>0</v>
      </c>
      <c r="V8" s="33">
        <f>_xlfn.XLOOKUP($B8,'Sobha - consolidated tracker '!$D:$D,'Sobha - consolidated tracker '!W:W,,)</f>
        <v>0</v>
      </c>
      <c r="X8" s="17"/>
    </row>
    <row r="9" spans="1:24" s="7" customFormat="1" ht="169.5" customHeight="1" x14ac:dyDescent="1.25">
      <c r="A9" s="77">
        <v>6</v>
      </c>
      <c r="B9" s="168" t="s">
        <v>188</v>
      </c>
      <c r="C9" s="43" t="str">
        <f>_xlfn.XLOOKUP($B9,'Sobha - consolidated tracker '!$D:$D,'Sobha - consolidated tracker '!E:E,,)</f>
        <v>RERA</v>
      </c>
      <c r="D9" s="166">
        <v>46022</v>
      </c>
      <c r="E9" s="40">
        <f>_xlfn.XLOOKUP($B9,'Sobha - consolidated tracker '!$D:$D,'Sobha - consolidated tracker '!F:F,,)</f>
        <v>104</v>
      </c>
      <c r="F9" s="40">
        <f>_xlfn.XLOOKUP($B9,'Sobha - consolidated tracker '!$D:$D,'Sobha - consolidated tracker '!G:G,,)</f>
        <v>2966057520.7600002</v>
      </c>
      <c r="G9" s="40">
        <f>_xlfn.XLOOKUP($B9,'Sobha - consolidated tracker '!$D:$D,'Sobha - consolidated tracker '!H:H,,)</f>
        <v>1619130627.4600003</v>
      </c>
      <c r="H9" s="40">
        <f>_xlfn.XLOOKUP($B9,'Sobha - consolidated tracker '!$D:$D,'Sobha - consolidated tracker '!I:I,,)</f>
        <v>1505348877.3899999</v>
      </c>
      <c r="I9" s="40">
        <f>_xlfn.XLOOKUP($B9,'Sobha - consolidated tracker '!$D:$D,'Sobha - consolidated tracker '!J:J,,)</f>
        <v>214355430.16999999</v>
      </c>
      <c r="J9" s="167">
        <f>_xlfn.XLOOKUP($B9,'Sobha - consolidated tracker '!$D:$D,'Sobha - consolidated tracker '!K:K,,)</f>
        <v>0.92972663962975322</v>
      </c>
      <c r="K9" s="46">
        <f>_xlfn.XLOOKUP($B9,'Sobha - consolidated tracker '!$D:$D,'Sobha - consolidated tracker '!L:L,,)</f>
        <v>113781748.85000002</v>
      </c>
      <c r="L9" s="41">
        <f>_xlfn.XLOOKUP($B9,'Sobha - consolidated tracker '!$D:$D,'Sobha - consolidated tracker '!M:M,,)</f>
        <v>1132571463.1299999</v>
      </c>
      <c r="M9" s="40">
        <f>_xlfn.XLOOKUP($B9,'Sobha - consolidated tracker '!$D:$D,'Sobha - consolidated tracker '!N:N,,)</f>
        <v>619358623.52999973</v>
      </c>
      <c r="N9" s="40">
        <f>_xlfn.XLOOKUP($B9,'Sobha - consolidated tracker '!$D:$D,'Sobha - consolidated tracker '!O:O,,)</f>
        <v>513212839.60000008</v>
      </c>
      <c r="O9" s="40">
        <f>_xlfn.XLOOKUP($B9,'Sobha - consolidated tracker '!$D:$D,'Sobha - consolidated tracker '!P:P,,)</f>
        <v>0</v>
      </c>
      <c r="P9" s="40">
        <f>_xlfn.XLOOKUP($B9,'Sobha - consolidated tracker '!$D:$D,'Sobha - consolidated tracker '!Q:Q,,)</f>
        <v>0</v>
      </c>
      <c r="Q9" s="40">
        <f>_xlfn.XLOOKUP($B9,'Sobha - consolidated tracker '!$D:$D,'Sobha - consolidated tracker '!R:R,,)</f>
        <v>0</v>
      </c>
      <c r="R9" s="40">
        <f>_xlfn.XLOOKUP($B9,'Sobha - consolidated tracker '!$D:$D,'Sobha - consolidated tracker '!S:S,,)</f>
        <v>0</v>
      </c>
      <c r="S9" s="40">
        <f>_xlfn.XLOOKUP($B9,'Sobha - consolidated tracker '!$D:$D,'Sobha - consolidated tracker '!T:T,,)</f>
        <v>0</v>
      </c>
      <c r="T9" s="40">
        <f>_xlfn.XLOOKUP($B9,'Sobha - consolidated tracker '!$D:$D,'Sobha - consolidated tracker '!U:U,,)</f>
        <v>0</v>
      </c>
      <c r="U9" s="40">
        <f>_xlfn.XLOOKUP($B9,'Sobha - consolidated tracker '!$D:$D,'Sobha - consolidated tracker '!V:V,,)</f>
        <v>0</v>
      </c>
      <c r="V9" s="40">
        <f>_xlfn.XLOOKUP($B9,'Sobha - consolidated tracker '!$D:$D,'Sobha - consolidated tracker '!W:W,,)</f>
        <v>0</v>
      </c>
      <c r="X9" s="17"/>
    </row>
    <row r="10" spans="1:24" s="7" customFormat="1" ht="169.5" customHeight="1" x14ac:dyDescent="1.25">
      <c r="A10" s="77">
        <v>7</v>
      </c>
      <c r="B10" s="76" t="s">
        <v>179</v>
      </c>
      <c r="C10" s="43" t="str">
        <f>_xlfn.XLOOKUP($B10,'Sobha - consolidated tracker '!$D:$D,'Sobha - consolidated tracker '!E:E,,)</f>
        <v>RERA</v>
      </c>
      <c r="D10" s="165">
        <v>46203</v>
      </c>
      <c r="E10" s="33">
        <f>_xlfn.XLOOKUP($B10,'Sobha - consolidated tracker '!$D:$D,'Sobha - consolidated tracker '!F:F,,)</f>
        <v>345</v>
      </c>
      <c r="F10" s="33">
        <f>_xlfn.XLOOKUP($B10,'Sobha - consolidated tracker '!$D:$D,'Sobha - consolidated tracker '!G:G,,)</f>
        <v>3184231867.099999</v>
      </c>
      <c r="G10" s="33">
        <f>_xlfn.XLOOKUP($B10,'Sobha - consolidated tracker '!$D:$D,'Sobha - consolidated tracker '!H:H,,)</f>
        <v>2118963166.0399885</v>
      </c>
      <c r="H10" s="33">
        <f>_xlfn.XLOOKUP($B10,'Sobha - consolidated tracker '!$D:$D,'Sobha - consolidated tracker '!I:I,,)</f>
        <v>2004563019.559999</v>
      </c>
      <c r="I10" s="33">
        <f>_xlfn.XLOOKUP($B10,'Sobha - consolidated tracker '!$D:$D,'Sobha - consolidated tracker '!J:J,,)</f>
        <v>112387998.13000004</v>
      </c>
      <c r="J10" s="164">
        <f>_xlfn.XLOOKUP($B10,'Sobha - consolidated tracker '!$D:$D,'Sobha - consolidated tracker '!K:K,,)</f>
        <v>0.9460112623412017</v>
      </c>
      <c r="K10" s="46">
        <f>_xlfn.XLOOKUP($B10,'Sobha - consolidated tracker '!$D:$D,'Sobha - consolidated tracker '!L:L,,)</f>
        <v>114400144.38999999</v>
      </c>
      <c r="L10" s="30">
        <f>_xlfn.XLOOKUP($B10,'Sobha - consolidated tracker '!$D:$D,'Sobha - consolidated tracker '!M:M,,)</f>
        <v>952880702.93001032</v>
      </c>
      <c r="M10" s="33">
        <f>_xlfn.XLOOKUP($B10,'Sobha - consolidated tracker '!$D:$D,'Sobha - consolidated tracker '!N:N,,)</f>
        <v>520052707.3500104</v>
      </c>
      <c r="N10" s="33">
        <f>_xlfn.XLOOKUP($B10,'Sobha - consolidated tracker '!$D:$D,'Sobha - consolidated tracker '!O:O,,)</f>
        <v>428897172.56999993</v>
      </c>
      <c r="O10" s="33">
        <f>_xlfn.XLOOKUP($B10,'Sobha - consolidated tracker '!$D:$D,'Sobha - consolidated tracker '!P:P,,)</f>
        <v>750000</v>
      </c>
      <c r="P10" s="33">
        <f>_xlfn.XLOOKUP($B10,'Sobha - consolidated tracker '!$D:$D,'Sobha - consolidated tracker '!Q:Q,,)</f>
        <v>750000</v>
      </c>
      <c r="Q10" s="33">
        <f>_xlfn.XLOOKUP($B10,'Sobha - consolidated tracker '!$D:$D,'Sobha - consolidated tracker '!R:R,,)</f>
        <v>1000000</v>
      </c>
      <c r="R10" s="33">
        <f>_xlfn.XLOOKUP($B10,'Sobha - consolidated tracker '!$D:$D,'Sobha - consolidated tracker '!S:S,,)</f>
        <v>1430823.01</v>
      </c>
      <c r="S10" s="33">
        <f>_xlfn.XLOOKUP($B10,'Sobha - consolidated tracker '!$D:$D,'Sobha - consolidated tracker '!T:T,,)</f>
        <v>0</v>
      </c>
      <c r="T10" s="33">
        <f>_xlfn.XLOOKUP($B10,'Sobha - consolidated tracker '!$D:$D,'Sobha - consolidated tracker '!U:U,,)</f>
        <v>0</v>
      </c>
      <c r="U10" s="33">
        <f>_xlfn.XLOOKUP($B10,'Sobha - consolidated tracker '!$D:$D,'Sobha - consolidated tracker '!V:V,,)</f>
        <v>0</v>
      </c>
      <c r="V10" s="33">
        <f>_xlfn.XLOOKUP($B10,'Sobha - consolidated tracker '!$D:$D,'Sobha - consolidated tracker '!W:W,,)</f>
        <v>0</v>
      </c>
      <c r="X10" s="17"/>
    </row>
    <row r="11" spans="1:24" s="7" customFormat="1" ht="169.5" customHeight="1" x14ac:dyDescent="1.25">
      <c r="A11" s="77">
        <v>8</v>
      </c>
      <c r="B11" s="79" t="s">
        <v>170</v>
      </c>
      <c r="C11" s="43" t="str">
        <f>_xlfn.XLOOKUP($B11,'Sobha - consolidated tracker '!$D:$D,'Sobha - consolidated tracker '!E:E,,)</f>
        <v>RERA</v>
      </c>
      <c r="D11" s="166">
        <v>46568</v>
      </c>
      <c r="E11" s="33">
        <f>_xlfn.XLOOKUP($B11,'Sobha - consolidated tracker '!$D:$D,'Sobha - consolidated tracker '!F:F,,)</f>
        <v>4608</v>
      </c>
      <c r="F11" s="33">
        <f>_xlfn.XLOOKUP($B11,'Sobha - consolidated tracker '!$D:$D,'Sobha - consolidated tracker '!G:G,,)</f>
        <v>9390845349.4699955</v>
      </c>
      <c r="G11" s="33">
        <f>_xlfn.XLOOKUP($B11,'Sobha - consolidated tracker '!$D:$D,'Sobha - consolidated tracker '!H:H,,)</f>
        <v>4905376235.9299879</v>
      </c>
      <c r="H11" s="33">
        <f>_xlfn.XLOOKUP($B11,'Sobha - consolidated tracker '!$D:$D,'Sobha - consolidated tracker '!I:I,,)</f>
        <v>4659049754.3500004</v>
      </c>
      <c r="I11" s="33">
        <f>_xlfn.XLOOKUP($B11,'Sobha - consolidated tracker '!$D:$D,'Sobha - consolidated tracker '!J:J,,)</f>
        <v>287677889.77999997</v>
      </c>
      <c r="J11" s="164">
        <f>_xlfn.XLOOKUP($B11,'Sobha - consolidated tracker '!$D:$D,'Sobha - consolidated tracker '!K:K,,)</f>
        <v>0.94978438559396505</v>
      </c>
      <c r="K11" s="46">
        <f>_xlfn.XLOOKUP($B11,'Sobha - consolidated tracker '!$D:$D,'Sobha - consolidated tracker '!L:L,,)</f>
        <v>246326481.47000006</v>
      </c>
      <c r="L11" s="30">
        <f>_xlfn.XLOOKUP($B11,'Sobha - consolidated tracker '!$D:$D,'Sobha - consolidated tracker '!M:M,,)</f>
        <v>4197791223.7600079</v>
      </c>
      <c r="M11" s="33">
        <f>_xlfn.XLOOKUP($B11,'Sobha - consolidated tracker '!$D:$D,'Sobha - consolidated tracker '!N:N,,)</f>
        <v>858839203.99000907</v>
      </c>
      <c r="N11" s="33">
        <f>_xlfn.XLOOKUP($B11,'Sobha - consolidated tracker '!$D:$D,'Sobha - consolidated tracker '!O:O,,)</f>
        <v>3338952019.769999</v>
      </c>
      <c r="O11" s="33">
        <f>_xlfn.XLOOKUP($B11,'Sobha - consolidated tracker '!$D:$D,'Sobha - consolidated tracker '!P:P,,)</f>
        <v>0</v>
      </c>
      <c r="P11" s="33">
        <f>_xlfn.XLOOKUP($B11,'Sobha - consolidated tracker '!$D:$D,'Sobha - consolidated tracker '!Q:Q,,)</f>
        <v>0</v>
      </c>
      <c r="Q11" s="33">
        <f>_xlfn.XLOOKUP($B11,'Sobha - consolidated tracker '!$D:$D,'Sobha - consolidated tracker '!R:R,,)</f>
        <v>0</v>
      </c>
      <c r="R11" s="33">
        <f>_xlfn.XLOOKUP($B11,'Sobha - consolidated tracker '!$D:$D,'Sobha - consolidated tracker '!S:S,,)</f>
        <v>0</v>
      </c>
      <c r="S11" s="33">
        <f>_xlfn.XLOOKUP($B11,'Sobha - consolidated tracker '!$D:$D,'Sobha - consolidated tracker '!T:T,,)</f>
        <v>0</v>
      </c>
      <c r="T11" s="33">
        <f>_xlfn.XLOOKUP($B11,'Sobha - consolidated tracker '!$D:$D,'Sobha - consolidated tracker '!U:U,,)</f>
        <v>0</v>
      </c>
      <c r="U11" s="33">
        <f>_xlfn.XLOOKUP($B11,'Sobha - consolidated tracker '!$D:$D,'Sobha - consolidated tracker '!V:V,,)</f>
        <v>0</v>
      </c>
      <c r="V11" s="33">
        <f>_xlfn.XLOOKUP($B11,'Sobha - consolidated tracker '!$D:$D,'Sobha - consolidated tracker '!W:W,,)</f>
        <v>0</v>
      </c>
      <c r="X11" s="17"/>
    </row>
    <row r="12" spans="1:24" s="7" customFormat="1" ht="169.5" customHeight="1" x14ac:dyDescent="1.25">
      <c r="A12" s="77">
        <v>9</v>
      </c>
      <c r="B12" s="79" t="s">
        <v>158</v>
      </c>
      <c r="C12" s="49" t="str">
        <f>_xlfn.XLOOKUP($B12,'Sobha - consolidated tracker '!$D:$D,'Sobha - consolidated tracker '!E:E,,)</f>
        <v>RERA</v>
      </c>
      <c r="D12" s="165">
        <v>47118</v>
      </c>
      <c r="E12" s="33">
        <f>_xlfn.XLOOKUP($B12,'Sobha - consolidated tracker '!$D:$D,'Sobha - consolidated tracker '!F:F,,)</f>
        <v>2906</v>
      </c>
      <c r="F12" s="33">
        <f>_xlfn.XLOOKUP($B12,'Sobha - consolidated tracker '!$D:$D,'Sobha - consolidated tracker '!G:G,,)</f>
        <v>3738518271.7600002</v>
      </c>
      <c r="G12" s="33">
        <f>_xlfn.XLOOKUP($B12,'Sobha - consolidated tracker '!$D:$D,'Sobha - consolidated tracker '!H:H,,)</f>
        <v>1582324083.3500047</v>
      </c>
      <c r="H12" s="33">
        <f>_xlfn.XLOOKUP($B12,'Sobha - consolidated tracker '!$D:$D,'Sobha - consolidated tracker '!I:I,,)</f>
        <v>1507701123.5200002</v>
      </c>
      <c r="I12" s="33">
        <f>_xlfn.XLOOKUP($B12,'Sobha - consolidated tracker '!$D:$D,'Sobha - consolidated tracker '!J:J,,)</f>
        <v>82998338.939999983</v>
      </c>
      <c r="J12" s="164">
        <f>_xlfn.XLOOKUP($B12,'Sobha - consolidated tracker '!$D:$D,'Sobha - consolidated tracker '!K:K,,)</f>
        <v>0.95283964858070225</v>
      </c>
      <c r="K12" s="46">
        <f>_xlfn.XLOOKUP($B12,'Sobha - consolidated tracker '!$D:$D,'Sobha - consolidated tracker '!L:L,,)</f>
        <v>74622959.759999961</v>
      </c>
      <c r="L12" s="30">
        <f>_xlfn.XLOOKUP($B12,'Sobha - consolidated tracker '!$D:$D,'Sobha - consolidated tracker '!M:M,,)</f>
        <v>2073195849.4699955</v>
      </c>
      <c r="M12" s="33">
        <f>_xlfn.XLOOKUP($B12,'Sobha - consolidated tracker '!$D:$D,'Sobha - consolidated tracker '!N:N,,)</f>
        <v>364122517.84999478</v>
      </c>
      <c r="N12" s="33">
        <f>_xlfn.XLOOKUP($B12,'Sobha - consolidated tracker '!$D:$D,'Sobha - consolidated tracker '!O:O,,)</f>
        <v>1708716279.6900005</v>
      </c>
      <c r="O12" s="33">
        <f>_xlfn.XLOOKUP($B12,'Sobha - consolidated tracker '!$D:$D,'Sobha - consolidated tracker '!P:P,,)</f>
        <v>357051.93</v>
      </c>
      <c r="P12" s="33">
        <f>_xlfn.XLOOKUP($B12,'Sobha - consolidated tracker '!$D:$D,'Sobha - consolidated tracker '!Q:Q,,)</f>
        <v>0</v>
      </c>
      <c r="Q12" s="33">
        <f>_xlfn.XLOOKUP($B12,'Sobha - consolidated tracker '!$D:$D,'Sobha - consolidated tracker '!R:R,,)</f>
        <v>0</v>
      </c>
      <c r="R12" s="33">
        <f>_xlfn.XLOOKUP($B12,'Sobha - consolidated tracker '!$D:$D,'Sobha - consolidated tracker '!S:S,,)</f>
        <v>0</v>
      </c>
      <c r="S12" s="33">
        <f>_xlfn.XLOOKUP($B12,'Sobha - consolidated tracker '!$D:$D,'Sobha - consolidated tracker '!T:T,,)</f>
        <v>0</v>
      </c>
      <c r="T12" s="33">
        <f>_xlfn.XLOOKUP($B12,'Sobha - consolidated tracker '!$D:$D,'Sobha - consolidated tracker '!U:U,,)</f>
        <v>0</v>
      </c>
      <c r="U12" s="33">
        <f>_xlfn.XLOOKUP($B12,'Sobha - consolidated tracker '!$D:$D,'Sobha - consolidated tracker '!V:V,,)</f>
        <v>0</v>
      </c>
      <c r="V12" s="33">
        <f>_xlfn.XLOOKUP($B12,'Sobha - consolidated tracker '!$D:$D,'Sobha - consolidated tracker '!W:W,,)</f>
        <v>0</v>
      </c>
      <c r="X12" s="17"/>
    </row>
    <row r="13" spans="1:24" s="7" customFormat="1" ht="169.5" customHeight="1" x14ac:dyDescent="1.25">
      <c r="A13" s="77">
        <v>10</v>
      </c>
      <c r="B13" s="79" t="s">
        <v>149</v>
      </c>
      <c r="C13" s="49" t="str">
        <f>_xlfn.XLOOKUP($B13,'Sobha - consolidated tracker '!$D:$D,'Sobha - consolidated tracker '!E:E,,)</f>
        <v>RERA</v>
      </c>
      <c r="D13" s="165">
        <v>47118</v>
      </c>
      <c r="E13" s="33">
        <f>_xlfn.XLOOKUP($B13,'Sobha - consolidated tracker '!$D:$D,'Sobha - consolidated tracker '!F:F,,)</f>
        <v>1445</v>
      </c>
      <c r="F13" s="33">
        <f>_xlfn.XLOOKUP($B13,'Sobha - consolidated tracker '!$D:$D,'Sobha - consolidated tracker '!G:G,,)</f>
        <v>3839886319.8000002</v>
      </c>
      <c r="G13" s="33">
        <f>_xlfn.XLOOKUP($B13,'Sobha - consolidated tracker '!$D:$D,'Sobha - consolidated tracker '!H:H,,)</f>
        <v>1045588601.7500001</v>
      </c>
      <c r="H13" s="33">
        <f>_xlfn.XLOOKUP($B13,'Sobha - consolidated tracker '!$D:$D,'Sobha - consolidated tracker '!I:I,,)</f>
        <v>1005409411.4799995</v>
      </c>
      <c r="I13" s="33">
        <f>_xlfn.XLOOKUP($B13,'Sobha - consolidated tracker '!$D:$D,'Sobha - consolidated tracker '!J:J,,)</f>
        <v>150309394.14999992</v>
      </c>
      <c r="J13" s="164">
        <f>_xlfn.XLOOKUP($B13,'Sobha - consolidated tracker '!$D:$D,'Sobha - consolidated tracker '!K:K,,)</f>
        <v>0.96157265849804341</v>
      </c>
      <c r="K13" s="46">
        <f>_xlfn.XLOOKUP($B13,'Sobha - consolidated tracker '!$D:$D,'Sobha - consolidated tracker '!L:L,,)</f>
        <v>40179190.149999999</v>
      </c>
      <c r="L13" s="30">
        <f>_xlfn.XLOOKUP($B13,'Sobha - consolidated tracker '!$D:$D,'Sobha - consolidated tracker '!M:M,,)</f>
        <v>2643988323.9000001</v>
      </c>
      <c r="M13" s="33">
        <f>_xlfn.XLOOKUP($B13,'Sobha - consolidated tracker '!$D:$D,'Sobha - consolidated tracker '!N:N,,)</f>
        <v>331592429.57999897</v>
      </c>
      <c r="N13" s="33">
        <f>_xlfn.XLOOKUP($B13,'Sobha - consolidated tracker '!$D:$D,'Sobha - consolidated tracker '!O:O,,)</f>
        <v>552559356.07000017</v>
      </c>
      <c r="O13" s="33">
        <f>_xlfn.XLOOKUP($B13,'Sobha - consolidated tracker '!$D:$D,'Sobha - consolidated tracker '!P:P,,)</f>
        <v>1759836538.250001</v>
      </c>
      <c r="P13" s="33">
        <f>_xlfn.XLOOKUP($B13,'Sobha - consolidated tracker '!$D:$D,'Sobha - consolidated tracker '!Q:Q,,)</f>
        <v>0</v>
      </c>
      <c r="Q13" s="33">
        <f>_xlfn.XLOOKUP($B13,'Sobha - consolidated tracker '!$D:$D,'Sobha - consolidated tracker '!R:R,,)</f>
        <v>0</v>
      </c>
      <c r="R13" s="33">
        <f>_xlfn.XLOOKUP($B13,'Sobha - consolidated tracker '!$D:$D,'Sobha - consolidated tracker '!S:S,,)</f>
        <v>0</v>
      </c>
      <c r="S13" s="33">
        <f>_xlfn.XLOOKUP($B13,'Sobha - consolidated tracker '!$D:$D,'Sobha - consolidated tracker '!T:T,,)</f>
        <v>0</v>
      </c>
      <c r="T13" s="33">
        <f>_xlfn.XLOOKUP($B13,'Sobha - consolidated tracker '!$D:$D,'Sobha - consolidated tracker '!U:U,,)</f>
        <v>0</v>
      </c>
      <c r="U13" s="33">
        <f>_xlfn.XLOOKUP($B13,'Sobha - consolidated tracker '!$D:$D,'Sobha - consolidated tracker '!V:V,,)</f>
        <v>0</v>
      </c>
      <c r="V13" s="33">
        <f>_xlfn.XLOOKUP($B13,'Sobha - consolidated tracker '!$D:$D,'Sobha - consolidated tracker '!W:W,,)</f>
        <v>0</v>
      </c>
      <c r="X13" s="17"/>
    </row>
    <row r="14" spans="1:24" s="7" customFormat="1" ht="169.5" customHeight="1" x14ac:dyDescent="1.25">
      <c r="A14" s="77">
        <v>11</v>
      </c>
      <c r="B14" s="76" t="s">
        <v>140</v>
      </c>
      <c r="C14" s="49" t="str">
        <f>_xlfn.XLOOKUP($B14,'Sobha - consolidated tracker '!$D:$D,'Sobha - consolidated tracker '!E:E,,)</f>
        <v>RERA</v>
      </c>
      <c r="D14" s="165">
        <v>46752</v>
      </c>
      <c r="E14" s="33">
        <f>_xlfn.XLOOKUP($B14,'Sobha - consolidated tracker '!$D:$D,'Sobha - consolidated tracker '!F:F,,)</f>
        <v>221</v>
      </c>
      <c r="F14" s="33">
        <f>_xlfn.XLOOKUP($B14,'Sobha - consolidated tracker '!$D:$D,'Sobha - consolidated tracker '!G:G,,)</f>
        <v>1954312376.55</v>
      </c>
      <c r="G14" s="33">
        <f>_xlfn.XLOOKUP($B14,'Sobha - consolidated tracker '!$D:$D,'Sobha - consolidated tracker '!H:H,,)</f>
        <v>768457079.78999925</v>
      </c>
      <c r="H14" s="33">
        <f>_xlfn.XLOOKUP($B14,'Sobha - consolidated tracker '!$D:$D,'Sobha - consolidated tracker '!I:I,,)</f>
        <v>701877883.23999989</v>
      </c>
      <c r="I14" s="33">
        <f>_xlfn.XLOOKUP($B14,'Sobha - consolidated tracker '!$D:$D,'Sobha - consolidated tracker '!J:J,,)</f>
        <v>59776025.799999997</v>
      </c>
      <c r="J14" s="164">
        <f>_xlfn.XLOOKUP($B14,'Sobha - consolidated tracker '!$D:$D,'Sobha - consolidated tracker '!K:K,,)</f>
        <v>0.91335990219753871</v>
      </c>
      <c r="K14" s="46">
        <f>_xlfn.XLOOKUP($B14,'Sobha - consolidated tracker '!$D:$D,'Sobha - consolidated tracker '!L:L,,)</f>
        <v>66579196.550000019</v>
      </c>
      <c r="L14" s="30">
        <f>_xlfn.XLOOKUP($B14,'Sobha - consolidated tracker '!$D:$D,'Sobha - consolidated tracker '!M:M,,)</f>
        <v>1126079270.9600008</v>
      </c>
      <c r="M14" s="33">
        <f>_xlfn.XLOOKUP($B14,'Sobha - consolidated tracker '!$D:$D,'Sobha - consolidated tracker '!N:N,,)</f>
        <v>227945653.66000068</v>
      </c>
      <c r="N14" s="33">
        <f>_xlfn.XLOOKUP($B14,'Sobha - consolidated tracker '!$D:$D,'Sobha - consolidated tracker '!O:O,,)</f>
        <v>898133617.30000007</v>
      </c>
      <c r="O14" s="33">
        <f>_xlfn.XLOOKUP($B14,'Sobha - consolidated tracker '!$D:$D,'Sobha - consolidated tracker '!P:P,,)</f>
        <v>0</v>
      </c>
      <c r="P14" s="33">
        <f>_xlfn.XLOOKUP($B14,'Sobha - consolidated tracker '!$D:$D,'Sobha - consolidated tracker '!Q:Q,,)</f>
        <v>0</v>
      </c>
      <c r="Q14" s="33">
        <f>_xlfn.XLOOKUP($B14,'Sobha - consolidated tracker '!$D:$D,'Sobha - consolidated tracker '!R:R,,)</f>
        <v>0</v>
      </c>
      <c r="R14" s="33">
        <f>_xlfn.XLOOKUP($B14,'Sobha - consolidated tracker '!$D:$D,'Sobha - consolidated tracker '!S:S,,)</f>
        <v>0</v>
      </c>
      <c r="S14" s="33">
        <f>_xlfn.XLOOKUP($B14,'Sobha - consolidated tracker '!$D:$D,'Sobha - consolidated tracker '!T:T,,)</f>
        <v>0</v>
      </c>
      <c r="T14" s="33">
        <f>_xlfn.XLOOKUP($B14,'Sobha - consolidated tracker '!$D:$D,'Sobha - consolidated tracker '!U:U,,)</f>
        <v>0</v>
      </c>
      <c r="U14" s="33">
        <f>_xlfn.XLOOKUP($B14,'Sobha - consolidated tracker '!$D:$D,'Sobha - consolidated tracker '!V:V,,)</f>
        <v>0</v>
      </c>
      <c r="V14" s="33">
        <f>_xlfn.XLOOKUP($B14,'Sobha - consolidated tracker '!$D:$D,'Sobha - consolidated tracker '!W:W,,)</f>
        <v>0</v>
      </c>
      <c r="X14" s="17"/>
    </row>
    <row r="15" spans="1:24" s="7" customFormat="1" ht="169.5" customHeight="1" x14ac:dyDescent="1.25">
      <c r="A15" s="77">
        <v>12</v>
      </c>
      <c r="B15" s="76" t="s">
        <v>139</v>
      </c>
      <c r="C15" s="49" t="str">
        <f>_xlfn.XLOOKUP($B15,'Sobha - consolidated tracker '!$D:$D,'Sobha - consolidated tracker '!E:E,,)</f>
        <v>RERA</v>
      </c>
      <c r="D15" s="165">
        <v>46752</v>
      </c>
      <c r="E15" s="33">
        <f>_xlfn.XLOOKUP($B15,'Sobha - consolidated tracker '!$D:$D,'Sobha - consolidated tracker '!F:F,,)</f>
        <v>27</v>
      </c>
      <c r="F15" s="33">
        <f>_xlfn.XLOOKUP($B15,'Sobha - consolidated tracker '!$D:$D,'Sobha - consolidated tracker '!G:G,,)</f>
        <v>294914060</v>
      </c>
      <c r="G15" s="33">
        <f>_xlfn.XLOOKUP($B15,'Sobha - consolidated tracker '!$D:$D,'Sobha - consolidated tracker '!H:H,,)</f>
        <v>57991284</v>
      </c>
      <c r="H15" s="33">
        <f>_xlfn.XLOOKUP($B15,'Sobha - consolidated tracker '!$D:$D,'Sobha - consolidated tracker '!I:I,,)</f>
        <v>50210980</v>
      </c>
      <c r="I15" s="33">
        <f>_xlfn.XLOOKUP($B15,'Sobha - consolidated tracker '!$D:$D,'Sobha - consolidated tracker '!J:J,,)</f>
        <v>9851943.7400000002</v>
      </c>
      <c r="J15" s="164">
        <f>_xlfn.XLOOKUP($B15,'Sobha - consolidated tracker '!$D:$D,'Sobha - consolidated tracker '!K:K,,)</f>
        <v>0.86583666607554333</v>
      </c>
      <c r="K15" s="46">
        <f>_xlfn.XLOOKUP($B15,'Sobha - consolidated tracker '!$D:$D,'Sobha - consolidated tracker '!L:L,,)</f>
        <v>7780304</v>
      </c>
      <c r="L15" s="30">
        <f>_xlfn.XLOOKUP($B15,'Sobha - consolidated tracker '!$D:$D,'Sobha - consolidated tracker '!M:M,,)</f>
        <v>227070832.25999999</v>
      </c>
      <c r="M15" s="33">
        <f>_xlfn.XLOOKUP($B15,'Sobha - consolidated tracker '!$D:$D,'Sobha - consolidated tracker '!N:N,,)</f>
        <v>41969799.75</v>
      </c>
      <c r="N15" s="33">
        <f>_xlfn.XLOOKUP($B15,'Sobha - consolidated tracker '!$D:$D,'Sobha - consolidated tracker '!O:O,,)</f>
        <v>64002876.509999998</v>
      </c>
      <c r="O15" s="33">
        <f>_xlfn.XLOOKUP($B15,'Sobha - consolidated tracker '!$D:$D,'Sobha - consolidated tracker '!P:P,,)</f>
        <v>121098156</v>
      </c>
      <c r="P15" s="33">
        <f>_xlfn.XLOOKUP($B15,'Sobha - consolidated tracker '!$D:$D,'Sobha - consolidated tracker '!Q:Q,,)</f>
        <v>0</v>
      </c>
      <c r="Q15" s="33">
        <f>_xlfn.XLOOKUP($B15,'Sobha - consolidated tracker '!$D:$D,'Sobha - consolidated tracker '!R:R,,)</f>
        <v>0</v>
      </c>
      <c r="R15" s="33">
        <f>_xlfn.XLOOKUP($B15,'Sobha - consolidated tracker '!$D:$D,'Sobha - consolidated tracker '!S:S,,)</f>
        <v>0</v>
      </c>
      <c r="S15" s="33">
        <f>_xlfn.XLOOKUP($B15,'Sobha - consolidated tracker '!$D:$D,'Sobha - consolidated tracker '!T:T,,)</f>
        <v>0</v>
      </c>
      <c r="T15" s="33">
        <f>_xlfn.XLOOKUP($B15,'Sobha - consolidated tracker '!$D:$D,'Sobha - consolidated tracker '!U:U,,)</f>
        <v>0</v>
      </c>
      <c r="U15" s="33">
        <f>_xlfn.XLOOKUP($B15,'Sobha - consolidated tracker '!$D:$D,'Sobha - consolidated tracker '!V:V,,)</f>
        <v>0</v>
      </c>
      <c r="V15" s="33">
        <f>_xlfn.XLOOKUP($B15,'Sobha - consolidated tracker '!$D:$D,'Sobha - consolidated tracker '!W:W,,)</f>
        <v>0</v>
      </c>
      <c r="X15" s="17"/>
    </row>
    <row r="16" spans="1:24" s="7" customFormat="1" ht="169.5" customHeight="1" x14ac:dyDescent="1.25">
      <c r="A16" s="77">
        <v>13</v>
      </c>
      <c r="B16" s="76" t="s">
        <v>138</v>
      </c>
      <c r="C16" s="49" t="str">
        <f>_xlfn.XLOOKUP($B16,'Sobha - consolidated tracker '!$D:$D,'Sobha - consolidated tracker '!E:E,,)</f>
        <v>RERA</v>
      </c>
      <c r="D16" s="165">
        <v>46752</v>
      </c>
      <c r="E16" s="33">
        <f>_xlfn.XLOOKUP($B16,'Sobha - consolidated tracker '!$D:$D,'Sobha - consolidated tracker '!F:F,,)</f>
        <v>2128</v>
      </c>
      <c r="F16" s="33">
        <f>_xlfn.XLOOKUP($B16,'Sobha - consolidated tracker '!$D:$D,'Sobha - consolidated tracker '!G:G,,)</f>
        <v>2655913536.2199993</v>
      </c>
      <c r="G16" s="33">
        <f>_xlfn.XLOOKUP($B16,'Sobha - consolidated tracker '!$D:$D,'Sobha - consolidated tracker '!H:H,,)</f>
        <v>843400732.57999992</v>
      </c>
      <c r="H16" s="33">
        <f>_xlfn.XLOOKUP($B16,'Sobha - consolidated tracker '!$D:$D,'Sobha - consolidated tracker '!I:I,,)</f>
        <v>802824204.00999975</v>
      </c>
      <c r="I16" s="33">
        <f>_xlfn.XLOOKUP($B16,'Sobha - consolidated tracker '!$D:$D,'Sobha - consolidated tracker '!J:J,,)</f>
        <v>52176492.309999995</v>
      </c>
      <c r="J16" s="164">
        <f>_xlfn.XLOOKUP($B16,'Sobha - consolidated tracker '!$D:$D,'Sobha - consolidated tracker '!K:K,,)</f>
        <v>0.95188938424813219</v>
      </c>
      <c r="K16" s="46">
        <f>_xlfn.XLOOKUP($B16,'Sobha - consolidated tracker '!$D:$D,'Sobha - consolidated tracker '!L:L,,)</f>
        <v>40576528.490000002</v>
      </c>
      <c r="L16" s="30">
        <f>_xlfn.XLOOKUP($B16,'Sobha - consolidated tracker '!$D:$D,'Sobha - consolidated tracker '!M:M,,)</f>
        <v>1760336311.3299994</v>
      </c>
      <c r="M16" s="33">
        <f>_xlfn.XLOOKUP($B16,'Sobha - consolidated tracker '!$D:$D,'Sobha - consolidated tracker '!N:N,,)</f>
        <v>1760336311.3299994</v>
      </c>
      <c r="N16" s="33">
        <f>_xlfn.XLOOKUP($B16,'Sobha - consolidated tracker '!$D:$D,'Sobha - consolidated tracker '!O:O,,)</f>
        <v>0</v>
      </c>
      <c r="O16" s="33">
        <f>_xlfn.XLOOKUP($B16,'Sobha - consolidated tracker '!$D:$D,'Sobha - consolidated tracker '!P:P,,)</f>
        <v>0</v>
      </c>
      <c r="P16" s="33">
        <f>_xlfn.XLOOKUP($B16,'Sobha - consolidated tracker '!$D:$D,'Sobha - consolidated tracker '!Q:Q,,)</f>
        <v>0</v>
      </c>
      <c r="Q16" s="33">
        <f>_xlfn.XLOOKUP($B16,'Sobha - consolidated tracker '!$D:$D,'Sobha - consolidated tracker '!R:R,,)</f>
        <v>0</v>
      </c>
      <c r="R16" s="33">
        <f>_xlfn.XLOOKUP($B16,'Sobha - consolidated tracker '!$D:$D,'Sobha - consolidated tracker '!S:S,,)</f>
        <v>0</v>
      </c>
      <c r="S16" s="33">
        <f>_xlfn.XLOOKUP($B16,'Sobha - consolidated tracker '!$D:$D,'Sobha - consolidated tracker '!T:T,,)</f>
        <v>0</v>
      </c>
      <c r="T16" s="33">
        <f>_xlfn.XLOOKUP($B16,'Sobha - consolidated tracker '!$D:$D,'Sobha - consolidated tracker '!U:U,,)</f>
        <v>0</v>
      </c>
      <c r="U16" s="33">
        <f>_xlfn.XLOOKUP($B16,'Sobha - consolidated tracker '!$D:$D,'Sobha - consolidated tracker '!V:V,,)</f>
        <v>0</v>
      </c>
      <c r="V16" s="33">
        <f>_xlfn.XLOOKUP($B16,'Sobha - consolidated tracker '!$D:$D,'Sobha - consolidated tracker '!W:W,,)</f>
        <v>0</v>
      </c>
      <c r="X16" s="17"/>
    </row>
    <row r="17" spans="1:24" s="7" customFormat="1" ht="169.5" customHeight="1" x14ac:dyDescent="1.25">
      <c r="A17" s="77">
        <v>14</v>
      </c>
      <c r="B17" s="76" t="s">
        <v>133</v>
      </c>
      <c r="C17" s="49" t="str">
        <f>_xlfn.XLOOKUP($B17,'Sobha - consolidated tracker '!$D:$D,'Sobha - consolidated tracker '!E:E,,)</f>
        <v>RERA</v>
      </c>
      <c r="D17" s="165">
        <v>46387</v>
      </c>
      <c r="E17" s="33">
        <f>_xlfn.XLOOKUP($B17,'Sobha - consolidated tracker '!$D:$D,'Sobha - consolidated tracker '!F:F,,)</f>
        <v>258</v>
      </c>
      <c r="F17" s="33">
        <f>_xlfn.XLOOKUP($B17,'Sobha - consolidated tracker '!$D:$D,'Sobha - consolidated tracker '!G:G,,)</f>
        <v>948166135.37000036</v>
      </c>
      <c r="G17" s="33">
        <f>_xlfn.XLOOKUP($B17,'Sobha - consolidated tracker '!$D:$D,'Sobha - consolidated tracker '!H:H,,)</f>
        <v>242744868.43000039</v>
      </c>
      <c r="H17" s="33">
        <f>_xlfn.XLOOKUP($B17,'Sobha - consolidated tracker '!$D:$D,'Sobha - consolidated tracker '!I:I,,)</f>
        <v>223599095.42999998</v>
      </c>
      <c r="I17" s="33">
        <f>_xlfn.XLOOKUP($B17,'Sobha - consolidated tracker '!$D:$D,'Sobha - consolidated tracker '!J:J,,)</f>
        <v>19307987.160000004</v>
      </c>
      <c r="J17" s="164">
        <f>_xlfn.XLOOKUP($B17,'Sobha - consolidated tracker '!$D:$D,'Sobha - consolidated tracker '!K:K,,)</f>
        <v>0.92112800108266168</v>
      </c>
      <c r="K17" s="46">
        <f>_xlfn.XLOOKUP($B17,'Sobha - consolidated tracker '!$D:$D,'Sobha - consolidated tracker '!L:L,,)</f>
        <v>19145773</v>
      </c>
      <c r="L17" s="30">
        <f>_xlfn.XLOOKUP($B17,'Sobha - consolidated tracker '!$D:$D,'Sobha - consolidated tracker '!M:M,,)</f>
        <v>686113279.77999997</v>
      </c>
      <c r="M17" s="33">
        <f>_xlfn.XLOOKUP($B17,'Sobha - consolidated tracker '!$D:$D,'Sobha - consolidated tracker '!N:N,,)</f>
        <v>81920610.740000367</v>
      </c>
      <c r="N17" s="33">
        <f>_xlfn.XLOOKUP($B17,'Sobha - consolidated tracker '!$D:$D,'Sobha - consolidated tracker '!O:O,,)</f>
        <v>157365938.28999999</v>
      </c>
      <c r="O17" s="33">
        <f>_xlfn.XLOOKUP($B17,'Sobha - consolidated tracker '!$D:$D,'Sobha - consolidated tracker '!P:P,,)</f>
        <v>444895904.74999958</v>
      </c>
      <c r="P17" s="33">
        <f>_xlfn.XLOOKUP($B17,'Sobha - consolidated tracker '!$D:$D,'Sobha - consolidated tracker '!Q:Q,,)</f>
        <v>1930826</v>
      </c>
      <c r="Q17" s="33">
        <f>_xlfn.XLOOKUP($B17,'Sobha - consolidated tracker '!$D:$D,'Sobha - consolidated tracker '!R:R,,)</f>
        <v>0</v>
      </c>
      <c r="R17" s="33">
        <f>_xlfn.XLOOKUP($B17,'Sobha - consolidated tracker '!$D:$D,'Sobha - consolidated tracker '!S:S,,)</f>
        <v>0</v>
      </c>
      <c r="S17" s="33">
        <f>_xlfn.XLOOKUP($B17,'Sobha - consolidated tracker '!$D:$D,'Sobha - consolidated tracker '!T:T,,)</f>
        <v>0</v>
      </c>
      <c r="T17" s="33">
        <f>_xlfn.XLOOKUP($B17,'Sobha - consolidated tracker '!$D:$D,'Sobha - consolidated tracker '!U:U,,)</f>
        <v>0</v>
      </c>
      <c r="U17" s="33">
        <f>_xlfn.XLOOKUP($B17,'Sobha - consolidated tracker '!$D:$D,'Sobha - consolidated tracker '!V:V,,)</f>
        <v>0</v>
      </c>
      <c r="V17" s="33">
        <f>_xlfn.XLOOKUP($B17,'Sobha - consolidated tracker '!$D:$D,'Sobha - consolidated tracker '!W:W,,)</f>
        <v>0</v>
      </c>
      <c r="X17" s="17"/>
    </row>
    <row r="18" spans="1:24" s="7" customFormat="1" ht="169.5" customHeight="1" x14ac:dyDescent="1.25">
      <c r="A18" s="77">
        <v>15</v>
      </c>
      <c r="B18" s="76" t="s">
        <v>132</v>
      </c>
      <c r="C18" s="49" t="str">
        <f>_xlfn.XLOOKUP($B18,'Sobha - consolidated tracker '!$D:$D,'Sobha - consolidated tracker '!E:E,,)</f>
        <v>RERA</v>
      </c>
      <c r="D18" s="165">
        <v>47208</v>
      </c>
      <c r="E18" s="33">
        <f>_xlfn.XLOOKUP($B18,'Sobha - consolidated tracker '!$D:$D,'Sobha - consolidated tracker '!F:F,,)</f>
        <v>2068</v>
      </c>
      <c r="F18" s="33">
        <f>_xlfn.XLOOKUP($B18,'Sobha - consolidated tracker '!$D:$D,'Sobha - consolidated tracker '!G:G,,)</f>
        <v>4707104548.2700014</v>
      </c>
      <c r="G18" s="33">
        <f>_xlfn.XLOOKUP($B18,'Sobha - consolidated tracker '!$D:$D,'Sobha - consolidated tracker '!H:H,,)</f>
        <v>1201503819.1500008</v>
      </c>
      <c r="H18" s="33">
        <f>_xlfn.XLOOKUP($B18,'Sobha - consolidated tracker '!$D:$D,'Sobha - consolidated tracker '!I:I,,)</f>
        <v>1110390649.8599992</v>
      </c>
      <c r="I18" s="33">
        <f>_xlfn.XLOOKUP($B18,'Sobha - consolidated tracker '!$D:$D,'Sobha - consolidated tracker '!J:J,,)</f>
        <v>85541920.189999968</v>
      </c>
      <c r="J18" s="164">
        <f>_xlfn.XLOOKUP($B18,'Sobha - consolidated tracker '!$D:$D,'Sobha - consolidated tracker '!K:K,,)</f>
        <v>0.92416739103296464</v>
      </c>
      <c r="K18" s="46">
        <f>_xlfn.XLOOKUP($B18,'Sobha - consolidated tracker '!$D:$D,'Sobha - consolidated tracker '!L:L,,)</f>
        <v>91113169.230000049</v>
      </c>
      <c r="L18" s="30">
        <f>_xlfn.XLOOKUP($B18,'Sobha - consolidated tracker '!$D:$D,'Sobha - consolidated tracker '!M:M,,)</f>
        <v>3420058808.9300003</v>
      </c>
      <c r="M18" s="33">
        <f>_xlfn.XLOOKUP($B18,'Sobha - consolidated tracker '!$D:$D,'Sobha - consolidated tracker '!N:N,,)</f>
        <v>225615022.57000291</v>
      </c>
      <c r="N18" s="33">
        <f>_xlfn.XLOOKUP($B18,'Sobha - consolidated tracker '!$D:$D,'Sobha - consolidated tracker '!O:O,,)</f>
        <v>449963200.78999954</v>
      </c>
      <c r="O18" s="33">
        <f>_xlfn.XLOOKUP($B18,'Sobha - consolidated tracker '!$D:$D,'Sobha - consolidated tracker '!P:P,,)</f>
        <v>699059119.08999979</v>
      </c>
      <c r="P18" s="33">
        <f>_xlfn.XLOOKUP($B18,'Sobha - consolidated tracker '!$D:$D,'Sobha - consolidated tracker '!Q:Q,,)</f>
        <v>1664465059.809999</v>
      </c>
      <c r="Q18" s="33">
        <f>_xlfn.XLOOKUP($B18,'Sobha - consolidated tracker '!$D:$D,'Sobha - consolidated tracker '!R:R,,)</f>
        <v>380956406.66999984</v>
      </c>
      <c r="R18" s="33">
        <f>_xlfn.XLOOKUP($B18,'Sobha - consolidated tracker '!$D:$D,'Sobha - consolidated tracker '!S:S,,)</f>
        <v>0</v>
      </c>
      <c r="S18" s="33">
        <f>_xlfn.XLOOKUP($B18,'Sobha - consolidated tracker '!$D:$D,'Sobha - consolidated tracker '!T:T,,)</f>
        <v>0</v>
      </c>
      <c r="T18" s="33">
        <f>_xlfn.XLOOKUP($B18,'Sobha - consolidated tracker '!$D:$D,'Sobha - consolidated tracker '!U:U,,)</f>
        <v>0</v>
      </c>
      <c r="U18" s="33">
        <f>_xlfn.XLOOKUP($B18,'Sobha - consolidated tracker '!$D:$D,'Sobha - consolidated tracker '!V:V,,)</f>
        <v>0</v>
      </c>
      <c r="V18" s="33">
        <f>_xlfn.XLOOKUP($B18,'Sobha - consolidated tracker '!$D:$D,'Sobha - consolidated tracker '!W:W,,)</f>
        <v>0</v>
      </c>
      <c r="X18" s="17"/>
    </row>
    <row r="19" spans="1:24" s="7" customFormat="1" ht="169.5" customHeight="1" x14ac:dyDescent="1.25">
      <c r="A19" s="77">
        <v>16</v>
      </c>
      <c r="B19" s="76" t="s">
        <v>123</v>
      </c>
      <c r="C19" s="49" t="str">
        <f>_xlfn.XLOOKUP($B19,'Sobha - consolidated tracker '!$D:$D,'Sobha - consolidated tracker '!E:E,,)</f>
        <v>RERA</v>
      </c>
      <c r="D19" s="165">
        <v>47208</v>
      </c>
      <c r="E19" s="33">
        <f>_xlfn.XLOOKUP($B19,'Sobha - consolidated tracker '!$D:$D,'Sobha - consolidated tracker '!F:F,,)</f>
        <v>672</v>
      </c>
      <c r="F19" s="33">
        <f>_xlfn.XLOOKUP($B19,'Sobha - consolidated tracker '!$D:$D,'Sobha - consolidated tracker '!G:G,,)</f>
        <v>1599366651.0000005</v>
      </c>
      <c r="G19" s="33">
        <f>_xlfn.XLOOKUP($B19,'Sobha - consolidated tracker '!$D:$D,'Sobha - consolidated tracker '!H:H,,)</f>
        <v>315579971.6600005</v>
      </c>
      <c r="H19" s="33">
        <f>_xlfn.XLOOKUP($B19,'Sobha - consolidated tracker '!$D:$D,'Sobha - consolidated tracker '!I:I,,)</f>
        <v>309757309.13999975</v>
      </c>
      <c r="I19" s="33">
        <f>_xlfn.XLOOKUP($B19,'Sobha - consolidated tracker '!$D:$D,'Sobha - consolidated tracker '!J:J,,)</f>
        <v>47734481.490000054</v>
      </c>
      <c r="J19" s="164">
        <f>_xlfn.XLOOKUP($B19,'Sobha - consolidated tracker '!$D:$D,'Sobha - consolidated tracker '!K:K,,)</f>
        <v>0.98154932808513595</v>
      </c>
      <c r="K19" s="46">
        <f>_xlfn.XLOOKUP($B19,'Sobha - consolidated tracker '!$D:$D,'Sobha - consolidated tracker '!L:L,,)</f>
        <v>5822662.3200000003</v>
      </c>
      <c r="L19" s="30">
        <f>_xlfn.XLOOKUP($B19,'Sobha - consolidated tracker '!$D:$D,'Sobha - consolidated tracker '!M:M,,)</f>
        <v>1236052197.8499999</v>
      </c>
      <c r="M19" s="33">
        <f>_xlfn.XLOOKUP($B19,'Sobha - consolidated tracker '!$D:$D,'Sobha - consolidated tracker '!N:N,,)</f>
        <v>133071202.69000101</v>
      </c>
      <c r="N19" s="33">
        <f>_xlfn.XLOOKUP($B19,'Sobha - consolidated tracker '!$D:$D,'Sobha - consolidated tracker '!O:O,,)</f>
        <v>154417417.26999974</v>
      </c>
      <c r="O19" s="33">
        <f>_xlfn.XLOOKUP($B19,'Sobha - consolidated tracker '!$D:$D,'Sobha - consolidated tracker '!P:P,,)</f>
        <v>254592072.25000003</v>
      </c>
      <c r="P19" s="33">
        <f>_xlfn.XLOOKUP($B19,'Sobha - consolidated tracker '!$D:$D,'Sobha - consolidated tracker '!Q:Q,,)</f>
        <v>693971505.63999903</v>
      </c>
      <c r="Q19" s="33">
        <f>_xlfn.XLOOKUP($B19,'Sobha - consolidated tracker '!$D:$D,'Sobha - consolidated tracker '!R:R,,)</f>
        <v>0</v>
      </c>
      <c r="R19" s="33">
        <f>_xlfn.XLOOKUP($B19,'Sobha - consolidated tracker '!$D:$D,'Sobha - consolidated tracker '!S:S,,)</f>
        <v>0</v>
      </c>
      <c r="S19" s="33">
        <f>_xlfn.XLOOKUP($B19,'Sobha - consolidated tracker '!$D:$D,'Sobha - consolidated tracker '!T:T,,)</f>
        <v>0</v>
      </c>
      <c r="T19" s="33">
        <f>_xlfn.XLOOKUP($B19,'Sobha - consolidated tracker '!$D:$D,'Sobha - consolidated tracker '!U:U,,)</f>
        <v>0</v>
      </c>
      <c r="U19" s="33">
        <f>_xlfn.XLOOKUP($B19,'Sobha - consolidated tracker '!$D:$D,'Sobha - consolidated tracker '!V:V,,)</f>
        <v>0</v>
      </c>
      <c r="V19" s="33">
        <f>_xlfn.XLOOKUP($B19,'Sobha - consolidated tracker '!$D:$D,'Sobha - consolidated tracker '!W:W,,)</f>
        <v>0</v>
      </c>
      <c r="X19" s="17"/>
    </row>
    <row r="20" spans="1:24" s="7" customFormat="1" ht="169.5" customHeight="1" thickBot="1" x14ac:dyDescent="1.3">
      <c r="A20" s="77">
        <v>17</v>
      </c>
      <c r="B20" s="76" t="s">
        <v>122</v>
      </c>
      <c r="C20" s="49" t="str">
        <f>_xlfn.XLOOKUP($B20,'Sobha - consolidated tracker '!$D:$D,'Sobha - consolidated tracker '!E:E,,)</f>
        <v>RERA</v>
      </c>
      <c r="D20" s="165">
        <v>47208</v>
      </c>
      <c r="E20" s="33">
        <f>_xlfn.XLOOKUP($B20,'Sobha - consolidated tracker '!$D:$D,'Sobha - consolidated tracker '!F:F,,)</f>
        <v>368</v>
      </c>
      <c r="F20" s="33">
        <f>_xlfn.XLOOKUP($B20,'Sobha - consolidated tracker '!$D:$D,'Sobha - consolidated tracker '!G:G,,)</f>
        <v>815006748.8999995</v>
      </c>
      <c r="G20" s="33">
        <f>_xlfn.XLOOKUP($B20,'Sobha - consolidated tracker '!$D:$D,'Sobha - consolidated tracker '!H:H,,)</f>
        <v>162408311.98000008</v>
      </c>
      <c r="H20" s="33">
        <f>_xlfn.XLOOKUP($B20,'Sobha - consolidated tracker '!$D:$D,'Sobha - consolidated tracker '!I:I,,)</f>
        <v>159823019.47000015</v>
      </c>
      <c r="I20" s="33">
        <f>_xlfn.XLOOKUP($B20,'Sobha - consolidated tracker '!$D:$D,'Sobha - consolidated tracker '!J:J,,)</f>
        <v>9155167.0500000026</v>
      </c>
      <c r="J20" s="164">
        <f>_xlfn.XLOOKUP($B20,'Sobha - consolidated tracker '!$D:$D,'Sobha - consolidated tracker '!K:K,,)</f>
        <v>0.98408152588693676</v>
      </c>
      <c r="K20" s="46">
        <f>_xlfn.XLOOKUP($B20,'Sobha - consolidated tracker '!$D:$D,'Sobha - consolidated tracker '!L:L,,)</f>
        <v>2585292.5100000002</v>
      </c>
      <c r="L20" s="30">
        <f>_xlfn.XLOOKUP($B20,'Sobha - consolidated tracker '!$D:$D,'Sobha - consolidated tracker '!M:M,,)</f>
        <v>643443269.86999941</v>
      </c>
      <c r="M20" s="33">
        <f>_xlfn.XLOOKUP($B20,'Sobha - consolidated tracker '!$D:$D,'Sobha - consolidated tracker '!N:N,,)</f>
        <v>72696838.599998951</v>
      </c>
      <c r="N20" s="33">
        <f>_xlfn.XLOOKUP($B20,'Sobha - consolidated tracker '!$D:$D,'Sobha - consolidated tracker '!O:O,,)</f>
        <v>79684748.500000015</v>
      </c>
      <c r="O20" s="33">
        <f>_xlfn.XLOOKUP($B20,'Sobha - consolidated tracker '!$D:$D,'Sobha - consolidated tracker '!P:P,,)</f>
        <v>127979495.55000024</v>
      </c>
      <c r="P20" s="33">
        <f>_xlfn.XLOOKUP($B20,'Sobha - consolidated tracker '!$D:$D,'Sobha - consolidated tracker '!Q:Q,,)</f>
        <v>363082187.22000021</v>
      </c>
      <c r="Q20" s="33">
        <f>_xlfn.XLOOKUP($B20,'Sobha - consolidated tracker '!$D:$D,'Sobha - consolidated tracker '!R:R,,)</f>
        <v>0</v>
      </c>
      <c r="R20" s="33">
        <f>_xlfn.XLOOKUP($B20,'Sobha - consolidated tracker '!$D:$D,'Sobha - consolidated tracker '!S:S,,)</f>
        <v>0</v>
      </c>
      <c r="S20" s="33">
        <f>_xlfn.XLOOKUP($B20,'Sobha - consolidated tracker '!$D:$D,'Sobha - consolidated tracker '!T:T,,)</f>
        <v>0</v>
      </c>
      <c r="T20" s="33">
        <f>_xlfn.XLOOKUP($B20,'Sobha - consolidated tracker '!$D:$D,'Sobha - consolidated tracker '!U:U,,)</f>
        <v>0</v>
      </c>
      <c r="U20" s="33">
        <f>_xlfn.XLOOKUP($B20,'Sobha - consolidated tracker '!$D:$D,'Sobha - consolidated tracker '!V:V,,)</f>
        <v>0</v>
      </c>
      <c r="V20" s="33">
        <f>_xlfn.XLOOKUP($B20,'Sobha - consolidated tracker '!$D:$D,'Sobha - consolidated tracker '!W:W,,)</f>
        <v>0</v>
      </c>
      <c r="X20" s="17"/>
    </row>
    <row r="21" spans="1:24" s="83" customFormat="1" ht="145.15" customHeight="1" thickBot="1" x14ac:dyDescent="1.3">
      <c r="A21" s="87"/>
      <c r="B21" s="86" t="s">
        <v>0</v>
      </c>
      <c r="C21" s="86" t="s">
        <v>16</v>
      </c>
      <c r="D21" s="86"/>
      <c r="E21" s="84">
        <f>SUM(E4:E20)</f>
        <v>21074</v>
      </c>
      <c r="F21" s="84">
        <f>SUM(F4:F20)</f>
        <v>53468151867.110016</v>
      </c>
      <c r="G21" s="84">
        <f>SUM(G4:G20)</f>
        <v>24698882756.289963</v>
      </c>
      <c r="H21" s="84">
        <f>SUM(H4:H20)</f>
        <v>23470583839.209999</v>
      </c>
      <c r="I21" s="84">
        <f>SUM(I4:I20)</f>
        <v>2052149397.8599999</v>
      </c>
      <c r="J21" s="101">
        <f>IFERROR(H21/G21,"-")</f>
        <v>0.95026904944649138</v>
      </c>
      <c r="K21" s="100">
        <f t="shared" ref="K21:V21" si="0">SUM(K4:K20)</f>
        <v>1228243847.6600001</v>
      </c>
      <c r="L21" s="84">
        <f t="shared" si="0"/>
        <v>26717119712.96003</v>
      </c>
      <c r="M21" s="84">
        <f t="shared" si="0"/>
        <v>10837206480.10004</v>
      </c>
      <c r="N21" s="84">
        <f t="shared" si="0"/>
        <v>9363758086.6899986</v>
      </c>
      <c r="O21" s="84">
        <f t="shared" si="0"/>
        <v>3408568337.8200006</v>
      </c>
      <c r="P21" s="84">
        <f t="shared" si="0"/>
        <v>2724199578.6699982</v>
      </c>
      <c r="Q21" s="84">
        <f t="shared" si="0"/>
        <v>381956406.66999984</v>
      </c>
      <c r="R21" s="84">
        <f t="shared" si="0"/>
        <v>1430823.01</v>
      </c>
      <c r="S21" s="84">
        <f t="shared" si="0"/>
        <v>0</v>
      </c>
      <c r="T21" s="84">
        <f t="shared" si="0"/>
        <v>0</v>
      </c>
      <c r="U21" s="84">
        <f t="shared" si="0"/>
        <v>0</v>
      </c>
      <c r="V21" s="84">
        <f t="shared" si="0"/>
        <v>0</v>
      </c>
      <c r="X21" s="17"/>
    </row>
    <row r="22" spans="1:24" s="7" customFormat="1" ht="169.5" customHeight="1" x14ac:dyDescent="1.25">
      <c r="A22" s="82">
        <v>18</v>
      </c>
      <c r="B22" s="76" t="s">
        <v>48</v>
      </c>
      <c r="C22" s="49" t="str">
        <f>_xlfn.XLOOKUP($B22,'Sobha - consolidated tracker '!$D:$D,'Sobha - consolidated tracker '!E:E,,)</f>
        <v>Pre-Launch</v>
      </c>
      <c r="D22" s="165">
        <v>47208</v>
      </c>
      <c r="E22" s="33">
        <f>_xlfn.XLOOKUP($B22,'Sobha - consolidated tracker '!$D:$D,'Sobha - consolidated tracker '!F:F,,)</f>
        <v>352</v>
      </c>
      <c r="F22" s="33">
        <f>_xlfn.XLOOKUP($B22,'Sobha - consolidated tracker '!$D:$D,'Sobha - consolidated tracker '!G:G,,)</f>
        <v>767755653.95999968</v>
      </c>
      <c r="G22" s="33">
        <f>_xlfn.XLOOKUP($B22,'Sobha - consolidated tracker '!$D:$D,'Sobha - consolidated tracker '!H:H,,)</f>
        <v>155502596.26000002</v>
      </c>
      <c r="H22" s="33">
        <f>_xlfn.XLOOKUP($B22,'Sobha - consolidated tracker '!$D:$D,'Sobha - consolidated tracker '!I:I,,)</f>
        <v>153559126.75000009</v>
      </c>
      <c r="I22" s="33">
        <f>_xlfn.XLOOKUP($B22,'Sobha - consolidated tracker '!$D:$D,'Sobha - consolidated tracker '!J:J,,)</f>
        <v>13542202.470000001</v>
      </c>
      <c r="J22" s="164">
        <f>_xlfn.XLOOKUP($B22,'Sobha - consolidated tracker '!$D:$D,'Sobha - consolidated tracker '!K:K,,)</f>
        <v>0.98750201246318448</v>
      </c>
      <c r="K22" s="36">
        <f>_xlfn.XLOOKUP($B22,'Sobha - consolidated tracker '!$D:$D,'Sobha - consolidated tracker '!L:L,,)</f>
        <v>1943469.51</v>
      </c>
      <c r="L22" s="30">
        <f>_xlfn.XLOOKUP($B22,'Sobha - consolidated tracker '!$D:$D,'Sobha - consolidated tracker '!M:M,,)</f>
        <v>598710855.22999966</v>
      </c>
      <c r="M22" s="33">
        <f>_xlfn.XLOOKUP($B22,'Sobha - consolidated tracker '!$D:$D,'Sobha - consolidated tracker '!N:N,,)</f>
        <v>66885489.799999714</v>
      </c>
      <c r="N22" s="33">
        <f>_xlfn.XLOOKUP($B22,'Sobha - consolidated tracker '!$D:$D,'Sobha - consolidated tracker '!O:O,,)</f>
        <v>74922328.530000091</v>
      </c>
      <c r="O22" s="33">
        <f>_xlfn.XLOOKUP($B22,'Sobha - consolidated tracker '!$D:$D,'Sobha - consolidated tracker '!P:P,,)</f>
        <v>71773232.50000003</v>
      </c>
      <c r="P22" s="33">
        <f>_xlfn.XLOOKUP($B22,'Sobha - consolidated tracker '!$D:$D,'Sobha - consolidated tracker '!Q:Q,,)</f>
        <v>385129804.39999986</v>
      </c>
      <c r="Q22" s="33">
        <f>_xlfn.XLOOKUP($B22,'Sobha - consolidated tracker '!$D:$D,'Sobha - consolidated tracker '!R:R,,)</f>
        <v>0</v>
      </c>
      <c r="R22" s="33">
        <f>_xlfn.XLOOKUP($B22,'Sobha - consolidated tracker '!$D:$D,'Sobha - consolidated tracker '!S:S,,)</f>
        <v>0</v>
      </c>
      <c r="S22" s="33">
        <f>_xlfn.XLOOKUP($B22,'Sobha - consolidated tracker '!$D:$D,'Sobha - consolidated tracker '!T:T,,)</f>
        <v>0</v>
      </c>
      <c r="T22" s="33">
        <f>_xlfn.XLOOKUP($B22,'Sobha - consolidated tracker '!$D:$D,'Sobha - consolidated tracker '!U:U,,)</f>
        <v>0</v>
      </c>
      <c r="U22" s="33">
        <f>_xlfn.XLOOKUP($B22,'Sobha - consolidated tracker '!$D:$D,'Sobha - consolidated tracker '!V:V,,)</f>
        <v>0</v>
      </c>
      <c r="V22" s="33">
        <f>_xlfn.XLOOKUP($B22,'Sobha - consolidated tracker '!$D:$D,'Sobha - consolidated tracker '!W:W,,)</f>
        <v>0</v>
      </c>
      <c r="X22" s="17"/>
    </row>
    <row r="23" spans="1:24" s="7" customFormat="1" ht="169.5" customHeight="1" x14ac:dyDescent="1.25">
      <c r="A23" s="82">
        <v>19</v>
      </c>
      <c r="B23" s="76" t="s">
        <v>47</v>
      </c>
      <c r="C23" s="49" t="str">
        <f>_xlfn.XLOOKUP($B23,'Sobha - consolidated tracker '!$D:$D,'Sobha - consolidated tracker '!E:E,,)</f>
        <v>Pre-Launch</v>
      </c>
      <c r="D23" s="165">
        <v>47208</v>
      </c>
      <c r="E23" s="33">
        <f>_xlfn.XLOOKUP($B23,'Sobha - consolidated tracker '!$D:$D,'Sobha - consolidated tracker '!F:F,,)</f>
        <v>371</v>
      </c>
      <c r="F23" s="33">
        <f>_xlfn.XLOOKUP($B23,'Sobha - consolidated tracker '!$D:$D,'Sobha - consolidated tracker '!G:G,,)</f>
        <v>806869395.10000038</v>
      </c>
      <c r="G23" s="33">
        <f>_xlfn.XLOOKUP($B23,'Sobha - consolidated tracker '!$D:$D,'Sobha - consolidated tracker '!H:H,,)</f>
        <v>160057195.97000006</v>
      </c>
      <c r="H23" s="33">
        <f>_xlfn.XLOOKUP($B23,'Sobha - consolidated tracker '!$D:$D,'Sobha - consolidated tracker '!I:I,,)</f>
        <v>155620981.19000006</v>
      </c>
      <c r="I23" s="33">
        <f>_xlfn.XLOOKUP($B23,'Sobha - consolidated tracker '!$D:$D,'Sobha - consolidated tracker '!J:J,,)</f>
        <v>10338128.229999999</v>
      </c>
      <c r="J23" s="164">
        <f>_xlfn.XLOOKUP($B23,'Sobha - consolidated tracker '!$D:$D,'Sobha - consolidated tracker '!K:K,,)</f>
        <v>0.97228356555220741</v>
      </c>
      <c r="K23" s="36">
        <f>_xlfn.XLOOKUP($B23,'Sobha - consolidated tracker '!$D:$D,'Sobha - consolidated tracker '!L:L,,)</f>
        <v>4436214.78</v>
      </c>
      <c r="L23" s="30">
        <f>_xlfn.XLOOKUP($B23,'Sobha - consolidated tracker '!$D:$D,'Sobha - consolidated tracker '!M:M,,)</f>
        <v>636474070.90000033</v>
      </c>
      <c r="M23" s="33">
        <f>_xlfn.XLOOKUP($B23,'Sobha - consolidated tracker '!$D:$D,'Sobha - consolidated tracker '!N:N,,)</f>
        <v>71423214.940000296</v>
      </c>
      <c r="N23" s="33">
        <f>_xlfn.XLOOKUP($B23,'Sobha - consolidated tracker '!$D:$D,'Sobha - consolidated tracker '!O:O,,)</f>
        <v>80738093.470000044</v>
      </c>
      <c r="O23" s="33">
        <f>_xlfn.XLOOKUP($B23,'Sobha - consolidated tracker '!$D:$D,'Sobha - consolidated tracker '!P:P,,)</f>
        <v>73067089.480000034</v>
      </c>
      <c r="P23" s="33">
        <f>_xlfn.XLOOKUP($B23,'Sobha - consolidated tracker '!$D:$D,'Sobha - consolidated tracker '!Q:Q,,)</f>
        <v>411245673.00999999</v>
      </c>
      <c r="Q23" s="33">
        <f>_xlfn.XLOOKUP($B23,'Sobha - consolidated tracker '!$D:$D,'Sobha - consolidated tracker '!R:R,,)</f>
        <v>0</v>
      </c>
      <c r="R23" s="33">
        <f>_xlfn.XLOOKUP($B23,'Sobha - consolidated tracker '!$D:$D,'Sobha - consolidated tracker '!S:S,,)</f>
        <v>0</v>
      </c>
      <c r="S23" s="33">
        <f>_xlfn.XLOOKUP($B23,'Sobha - consolidated tracker '!$D:$D,'Sobha - consolidated tracker '!T:T,,)</f>
        <v>0</v>
      </c>
      <c r="T23" s="33">
        <f>_xlfn.XLOOKUP($B23,'Sobha - consolidated tracker '!$D:$D,'Sobha - consolidated tracker '!U:U,,)</f>
        <v>0</v>
      </c>
      <c r="U23" s="33">
        <f>_xlfn.XLOOKUP($B23,'Sobha - consolidated tracker '!$D:$D,'Sobha - consolidated tracker '!V:V,,)</f>
        <v>0</v>
      </c>
      <c r="V23" s="33">
        <f>_xlfn.XLOOKUP($B23,'Sobha - consolidated tracker '!$D:$D,'Sobha - consolidated tracker '!W:W,,)</f>
        <v>0</v>
      </c>
      <c r="X23" s="17"/>
    </row>
    <row r="24" spans="1:24" s="7" customFormat="1" ht="169.5" customHeight="1" x14ac:dyDescent="1.25">
      <c r="A24" s="82">
        <v>21</v>
      </c>
      <c r="B24" s="76" t="s">
        <v>41</v>
      </c>
      <c r="C24" s="49" t="str">
        <f>_xlfn.XLOOKUP($B24,'Sobha - consolidated tracker '!$D:$D,'Sobha - consolidated tracker '!E:E,,)</f>
        <v>Pre-Launch</v>
      </c>
      <c r="D24" s="165">
        <v>47208</v>
      </c>
      <c r="E24" s="33">
        <f>_xlfn.XLOOKUP($B24,'Sobha - consolidated tracker '!$D:$D,'Sobha - consolidated tracker '!F:F,,)</f>
        <v>116</v>
      </c>
      <c r="F24" s="33">
        <f>_xlfn.XLOOKUP($B24,'Sobha - consolidated tracker '!$D:$D,'Sobha - consolidated tracker '!G:G,,)</f>
        <v>563398526</v>
      </c>
      <c r="G24" s="33">
        <f>_xlfn.XLOOKUP($B24,'Sobha - consolidated tracker '!$D:$D,'Sobha - consolidated tracker '!H:H,,)</f>
        <v>103535608.13000007</v>
      </c>
      <c r="H24" s="33">
        <f>_xlfn.XLOOKUP($B24,'Sobha - consolidated tracker '!$D:$D,'Sobha - consolidated tracker '!I:I,,)</f>
        <v>98389626.309999973</v>
      </c>
      <c r="I24" s="33">
        <f>_xlfn.XLOOKUP($B24,'Sobha - consolidated tracker '!$D:$D,'Sobha - consolidated tracker '!J:J,,)</f>
        <v>12176372.290000003</v>
      </c>
      <c r="J24" s="164">
        <f>_xlfn.XLOOKUP($B24,'Sobha - consolidated tracker '!$D:$D,'Sobha - consolidated tracker '!K:K,,)</f>
        <v>0.95029746854300823</v>
      </c>
      <c r="K24" s="36">
        <f>_xlfn.XLOOKUP($B24,'Sobha - consolidated tracker '!$D:$D,'Sobha - consolidated tracker '!L:L,,)</f>
        <v>5145981.82</v>
      </c>
      <c r="L24" s="30">
        <f>_xlfn.XLOOKUP($B24,'Sobha - consolidated tracker '!$D:$D,'Sobha - consolidated tracker '!M:M,,)</f>
        <v>447686545.57999992</v>
      </c>
      <c r="M24" s="33">
        <f>_xlfn.XLOOKUP($B24,'Sobha - consolidated tracker '!$D:$D,'Sobha - consolidated tracker '!N:N,,)</f>
        <v>53478810.25</v>
      </c>
      <c r="N24" s="33">
        <f>_xlfn.XLOOKUP($B24,'Sobha - consolidated tracker '!$D:$D,'Sobha - consolidated tracker '!O:O,,)</f>
        <v>55915199.450000003</v>
      </c>
      <c r="O24" s="33">
        <f>_xlfn.XLOOKUP($B24,'Sobha - consolidated tracker '!$D:$D,'Sobha - consolidated tracker '!P:P,,)</f>
        <v>55129342.909999996</v>
      </c>
      <c r="P24" s="33">
        <f>_xlfn.XLOOKUP($B24,'Sobha - consolidated tracker '!$D:$D,'Sobha - consolidated tracker '!Q:Q,,)</f>
        <v>55995297.329999998</v>
      </c>
      <c r="Q24" s="33">
        <f>_xlfn.XLOOKUP($B24,'Sobha - consolidated tracker '!$D:$D,'Sobha - consolidated tracker '!R:R,,)</f>
        <v>55601850.299999997</v>
      </c>
      <c r="R24" s="33">
        <f>_xlfn.XLOOKUP($B24,'Sobha - consolidated tracker '!$D:$D,'Sobha - consolidated tracker '!S:S,,)</f>
        <v>171566045.33999991</v>
      </c>
      <c r="S24" s="33">
        <f>_xlfn.XLOOKUP($B24,'Sobha - consolidated tracker '!$D:$D,'Sobha - consolidated tracker '!T:T,,)</f>
        <v>0</v>
      </c>
      <c r="T24" s="33">
        <f>_xlfn.XLOOKUP($B24,'Sobha - consolidated tracker '!$D:$D,'Sobha - consolidated tracker '!U:U,,)</f>
        <v>0</v>
      </c>
      <c r="U24" s="33">
        <f>_xlfn.XLOOKUP($B24,'Sobha - consolidated tracker '!$D:$D,'Sobha - consolidated tracker '!V:V,,)</f>
        <v>0</v>
      </c>
      <c r="V24" s="33">
        <f>_xlfn.XLOOKUP($B24,'Sobha - consolidated tracker '!$D:$D,'Sobha - consolidated tracker '!W:W,,)</f>
        <v>0</v>
      </c>
      <c r="X24" s="17"/>
    </row>
    <row r="25" spans="1:24" s="7" customFormat="1" ht="169.5" customHeight="1" x14ac:dyDescent="1.25">
      <c r="A25" s="82">
        <v>22</v>
      </c>
      <c r="B25" s="76" t="s">
        <v>40</v>
      </c>
      <c r="C25" s="49" t="str">
        <f>_xlfn.XLOOKUP($B25,'Sobha - consolidated tracker '!$D:$D,'Sobha - consolidated tracker '!E:E,,)</f>
        <v>Pre-Launch</v>
      </c>
      <c r="D25" s="165">
        <v>47208</v>
      </c>
      <c r="E25" s="33">
        <f>_xlfn.XLOOKUP($B25,'Sobha - consolidated tracker '!$D:$D,'Sobha - consolidated tracker '!F:F,,)</f>
        <v>213</v>
      </c>
      <c r="F25" s="33">
        <f>_xlfn.XLOOKUP($B25,'Sobha - consolidated tracker '!$D:$D,'Sobha - consolidated tracker '!G:G,,)</f>
        <v>553930211.53999996</v>
      </c>
      <c r="G25" s="33">
        <f>_xlfn.XLOOKUP($B25,'Sobha - consolidated tracker '!$D:$D,'Sobha - consolidated tracker '!H:H,,)</f>
        <v>104035900.91000003</v>
      </c>
      <c r="H25" s="33">
        <f>_xlfn.XLOOKUP($B25,'Sobha - consolidated tracker '!$D:$D,'Sobha - consolidated tracker '!I:I,,)</f>
        <v>96424495.040000007</v>
      </c>
      <c r="I25" s="33">
        <f>_xlfn.XLOOKUP($B25,'Sobha - consolidated tracker '!$D:$D,'Sobha - consolidated tracker '!J:J,,)</f>
        <v>1992951.0300000003</v>
      </c>
      <c r="J25" s="164">
        <f>_xlfn.XLOOKUP($B25,'Sobha - consolidated tracker '!$D:$D,'Sobha - consolidated tracker '!K:K,,)</f>
        <v>0.92683866046794228</v>
      </c>
      <c r="K25" s="36">
        <f>_xlfn.XLOOKUP($B25,'Sobha - consolidated tracker '!$D:$D,'Sobha - consolidated tracker '!L:L,,)</f>
        <v>7611405.870000001</v>
      </c>
      <c r="L25" s="30">
        <f>_xlfn.XLOOKUP($B25,'Sobha - consolidated tracker '!$D:$D,'Sobha - consolidated tracker '!M:M,,)</f>
        <v>447901359.5999999</v>
      </c>
      <c r="M25" s="33">
        <f>_xlfn.XLOOKUP($B25,'Sobha - consolidated tracker '!$D:$D,'Sobha - consolidated tracker '!N:N,,)</f>
        <v>47642907.110000014</v>
      </c>
      <c r="N25" s="33">
        <f>_xlfn.XLOOKUP($B25,'Sobha - consolidated tracker '!$D:$D,'Sobha - consolidated tracker '!O:O,,)</f>
        <v>56700833.520000033</v>
      </c>
      <c r="O25" s="33">
        <f>_xlfn.XLOOKUP($B25,'Sobha - consolidated tracker '!$D:$D,'Sobha - consolidated tracker '!P:P,,)</f>
        <v>36260581.240000017</v>
      </c>
      <c r="P25" s="33">
        <f>_xlfn.XLOOKUP($B25,'Sobha - consolidated tracker '!$D:$D,'Sobha - consolidated tracker '!Q:Q,,)</f>
        <v>41294791.290000014</v>
      </c>
      <c r="Q25" s="33">
        <f>_xlfn.XLOOKUP($B25,'Sobha - consolidated tracker '!$D:$D,'Sobha - consolidated tracker '!R:R,,)</f>
        <v>266002246.43999982</v>
      </c>
      <c r="R25" s="33">
        <f>_xlfn.XLOOKUP($B25,'Sobha - consolidated tracker '!$D:$D,'Sobha - consolidated tracker '!S:S,,)</f>
        <v>0</v>
      </c>
      <c r="S25" s="33">
        <f>_xlfn.XLOOKUP($B25,'Sobha - consolidated tracker '!$D:$D,'Sobha - consolidated tracker '!T:T,,)</f>
        <v>0</v>
      </c>
      <c r="T25" s="33">
        <f>_xlfn.XLOOKUP($B25,'Sobha - consolidated tracker '!$D:$D,'Sobha - consolidated tracker '!U:U,,)</f>
        <v>0</v>
      </c>
      <c r="U25" s="33">
        <f>_xlfn.XLOOKUP($B25,'Sobha - consolidated tracker '!$D:$D,'Sobha - consolidated tracker '!V:V,,)</f>
        <v>0</v>
      </c>
      <c r="V25" s="33">
        <f>_xlfn.XLOOKUP($B25,'Sobha - consolidated tracker '!$D:$D,'Sobha - consolidated tracker '!W:W,,)</f>
        <v>0</v>
      </c>
      <c r="X25" s="17"/>
    </row>
    <row r="26" spans="1:24" s="7" customFormat="1" ht="169.5" customHeight="1" x14ac:dyDescent="1.25">
      <c r="A26" s="82">
        <v>23</v>
      </c>
      <c r="B26" s="76" t="s">
        <v>39</v>
      </c>
      <c r="C26" s="49" t="str">
        <f>_xlfn.XLOOKUP($B26,'Sobha - consolidated tracker '!$D:$D,'Sobha - consolidated tracker '!E:E,,)</f>
        <v>Pre-Launch</v>
      </c>
      <c r="D26" s="165">
        <v>47208</v>
      </c>
      <c r="E26" s="33">
        <f>_xlfn.XLOOKUP($B26,'Sobha - consolidated tracker '!$D:$D,'Sobha - consolidated tracker '!F:F,,)</f>
        <v>293</v>
      </c>
      <c r="F26" s="33">
        <f>_xlfn.XLOOKUP($B26,'Sobha - consolidated tracker '!$D:$D,'Sobha - consolidated tracker '!G:G,,)</f>
        <v>665379462.88999987</v>
      </c>
      <c r="G26" s="33">
        <f>_xlfn.XLOOKUP($B26,'Sobha - consolidated tracker '!$D:$D,'Sobha - consolidated tracker '!H:H,,)</f>
        <v>111574574.38999985</v>
      </c>
      <c r="H26" s="33">
        <f>_xlfn.XLOOKUP($B26,'Sobha - consolidated tracker '!$D:$D,'Sobha - consolidated tracker '!I:I,,)</f>
        <v>96740655.38000001</v>
      </c>
      <c r="I26" s="33">
        <f>_xlfn.XLOOKUP($B26,'Sobha - consolidated tracker '!$D:$D,'Sobha - consolidated tracker '!J:J,,)</f>
        <v>3690545.0200000009</v>
      </c>
      <c r="J26" s="164">
        <f>_xlfn.XLOOKUP($B26,'Sobha - consolidated tracker '!$D:$D,'Sobha - consolidated tracker '!K:K,,)</f>
        <v>0.86704928886263022</v>
      </c>
      <c r="K26" s="36">
        <f>_xlfn.XLOOKUP($B26,'Sobha - consolidated tracker '!$D:$D,'Sobha - consolidated tracker '!L:L,,)</f>
        <v>14833919.010000002</v>
      </c>
      <c r="L26" s="30">
        <f>_xlfn.XLOOKUP($B26,'Sobha - consolidated tracker '!$D:$D,'Sobha - consolidated tracker '!M:M,,)</f>
        <v>550114343.48000002</v>
      </c>
      <c r="M26" s="33">
        <f>_xlfn.XLOOKUP($B26,'Sobha - consolidated tracker '!$D:$D,'Sobha - consolidated tracker '!N:N,,)</f>
        <v>36991537.570000112</v>
      </c>
      <c r="N26" s="33">
        <f>_xlfn.XLOOKUP($B26,'Sobha - consolidated tracker '!$D:$D,'Sobha - consolidated tracker '!O:O,,)</f>
        <v>72049470.000000015</v>
      </c>
      <c r="O26" s="33">
        <f>_xlfn.XLOOKUP($B26,'Sobha - consolidated tracker '!$D:$D,'Sobha - consolidated tracker '!P:P,,)</f>
        <v>66323340.779999994</v>
      </c>
      <c r="P26" s="33">
        <f>_xlfn.XLOOKUP($B26,'Sobha - consolidated tracker '!$D:$D,'Sobha - consolidated tracker '!Q:Q,,)</f>
        <v>90023517.919999942</v>
      </c>
      <c r="Q26" s="33">
        <f>_xlfn.XLOOKUP($B26,'Sobha - consolidated tracker '!$D:$D,'Sobha - consolidated tracker '!R:R,,)</f>
        <v>284726477.20999998</v>
      </c>
      <c r="R26" s="33">
        <f>_xlfn.XLOOKUP($B26,'Sobha - consolidated tracker '!$D:$D,'Sobha - consolidated tracker '!S:S,,)</f>
        <v>0</v>
      </c>
      <c r="S26" s="33">
        <f>_xlfn.XLOOKUP($B26,'Sobha - consolidated tracker '!$D:$D,'Sobha - consolidated tracker '!T:T,,)</f>
        <v>0</v>
      </c>
      <c r="T26" s="33">
        <f>_xlfn.XLOOKUP($B26,'Sobha - consolidated tracker '!$D:$D,'Sobha - consolidated tracker '!U:U,,)</f>
        <v>0</v>
      </c>
      <c r="U26" s="33">
        <f>_xlfn.XLOOKUP($B26,'Sobha - consolidated tracker '!$D:$D,'Sobha - consolidated tracker '!V:V,,)</f>
        <v>0</v>
      </c>
      <c r="V26" s="33">
        <f>_xlfn.XLOOKUP($B26,'Sobha - consolidated tracker '!$D:$D,'Sobha - consolidated tracker '!W:W,,)</f>
        <v>0</v>
      </c>
      <c r="X26" s="17"/>
    </row>
    <row r="27" spans="1:24" s="7" customFormat="1" ht="169.5" customHeight="1" x14ac:dyDescent="1.25">
      <c r="A27" s="82">
        <v>24</v>
      </c>
      <c r="B27" s="76" t="s">
        <v>38</v>
      </c>
      <c r="C27" s="49" t="str">
        <f>_xlfn.XLOOKUP($B27,'Sobha - consolidated tracker '!$D:$D,'Sobha - consolidated tracker '!E:E,,)</f>
        <v>Pre-Launch</v>
      </c>
      <c r="D27" s="165">
        <v>47208</v>
      </c>
      <c r="E27" s="33">
        <f>_xlfn.XLOOKUP($B27,'Sobha - consolidated tracker '!$D:$D,'Sobha - consolidated tracker '!F:F,,)</f>
        <v>49</v>
      </c>
      <c r="F27" s="33">
        <f>_xlfn.XLOOKUP($B27,'Sobha - consolidated tracker '!$D:$D,'Sobha - consolidated tracker '!G:G,,)</f>
        <v>393210660.60000002</v>
      </c>
      <c r="G27" s="33">
        <f>_xlfn.XLOOKUP($B27,'Sobha - consolidated tracker '!$D:$D,'Sobha - consolidated tracker '!H:H,,)</f>
        <v>70714827.00999999</v>
      </c>
      <c r="H27" s="33">
        <f>_xlfn.XLOOKUP($B27,'Sobha - consolidated tracker '!$D:$D,'Sobha - consolidated tracker '!I:I,,)</f>
        <v>63994980.059999995</v>
      </c>
      <c r="I27" s="33">
        <f>_xlfn.XLOOKUP($B27,'Sobha - consolidated tracker '!$D:$D,'Sobha - consolidated tracker '!J:J,,)</f>
        <v>2456825.4799999995</v>
      </c>
      <c r="J27" s="164">
        <f>_xlfn.XLOOKUP($B27,'Sobha - consolidated tracker '!$D:$D,'Sobha - consolidated tracker '!K:K,,)</f>
        <v>0.90497258871820863</v>
      </c>
      <c r="K27" s="36">
        <f>_xlfn.XLOOKUP($B27,'Sobha - consolidated tracker '!$D:$D,'Sobha - consolidated tracker '!L:L,,)</f>
        <v>6719846.9500000002</v>
      </c>
      <c r="L27" s="30">
        <f>_xlfn.XLOOKUP($B27,'Sobha - consolidated tracker '!$D:$D,'Sobha - consolidated tracker '!M:M,,)</f>
        <v>320039008.11000001</v>
      </c>
      <c r="M27" s="33">
        <f>_xlfn.XLOOKUP($B27,'Sobha - consolidated tracker '!$D:$D,'Sobha - consolidated tracker '!N:N,,)</f>
        <v>7800846.8400000334</v>
      </c>
      <c r="N27" s="33">
        <f>_xlfn.XLOOKUP($B27,'Sobha - consolidated tracker '!$D:$D,'Sobha - consolidated tracker '!O:O,,)</f>
        <v>80835238.519999996</v>
      </c>
      <c r="O27" s="33">
        <f>_xlfn.XLOOKUP($B27,'Sobha - consolidated tracker '!$D:$D,'Sobha - consolidated tracker '!P:P,,)</f>
        <v>41795452.769999996</v>
      </c>
      <c r="P27" s="33">
        <f>_xlfn.XLOOKUP($B27,'Sobha - consolidated tracker '!$D:$D,'Sobha - consolidated tracker '!Q:Q,,)</f>
        <v>19545725.59</v>
      </c>
      <c r="Q27" s="33">
        <f>_xlfn.XLOOKUP($B27,'Sobha - consolidated tracker '!$D:$D,'Sobha - consolidated tracker '!R:R,,)</f>
        <v>170061744.38999999</v>
      </c>
      <c r="R27" s="33">
        <f>_xlfn.XLOOKUP($B27,'Sobha - consolidated tracker '!$D:$D,'Sobha - consolidated tracker '!S:S,,)</f>
        <v>0</v>
      </c>
      <c r="S27" s="33">
        <f>_xlfn.XLOOKUP($B27,'Sobha - consolidated tracker '!$D:$D,'Sobha - consolidated tracker '!T:T,,)</f>
        <v>0</v>
      </c>
      <c r="T27" s="33">
        <f>_xlfn.XLOOKUP($B27,'Sobha - consolidated tracker '!$D:$D,'Sobha - consolidated tracker '!U:U,,)</f>
        <v>0</v>
      </c>
      <c r="U27" s="33">
        <f>_xlfn.XLOOKUP($B27,'Sobha - consolidated tracker '!$D:$D,'Sobha - consolidated tracker '!V:V,,)</f>
        <v>0</v>
      </c>
      <c r="V27" s="33">
        <f>_xlfn.XLOOKUP($B27,'Sobha - consolidated tracker '!$D:$D,'Sobha - consolidated tracker '!W:W,,)</f>
        <v>0</v>
      </c>
      <c r="X27" s="17"/>
    </row>
    <row r="28" spans="1:24" s="7" customFormat="1" ht="169.5" customHeight="1" thickBot="1" x14ac:dyDescent="1.3">
      <c r="A28" s="82">
        <v>24</v>
      </c>
      <c r="B28" s="76" t="s">
        <v>37</v>
      </c>
      <c r="C28" s="49" t="str">
        <f>_xlfn.XLOOKUP($B28,'Sobha - consolidated tracker '!$D:$D,'Sobha - consolidated tracker '!E:E,,)</f>
        <v>Pre-Launch</v>
      </c>
      <c r="D28" s="165">
        <v>47208</v>
      </c>
      <c r="E28" s="33">
        <f>_xlfn.XLOOKUP($B28,'Sobha - consolidated tracker '!$D:$D,'Sobha - consolidated tracker '!F:F,,)</f>
        <v>324</v>
      </c>
      <c r="F28" s="33">
        <f>_xlfn.XLOOKUP($B28,'Sobha - consolidated tracker '!$D:$D,'Sobha - consolidated tracker '!G:G,,)</f>
        <v>1616050376.9699998</v>
      </c>
      <c r="G28" s="33">
        <f>_xlfn.XLOOKUP($B28,'Sobha - consolidated tracker '!$D:$D,'Sobha - consolidated tracker '!H:H,,)</f>
        <v>250206610.61999986</v>
      </c>
      <c r="H28" s="33">
        <f>_xlfn.XLOOKUP($B28,'Sobha - consolidated tracker '!$D:$D,'Sobha - consolidated tracker '!I:I,,)</f>
        <v>199790925.23999995</v>
      </c>
      <c r="I28" s="33">
        <f>_xlfn.XLOOKUP($B28,'Sobha - consolidated tracker '!$D:$D,'Sobha - consolidated tracker '!J:J,,)</f>
        <v>17494636.890000004</v>
      </c>
      <c r="J28" s="164">
        <f>_xlfn.XLOOKUP($B28,'Sobha - consolidated tracker '!$D:$D,'Sobha - consolidated tracker '!K:K,,)</f>
        <v>0.79850378351286455</v>
      </c>
      <c r="K28" s="36">
        <f>_xlfn.XLOOKUP($B28,'Sobha - consolidated tracker '!$D:$D,'Sobha - consolidated tracker '!L:L,,)</f>
        <v>50415685.380000018</v>
      </c>
      <c r="L28" s="30">
        <f>_xlfn.XLOOKUP($B28,'Sobha - consolidated tracker '!$D:$D,'Sobha - consolidated tracker '!M:M,,)</f>
        <v>1348349129.46</v>
      </c>
      <c r="M28" s="33">
        <f>_xlfn.XLOOKUP($B28,'Sobha - consolidated tracker '!$D:$D,'Sobha - consolidated tracker '!N:N,,)</f>
        <v>173838541.11000058</v>
      </c>
      <c r="N28" s="33">
        <f>_xlfn.XLOOKUP($B28,'Sobha - consolidated tracker '!$D:$D,'Sobha - consolidated tracker '!O:O,,)</f>
        <v>186104499.0999999</v>
      </c>
      <c r="O28" s="33">
        <f>_xlfn.XLOOKUP($B28,'Sobha - consolidated tracker '!$D:$D,'Sobha - consolidated tracker '!P:P,,)</f>
        <v>256560585.5399999</v>
      </c>
      <c r="P28" s="33">
        <f>_xlfn.XLOOKUP($B28,'Sobha - consolidated tracker '!$D:$D,'Sobha - consolidated tracker '!Q:Q,,)</f>
        <v>731845503.70999968</v>
      </c>
      <c r="Q28" s="33">
        <f>_xlfn.XLOOKUP($B28,'Sobha - consolidated tracker '!$D:$D,'Sobha - consolidated tracker '!R:R,,)</f>
        <v>0</v>
      </c>
      <c r="R28" s="33">
        <f>_xlfn.XLOOKUP($B28,'Sobha - consolidated tracker '!$D:$D,'Sobha - consolidated tracker '!S:S,,)</f>
        <v>0</v>
      </c>
      <c r="S28" s="33">
        <f>_xlfn.XLOOKUP($B28,'Sobha - consolidated tracker '!$D:$D,'Sobha - consolidated tracker '!T:T,,)</f>
        <v>0</v>
      </c>
      <c r="T28" s="33">
        <f>_xlfn.XLOOKUP($B28,'Sobha - consolidated tracker '!$D:$D,'Sobha - consolidated tracker '!U:U,,)</f>
        <v>0</v>
      </c>
      <c r="U28" s="33">
        <f>_xlfn.XLOOKUP($B28,'Sobha - consolidated tracker '!$D:$D,'Sobha - consolidated tracker '!V:V,,)</f>
        <v>0</v>
      </c>
      <c r="V28" s="33">
        <f>_xlfn.XLOOKUP($B28,'Sobha - consolidated tracker '!$D:$D,'Sobha - consolidated tracker '!W:W,,)</f>
        <v>0</v>
      </c>
      <c r="X28" s="17"/>
    </row>
    <row r="29" spans="1:24" s="83" customFormat="1" ht="145.15" customHeight="1" thickBot="1" x14ac:dyDescent="1.3">
      <c r="A29" s="87"/>
      <c r="B29" s="86" t="s">
        <v>0</v>
      </c>
      <c r="C29" s="86" t="s">
        <v>25</v>
      </c>
      <c r="D29" s="86"/>
      <c r="E29" s="84">
        <f>SUM(E22:E28)</f>
        <v>1718</v>
      </c>
      <c r="F29" s="84">
        <f>SUM(F22:F28)</f>
        <v>5366594287.0599995</v>
      </c>
      <c r="G29" s="84">
        <f>SUM(G22:G28)</f>
        <v>955627313.28999984</v>
      </c>
      <c r="H29" s="84">
        <f>SUM(H22:H28)</f>
        <v>864520789.97000003</v>
      </c>
      <c r="I29" s="84">
        <f>SUM(I22:I28)</f>
        <v>61691661.410000011</v>
      </c>
      <c r="J29" s="163">
        <f>IFERROR(H29/G29,"-")</f>
        <v>0.90466312331913001</v>
      </c>
      <c r="K29" s="100">
        <f t="shared" ref="K29:V29" si="1">SUM(K22:K28)</f>
        <v>91106523.320000023</v>
      </c>
      <c r="L29" s="84">
        <f t="shared" si="1"/>
        <v>4349275312.3600006</v>
      </c>
      <c r="M29" s="84">
        <f t="shared" si="1"/>
        <v>458061347.62000072</v>
      </c>
      <c r="N29" s="84">
        <f t="shared" si="1"/>
        <v>607265662.59000003</v>
      </c>
      <c r="O29" s="84">
        <f t="shared" si="1"/>
        <v>600909625.22000003</v>
      </c>
      <c r="P29" s="84">
        <f t="shared" si="1"/>
        <v>1735080313.2499995</v>
      </c>
      <c r="Q29" s="84">
        <f t="shared" si="1"/>
        <v>776392318.33999979</v>
      </c>
      <c r="R29" s="84">
        <f t="shared" si="1"/>
        <v>171566045.33999991</v>
      </c>
      <c r="S29" s="84">
        <f t="shared" si="1"/>
        <v>0</v>
      </c>
      <c r="T29" s="84">
        <f t="shared" si="1"/>
        <v>0</v>
      </c>
      <c r="U29" s="84">
        <f t="shared" si="1"/>
        <v>0</v>
      </c>
      <c r="V29" s="84">
        <f t="shared" si="1"/>
        <v>0</v>
      </c>
      <c r="X29" s="17"/>
    </row>
    <row r="30" spans="1:24" s="7" customFormat="1" ht="180" customHeight="1" x14ac:dyDescent="1.25">
      <c r="A30" s="75"/>
      <c r="B30" s="75" t="s">
        <v>15</v>
      </c>
      <c r="C30" s="75"/>
      <c r="D30" s="75"/>
      <c r="E30" s="159">
        <f>SUM(E21,E29)</f>
        <v>22792</v>
      </c>
      <c r="F30" s="159">
        <f>SUM(F21,F29)</f>
        <v>58834746154.170013</v>
      </c>
      <c r="G30" s="159">
        <f>SUM(G21,G29)</f>
        <v>25654510069.579964</v>
      </c>
      <c r="H30" s="159">
        <f>SUM(H21,H29)</f>
        <v>24335104629.18</v>
      </c>
      <c r="I30" s="159">
        <f>SUM(I21,I29)</f>
        <v>2113841059.27</v>
      </c>
      <c r="J30" s="158">
        <f>H30/G30</f>
        <v>0.94857023436341281</v>
      </c>
      <c r="K30" s="157">
        <f t="shared" ref="K30:V30" si="2">SUM(K21,K29)</f>
        <v>1319350370.98</v>
      </c>
      <c r="L30" s="156">
        <f t="shared" si="2"/>
        <v>31066395025.32003</v>
      </c>
      <c r="M30" s="155">
        <f t="shared" si="2"/>
        <v>11295267827.720041</v>
      </c>
      <c r="N30" s="155">
        <f t="shared" si="2"/>
        <v>9971023749.2799988</v>
      </c>
      <c r="O30" s="155">
        <f t="shared" si="2"/>
        <v>4009477963.0400009</v>
      </c>
      <c r="P30" s="155">
        <f t="shared" si="2"/>
        <v>4459279891.9199982</v>
      </c>
      <c r="Q30" s="155">
        <f t="shared" si="2"/>
        <v>1158348725.0099998</v>
      </c>
      <c r="R30" s="155">
        <f t="shared" si="2"/>
        <v>172996868.3499999</v>
      </c>
      <c r="S30" s="155">
        <f t="shared" si="2"/>
        <v>0</v>
      </c>
      <c r="T30" s="155">
        <f t="shared" si="2"/>
        <v>0</v>
      </c>
      <c r="U30" s="155">
        <f t="shared" si="2"/>
        <v>0</v>
      </c>
      <c r="V30" s="155">
        <f t="shared" si="2"/>
        <v>0</v>
      </c>
      <c r="X30" s="17"/>
    </row>
    <row r="31" spans="1:24" ht="54.75" customHeight="1" x14ac:dyDescent="1.35">
      <c r="B31" s="20"/>
      <c r="E31" s="18"/>
      <c r="F31" s="18"/>
      <c r="G31" s="18"/>
      <c r="H31" s="18"/>
      <c r="I31" s="18"/>
      <c r="J31" s="19"/>
      <c r="K31" s="18"/>
      <c r="L31" s="18"/>
      <c r="M31" s="18"/>
      <c r="N31" s="18"/>
      <c r="O31" s="18"/>
    </row>
    <row r="33" spans="2:22" ht="54" x14ac:dyDescent="1.2">
      <c r="E33" s="162">
        <f>'consolidated - Offplan'!G168-'consolidated - Offplan'!G116-'consolidated - Offplan'!G71-'consolidated - Offplan'!G48-'consolidated - Offplan'!G65-'consolidated - Offplan'!G147-'consolidated - Offplan'!G161-'consolidated - Offplan'!G165-'consolidated - Offplan'!G166</f>
        <v>22792</v>
      </c>
      <c r="F33" s="162">
        <f>'consolidated - Offplan'!H168-'consolidated - Offplan'!H116-'consolidated - Offplan'!H71-'consolidated - Offplan'!H48-'consolidated - Offplan'!H65-'consolidated - Offplan'!H147-'consolidated - Offplan'!H161-'consolidated - Offplan'!H165-'consolidated - Offplan'!H166</f>
        <v>58834746154.170021</v>
      </c>
      <c r="G33" s="162">
        <f>'consolidated - Offplan'!I168-'consolidated - Offplan'!I116-'consolidated - Offplan'!I71-'consolidated - Offplan'!I48-'consolidated - Offplan'!I65-'consolidated - Offplan'!I147-'consolidated - Offplan'!I161-'consolidated - Offplan'!I165-'consolidated - Offplan'!I166</f>
        <v>25654510069.57996</v>
      </c>
      <c r="H33" s="162">
        <f>'consolidated - Offplan'!J168-'consolidated - Offplan'!J116-'consolidated - Offplan'!J71-'consolidated - Offplan'!J48-'consolidated - Offplan'!J65-'consolidated - Offplan'!J147-'consolidated - Offplan'!J161-'consolidated - Offplan'!J165-'consolidated - Offplan'!J166</f>
        <v>24335104629.179996</v>
      </c>
      <c r="I33" s="162">
        <f>'consolidated - Offplan'!K168-'consolidated - Offplan'!K116-'consolidated - Offplan'!K71-'consolidated - Offplan'!K48-'consolidated - Offplan'!K65-'consolidated - Offplan'!K147-'consolidated - Offplan'!K161-'consolidated - Offplan'!K165-'consolidated - Offplan'!K166</f>
        <v>2113841059.2700005</v>
      </c>
      <c r="J33" s="162"/>
      <c r="K33" s="162">
        <f>'consolidated - Offplan'!M168-'consolidated - Offplan'!M116-'consolidated - Offplan'!M71-'consolidated - Offplan'!M48-'consolidated - Offplan'!M65-'consolidated - Offplan'!M147-'consolidated - Offplan'!M161-'consolidated - Offplan'!M165-'consolidated - Offplan'!M166</f>
        <v>1319350370.9800003</v>
      </c>
      <c r="L33" s="162">
        <f>'consolidated - Offplan'!N168-'consolidated - Offplan'!N116-'consolidated - Offplan'!N71-'consolidated - Offplan'!N48-'consolidated - Offplan'!N65-'consolidated - Offplan'!N147-'consolidated - Offplan'!N161-'consolidated - Offplan'!N165-'consolidated - Offplan'!N166</f>
        <v>31066395025.320034</v>
      </c>
      <c r="M33" s="162">
        <f>'consolidated - Offplan'!O168-'consolidated - Offplan'!O116-'consolidated - Offplan'!O71-'consolidated - Offplan'!O48-'consolidated - Offplan'!O65-'consolidated - Offplan'!O147-'consolidated - Offplan'!O161-'consolidated - Offplan'!O165-'consolidated - Offplan'!O166</f>
        <v>11295267827.720045</v>
      </c>
      <c r="N33" s="162">
        <f>'consolidated - Offplan'!P168-'consolidated - Offplan'!P116-'consolidated - Offplan'!P71-'consolidated - Offplan'!P48-'consolidated - Offplan'!P65-'consolidated - Offplan'!P147-'consolidated - Offplan'!P161-'consolidated - Offplan'!P165-'consolidated - Offplan'!P166</f>
        <v>9971023749.2799969</v>
      </c>
      <c r="O33" s="162">
        <f>'consolidated - Offplan'!Q168-'consolidated - Offplan'!Q116-'consolidated - Offplan'!Q71-'consolidated - Offplan'!Q48-'consolidated - Offplan'!Q65-'consolidated - Offplan'!Q147-'consolidated - Offplan'!Q161-'consolidated - Offplan'!Q165-'consolidated - Offplan'!Q166</f>
        <v>4009477963.0400009</v>
      </c>
      <c r="P33" s="162">
        <f>'consolidated - Offplan'!R168-'consolidated - Offplan'!R116-'consolidated - Offplan'!R71-'consolidated - Offplan'!R48-'consolidated - Offplan'!R65-'consolidated - Offplan'!R147-'consolidated - Offplan'!R161-'consolidated - Offplan'!R165-'consolidated - Offplan'!R166</f>
        <v>4459279891.9199963</v>
      </c>
      <c r="Q33" s="162">
        <f>'consolidated - Offplan'!S168-'consolidated - Offplan'!S116-'consolidated - Offplan'!S71-'consolidated - Offplan'!S48-'consolidated - Offplan'!S65-'consolidated - Offplan'!S147-'consolidated - Offplan'!S161-'consolidated - Offplan'!S165-'consolidated - Offplan'!S166</f>
        <v>1158348725.0099995</v>
      </c>
      <c r="R33" s="162">
        <f>'consolidated - Offplan'!T168-'consolidated - Offplan'!T116-'consolidated - Offplan'!T71-'consolidated - Offplan'!T48-'consolidated - Offplan'!T65-'consolidated - Offplan'!T147-'consolidated - Offplan'!T161-'consolidated - Offplan'!T165-'consolidated - Offplan'!T166</f>
        <v>172996868.3499999</v>
      </c>
      <c r="S33" s="162">
        <f>'consolidated - Offplan'!U168-'consolidated - Offplan'!U116-'consolidated - Offplan'!U71-'consolidated - Offplan'!U48-'consolidated - Offplan'!U65-'consolidated - Offplan'!U147-'consolidated - Offplan'!U161-'consolidated - Offplan'!U165-'consolidated - Offplan'!U166</f>
        <v>0</v>
      </c>
      <c r="T33" s="162">
        <f>'consolidated - Offplan'!V168-'consolidated - Offplan'!V116-'consolidated - Offplan'!V71-'consolidated - Offplan'!V48-'consolidated - Offplan'!V65-'consolidated - Offplan'!V147-'consolidated - Offplan'!V161-'consolidated - Offplan'!V165-'consolidated - Offplan'!V166</f>
        <v>0</v>
      </c>
      <c r="U33" s="162">
        <f>'consolidated - Offplan'!W168-'consolidated - Offplan'!W116-'consolidated - Offplan'!W71-'consolidated - Offplan'!W48-'consolidated - Offplan'!W65-'consolidated - Offplan'!W147-'consolidated - Offplan'!W161-'consolidated - Offplan'!W165-'consolidated - Offplan'!W166</f>
        <v>0</v>
      </c>
      <c r="V33" s="162">
        <f>'consolidated - Offplan'!X168-'consolidated - Offplan'!X116-'consolidated - Offplan'!X71-'consolidated - Offplan'!X48-'consolidated - Offplan'!X65-'consolidated - Offplan'!X147-'consolidated - Offplan'!X161-'consolidated - Offplan'!X165-'consolidated - Offplan'!X166</f>
        <v>0</v>
      </c>
    </row>
    <row r="34" spans="2:22" ht="54" x14ac:dyDescent="1.2">
      <c r="E34" s="161" t="b">
        <f>E33=E30</f>
        <v>1</v>
      </c>
      <c r="F34" s="161" t="b">
        <f>F33=F30</f>
        <v>1</v>
      </c>
      <c r="G34" s="161" t="b">
        <f>G33=G30</f>
        <v>1</v>
      </c>
      <c r="H34" s="161" t="b">
        <f>H33=H30</f>
        <v>1</v>
      </c>
      <c r="I34" s="161" t="b">
        <f>I33=I30</f>
        <v>1</v>
      </c>
      <c r="J34" s="161"/>
      <c r="K34" s="161" t="b">
        <f t="shared" ref="K34:V34" si="3">K33=K30</f>
        <v>1</v>
      </c>
      <c r="L34" s="161" t="b">
        <f t="shared" si="3"/>
        <v>1</v>
      </c>
      <c r="M34" s="161" t="b">
        <f t="shared" si="3"/>
        <v>1</v>
      </c>
      <c r="N34" s="161" t="b">
        <f t="shared" si="3"/>
        <v>1</v>
      </c>
      <c r="O34" s="161" t="b">
        <f t="shared" si="3"/>
        <v>1</v>
      </c>
      <c r="P34" s="161" t="b">
        <f t="shared" si="3"/>
        <v>1</v>
      </c>
      <c r="Q34" s="161" t="b">
        <f t="shared" si="3"/>
        <v>1</v>
      </c>
      <c r="R34" s="161" t="b">
        <f t="shared" si="3"/>
        <v>1</v>
      </c>
      <c r="S34" s="161" t="b">
        <f t="shared" si="3"/>
        <v>1</v>
      </c>
      <c r="T34" s="161" t="b">
        <f t="shared" si="3"/>
        <v>1</v>
      </c>
      <c r="U34" s="161" t="b">
        <f t="shared" si="3"/>
        <v>1</v>
      </c>
      <c r="V34" s="161" t="b">
        <f t="shared" si="3"/>
        <v>1</v>
      </c>
    </row>
    <row r="35" spans="2:22" ht="92" x14ac:dyDescent="2">
      <c r="L35" s="5"/>
    </row>
    <row r="36" spans="2:22" ht="92" x14ac:dyDescent="2">
      <c r="L36" s="5"/>
    </row>
    <row r="37" spans="2:22" ht="92" x14ac:dyDescent="2">
      <c r="L37" s="5"/>
    </row>
    <row r="38" spans="2:22" ht="92" x14ac:dyDescent="2">
      <c r="B38"/>
      <c r="C38"/>
      <c r="D38"/>
      <c r="E38"/>
      <c r="L38" s="5"/>
    </row>
    <row r="39" spans="2:22" ht="92" x14ac:dyDescent="2">
      <c r="B39"/>
      <c r="C39"/>
      <c r="D39"/>
      <c r="L39" s="5"/>
    </row>
    <row r="40" spans="2:22" ht="92" x14ac:dyDescent="2">
      <c r="B40"/>
      <c r="C40"/>
      <c r="D40"/>
      <c r="L40" s="5"/>
    </row>
    <row r="41" spans="2:22" ht="92" x14ac:dyDescent="2">
      <c r="B41"/>
      <c r="C41"/>
      <c r="D41"/>
      <c r="L41" s="5"/>
    </row>
    <row r="42" spans="2:22" ht="92" x14ac:dyDescent="2">
      <c r="B42"/>
      <c r="C42"/>
      <c r="D42"/>
      <c r="L42" s="5"/>
    </row>
    <row r="43" spans="2:22" ht="92" x14ac:dyDescent="2">
      <c r="B43"/>
      <c r="C43"/>
      <c r="D43"/>
      <c r="L43" s="5"/>
    </row>
    <row r="44" spans="2:22" ht="92" x14ac:dyDescent="2">
      <c r="B44"/>
      <c r="C44"/>
      <c r="D44"/>
      <c r="L44" s="5"/>
    </row>
    <row r="45" spans="2:22" ht="92" x14ac:dyDescent="2">
      <c r="B45"/>
      <c r="C45"/>
      <c r="D45"/>
      <c r="L45" s="5"/>
    </row>
    <row r="46" spans="2:22" ht="92" x14ac:dyDescent="2">
      <c r="B46"/>
      <c r="C46"/>
      <c r="D46"/>
      <c r="L46" s="5"/>
    </row>
    <row r="47" spans="2:22" ht="92" x14ac:dyDescent="2">
      <c r="B47"/>
      <c r="C47"/>
      <c r="D47"/>
      <c r="L47" s="5"/>
    </row>
    <row r="48" spans="2:22" ht="92" x14ac:dyDescent="2">
      <c r="B48"/>
      <c r="C48"/>
      <c r="D48"/>
      <c r="L48" s="5"/>
    </row>
    <row r="49" spans="2:12" ht="92" x14ac:dyDescent="2">
      <c r="B49"/>
      <c r="C49"/>
      <c r="D49"/>
      <c r="L49" s="5"/>
    </row>
    <row r="50" spans="2:12" ht="92" x14ac:dyDescent="2">
      <c r="B50"/>
      <c r="C50"/>
      <c r="D50"/>
      <c r="L50" s="5"/>
    </row>
    <row r="51" spans="2:12" ht="92" x14ac:dyDescent="2">
      <c r="B51"/>
      <c r="C51"/>
      <c r="D51"/>
      <c r="L51" s="5"/>
    </row>
    <row r="52" spans="2:12" ht="92" x14ac:dyDescent="2">
      <c r="B52"/>
      <c r="C52"/>
      <c r="D52"/>
      <c r="L52" s="5"/>
    </row>
    <row r="53" spans="2:12" ht="92" x14ac:dyDescent="2">
      <c r="B53"/>
      <c r="C53"/>
      <c r="D53"/>
      <c r="L53" s="5"/>
    </row>
    <row r="54" spans="2:12" ht="92" x14ac:dyDescent="2">
      <c r="B54"/>
      <c r="C54"/>
      <c r="D54"/>
      <c r="L54" s="5"/>
    </row>
    <row r="55" spans="2:12" ht="92" x14ac:dyDescent="2">
      <c r="B55"/>
      <c r="C55"/>
      <c r="D55"/>
      <c r="L55" s="5"/>
    </row>
    <row r="56" spans="2:12" ht="92" x14ac:dyDescent="2">
      <c r="L56" s="5"/>
    </row>
    <row r="57" spans="2:12" ht="92" x14ac:dyDescent="2">
      <c r="L57" s="5"/>
    </row>
    <row r="58" spans="2:12" ht="92" x14ac:dyDescent="2">
      <c r="L58" s="5"/>
    </row>
    <row r="59" spans="2:12" ht="35.15" customHeight="1" x14ac:dyDescent="2">
      <c r="L59" s="5"/>
    </row>
    <row r="60" spans="2:12" ht="35.15" customHeight="1" x14ac:dyDescent="2">
      <c r="L60" s="5"/>
    </row>
    <row r="61" spans="2:12" ht="35.15" customHeight="1" x14ac:dyDescent="2">
      <c r="L61" s="5"/>
    </row>
    <row r="62" spans="2:12" ht="35.15" customHeight="1" x14ac:dyDescent="2">
      <c r="H62" s="6"/>
      <c r="I62" s="6"/>
      <c r="J62" s="6"/>
      <c r="L62" s="5"/>
    </row>
    <row r="63" spans="2:12" ht="35.15" customHeight="1" x14ac:dyDescent="2">
      <c r="L63" s="5"/>
    </row>
    <row r="64" spans="2:12" ht="35.15" customHeight="1" x14ac:dyDescent="2">
      <c r="L64" s="5"/>
    </row>
    <row r="65" spans="12:12" ht="35.15" customHeight="1" x14ac:dyDescent="2">
      <c r="L65" s="5"/>
    </row>
    <row r="66" spans="12:12" ht="35.15" customHeight="1" x14ac:dyDescent="2">
      <c r="L66" s="5"/>
    </row>
    <row r="67" spans="12:12" ht="35.15" customHeight="1" x14ac:dyDescent="2">
      <c r="L67" s="5"/>
    </row>
    <row r="68" spans="12:12" ht="35.15" customHeight="1" x14ac:dyDescent="2">
      <c r="L68" s="5"/>
    </row>
    <row r="69" spans="12:12" ht="35.15" customHeight="1" x14ac:dyDescent="2">
      <c r="L69" s="5"/>
    </row>
    <row r="70" spans="12:12" ht="35.15" customHeight="1" x14ac:dyDescent="2">
      <c r="L70" s="5"/>
    </row>
    <row r="71" spans="12:12" ht="35.15" customHeight="1" x14ac:dyDescent="2">
      <c r="L71" s="5"/>
    </row>
    <row r="72" spans="12:12" ht="35.15" customHeight="1" x14ac:dyDescent="0.55000000000000004"/>
    <row r="73" spans="12:12" ht="35.15" customHeight="1" x14ac:dyDescent="0.55000000000000004"/>
    <row r="74" spans="12:12" ht="35.15" customHeight="1" x14ac:dyDescent="0.55000000000000004"/>
    <row r="75" spans="12:12" ht="35.15" customHeight="1" x14ac:dyDescent="0.55000000000000004"/>
    <row r="76" spans="12:12" ht="35.15" customHeight="1" x14ac:dyDescent="0.55000000000000004"/>
    <row r="77" spans="12:12" ht="35.15" customHeight="1" x14ac:dyDescent="0.55000000000000004"/>
  </sheetData>
  <pageMargins left="1.0236220472440944" right="0.59055118110236227" top="1.299212598425197" bottom="0.55118110236220474" header="0.31496062992125984" footer="0.31496062992125984"/>
  <pageSetup paperSize="8" scale="10" orientation="landscape" r:id="rId1"/>
  <headerFooter alignWithMargins="0">
    <oddHeader>&amp;L&amp;36SOBHA LLC&amp;R&amp;36&amp;D</oddHeader>
    <oddFooter>&amp;L&amp;36COLLECTIONS&amp;R&amp;36 1/1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3607-1E0C-40EE-8ABD-420580FB2606}">
  <sheetPr>
    <tabColor theme="7" tint="0.79998168889431442"/>
  </sheetPr>
  <dimension ref="A1:Z160"/>
  <sheetViews>
    <sheetView view="pageBreakPreview" zoomScale="20" zoomScaleNormal="10" zoomScaleSheetLayoutView="20" zoomScalePageLayoutView="40" workbookViewId="0">
      <pane xSplit="4" ySplit="3" topLeftCell="M4" activePane="bottomRight" state="frozen"/>
      <selection pane="topRight"/>
      <selection pane="bottomLeft"/>
      <selection pane="bottomRight"/>
    </sheetView>
  </sheetViews>
  <sheetFormatPr defaultColWidth="9.26953125" defaultRowHeight="23.5" outlineLevelRow="1" x14ac:dyDescent="0.55000000000000004"/>
  <cols>
    <col min="1" max="1" width="23" style="1" bestFit="1" customWidth="1"/>
    <col min="2" max="2" width="9.26953125" style="1"/>
    <col min="3" max="3" width="32.453125" style="1" customWidth="1"/>
    <col min="4" max="4" width="144.7265625" style="1" bestFit="1" customWidth="1"/>
    <col min="5" max="5" width="98.7265625" style="1" customWidth="1"/>
    <col min="6" max="6" width="48.7265625" style="1" bestFit="1" customWidth="1"/>
    <col min="7" max="7" width="98.26953125" style="1" customWidth="1"/>
    <col min="8" max="8" width="97.26953125" style="1" bestFit="1" customWidth="1"/>
    <col min="9" max="10" width="93.26953125" style="1" customWidth="1"/>
    <col min="11" max="11" width="77.7265625" style="1" customWidth="1"/>
    <col min="12" max="12" width="91.54296875" style="1" customWidth="1"/>
    <col min="13" max="13" width="100.81640625" style="1" customWidth="1"/>
    <col min="14" max="14" width="89.26953125" style="1" bestFit="1" customWidth="1"/>
    <col min="15" max="16" width="81.26953125" style="1" customWidth="1"/>
    <col min="17" max="23" width="78.26953125" style="1" customWidth="1"/>
    <col min="24" max="24" width="69.26953125" style="1" customWidth="1"/>
    <col min="25" max="25" width="75.7265625" style="1" customWidth="1"/>
    <col min="26" max="26" width="82.54296875" style="142" customWidth="1"/>
    <col min="27" max="46" width="9.26953125" style="1"/>
    <col min="47" max="47" width="30.54296875" style="1" customWidth="1"/>
    <col min="48" max="16384" width="9.26953125" style="1"/>
  </cols>
  <sheetData>
    <row r="1" spans="1:26" x14ac:dyDescent="0.55000000000000004">
      <c r="A1" s="126">
        <v>46143</v>
      </c>
    </row>
    <row r="2" spans="1:26" ht="78" customHeight="1" x14ac:dyDescent="1.55">
      <c r="C2" s="7"/>
      <c r="D2" s="7"/>
      <c r="E2" s="7"/>
      <c r="F2" s="7"/>
      <c r="G2" s="7"/>
      <c r="H2" s="7"/>
      <c r="I2" s="123"/>
      <c r="J2" s="124" t="s">
        <v>231</v>
      </c>
      <c r="K2" s="124"/>
      <c r="L2" s="123"/>
      <c r="M2" s="7"/>
      <c r="N2" s="122" t="s">
        <v>230</v>
      </c>
      <c r="O2" s="121">
        <v>46143</v>
      </c>
      <c r="P2" s="121"/>
    </row>
    <row r="3" spans="1:26" s="7" customFormat="1" ht="180" customHeight="1" x14ac:dyDescent="1.25">
      <c r="C3" s="119" t="s">
        <v>229</v>
      </c>
      <c r="D3" s="119" t="s">
        <v>228</v>
      </c>
      <c r="E3" s="118" t="s">
        <v>227</v>
      </c>
      <c r="F3" s="117" t="s">
        <v>226</v>
      </c>
      <c r="G3" s="116" t="s">
        <v>225</v>
      </c>
      <c r="H3" s="116" t="s">
        <v>224</v>
      </c>
      <c r="I3" s="116" t="s">
        <v>223</v>
      </c>
      <c r="J3" s="116" t="s">
        <v>222</v>
      </c>
      <c r="K3" s="116" t="s">
        <v>221</v>
      </c>
      <c r="L3" s="115" t="s">
        <v>220</v>
      </c>
      <c r="M3" s="114" t="s">
        <v>219</v>
      </c>
      <c r="N3" s="113">
        <v>2026</v>
      </c>
      <c r="O3" s="113">
        <v>2027</v>
      </c>
      <c r="P3" s="113">
        <v>2028</v>
      </c>
      <c r="Q3" s="113">
        <v>2029</v>
      </c>
      <c r="R3" s="113">
        <f t="shared" ref="R3:W3" si="0">+Q3+1</f>
        <v>2030</v>
      </c>
      <c r="S3" s="113">
        <f t="shared" si="0"/>
        <v>2031</v>
      </c>
      <c r="T3" s="113">
        <f t="shared" si="0"/>
        <v>2032</v>
      </c>
      <c r="U3" s="113">
        <f t="shared" si="0"/>
        <v>2033</v>
      </c>
      <c r="V3" s="113">
        <f t="shared" si="0"/>
        <v>2034</v>
      </c>
      <c r="W3" s="113">
        <f t="shared" si="0"/>
        <v>2035</v>
      </c>
      <c r="Z3" s="146"/>
    </row>
    <row r="4" spans="1:26" s="7" customFormat="1" ht="150" customHeight="1" x14ac:dyDescent="1.25">
      <c r="C4" s="77">
        <v>1</v>
      </c>
      <c r="D4" s="76" t="s">
        <v>145</v>
      </c>
      <c r="E4" s="49" t="str">
        <f>_xlfn.XLOOKUP(D4,'consolidated tracker'!D:D,'consolidated tracker'!E:E)</f>
        <v>RERA</v>
      </c>
      <c r="F4" s="33">
        <f>_xlfn.XLOOKUP(D4,'consolidated tracker'!D:D,'consolidated tracker'!F:F)</f>
        <v>175</v>
      </c>
      <c r="G4" s="33">
        <f>_xlfn.XLOOKUP(D4,'consolidated tracker'!D:D,'consolidated tracker'!G:G)</f>
        <v>2576602179.7700005</v>
      </c>
      <c r="H4" s="33">
        <f>_xlfn.XLOOKUP(D4,'consolidated tracker'!D:D,'consolidated tracker'!H:H)</f>
        <v>756395215.1499989</v>
      </c>
      <c r="I4" s="33">
        <f>_xlfn.XLOOKUP(D4,'consolidated tracker'!D:D,'consolidated tracker'!I:I)</f>
        <v>681960575.27999997</v>
      </c>
      <c r="J4" s="33">
        <f>_xlfn.XLOOKUP(D4,'consolidated tracker'!D:D,'consolidated tracker'!J:J)</f>
        <v>49385303.180000007</v>
      </c>
      <c r="K4" s="34">
        <f t="shared" ref="K4:K22" si="1">IFERROR(I4/H4,"-")</f>
        <v>0.90159292605356056</v>
      </c>
      <c r="L4" s="36">
        <f>_xlfn.XLOOKUP(D4,'consolidated tracker'!D:D,'consolidated tracker'!L:L)</f>
        <v>74434639.870000005</v>
      </c>
      <c r="M4" s="30">
        <f>_xlfn.XLOOKUP($D4,'consolidated tracker'!$D:$D,'consolidated tracker'!M:M)</f>
        <v>1770821661.4400015</v>
      </c>
      <c r="N4" s="33">
        <f>_xlfn.XLOOKUP($D4,'consolidated tracker'!$D:$D,'consolidated tracker'!N:N)</f>
        <v>265014038.25000167</v>
      </c>
      <c r="O4" s="33">
        <f>_xlfn.XLOOKUP($D4,'consolidated tracker'!$D:$D,'consolidated tracker'!O:O)</f>
        <v>632109373.8499999</v>
      </c>
      <c r="P4" s="33">
        <f>_xlfn.XLOOKUP($D4,'consolidated tracker'!$D:$D,'consolidated tracker'!P:P)</f>
        <v>866778492.53999996</v>
      </c>
      <c r="Q4" s="33">
        <f>_xlfn.XLOOKUP($D4,'consolidated tracker'!$D:$D,'consolidated tracker'!Q:Q)</f>
        <v>6919756.7999999998</v>
      </c>
      <c r="R4" s="33">
        <f>_xlfn.XLOOKUP($D4,'consolidated tracker'!$D:$D,'consolidated tracker'!R:R)</f>
        <v>0</v>
      </c>
      <c r="S4" s="33">
        <f>_xlfn.XLOOKUP($D4,'consolidated tracker'!$D:$D,'consolidated tracker'!S:S)</f>
        <v>0</v>
      </c>
      <c r="T4" s="33">
        <f>_xlfn.XLOOKUP($D4,'consolidated tracker'!$D:$D,'consolidated tracker'!T:T)</f>
        <v>0</v>
      </c>
      <c r="U4" s="33">
        <f>_xlfn.XLOOKUP($D4,'consolidated tracker'!$D:$D,'consolidated tracker'!U:U)</f>
        <v>0</v>
      </c>
      <c r="V4" s="33">
        <f>_xlfn.XLOOKUP($D4,'consolidated tracker'!$D:$D,'consolidated tracker'!V:V)</f>
        <v>0</v>
      </c>
      <c r="W4" s="33">
        <f>_xlfn.XLOOKUP($D4,'consolidated tracker'!$D:$D,'consolidated tracker'!W:W)</f>
        <v>0</v>
      </c>
      <c r="Z4" s="146"/>
    </row>
    <row r="5" spans="1:26" s="7" customFormat="1" ht="150" customHeight="1" x14ac:dyDescent="1.25">
      <c r="C5" s="77">
        <v>2</v>
      </c>
      <c r="D5" s="76" t="s">
        <v>121</v>
      </c>
      <c r="E5" s="49" t="str">
        <f>_xlfn.XLOOKUP(D5,'consolidated tracker'!D:D,'consolidated tracker'!E:E)</f>
        <v>RERA</v>
      </c>
      <c r="F5" s="33">
        <f>SUM(F6:F14)</f>
        <v>3423</v>
      </c>
      <c r="G5" s="33">
        <f>SUM(G6:G14)</f>
        <v>6111875456.7699995</v>
      </c>
      <c r="H5" s="33">
        <f>SUM(H6:H14)</f>
        <v>2297616634.4300003</v>
      </c>
      <c r="I5" s="33">
        <f>SUM(I6:I14)</f>
        <v>2192217726.75</v>
      </c>
      <c r="J5" s="33">
        <f>SUM(J6:J14)</f>
        <v>148563911.60000002</v>
      </c>
      <c r="K5" s="34">
        <f t="shared" si="1"/>
        <v>0.95412685210378967</v>
      </c>
      <c r="L5" s="36">
        <f t="shared" ref="L5:W5" si="2">SUM(L6:L14)</f>
        <v>105491297.08000001</v>
      </c>
      <c r="M5" s="30">
        <f t="shared" si="2"/>
        <v>3665694910.7399993</v>
      </c>
      <c r="N5" s="33">
        <f t="shared" si="2"/>
        <v>706203550.33999908</v>
      </c>
      <c r="O5" s="33">
        <f t="shared" si="2"/>
        <v>1123206432.1900005</v>
      </c>
      <c r="P5" s="33">
        <f t="shared" si="2"/>
        <v>1351594632</v>
      </c>
      <c r="Q5" s="33">
        <f t="shared" si="2"/>
        <v>447289209.63999999</v>
      </c>
      <c r="R5" s="33">
        <f t="shared" si="2"/>
        <v>37401086.57</v>
      </c>
      <c r="S5" s="33">
        <f t="shared" si="2"/>
        <v>0</v>
      </c>
      <c r="T5" s="33">
        <f t="shared" si="2"/>
        <v>0</v>
      </c>
      <c r="U5" s="33">
        <f t="shared" si="2"/>
        <v>0</v>
      </c>
      <c r="V5" s="33">
        <f t="shared" si="2"/>
        <v>0</v>
      </c>
      <c r="W5" s="33">
        <f t="shared" si="2"/>
        <v>0</v>
      </c>
      <c r="Z5" s="146"/>
    </row>
    <row r="6" spans="1:26" s="7" customFormat="1" ht="150" hidden="1" customHeight="1" outlineLevel="1" x14ac:dyDescent="1.25">
      <c r="C6" s="77"/>
      <c r="D6" s="94" t="s">
        <v>120</v>
      </c>
      <c r="E6" s="49" t="str">
        <f>_xlfn.XLOOKUP(D6,'consolidated tracker'!D:D,'consolidated tracker'!E:E)</f>
        <v>RERA</v>
      </c>
      <c r="F6" s="33">
        <f>_xlfn.XLOOKUP(D6,'consolidated tracker'!D:D,'consolidated tracker'!F:F)</f>
        <v>527</v>
      </c>
      <c r="G6" s="33">
        <f>_xlfn.XLOOKUP(D6,'consolidated tracker'!D:D,'consolidated tracker'!G:G)</f>
        <v>851990943.81999958</v>
      </c>
      <c r="H6" s="33">
        <f>_xlfn.XLOOKUP(D6,'consolidated tracker'!D:D,'consolidated tracker'!H:H)</f>
        <v>389768741.93000019</v>
      </c>
      <c r="I6" s="33">
        <f>_xlfn.XLOOKUP(D6,'consolidated tracker'!D:D,'consolidated tracker'!I:I)</f>
        <v>374607675.94000012</v>
      </c>
      <c r="J6" s="33">
        <f>_xlfn.XLOOKUP(D6,'consolidated tracker'!D:D,'consolidated tracker'!J:J)</f>
        <v>13696896.129999999</v>
      </c>
      <c r="K6" s="34">
        <f t="shared" si="1"/>
        <v>0.96110240673757541</v>
      </c>
      <c r="L6" s="36">
        <f>_xlfn.XLOOKUP(D6,'consolidated tracker'!D:D,'consolidated tracker'!L:L)</f>
        <v>15161065.989999998</v>
      </c>
      <c r="M6" s="30">
        <f>_xlfn.XLOOKUP($D6,'consolidated tracker'!$D:$D,'consolidated tracker'!M:M)</f>
        <v>448525305.75999939</v>
      </c>
      <c r="N6" s="33">
        <f>_xlfn.XLOOKUP($D6,'consolidated tracker'!$D:$D,'consolidated tracker'!N:N)</f>
        <v>87772944.179999322</v>
      </c>
      <c r="O6" s="33">
        <f>_xlfn.XLOOKUP($D6,'consolidated tracker'!$D:$D,'consolidated tracker'!O:O)</f>
        <v>360752361.58000004</v>
      </c>
      <c r="P6" s="33">
        <f>_xlfn.XLOOKUP($D6,'consolidated tracker'!$D:$D,'consolidated tracker'!P:P)</f>
        <v>0</v>
      </c>
      <c r="Q6" s="33">
        <f>_xlfn.XLOOKUP($D6,'consolidated tracker'!$D:$D,'consolidated tracker'!Q:Q)</f>
        <v>0</v>
      </c>
      <c r="R6" s="33">
        <f>_xlfn.XLOOKUP($D6,'consolidated tracker'!$D:$D,'consolidated tracker'!R:R)</f>
        <v>0</v>
      </c>
      <c r="S6" s="33">
        <f>_xlfn.XLOOKUP($D6,'consolidated tracker'!$D:$D,'consolidated tracker'!S:S)</f>
        <v>0</v>
      </c>
      <c r="T6" s="33">
        <f>_xlfn.XLOOKUP($D6,'consolidated tracker'!$D:$D,'consolidated tracker'!T:T)</f>
        <v>0</v>
      </c>
      <c r="U6" s="33">
        <f>_xlfn.XLOOKUP($D6,'consolidated tracker'!$D:$D,'consolidated tracker'!U:U)</f>
        <v>0</v>
      </c>
      <c r="V6" s="33">
        <f>_xlfn.XLOOKUP($D6,'consolidated tracker'!$D:$D,'consolidated tracker'!V:V)</f>
        <v>0</v>
      </c>
      <c r="W6" s="33">
        <f>_xlfn.XLOOKUP($D6,'consolidated tracker'!$D:$D,'consolidated tracker'!W:W)</f>
        <v>0</v>
      </c>
      <c r="Z6" s="146"/>
    </row>
    <row r="7" spans="1:26" s="7" customFormat="1" ht="150" hidden="1" customHeight="1" outlineLevel="1" x14ac:dyDescent="1.25">
      <c r="C7" s="77"/>
      <c r="D7" s="94" t="s">
        <v>115</v>
      </c>
      <c r="E7" s="49" t="str">
        <f>_xlfn.XLOOKUP(D7,'consolidated tracker'!D:D,'consolidated tracker'!E:E)</f>
        <v>RERA</v>
      </c>
      <c r="F7" s="33">
        <f>_xlfn.XLOOKUP(D7,'consolidated tracker'!D:D,'consolidated tracker'!F:F)</f>
        <v>569</v>
      </c>
      <c r="G7" s="33">
        <f>_xlfn.XLOOKUP(D7,'consolidated tracker'!D:D,'consolidated tracker'!G:G)</f>
        <v>904102269.01999962</v>
      </c>
      <c r="H7" s="33">
        <f>_xlfn.XLOOKUP(D7,'consolidated tracker'!D:D,'consolidated tracker'!H:H)</f>
        <v>391734953.66000044</v>
      </c>
      <c r="I7" s="33">
        <f>_xlfn.XLOOKUP(D7,'consolidated tracker'!D:D,'consolidated tracker'!I:I)</f>
        <v>370293483.80000007</v>
      </c>
      <c r="J7" s="33">
        <f>_xlfn.XLOOKUP(D7,'consolidated tracker'!D:D,'consolidated tracker'!J:J)</f>
        <v>20594348.380000003</v>
      </c>
      <c r="K7" s="34">
        <f t="shared" si="1"/>
        <v>0.94526536460514543</v>
      </c>
      <c r="L7" s="36">
        <f>_xlfn.XLOOKUP(D7,'consolidated tracker'!D:D,'consolidated tracker'!L:L)</f>
        <v>21441469.860000007</v>
      </c>
      <c r="M7" s="30">
        <f>_xlfn.XLOOKUP($D7,'consolidated tracker'!$D:$D,'consolidated tracker'!M:M)</f>
        <v>491772966.97999918</v>
      </c>
      <c r="N7" s="33">
        <f>_xlfn.XLOOKUP($D7,'consolidated tracker'!$D:$D,'consolidated tracker'!N:N)</f>
        <v>96649185.919998944</v>
      </c>
      <c r="O7" s="33">
        <f>_xlfn.XLOOKUP($D7,'consolidated tracker'!$D:$D,'consolidated tracker'!O:O)</f>
        <v>395123781.06000024</v>
      </c>
      <c r="P7" s="33">
        <f>_xlfn.XLOOKUP($D7,'consolidated tracker'!$D:$D,'consolidated tracker'!P:P)</f>
        <v>0</v>
      </c>
      <c r="Q7" s="33">
        <f>_xlfn.XLOOKUP($D7,'consolidated tracker'!$D:$D,'consolidated tracker'!Q:Q)</f>
        <v>0</v>
      </c>
      <c r="R7" s="33">
        <f>_xlfn.XLOOKUP($D7,'consolidated tracker'!$D:$D,'consolidated tracker'!R:R)</f>
        <v>0</v>
      </c>
      <c r="S7" s="33">
        <f>_xlfn.XLOOKUP($D7,'consolidated tracker'!$D:$D,'consolidated tracker'!S:S)</f>
        <v>0</v>
      </c>
      <c r="T7" s="33">
        <f>_xlfn.XLOOKUP($D7,'consolidated tracker'!$D:$D,'consolidated tracker'!T:T)</f>
        <v>0</v>
      </c>
      <c r="U7" s="33">
        <f>_xlfn.XLOOKUP($D7,'consolidated tracker'!$D:$D,'consolidated tracker'!U:U)</f>
        <v>0</v>
      </c>
      <c r="V7" s="33">
        <f>_xlfn.XLOOKUP($D7,'consolidated tracker'!$D:$D,'consolidated tracker'!V:V)</f>
        <v>0</v>
      </c>
      <c r="W7" s="33">
        <f>_xlfn.XLOOKUP($D7,'consolidated tracker'!$D:$D,'consolidated tracker'!W:W)</f>
        <v>0</v>
      </c>
      <c r="Z7" s="146"/>
    </row>
    <row r="8" spans="1:26" s="7" customFormat="1" ht="150" hidden="1" customHeight="1" outlineLevel="1" x14ac:dyDescent="1.25">
      <c r="C8" s="77"/>
      <c r="D8" s="94" t="s">
        <v>110</v>
      </c>
      <c r="E8" s="49" t="str">
        <f>_xlfn.XLOOKUP(D8,'consolidated tracker'!D:D,'consolidated tracker'!E:E)</f>
        <v>RERA</v>
      </c>
      <c r="F8" s="33">
        <f>_xlfn.XLOOKUP(D8,'consolidated tracker'!D:D,'consolidated tracker'!F:F)</f>
        <v>566</v>
      </c>
      <c r="G8" s="33">
        <f>_xlfn.XLOOKUP(D8,'consolidated tracker'!D:D,'consolidated tracker'!G:G)</f>
        <v>966190532.11000001</v>
      </c>
      <c r="H8" s="33">
        <f>_xlfn.XLOOKUP(D8,'consolidated tracker'!D:D,'consolidated tracker'!H:H)</f>
        <v>402947841.77999967</v>
      </c>
      <c r="I8" s="33">
        <f>_xlfn.XLOOKUP(D8,'consolidated tracker'!D:D,'consolidated tracker'!I:I)</f>
        <v>379505888.16999984</v>
      </c>
      <c r="J8" s="33">
        <f>_xlfn.XLOOKUP(D8,'consolidated tracker'!D:D,'consolidated tracker'!J:J)</f>
        <v>24496253.770000007</v>
      </c>
      <c r="K8" s="34">
        <f t="shared" si="1"/>
        <v>0.94182385118022638</v>
      </c>
      <c r="L8" s="36">
        <f>_xlfn.XLOOKUP(D8,'consolidated tracker'!D:D,'consolidated tracker'!L:L)</f>
        <v>23441953.610000007</v>
      </c>
      <c r="M8" s="30">
        <f>_xlfn.XLOOKUP($D8,'consolidated tracker'!$D:$D,'consolidated tracker'!M:M)</f>
        <v>538746436.56000042</v>
      </c>
      <c r="N8" s="33">
        <f>_xlfn.XLOOKUP($D8,'consolidated tracker'!$D:$D,'consolidated tracker'!N:N)</f>
        <v>105459561.50000024</v>
      </c>
      <c r="O8" s="33">
        <f>_xlfn.XLOOKUP($D8,'consolidated tracker'!$D:$D,'consolidated tracker'!O:O)</f>
        <v>55855176.960000008</v>
      </c>
      <c r="P8" s="33">
        <f>_xlfn.XLOOKUP($D8,'consolidated tracker'!$D:$D,'consolidated tracker'!P:P)</f>
        <v>377431698.10000014</v>
      </c>
      <c r="Q8" s="33">
        <f>_xlfn.XLOOKUP($D8,'consolidated tracker'!$D:$D,'consolidated tracker'!Q:Q)</f>
        <v>0</v>
      </c>
      <c r="R8" s="33">
        <f>_xlfn.XLOOKUP($D8,'consolidated tracker'!$D:$D,'consolidated tracker'!R:R)</f>
        <v>0</v>
      </c>
      <c r="S8" s="33">
        <f>_xlfn.XLOOKUP($D8,'consolidated tracker'!$D:$D,'consolidated tracker'!S:S)</f>
        <v>0</v>
      </c>
      <c r="T8" s="33">
        <f>_xlfn.XLOOKUP($D8,'consolidated tracker'!$D:$D,'consolidated tracker'!T:T)</f>
        <v>0</v>
      </c>
      <c r="U8" s="33">
        <f>_xlfn.XLOOKUP($D8,'consolidated tracker'!$D:$D,'consolidated tracker'!U:U)</f>
        <v>0</v>
      </c>
      <c r="V8" s="33">
        <f>_xlfn.XLOOKUP($D8,'consolidated tracker'!$D:$D,'consolidated tracker'!V:V)</f>
        <v>0</v>
      </c>
      <c r="W8" s="33">
        <f>_xlfn.XLOOKUP($D8,'consolidated tracker'!$D:$D,'consolidated tracker'!W:W)</f>
        <v>0</v>
      </c>
      <c r="Z8" s="146"/>
    </row>
    <row r="9" spans="1:26" s="7" customFormat="1" ht="150" hidden="1" customHeight="1" outlineLevel="1" x14ac:dyDescent="1.25">
      <c r="C9" s="77"/>
      <c r="D9" s="94" t="s">
        <v>105</v>
      </c>
      <c r="E9" s="49" t="str">
        <f>_xlfn.XLOOKUP(D9,'consolidated tracker'!D:D,'consolidated tracker'!E:E)</f>
        <v>RERA</v>
      </c>
      <c r="F9" s="33">
        <f>_xlfn.XLOOKUP(D9,'consolidated tracker'!D:D,'consolidated tracker'!F:F)</f>
        <v>557</v>
      </c>
      <c r="G9" s="33">
        <f>_xlfn.XLOOKUP(D9,'consolidated tracker'!D:D,'consolidated tracker'!G:G)</f>
        <v>943131762.30000019</v>
      </c>
      <c r="H9" s="33">
        <f>_xlfn.XLOOKUP(D9,'consolidated tracker'!D:D,'consolidated tracker'!H:H)</f>
        <v>350053797.44999993</v>
      </c>
      <c r="I9" s="33">
        <f>_xlfn.XLOOKUP(D9,'consolidated tracker'!D:D,'consolidated tracker'!I:I)</f>
        <v>342723147.4799999</v>
      </c>
      <c r="J9" s="33">
        <f>_xlfn.XLOOKUP(D9,'consolidated tracker'!D:D,'consolidated tracker'!J:J)</f>
        <v>24327292.339999996</v>
      </c>
      <c r="K9" s="34">
        <f t="shared" si="1"/>
        <v>0.97905850465442501</v>
      </c>
      <c r="L9" s="36">
        <f>_xlfn.XLOOKUP(D9,'consolidated tracker'!D:D,'consolidated tracker'!L:L)</f>
        <v>7330649.9700000007</v>
      </c>
      <c r="M9" s="30">
        <f>_xlfn.XLOOKUP($D9,'consolidated tracker'!$D:$D,'consolidated tracker'!M:M)</f>
        <v>568750672.51000023</v>
      </c>
      <c r="N9" s="33">
        <f>_xlfn.XLOOKUP($D9,'consolidated tracker'!$D:$D,'consolidated tracker'!N:N)</f>
        <v>131703711.93000031</v>
      </c>
      <c r="O9" s="33">
        <f>_xlfn.XLOOKUP($D9,'consolidated tracker'!$D:$D,'consolidated tracker'!O:O)</f>
        <v>54904434.460000001</v>
      </c>
      <c r="P9" s="33">
        <f>_xlfn.XLOOKUP($D9,'consolidated tracker'!$D:$D,'consolidated tracker'!P:P)</f>
        <v>382142526.11999995</v>
      </c>
      <c r="Q9" s="33">
        <f>_xlfn.XLOOKUP($D9,'consolidated tracker'!$D:$D,'consolidated tracker'!Q:Q)</f>
        <v>0</v>
      </c>
      <c r="R9" s="33">
        <f>_xlfn.XLOOKUP($D9,'consolidated tracker'!$D:$D,'consolidated tracker'!R:R)</f>
        <v>0</v>
      </c>
      <c r="S9" s="33">
        <f>_xlfn.XLOOKUP($D9,'consolidated tracker'!$D:$D,'consolidated tracker'!S:S)</f>
        <v>0</v>
      </c>
      <c r="T9" s="33">
        <f>_xlfn.XLOOKUP($D9,'consolidated tracker'!$D:$D,'consolidated tracker'!T:T)</f>
        <v>0</v>
      </c>
      <c r="U9" s="33">
        <f>_xlfn.XLOOKUP($D9,'consolidated tracker'!$D:$D,'consolidated tracker'!U:U)</f>
        <v>0</v>
      </c>
      <c r="V9" s="33">
        <f>_xlfn.XLOOKUP($D9,'consolidated tracker'!$D:$D,'consolidated tracker'!V:V)</f>
        <v>0</v>
      </c>
      <c r="W9" s="33">
        <f>_xlfn.XLOOKUP($D9,'consolidated tracker'!$D:$D,'consolidated tracker'!W:W)</f>
        <v>0</v>
      </c>
      <c r="Z9" s="146"/>
    </row>
    <row r="10" spans="1:26" s="7" customFormat="1" ht="150" hidden="1" customHeight="1" outlineLevel="1" x14ac:dyDescent="1.25">
      <c r="C10" s="77"/>
      <c r="D10" s="94" t="s">
        <v>100</v>
      </c>
      <c r="E10" s="49" t="str">
        <f>_xlfn.XLOOKUP(D10,'consolidated tracker'!D:D,'consolidated tracker'!E:E)</f>
        <v>RERA</v>
      </c>
      <c r="F10" s="33">
        <f>_xlfn.XLOOKUP(D10,'consolidated tracker'!D:D,'consolidated tracker'!F:F)</f>
        <v>337</v>
      </c>
      <c r="G10" s="33">
        <f>_xlfn.XLOOKUP(D10,'consolidated tracker'!D:D,'consolidated tracker'!G:G)</f>
        <v>674033743.32000005</v>
      </c>
      <c r="H10" s="33">
        <f>_xlfn.XLOOKUP(D10,'consolidated tracker'!D:D,'consolidated tracker'!H:H)</f>
        <v>236827590.83999991</v>
      </c>
      <c r="I10" s="33">
        <f>_xlfn.XLOOKUP(D10,'consolidated tracker'!D:D,'consolidated tracker'!I:I)</f>
        <v>229449199.20999998</v>
      </c>
      <c r="J10" s="33">
        <f>_xlfn.XLOOKUP(D10,'consolidated tracker'!D:D,'consolidated tracker'!J:J)</f>
        <v>23251185.530000005</v>
      </c>
      <c r="K10" s="34">
        <f t="shared" si="1"/>
        <v>0.96884488161269711</v>
      </c>
      <c r="L10" s="36">
        <f>_xlfn.XLOOKUP(D10,'consolidated tracker'!D:D,'consolidated tracker'!L:L)</f>
        <v>7378391.6299999999</v>
      </c>
      <c r="M10" s="30">
        <f>_xlfn.XLOOKUP($D10,'consolidated tracker'!$D:$D,'consolidated tracker'!M:M)</f>
        <v>413954966.95000017</v>
      </c>
      <c r="N10" s="33">
        <f>_xlfn.XLOOKUP($D10,'consolidated tracker'!$D:$D,'consolidated tracker'!N:N)</f>
        <v>86742753.730000257</v>
      </c>
      <c r="O10" s="33">
        <f>_xlfn.XLOOKUP($D10,'consolidated tracker'!$D:$D,'consolidated tracker'!O:O)</f>
        <v>51822765.530000009</v>
      </c>
      <c r="P10" s="33">
        <f>_xlfn.XLOOKUP($D10,'consolidated tracker'!$D:$D,'consolidated tracker'!P:P)</f>
        <v>275389447.68999988</v>
      </c>
      <c r="Q10" s="33">
        <f>_xlfn.XLOOKUP($D10,'consolidated tracker'!$D:$D,'consolidated tracker'!Q:Q)</f>
        <v>0</v>
      </c>
      <c r="R10" s="33">
        <f>_xlfn.XLOOKUP($D10,'consolidated tracker'!$D:$D,'consolidated tracker'!R:R)</f>
        <v>0</v>
      </c>
      <c r="S10" s="33">
        <f>_xlfn.XLOOKUP($D10,'consolidated tracker'!$D:$D,'consolidated tracker'!S:S)</f>
        <v>0</v>
      </c>
      <c r="T10" s="33">
        <f>_xlfn.XLOOKUP($D10,'consolidated tracker'!$D:$D,'consolidated tracker'!T:T)</f>
        <v>0</v>
      </c>
      <c r="U10" s="33">
        <f>_xlfn.XLOOKUP($D10,'consolidated tracker'!$D:$D,'consolidated tracker'!U:U)</f>
        <v>0</v>
      </c>
      <c r="V10" s="33">
        <f>_xlfn.XLOOKUP($D10,'consolidated tracker'!$D:$D,'consolidated tracker'!V:V)</f>
        <v>0</v>
      </c>
      <c r="W10" s="33">
        <f>_xlfn.XLOOKUP($D10,'consolidated tracker'!$D:$D,'consolidated tracker'!W:W)</f>
        <v>0</v>
      </c>
      <c r="Z10" s="146"/>
    </row>
    <row r="11" spans="1:26" s="7" customFormat="1" ht="150" hidden="1" customHeight="1" outlineLevel="1" x14ac:dyDescent="1.25">
      <c r="C11" s="77"/>
      <c r="D11" s="94" t="s">
        <v>95</v>
      </c>
      <c r="E11" s="49" t="str">
        <f>_xlfn.XLOOKUP(D11,'consolidated tracker'!D:D,'consolidated tracker'!E:E)</f>
        <v>RERA</v>
      </c>
      <c r="F11" s="33">
        <f>_xlfn.XLOOKUP(D11,'consolidated tracker'!D:D,'consolidated tracker'!F:F)</f>
        <v>331</v>
      </c>
      <c r="G11" s="33">
        <f>_xlfn.XLOOKUP(D11,'consolidated tracker'!D:D,'consolidated tracker'!G:G)</f>
        <v>667686855.18000007</v>
      </c>
      <c r="H11" s="33">
        <f>_xlfn.XLOOKUP(D11,'consolidated tracker'!D:D,'consolidated tracker'!H:H)</f>
        <v>225491062.34000003</v>
      </c>
      <c r="I11" s="33">
        <f>_xlfn.XLOOKUP(D11,'consolidated tracker'!D:D,'consolidated tracker'!I:I)</f>
        <v>214512776.35999998</v>
      </c>
      <c r="J11" s="33">
        <f>_xlfn.XLOOKUP(D11,'consolidated tracker'!D:D,'consolidated tracker'!J:J)</f>
        <v>22295532.890000001</v>
      </c>
      <c r="K11" s="34">
        <f t="shared" si="1"/>
        <v>0.95131387529920475</v>
      </c>
      <c r="L11" s="36">
        <f>_xlfn.XLOOKUP(D11,'consolidated tracker'!D:D,'consolidated tracker'!L:L)</f>
        <v>11070675.380000001</v>
      </c>
      <c r="M11" s="30">
        <f>_xlfn.XLOOKUP($D11,'consolidated tracker'!$D:$D,'consolidated tracker'!M:M)</f>
        <v>419900259.95000005</v>
      </c>
      <c r="N11" s="33">
        <f>_xlfn.XLOOKUP($D11,'consolidated tracker'!$D:$D,'consolidated tracker'!N:N)</f>
        <v>71733501.860000014</v>
      </c>
      <c r="O11" s="33">
        <f>_xlfn.XLOOKUP($D11,'consolidated tracker'!$D:$D,'consolidated tracker'!O:O)</f>
        <v>68752285.549999997</v>
      </c>
      <c r="P11" s="33">
        <f>_xlfn.XLOOKUP($D11,'consolidated tracker'!$D:$D,'consolidated tracker'!P:P)</f>
        <v>279414472.54000002</v>
      </c>
      <c r="Q11" s="33">
        <f>_xlfn.XLOOKUP($D11,'consolidated tracker'!$D:$D,'consolidated tracker'!Q:Q)</f>
        <v>0</v>
      </c>
      <c r="R11" s="33">
        <f>_xlfn.XLOOKUP($D11,'consolidated tracker'!$D:$D,'consolidated tracker'!R:R)</f>
        <v>0</v>
      </c>
      <c r="S11" s="33">
        <f>_xlfn.XLOOKUP($D11,'consolidated tracker'!$D:$D,'consolidated tracker'!S:S)</f>
        <v>0</v>
      </c>
      <c r="T11" s="33">
        <f>_xlfn.XLOOKUP($D11,'consolidated tracker'!$D:$D,'consolidated tracker'!T:T)</f>
        <v>0</v>
      </c>
      <c r="U11" s="33">
        <f>_xlfn.XLOOKUP($D11,'consolidated tracker'!$D:$D,'consolidated tracker'!U:U)</f>
        <v>0</v>
      </c>
      <c r="V11" s="33">
        <f>_xlfn.XLOOKUP($D11,'consolidated tracker'!$D:$D,'consolidated tracker'!V:V)</f>
        <v>0</v>
      </c>
      <c r="W11" s="33">
        <f>_xlfn.XLOOKUP($D11,'consolidated tracker'!$D:$D,'consolidated tracker'!W:W)</f>
        <v>0</v>
      </c>
      <c r="Z11" s="146"/>
    </row>
    <row r="12" spans="1:26" s="7" customFormat="1" ht="150" hidden="1" customHeight="1" outlineLevel="1" x14ac:dyDescent="1.25">
      <c r="C12" s="77"/>
      <c r="D12" s="94" t="s">
        <v>90</v>
      </c>
      <c r="E12" s="49" t="str">
        <f>_xlfn.XLOOKUP(D12,'consolidated tracker'!D:D,'consolidated tracker'!E:E)</f>
        <v>RERA</v>
      </c>
      <c r="F12" s="33">
        <f>_xlfn.XLOOKUP(D12,'consolidated tracker'!D:D,'consolidated tracker'!F:F)</f>
        <v>272</v>
      </c>
      <c r="G12" s="33">
        <f>_xlfn.XLOOKUP(D12,'consolidated tracker'!D:D,'consolidated tracker'!G:G)</f>
        <v>562421690.49000013</v>
      </c>
      <c r="H12" s="33">
        <f>_xlfn.XLOOKUP(D12,'consolidated tracker'!D:D,'consolidated tracker'!H:H)</f>
        <v>179303569.10000002</v>
      </c>
      <c r="I12" s="33">
        <f>_xlfn.XLOOKUP(D12,'consolidated tracker'!D:D,'consolidated tracker'!I:I)</f>
        <v>165777259.81</v>
      </c>
      <c r="J12" s="33">
        <f>_xlfn.XLOOKUP(D12,'consolidated tracker'!D:D,'consolidated tracker'!J:J)</f>
        <v>12167146.910000002</v>
      </c>
      <c r="K12" s="34">
        <f t="shared" si="1"/>
        <v>0.92456196294421655</v>
      </c>
      <c r="L12" s="36">
        <f>_xlfn.XLOOKUP(D12,'consolidated tracker'!D:D,'consolidated tracker'!L:L)</f>
        <v>13526309.290000001</v>
      </c>
      <c r="M12" s="30">
        <f>_xlfn.XLOOKUP($D12,'consolidated tracker'!$D:$D,'consolidated tracker'!M:M)</f>
        <v>370950974.48000014</v>
      </c>
      <c r="N12" s="33">
        <f>_xlfn.XLOOKUP($D12,'consolidated tracker'!$D:$D,'consolidated tracker'!N:N)</f>
        <v>63033278.590000093</v>
      </c>
      <c r="O12" s="33">
        <f>_xlfn.XLOOKUP($D12,'consolidated tracker'!$D:$D,'consolidated tracker'!O:O)</f>
        <v>61010566.770000003</v>
      </c>
      <c r="P12" s="33">
        <f>_xlfn.XLOOKUP($D12,'consolidated tracker'!$D:$D,'consolidated tracker'!P:P)</f>
        <v>15143174.4</v>
      </c>
      <c r="Q12" s="33">
        <f>_xlfn.XLOOKUP($D12,'consolidated tracker'!$D:$D,'consolidated tracker'!Q:Q)</f>
        <v>231763954.72000003</v>
      </c>
      <c r="R12" s="33">
        <f>_xlfn.XLOOKUP($D12,'consolidated tracker'!$D:$D,'consolidated tracker'!R:R)</f>
        <v>0</v>
      </c>
      <c r="S12" s="33">
        <f>_xlfn.XLOOKUP($D12,'consolidated tracker'!$D:$D,'consolidated tracker'!S:S)</f>
        <v>0</v>
      </c>
      <c r="T12" s="33">
        <f>_xlfn.XLOOKUP($D12,'consolidated tracker'!$D:$D,'consolidated tracker'!T:T)</f>
        <v>0</v>
      </c>
      <c r="U12" s="33">
        <f>_xlfn.XLOOKUP($D12,'consolidated tracker'!$D:$D,'consolidated tracker'!U:U)</f>
        <v>0</v>
      </c>
      <c r="V12" s="33">
        <f>_xlfn.XLOOKUP($D12,'consolidated tracker'!$D:$D,'consolidated tracker'!V:V)</f>
        <v>0</v>
      </c>
      <c r="W12" s="33">
        <f>_xlfn.XLOOKUP($D12,'consolidated tracker'!$D:$D,'consolidated tracker'!W:W)</f>
        <v>0</v>
      </c>
      <c r="Z12" s="146"/>
    </row>
    <row r="13" spans="1:26" s="7" customFormat="1" ht="150" hidden="1" customHeight="1" outlineLevel="1" x14ac:dyDescent="1.25">
      <c r="C13" s="77"/>
      <c r="D13" s="94" t="s">
        <v>85</v>
      </c>
      <c r="E13" s="49" t="str">
        <f>_xlfn.XLOOKUP(D13,'consolidated tracker'!D:D,'consolidated tracker'!E:E)</f>
        <v>Pre-Launch</v>
      </c>
      <c r="F13" s="33">
        <f>_xlfn.XLOOKUP(D13,'consolidated tracker'!D:D,'consolidated tracker'!F:F)</f>
        <v>223</v>
      </c>
      <c r="G13" s="33">
        <f>_xlfn.XLOOKUP(D13,'consolidated tracker'!D:D,'consolidated tracker'!G:G)</f>
        <v>468808051.93999994</v>
      </c>
      <c r="H13" s="33">
        <f>_xlfn.XLOOKUP(D13,'consolidated tracker'!D:D,'consolidated tracker'!H:H)</f>
        <v>112745455.28000005</v>
      </c>
      <c r="I13" s="33">
        <f>_xlfn.XLOOKUP(D13,'consolidated tracker'!D:D,'consolidated tracker'!I:I)</f>
        <v>108355228.06000002</v>
      </c>
      <c r="J13" s="33">
        <f>_xlfn.XLOOKUP(D13,'consolidated tracker'!D:D,'consolidated tracker'!J:J)</f>
        <v>7688248.5499999989</v>
      </c>
      <c r="K13" s="34">
        <f t="shared" si="1"/>
        <v>0.9610607167349049</v>
      </c>
      <c r="L13" s="36">
        <f>_xlfn.XLOOKUP(D13,'consolidated tracker'!D:D,'consolidated tracker'!L:L)</f>
        <v>4390227.22</v>
      </c>
      <c r="M13" s="30">
        <f>_xlfn.XLOOKUP($D13,'consolidated tracker'!$D:$D,'consolidated tracker'!M:M)</f>
        <v>348374348.10999995</v>
      </c>
      <c r="N13" s="33">
        <f>_xlfn.XLOOKUP($D13,'consolidated tracker'!$D:$D,'consolidated tracker'!N:N)</f>
        <v>55772616.559999891</v>
      </c>
      <c r="O13" s="33">
        <f>_xlfn.XLOOKUP($D13,'consolidated tracker'!$D:$D,'consolidated tracker'!O:O)</f>
        <v>63304089.89000003</v>
      </c>
      <c r="P13" s="33">
        <f>_xlfn.XLOOKUP($D13,'consolidated tracker'!$D:$D,'consolidated tracker'!P:P)</f>
        <v>17197138.52</v>
      </c>
      <c r="Q13" s="33">
        <f>_xlfn.XLOOKUP($D13,'consolidated tracker'!$D:$D,'consolidated tracker'!Q:Q)</f>
        <v>212100503.14000002</v>
      </c>
      <c r="R13" s="33">
        <f>_xlfn.XLOOKUP($D13,'consolidated tracker'!$D:$D,'consolidated tracker'!R:R)</f>
        <v>0</v>
      </c>
      <c r="S13" s="33">
        <f>_xlfn.XLOOKUP($D13,'consolidated tracker'!$D:$D,'consolidated tracker'!S:S)</f>
        <v>0</v>
      </c>
      <c r="T13" s="33">
        <f>_xlfn.XLOOKUP($D13,'consolidated tracker'!$D:$D,'consolidated tracker'!T:T)</f>
        <v>0</v>
      </c>
      <c r="U13" s="33">
        <f>_xlfn.XLOOKUP($D13,'consolidated tracker'!$D:$D,'consolidated tracker'!U:U)</f>
        <v>0</v>
      </c>
      <c r="V13" s="33">
        <f>_xlfn.XLOOKUP($D13,'consolidated tracker'!$D:$D,'consolidated tracker'!V:V)</f>
        <v>0</v>
      </c>
      <c r="W13" s="33">
        <f>_xlfn.XLOOKUP($D13,'consolidated tracker'!$D:$D,'consolidated tracker'!W:W)</f>
        <v>0</v>
      </c>
      <c r="Z13" s="146"/>
    </row>
    <row r="14" spans="1:26" s="7" customFormat="1" ht="150" hidden="1" customHeight="1" outlineLevel="1" x14ac:dyDescent="1.25">
      <c r="C14" s="77"/>
      <c r="D14" s="94" t="s">
        <v>80</v>
      </c>
      <c r="E14" s="49" t="str">
        <f>_xlfn.XLOOKUP(D14,'consolidated tracker'!D:D,'consolidated tracker'!E:E)</f>
        <v>RERA</v>
      </c>
      <c r="F14" s="33">
        <f>_xlfn.XLOOKUP(D14,'consolidated tracker'!D:D,'consolidated tracker'!F:F)</f>
        <v>41</v>
      </c>
      <c r="G14" s="33">
        <f>_xlfn.XLOOKUP(D14,'consolidated tracker'!D:D,'consolidated tracker'!G:G)</f>
        <v>73509608.590000018</v>
      </c>
      <c r="H14" s="33">
        <f>_xlfn.XLOOKUP(D14,'consolidated tracker'!D:D,'consolidated tracker'!H:H)</f>
        <v>8743622.0500000007</v>
      </c>
      <c r="I14" s="33">
        <f>_xlfn.XLOOKUP(D14,'consolidated tracker'!D:D,'consolidated tracker'!I:I)</f>
        <v>6993067.9199999981</v>
      </c>
      <c r="J14" s="33">
        <f>_xlfn.XLOOKUP(D14,'consolidated tracker'!D:D,'consolidated tracker'!J:J)</f>
        <v>47007.1</v>
      </c>
      <c r="K14" s="34">
        <f t="shared" si="1"/>
        <v>0.79979073660897748</v>
      </c>
      <c r="L14" s="36">
        <f>_xlfn.XLOOKUP(D14,'consolidated tracker'!D:D,'consolidated tracker'!L:L)</f>
        <v>1750554.13</v>
      </c>
      <c r="M14" s="30">
        <f>_xlfn.XLOOKUP($D14,'consolidated tracker'!$D:$D,'consolidated tracker'!M:M)</f>
        <v>64718979.44000002</v>
      </c>
      <c r="N14" s="33">
        <f>_xlfn.XLOOKUP($D14,'consolidated tracker'!$D:$D,'consolidated tracker'!N:N)</f>
        <v>7335996.0700000189</v>
      </c>
      <c r="O14" s="33">
        <f>_xlfn.XLOOKUP($D14,'consolidated tracker'!$D:$D,'consolidated tracker'!O:O)</f>
        <v>11680970.389999997</v>
      </c>
      <c r="P14" s="33">
        <f>_xlfn.XLOOKUP($D14,'consolidated tracker'!$D:$D,'consolidated tracker'!P:P)</f>
        <v>4876174.6300000008</v>
      </c>
      <c r="Q14" s="33">
        <f>_xlfn.XLOOKUP($D14,'consolidated tracker'!$D:$D,'consolidated tracker'!Q:Q)</f>
        <v>3424751.7800000007</v>
      </c>
      <c r="R14" s="33">
        <f>_xlfn.XLOOKUP($D14,'consolidated tracker'!$D:$D,'consolidated tracker'!R:R)</f>
        <v>37401086.57</v>
      </c>
      <c r="S14" s="33">
        <f>_xlfn.XLOOKUP($D14,'consolidated tracker'!$D:$D,'consolidated tracker'!S:S)</f>
        <v>0</v>
      </c>
      <c r="T14" s="33">
        <f>_xlfn.XLOOKUP($D14,'consolidated tracker'!$D:$D,'consolidated tracker'!T:T)</f>
        <v>0</v>
      </c>
      <c r="U14" s="33">
        <f>_xlfn.XLOOKUP($D14,'consolidated tracker'!$D:$D,'consolidated tracker'!U:U)</f>
        <v>0</v>
      </c>
      <c r="V14" s="33">
        <f>_xlfn.XLOOKUP($D14,'consolidated tracker'!$D:$D,'consolidated tracker'!V:V)</f>
        <v>0</v>
      </c>
      <c r="W14" s="33">
        <f>_xlfn.XLOOKUP($D14,'consolidated tracker'!$D:$D,'consolidated tracker'!W:W)</f>
        <v>0</v>
      </c>
      <c r="Z14" s="146"/>
    </row>
    <row r="15" spans="1:26" s="7" customFormat="1" ht="150" customHeight="1" collapsed="1" x14ac:dyDescent="1.25">
      <c r="C15" s="77">
        <f>C5+1</f>
        <v>3</v>
      </c>
      <c r="D15" s="76" t="s">
        <v>77</v>
      </c>
      <c r="E15" s="49" t="str">
        <f>_xlfn.XLOOKUP(D15,'consolidated tracker'!D:D,'consolidated tracker'!E:E)</f>
        <v>RERA</v>
      </c>
      <c r="F15" s="33">
        <f>SUM(F16:F21)</f>
        <v>1621</v>
      </c>
      <c r="G15" s="33">
        <f>SUM(G16:G21)</f>
        <v>2631180043.4400001</v>
      </c>
      <c r="H15" s="33">
        <f>SUM(H16:H21)</f>
        <v>730412781.33999944</v>
      </c>
      <c r="I15" s="33">
        <f>SUM(I16:I21)</f>
        <v>696055803.0200001</v>
      </c>
      <c r="J15" s="33">
        <f>SUM(J16:J21)</f>
        <v>47311001.080000006</v>
      </c>
      <c r="K15" s="34">
        <f t="shared" si="1"/>
        <v>0.95296224381921579</v>
      </c>
      <c r="L15" s="36">
        <f t="shared" ref="L15:W15" si="3">SUM(L16:L21)</f>
        <v>34356978.32</v>
      </c>
      <c r="M15" s="30">
        <f t="shared" si="3"/>
        <v>1853456261.0200009</v>
      </c>
      <c r="N15" s="33">
        <f t="shared" si="3"/>
        <v>569438109.58000064</v>
      </c>
      <c r="O15" s="33">
        <f t="shared" si="3"/>
        <v>267638688.55999997</v>
      </c>
      <c r="P15" s="33">
        <f t="shared" si="3"/>
        <v>114169662.97000004</v>
      </c>
      <c r="Q15" s="33">
        <f t="shared" si="3"/>
        <v>836923934.56000006</v>
      </c>
      <c r="R15" s="33">
        <f t="shared" si="3"/>
        <v>65285865.350000031</v>
      </c>
      <c r="S15" s="33">
        <f t="shared" si="3"/>
        <v>0</v>
      </c>
      <c r="T15" s="33">
        <f t="shared" si="3"/>
        <v>0</v>
      </c>
      <c r="U15" s="33">
        <f t="shared" si="3"/>
        <v>0</v>
      </c>
      <c r="V15" s="33">
        <f t="shared" si="3"/>
        <v>0</v>
      </c>
      <c r="W15" s="33">
        <f t="shared" si="3"/>
        <v>0</v>
      </c>
      <c r="Z15" s="146"/>
    </row>
    <row r="16" spans="1:26" s="7" customFormat="1" ht="150" hidden="1" customHeight="1" outlineLevel="1" x14ac:dyDescent="1.25">
      <c r="C16" s="77"/>
      <c r="D16" s="94" t="s">
        <v>76</v>
      </c>
      <c r="E16" s="49" t="str">
        <f>_xlfn.XLOOKUP(D16,'consolidated tracker'!D:D,'consolidated tracker'!E:E)</f>
        <v>RERA</v>
      </c>
      <c r="F16" s="33">
        <f>_xlfn.XLOOKUP(D16,'consolidated tracker'!D:D,'consolidated tracker'!F:F)</f>
        <v>322</v>
      </c>
      <c r="G16" s="33">
        <f>_xlfn.XLOOKUP(D16,'consolidated tracker'!D:D,'consolidated tracker'!G:G)</f>
        <v>531633401.99000007</v>
      </c>
      <c r="H16" s="33">
        <f>_xlfn.XLOOKUP(D16,'consolidated tracker'!D:D,'consolidated tracker'!H:H)</f>
        <v>180465106.53999987</v>
      </c>
      <c r="I16" s="33">
        <f>_xlfn.XLOOKUP(D16,'consolidated tracker'!D:D,'consolidated tracker'!I:I)</f>
        <v>171003717.63000003</v>
      </c>
      <c r="J16" s="33">
        <f>_xlfn.XLOOKUP(D16,'consolidated tracker'!D:D,'consolidated tracker'!J:J)</f>
        <v>8897291.2899999991</v>
      </c>
      <c r="K16" s="34">
        <f t="shared" si="1"/>
        <v>0.94757219779823343</v>
      </c>
      <c r="L16" s="36">
        <f>_xlfn.XLOOKUP(D16,'consolidated tracker'!D:D,'consolidated tracker'!L:L)</f>
        <v>9461388.910000002</v>
      </c>
      <c r="M16" s="30">
        <f>_xlfn.XLOOKUP($D16,'consolidated tracker'!$D:$D,'consolidated tracker'!M:M)</f>
        <v>342271004.16000021</v>
      </c>
      <c r="N16" s="33">
        <f>_xlfn.XLOOKUP($D16,'consolidated tracker'!$D:$D,'consolidated tracker'!N:N)</f>
        <v>342271004.16000021</v>
      </c>
      <c r="O16" s="33">
        <f>_xlfn.XLOOKUP($D16,'consolidated tracker'!$D:$D,'consolidated tracker'!O:O)</f>
        <v>0</v>
      </c>
      <c r="P16" s="33">
        <f>_xlfn.XLOOKUP($D16,'consolidated tracker'!$D:$D,'consolidated tracker'!P:P)</f>
        <v>0</v>
      </c>
      <c r="Q16" s="33">
        <f>_xlfn.XLOOKUP($D16,'consolidated tracker'!$D:$D,'consolidated tracker'!Q:Q)</f>
        <v>0</v>
      </c>
      <c r="R16" s="33">
        <f>_xlfn.XLOOKUP($D16,'consolidated tracker'!$D:$D,'consolidated tracker'!R:R)</f>
        <v>0</v>
      </c>
      <c r="S16" s="33">
        <f>_xlfn.XLOOKUP($D16,'consolidated tracker'!$D:$D,'consolidated tracker'!S:S)</f>
        <v>0</v>
      </c>
      <c r="T16" s="33">
        <f>_xlfn.XLOOKUP($D16,'consolidated tracker'!$D:$D,'consolidated tracker'!T:T)</f>
        <v>0</v>
      </c>
      <c r="U16" s="33">
        <f>_xlfn.XLOOKUP($D16,'consolidated tracker'!$D:$D,'consolidated tracker'!U:U)</f>
        <v>0</v>
      </c>
      <c r="V16" s="33">
        <f>_xlfn.XLOOKUP($D16,'consolidated tracker'!$D:$D,'consolidated tracker'!V:V)</f>
        <v>0</v>
      </c>
      <c r="W16" s="33">
        <f>_xlfn.XLOOKUP($D16,'consolidated tracker'!$D:$D,'consolidated tracker'!W:W)</f>
        <v>0</v>
      </c>
      <c r="Z16" s="146"/>
    </row>
    <row r="17" spans="3:26" s="7" customFormat="1" ht="150" hidden="1" customHeight="1" outlineLevel="1" x14ac:dyDescent="1.25">
      <c r="C17" s="77"/>
      <c r="D17" s="94" t="s">
        <v>71</v>
      </c>
      <c r="E17" s="49" t="str">
        <f>_xlfn.XLOOKUP(D17,'consolidated tracker'!D:D,'consolidated tracker'!E:E)</f>
        <v>RERA</v>
      </c>
      <c r="F17" s="33">
        <f>_xlfn.XLOOKUP(D17,'consolidated tracker'!D:D,'consolidated tracker'!F:F)</f>
        <v>338</v>
      </c>
      <c r="G17" s="33">
        <f>_xlfn.XLOOKUP(D17,'consolidated tracker'!D:D,'consolidated tracker'!G:G)</f>
        <v>551079298.84999967</v>
      </c>
      <c r="H17" s="33">
        <f>_xlfn.XLOOKUP(D17,'consolidated tracker'!D:D,'consolidated tracker'!H:H)</f>
        <v>190954233.22999963</v>
      </c>
      <c r="I17" s="33">
        <f>_xlfn.XLOOKUP(D17,'consolidated tracker'!D:D,'consolidated tracker'!I:I)</f>
        <v>182341992.22000009</v>
      </c>
      <c r="J17" s="33">
        <f>_xlfn.XLOOKUP(D17,'consolidated tracker'!D:D,'consolidated tracker'!J:J)</f>
        <v>14450465.629999999</v>
      </c>
      <c r="K17" s="34">
        <f t="shared" si="1"/>
        <v>0.95489892596606485</v>
      </c>
      <c r="L17" s="36">
        <f>_xlfn.XLOOKUP(D17,'consolidated tracker'!D:D,'consolidated tracker'!L:L)</f>
        <v>8612241.0099999979</v>
      </c>
      <c r="M17" s="30">
        <f>_xlfn.XLOOKUP($D17,'consolidated tracker'!$D:$D,'consolidated tracker'!M:M)</f>
        <v>345674599.99000001</v>
      </c>
      <c r="N17" s="33">
        <f>_xlfn.XLOOKUP($D17,'consolidated tracker'!$D:$D,'consolidated tracker'!N:N)</f>
        <v>51963098.839999914</v>
      </c>
      <c r="O17" s="33">
        <f>_xlfn.XLOOKUP($D17,'consolidated tracker'!$D:$D,'consolidated tracker'!O:O)</f>
        <v>56986304.14000003</v>
      </c>
      <c r="P17" s="33">
        <f>_xlfn.XLOOKUP($D17,'consolidated tracker'!$D:$D,'consolidated tracker'!P:P)</f>
        <v>20545917.330000002</v>
      </c>
      <c r="Q17" s="33">
        <f>_xlfn.XLOOKUP($D17,'consolidated tracker'!$D:$D,'consolidated tracker'!Q:Q)</f>
        <v>216179279.6800001</v>
      </c>
      <c r="R17" s="33">
        <f>_xlfn.XLOOKUP($D17,'consolidated tracker'!$D:$D,'consolidated tracker'!R:R)</f>
        <v>0</v>
      </c>
      <c r="S17" s="33">
        <f>_xlfn.XLOOKUP($D17,'consolidated tracker'!$D:$D,'consolidated tracker'!S:S)</f>
        <v>0</v>
      </c>
      <c r="T17" s="33">
        <f>_xlfn.XLOOKUP($D17,'consolidated tracker'!$D:$D,'consolidated tracker'!T:T)</f>
        <v>0</v>
      </c>
      <c r="U17" s="33">
        <f>_xlfn.XLOOKUP($D17,'consolidated tracker'!$D:$D,'consolidated tracker'!U:U)</f>
        <v>0</v>
      </c>
      <c r="V17" s="33">
        <f>_xlfn.XLOOKUP($D17,'consolidated tracker'!$D:$D,'consolidated tracker'!V:V)</f>
        <v>0</v>
      </c>
      <c r="W17" s="33">
        <f>_xlfn.XLOOKUP($D17,'consolidated tracker'!$D:$D,'consolidated tracker'!W:W)</f>
        <v>0</v>
      </c>
      <c r="Z17" s="146"/>
    </row>
    <row r="18" spans="3:26" s="7" customFormat="1" ht="150" hidden="1" customHeight="1" outlineLevel="1" x14ac:dyDescent="1.25">
      <c r="C18" s="77"/>
      <c r="D18" s="94" t="s">
        <v>66</v>
      </c>
      <c r="E18" s="49" t="str">
        <f>_xlfn.XLOOKUP(D18,'consolidated tracker'!D:D,'consolidated tracker'!E:E)</f>
        <v>RERA</v>
      </c>
      <c r="F18" s="33">
        <f>_xlfn.XLOOKUP(D18,'consolidated tracker'!D:D,'consolidated tracker'!F:F)</f>
        <v>252</v>
      </c>
      <c r="G18" s="33">
        <f>_xlfn.XLOOKUP(D18,'consolidated tracker'!D:D,'consolidated tracker'!G:G)</f>
        <v>424661274.5200001</v>
      </c>
      <c r="H18" s="33">
        <f>_xlfn.XLOOKUP(D18,'consolidated tracker'!D:D,'consolidated tracker'!H:H)</f>
        <v>111167525.55999997</v>
      </c>
      <c r="I18" s="33">
        <f>_xlfn.XLOOKUP(D18,'consolidated tracker'!D:D,'consolidated tracker'!I:I)</f>
        <v>107642788.19</v>
      </c>
      <c r="J18" s="33">
        <f>_xlfn.XLOOKUP(D18,'consolidated tracker'!D:D,'consolidated tracker'!J:J)</f>
        <v>10597137.049999997</v>
      </c>
      <c r="K18" s="34">
        <f t="shared" si="1"/>
        <v>0.96829346203179112</v>
      </c>
      <c r="L18" s="36">
        <f>_xlfn.XLOOKUP(D18,'consolidated tracker'!D:D,'consolidated tracker'!L:L)</f>
        <v>3524737.370000001</v>
      </c>
      <c r="M18" s="30">
        <f>_xlfn.XLOOKUP($D18,'consolidated tracker'!$D:$D,'consolidated tracker'!M:M)</f>
        <v>302896611.91000015</v>
      </c>
      <c r="N18" s="33">
        <f>_xlfn.XLOOKUP($D18,'consolidated tracker'!$D:$D,'consolidated tracker'!N:N)</f>
        <v>51430396.270000309</v>
      </c>
      <c r="O18" s="33">
        <f>_xlfn.XLOOKUP($D18,'consolidated tracker'!$D:$D,'consolidated tracker'!O:O)</f>
        <v>53948658.339999974</v>
      </c>
      <c r="P18" s="33">
        <f>_xlfn.XLOOKUP($D18,'consolidated tracker'!$D:$D,'consolidated tracker'!P:P)</f>
        <v>22345955.729999997</v>
      </c>
      <c r="Q18" s="33">
        <f>_xlfn.XLOOKUP($D18,'consolidated tracker'!$D:$D,'consolidated tracker'!Q:Q)</f>
        <v>175171601.56999987</v>
      </c>
      <c r="R18" s="33">
        <f>_xlfn.XLOOKUP($D18,'consolidated tracker'!$D:$D,'consolidated tracker'!R:R)</f>
        <v>0</v>
      </c>
      <c r="S18" s="33">
        <f>_xlfn.XLOOKUP($D18,'consolidated tracker'!$D:$D,'consolidated tracker'!S:S)</f>
        <v>0</v>
      </c>
      <c r="T18" s="33">
        <f>_xlfn.XLOOKUP($D18,'consolidated tracker'!$D:$D,'consolidated tracker'!T:T)</f>
        <v>0</v>
      </c>
      <c r="U18" s="33">
        <f>_xlfn.XLOOKUP($D18,'consolidated tracker'!$D:$D,'consolidated tracker'!U:U)</f>
        <v>0</v>
      </c>
      <c r="V18" s="33">
        <f>_xlfn.XLOOKUP($D18,'consolidated tracker'!$D:$D,'consolidated tracker'!V:V)</f>
        <v>0</v>
      </c>
      <c r="W18" s="33">
        <f>_xlfn.XLOOKUP($D18,'consolidated tracker'!$D:$D,'consolidated tracker'!W:W)</f>
        <v>0</v>
      </c>
      <c r="Z18" s="146"/>
    </row>
    <row r="19" spans="3:26" s="7" customFormat="1" ht="150" hidden="1" customHeight="1" outlineLevel="1" x14ac:dyDescent="1.25">
      <c r="C19" s="77"/>
      <c r="D19" s="94" t="s">
        <v>61</v>
      </c>
      <c r="E19" s="49" t="str">
        <f>_xlfn.XLOOKUP(D19,'consolidated tracker'!D:D,'consolidated tracker'!E:E)</f>
        <v>RERA</v>
      </c>
      <c r="F19" s="33">
        <f>_xlfn.XLOOKUP(D19,'consolidated tracker'!D:D,'consolidated tracker'!F:F)</f>
        <v>343</v>
      </c>
      <c r="G19" s="33">
        <f>_xlfn.XLOOKUP(D19,'consolidated tracker'!D:D,'consolidated tracker'!G:G)</f>
        <v>537270092.80000007</v>
      </c>
      <c r="H19" s="33">
        <f>_xlfn.XLOOKUP(D19,'consolidated tracker'!D:D,'consolidated tracker'!H:H)</f>
        <v>123109691.73999998</v>
      </c>
      <c r="I19" s="33">
        <f>_xlfn.XLOOKUP(D19,'consolidated tracker'!D:D,'consolidated tracker'!I:I)</f>
        <v>115651715.23</v>
      </c>
      <c r="J19" s="33">
        <f>_xlfn.XLOOKUP(D19,'consolidated tracker'!D:D,'consolidated tracker'!J:J)</f>
        <v>6406638.2600000016</v>
      </c>
      <c r="K19" s="34">
        <f t="shared" si="1"/>
        <v>0.93942006998319227</v>
      </c>
      <c r="L19" s="36">
        <f>_xlfn.XLOOKUP(D19,'consolidated tracker'!D:D,'consolidated tracker'!L:L)</f>
        <v>7457976.5100000016</v>
      </c>
      <c r="M19" s="30">
        <f>_xlfn.XLOOKUP($D19,'consolidated tracker'!$D:$D,'consolidated tracker'!M:M)</f>
        <v>407753762.80000007</v>
      </c>
      <c r="N19" s="33">
        <f>_xlfn.XLOOKUP($D19,'consolidated tracker'!$D:$D,'consolidated tracker'!N:N)</f>
        <v>63421201.380000055</v>
      </c>
      <c r="O19" s="33">
        <f>_xlfn.XLOOKUP($D19,'consolidated tracker'!$D:$D,'consolidated tracker'!O:O)</f>
        <v>72909155.539999977</v>
      </c>
      <c r="P19" s="33">
        <f>_xlfn.XLOOKUP($D19,'consolidated tracker'!$D:$D,'consolidated tracker'!P:P)</f>
        <v>31883108.390000008</v>
      </c>
      <c r="Q19" s="33">
        <f>_xlfn.XLOOKUP($D19,'consolidated tracker'!$D:$D,'consolidated tracker'!Q:Q)</f>
        <v>239540297.49000004</v>
      </c>
      <c r="R19" s="33">
        <f>_xlfn.XLOOKUP($D19,'consolidated tracker'!$D:$D,'consolidated tracker'!R:R)</f>
        <v>0</v>
      </c>
      <c r="S19" s="33">
        <f>_xlfn.XLOOKUP($D19,'consolidated tracker'!$D:$D,'consolidated tracker'!S:S)</f>
        <v>0</v>
      </c>
      <c r="T19" s="33">
        <f>_xlfn.XLOOKUP($D19,'consolidated tracker'!$D:$D,'consolidated tracker'!T:T)</f>
        <v>0</v>
      </c>
      <c r="U19" s="33">
        <f>_xlfn.XLOOKUP($D19,'consolidated tracker'!$D:$D,'consolidated tracker'!U:U)</f>
        <v>0</v>
      </c>
      <c r="V19" s="33">
        <f>_xlfn.XLOOKUP($D19,'consolidated tracker'!$D:$D,'consolidated tracker'!V:V)</f>
        <v>0</v>
      </c>
      <c r="W19" s="33">
        <f>_xlfn.XLOOKUP($D19,'consolidated tracker'!$D:$D,'consolidated tracker'!W:W)</f>
        <v>0</v>
      </c>
      <c r="Z19" s="146"/>
    </row>
    <row r="20" spans="3:26" s="7" customFormat="1" ht="150" hidden="1" customHeight="1" outlineLevel="1" x14ac:dyDescent="1.25">
      <c r="C20" s="77"/>
      <c r="D20" s="94" t="s">
        <v>56</v>
      </c>
      <c r="E20" s="49" t="str">
        <f>_xlfn.XLOOKUP(D20,'consolidated tracker'!D:D,'consolidated tracker'!E:E)</f>
        <v>RERA</v>
      </c>
      <c r="F20" s="33">
        <f>_xlfn.XLOOKUP(D20,'consolidated tracker'!D:D,'consolidated tracker'!F:F)</f>
        <v>268</v>
      </c>
      <c r="G20" s="33">
        <f>_xlfn.XLOOKUP(D20,'consolidated tracker'!D:D,'consolidated tracker'!G:G)</f>
        <v>428893661.30000025</v>
      </c>
      <c r="H20" s="33">
        <f>_xlfn.XLOOKUP(D20,'consolidated tracker'!D:D,'consolidated tracker'!H:H)</f>
        <v>93057205.189999968</v>
      </c>
      <c r="I20" s="33">
        <f>_xlfn.XLOOKUP(D20,'consolidated tracker'!D:D,'consolidated tracker'!I:I)</f>
        <v>89113530.070000023</v>
      </c>
      <c r="J20" s="33">
        <f>_xlfn.XLOOKUP(D20,'consolidated tracker'!D:D,'consolidated tracker'!J:J)</f>
        <v>6097748.9199999999</v>
      </c>
      <c r="K20" s="34">
        <f t="shared" si="1"/>
        <v>0.95762095893651733</v>
      </c>
      <c r="L20" s="36">
        <f>_xlfn.XLOOKUP(D20,'consolidated tracker'!D:D,'consolidated tracker'!L:L)</f>
        <v>3943675.1199999987</v>
      </c>
      <c r="M20" s="30">
        <f>_xlfn.XLOOKUP($D20,'consolidated tracker'!$D:$D,'consolidated tracker'!M:M)</f>
        <v>329738707.1900003</v>
      </c>
      <c r="N20" s="33">
        <f>_xlfn.XLOOKUP($D20,'consolidated tracker'!$D:$D,'consolidated tracker'!N:N)</f>
        <v>44149483.910000205</v>
      </c>
      <c r="O20" s="33">
        <f>_xlfn.XLOOKUP($D20,'consolidated tracker'!$D:$D,'consolidated tracker'!O:O)</f>
        <v>59979205.940000013</v>
      </c>
      <c r="P20" s="33">
        <f>_xlfn.XLOOKUP($D20,'consolidated tracker'!$D:$D,'consolidated tracker'!P:P)</f>
        <v>28529524.76000002</v>
      </c>
      <c r="Q20" s="33">
        <f>_xlfn.XLOOKUP($D20,'consolidated tracker'!$D:$D,'consolidated tracker'!Q:Q)</f>
        <v>197080492.58000004</v>
      </c>
      <c r="R20" s="33">
        <f>_xlfn.XLOOKUP($D20,'consolidated tracker'!$D:$D,'consolidated tracker'!R:R)</f>
        <v>0</v>
      </c>
      <c r="S20" s="33">
        <f>_xlfn.XLOOKUP($D20,'consolidated tracker'!$D:$D,'consolidated tracker'!S:S)</f>
        <v>0</v>
      </c>
      <c r="T20" s="33">
        <f>_xlfn.XLOOKUP($D20,'consolidated tracker'!$D:$D,'consolidated tracker'!T:T)</f>
        <v>0</v>
      </c>
      <c r="U20" s="33">
        <f>_xlfn.XLOOKUP($D20,'consolidated tracker'!$D:$D,'consolidated tracker'!U:U)</f>
        <v>0</v>
      </c>
      <c r="V20" s="33">
        <f>_xlfn.XLOOKUP($D20,'consolidated tracker'!$D:$D,'consolidated tracker'!V:V)</f>
        <v>0</v>
      </c>
      <c r="W20" s="33">
        <f>_xlfn.XLOOKUP($D20,'consolidated tracker'!$D:$D,'consolidated tracker'!W:W)</f>
        <v>0</v>
      </c>
      <c r="Z20" s="146"/>
    </row>
    <row r="21" spans="3:26" s="7" customFormat="1" ht="150" hidden="1" customHeight="1" outlineLevel="1" x14ac:dyDescent="1.25">
      <c r="C21" s="77"/>
      <c r="D21" s="94" t="s">
        <v>51</v>
      </c>
      <c r="E21" s="49" t="str">
        <f>_xlfn.XLOOKUP(D21,'consolidated tracker'!D:D,'consolidated tracker'!E:E)</f>
        <v>RERA</v>
      </c>
      <c r="F21" s="33">
        <f>_xlfn.XLOOKUP(D21,'consolidated tracker'!D:D,'consolidated tracker'!F:F)</f>
        <v>98</v>
      </c>
      <c r="G21" s="33">
        <f>_xlfn.XLOOKUP(D21,'consolidated tracker'!D:D,'consolidated tracker'!G:G)</f>
        <v>157642313.97999999</v>
      </c>
      <c r="H21" s="33">
        <f>_xlfn.XLOOKUP(D21,'consolidated tracker'!D:D,'consolidated tracker'!H:H)</f>
        <v>31659019.079999994</v>
      </c>
      <c r="I21" s="33">
        <f>_xlfn.XLOOKUP(D21,'consolidated tracker'!D:D,'consolidated tracker'!I:I)</f>
        <v>30302059.680000003</v>
      </c>
      <c r="J21" s="33">
        <f>_xlfn.XLOOKUP(D21,'consolidated tracker'!D:D,'consolidated tracker'!J:J)</f>
        <v>861719.92999999993</v>
      </c>
      <c r="K21" s="34">
        <f t="shared" si="1"/>
        <v>0.95713829930829331</v>
      </c>
      <c r="L21" s="36">
        <f>_xlfn.XLOOKUP(D21,'consolidated tracker'!D:D,'consolidated tracker'!L:L)</f>
        <v>1356959.4000000001</v>
      </c>
      <c r="M21" s="30">
        <f>_xlfn.XLOOKUP($D21,'consolidated tracker'!$D:$D,'consolidated tracker'!M:M)</f>
        <v>125121574.97</v>
      </c>
      <c r="N21" s="33">
        <f>_xlfn.XLOOKUP($D21,'consolidated tracker'!$D:$D,'consolidated tracker'!N:N)</f>
        <v>16202925.019999981</v>
      </c>
      <c r="O21" s="33">
        <f>_xlfn.XLOOKUP($D21,'consolidated tracker'!$D:$D,'consolidated tracker'!O:O)</f>
        <v>23815364.600000001</v>
      </c>
      <c r="P21" s="33">
        <f>_xlfn.XLOOKUP($D21,'consolidated tracker'!$D:$D,'consolidated tracker'!P:P)</f>
        <v>10865156.760000002</v>
      </c>
      <c r="Q21" s="33">
        <f>_xlfn.XLOOKUP($D21,'consolidated tracker'!$D:$D,'consolidated tracker'!Q:Q)</f>
        <v>8952263.2399999984</v>
      </c>
      <c r="R21" s="33">
        <f>_xlfn.XLOOKUP($D21,'consolidated tracker'!$D:$D,'consolidated tracker'!R:R)</f>
        <v>65285865.350000031</v>
      </c>
      <c r="S21" s="33">
        <f>_xlfn.XLOOKUP($D21,'consolidated tracker'!$D:$D,'consolidated tracker'!S:S)</f>
        <v>0</v>
      </c>
      <c r="T21" s="33">
        <f>_xlfn.XLOOKUP($D21,'consolidated tracker'!$D:$D,'consolidated tracker'!T:T)</f>
        <v>0</v>
      </c>
      <c r="U21" s="33">
        <f>_xlfn.XLOOKUP($D21,'consolidated tracker'!$D:$D,'consolidated tracker'!U:U)</f>
        <v>0</v>
      </c>
      <c r="V21" s="33">
        <f>_xlfn.XLOOKUP($D21,'consolidated tracker'!$D:$D,'consolidated tracker'!V:V)</f>
        <v>0</v>
      </c>
      <c r="W21" s="33">
        <f>_xlfn.XLOOKUP($D21,'consolidated tracker'!$D:$D,'consolidated tracker'!W:W)</f>
        <v>0</v>
      </c>
      <c r="Z21" s="146"/>
    </row>
    <row r="22" spans="3:26" s="7" customFormat="1" ht="180" customHeight="1" collapsed="1" x14ac:dyDescent="1.25">
      <c r="C22" s="75"/>
      <c r="D22" s="75" t="s">
        <v>15</v>
      </c>
      <c r="E22" s="75"/>
      <c r="F22" s="159">
        <f>SUM(F4,F5,F15)</f>
        <v>5219</v>
      </c>
      <c r="G22" s="159">
        <f>SUM(G4,G5,G15)</f>
        <v>11319657679.980001</v>
      </c>
      <c r="H22" s="159">
        <f>SUM(H4,H5,H15)</f>
        <v>3784424630.9199982</v>
      </c>
      <c r="I22" s="159">
        <f>SUM(I4,I5,I15)</f>
        <v>3570234105.0499997</v>
      </c>
      <c r="J22" s="159">
        <f>SUM(J4,J5,J15)</f>
        <v>245260215.86000004</v>
      </c>
      <c r="K22" s="158">
        <f t="shared" si="1"/>
        <v>0.94340208968095407</v>
      </c>
      <c r="L22" s="157">
        <f t="shared" ref="L22:W22" si="4">SUM(L4,L5,L15)</f>
        <v>214282915.27000001</v>
      </c>
      <c r="M22" s="156">
        <f t="shared" si="4"/>
        <v>7289972833.2000008</v>
      </c>
      <c r="N22" s="155">
        <f t="shared" si="4"/>
        <v>1540655698.1700015</v>
      </c>
      <c r="O22" s="155">
        <f t="shared" si="4"/>
        <v>2022954494.6000004</v>
      </c>
      <c r="P22" s="155">
        <f t="shared" si="4"/>
        <v>2332542787.5100002</v>
      </c>
      <c r="Q22" s="155">
        <f t="shared" si="4"/>
        <v>1291132901</v>
      </c>
      <c r="R22" s="155">
        <f t="shared" si="4"/>
        <v>102686951.92000003</v>
      </c>
      <c r="S22" s="155">
        <f t="shared" si="4"/>
        <v>0</v>
      </c>
      <c r="T22" s="155">
        <f t="shared" si="4"/>
        <v>0</v>
      </c>
      <c r="U22" s="155">
        <f t="shared" si="4"/>
        <v>0</v>
      </c>
      <c r="V22" s="155">
        <f t="shared" si="4"/>
        <v>0</v>
      </c>
      <c r="W22" s="155">
        <f t="shared" si="4"/>
        <v>0</v>
      </c>
      <c r="Z22" s="146"/>
    </row>
    <row r="23" spans="3:26" s="7" customFormat="1" ht="99" customHeight="1" x14ac:dyDescent="1.25">
      <c r="C23" s="154"/>
      <c r="D23" s="67"/>
      <c r="E23" s="66"/>
      <c r="F23" s="63"/>
      <c r="G23" s="63"/>
      <c r="H23" s="63"/>
      <c r="I23" s="63"/>
      <c r="J23" s="63"/>
      <c r="K23" s="65"/>
      <c r="L23" s="63"/>
      <c r="M23" s="64"/>
      <c r="N23" s="63"/>
      <c r="O23" s="63"/>
      <c r="P23" s="63"/>
      <c r="Q23" s="63"/>
      <c r="R23" s="63"/>
      <c r="S23" s="63"/>
      <c r="T23" s="63"/>
      <c r="U23" s="63"/>
      <c r="V23" s="63"/>
      <c r="W23" s="63"/>
      <c r="Z23" s="146"/>
    </row>
    <row r="28" spans="3:26" x14ac:dyDescent="0.55000000000000004"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</row>
    <row r="29" spans="3:26" s="172" customFormat="1" ht="55" x14ac:dyDescent="1.2">
      <c r="F29" s="175">
        <f>SUM('consolidated tracker'!F79,'consolidated tracker'!F103,'consolidated tracker'!F148)</f>
        <v>5219</v>
      </c>
      <c r="G29" s="175">
        <f>SUM('consolidated tracker'!G79,'consolidated tracker'!G103,'consolidated tracker'!G148)</f>
        <v>11319657679.980001</v>
      </c>
      <c r="H29" s="175">
        <f>SUM('consolidated tracker'!H79,'consolidated tracker'!H103,'consolidated tracker'!H148)</f>
        <v>3784424630.9199982</v>
      </c>
      <c r="I29" s="175">
        <f>SUM('consolidated tracker'!I79,'consolidated tracker'!I103,'consolidated tracker'!I148)</f>
        <v>3570234105.0499997</v>
      </c>
      <c r="J29" s="175">
        <f>SUM('consolidated tracker'!J79,'consolidated tracker'!J103,'consolidated tracker'!J148)</f>
        <v>245260215.86000001</v>
      </c>
      <c r="K29" s="175"/>
      <c r="L29" s="175">
        <f>SUM('consolidated tracker'!L79,'consolidated tracker'!L103,'consolidated tracker'!L148)</f>
        <v>214282915.27000001</v>
      </c>
      <c r="M29" s="175">
        <f>SUM('consolidated tracker'!M79,'consolidated tracker'!M103,'consolidated tracker'!M148)</f>
        <v>7289972833.2000008</v>
      </c>
      <c r="N29" s="175">
        <f>SUM('consolidated tracker'!N79,'consolidated tracker'!N103,'consolidated tracker'!N148)</f>
        <v>1540655698.1700015</v>
      </c>
      <c r="O29" s="175">
        <f>SUM('consolidated tracker'!O79,'consolidated tracker'!O103,'consolidated tracker'!O148)</f>
        <v>2022954494.6000004</v>
      </c>
      <c r="P29" s="175">
        <f>SUM('consolidated tracker'!P79,'consolidated tracker'!P103,'consolidated tracker'!P148)</f>
        <v>2332542787.5100002</v>
      </c>
      <c r="Q29" s="175">
        <f>SUM('consolidated tracker'!Q79,'consolidated tracker'!Q103,'consolidated tracker'!Q148)</f>
        <v>1291132901</v>
      </c>
      <c r="R29" s="175">
        <f>SUM('consolidated tracker'!R79,'consolidated tracker'!R103,'consolidated tracker'!R148)</f>
        <v>102686951.92000003</v>
      </c>
      <c r="S29" s="175">
        <f>SUM('consolidated tracker'!S79,'consolidated tracker'!S103,'consolidated tracker'!S148)</f>
        <v>0</v>
      </c>
      <c r="T29" s="175">
        <f>SUM('consolidated tracker'!T79,'consolidated tracker'!T103,'consolidated tracker'!T148)</f>
        <v>0</v>
      </c>
      <c r="U29" s="175">
        <f>SUM('consolidated tracker'!U79,'consolidated tracker'!U103,'consolidated tracker'!U148)</f>
        <v>0</v>
      </c>
      <c r="V29" s="175">
        <f>SUM('consolidated tracker'!V79,'consolidated tracker'!V103,'consolidated tracker'!V148)</f>
        <v>0</v>
      </c>
      <c r="W29" s="175">
        <f>SUM('consolidated tracker'!W79,'consolidated tracker'!W103,'consolidated tracker'!W148)</f>
        <v>0</v>
      </c>
      <c r="Z29" s="173"/>
    </row>
    <row r="30" spans="3:26" s="172" customFormat="1" ht="55" x14ac:dyDescent="1.2"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Z30" s="173"/>
    </row>
    <row r="31" spans="3:26" s="172" customFormat="1" ht="55" x14ac:dyDescent="1.2"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Z31" s="173"/>
    </row>
    <row r="32" spans="3:26" s="172" customFormat="1" ht="55" x14ac:dyDescent="1.2">
      <c r="F32" s="174" t="b">
        <f>F29=F22</f>
        <v>1</v>
      </c>
      <c r="G32" s="174" t="b">
        <f>G29=G22</f>
        <v>1</v>
      </c>
      <c r="H32" s="174" t="b">
        <f>H29=H22</f>
        <v>1</v>
      </c>
      <c r="I32" s="174" t="b">
        <f>I29=I22</f>
        <v>1</v>
      </c>
      <c r="J32" s="174" t="b">
        <f>J29=J22</f>
        <v>1</v>
      </c>
      <c r="K32" s="174"/>
      <c r="L32" s="174" t="b">
        <f t="shared" ref="L32:W32" si="5">L29=L22</f>
        <v>1</v>
      </c>
      <c r="M32" s="174" t="b">
        <f t="shared" si="5"/>
        <v>1</v>
      </c>
      <c r="N32" s="174" t="b">
        <f t="shared" si="5"/>
        <v>1</v>
      </c>
      <c r="O32" s="174" t="b">
        <f t="shared" si="5"/>
        <v>1</v>
      </c>
      <c r="P32" s="174" t="b">
        <f t="shared" si="5"/>
        <v>1</v>
      </c>
      <c r="Q32" s="174" t="b">
        <f t="shared" si="5"/>
        <v>1</v>
      </c>
      <c r="R32" s="174" t="b">
        <f t="shared" si="5"/>
        <v>1</v>
      </c>
      <c r="S32" s="174" t="b">
        <f t="shared" si="5"/>
        <v>1</v>
      </c>
      <c r="T32" s="174" t="b">
        <f t="shared" si="5"/>
        <v>1</v>
      </c>
      <c r="U32" s="174" t="b">
        <f t="shared" si="5"/>
        <v>1</v>
      </c>
      <c r="V32" s="174" t="b">
        <f t="shared" si="5"/>
        <v>1</v>
      </c>
      <c r="W32" s="174" t="b">
        <f t="shared" si="5"/>
        <v>1</v>
      </c>
      <c r="Z32" s="173"/>
    </row>
    <row r="33" spans="6:26" s="172" customFormat="1" ht="55" x14ac:dyDescent="1.2"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Z33" s="173"/>
    </row>
    <row r="34" spans="6:26" s="172" customFormat="1" ht="55" x14ac:dyDescent="1.2">
      <c r="Z34" s="173"/>
    </row>
    <row r="160" spans="7:7" x14ac:dyDescent="0.55000000000000004">
      <c r="G160" s="1">
        <f>SUM(G117,G159)</f>
        <v>0</v>
      </c>
    </row>
  </sheetData>
  <pageMargins left="1.0236220472440944" right="0.59055118110236227" top="0.70866141732283472" bottom="0.55118110236220474" header="0.31496062992125984" footer="0.31496062992125984"/>
  <pageSetup paperSize="8" scale="12" orientation="landscape" r:id="rId1"/>
  <headerFooter alignWithMargins="0">
    <oddHeader>&amp;L&amp;36SOBHA LLC&amp;R&amp;36&amp;D</oddHeader>
    <oddFooter>&amp;L&amp;36COLLECTIONS&amp;R&amp;36 1/1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6F13-13B5-43CD-9173-3B78EABFA675}">
  <sheetPr>
    <tabColor theme="7" tint="0.79998168889431442"/>
  </sheetPr>
  <dimension ref="A1:AD159"/>
  <sheetViews>
    <sheetView view="pageBreakPreview" zoomScale="20" zoomScaleNormal="10" zoomScaleSheetLayoutView="20" zoomScalePageLayoutView="40" workbookViewId="0">
      <pane xSplit="4" ySplit="3" topLeftCell="K4" activePane="bottomRight" state="frozen"/>
      <selection pane="topRight"/>
      <selection pane="bottomLeft"/>
      <selection pane="bottomRight"/>
    </sheetView>
  </sheetViews>
  <sheetFormatPr defaultColWidth="9.26953125" defaultRowHeight="23.5" outlineLevelRow="1" x14ac:dyDescent="0.55000000000000004"/>
  <cols>
    <col min="1" max="1" width="23" style="1" bestFit="1" customWidth="1"/>
    <col min="2" max="2" width="9.26953125" style="1"/>
    <col min="3" max="3" width="32.453125" style="1" customWidth="1"/>
    <col min="4" max="4" width="144.7265625" style="1" bestFit="1" customWidth="1"/>
    <col min="5" max="5" width="98.7265625" style="1" customWidth="1"/>
    <col min="6" max="6" width="48.7265625" style="1" bestFit="1" customWidth="1"/>
    <col min="7" max="7" width="98.26953125" style="1" customWidth="1"/>
    <col min="8" max="8" width="97.26953125" style="1" bestFit="1" customWidth="1"/>
    <col min="9" max="10" width="93.26953125" style="1" customWidth="1"/>
    <col min="11" max="11" width="77.7265625" style="177" customWidth="1"/>
    <col min="12" max="12" width="91.54296875" style="3" customWidth="1"/>
    <col min="13" max="13" width="100.81640625" style="1" customWidth="1"/>
    <col min="14" max="14" width="85.7265625" style="1" hidden="1" customWidth="1"/>
    <col min="15" max="15" width="89.26953125" style="1" bestFit="1" customWidth="1"/>
    <col min="16" max="17" width="81.26953125" style="1" customWidth="1"/>
    <col min="18" max="24" width="78.26953125" style="1" customWidth="1"/>
    <col min="25" max="25" width="91.453125" style="1" customWidth="1"/>
    <col min="26" max="26" width="69.26953125" style="1" customWidth="1"/>
    <col min="27" max="27" width="75.7265625" style="1" customWidth="1"/>
    <col min="28" max="28" width="82.54296875" style="142" customWidth="1"/>
    <col min="29" max="48" width="9.26953125" style="1"/>
    <col min="49" max="49" width="30.54296875" style="1" customWidth="1"/>
    <col min="50" max="16384" width="9.26953125" style="1"/>
  </cols>
  <sheetData>
    <row r="1" spans="1:30" x14ac:dyDescent="0.55000000000000004">
      <c r="A1" s="126">
        <v>46143</v>
      </c>
    </row>
    <row r="2" spans="1:30" ht="78" customHeight="1" x14ac:dyDescent="1.55">
      <c r="C2" s="7"/>
      <c r="D2" s="7"/>
      <c r="E2" s="7"/>
      <c r="F2" s="7"/>
      <c r="G2" s="7"/>
      <c r="H2" s="7"/>
      <c r="I2" s="123"/>
      <c r="J2" s="124" t="s">
        <v>231</v>
      </c>
      <c r="K2" s="193"/>
      <c r="L2" s="192"/>
      <c r="M2" s="7"/>
      <c r="N2" s="7"/>
      <c r="O2" s="122" t="s">
        <v>230</v>
      </c>
      <c r="P2" s="121">
        <v>46143</v>
      </c>
      <c r="Q2" s="121"/>
    </row>
    <row r="3" spans="1:30" s="7" customFormat="1" ht="180" customHeight="1" x14ac:dyDescent="1.25">
      <c r="C3" s="119" t="s">
        <v>229</v>
      </c>
      <c r="D3" s="119" t="s">
        <v>228</v>
      </c>
      <c r="E3" s="118" t="s">
        <v>227</v>
      </c>
      <c r="F3" s="117" t="s">
        <v>226</v>
      </c>
      <c r="G3" s="116" t="s">
        <v>225</v>
      </c>
      <c r="H3" s="116" t="s">
        <v>224</v>
      </c>
      <c r="I3" s="116" t="s">
        <v>223</v>
      </c>
      <c r="J3" s="116" t="s">
        <v>222</v>
      </c>
      <c r="K3" s="191" t="s">
        <v>221</v>
      </c>
      <c r="L3" s="190" t="s">
        <v>220</v>
      </c>
      <c r="M3" s="114" t="s">
        <v>219</v>
      </c>
      <c r="N3" s="113">
        <v>2025</v>
      </c>
      <c r="O3" s="113">
        <v>2026</v>
      </c>
      <c r="P3" s="113">
        <v>2027</v>
      </c>
      <c r="Q3" s="113">
        <v>2028</v>
      </c>
      <c r="R3" s="113">
        <v>2029</v>
      </c>
      <c r="S3" s="113">
        <f t="shared" ref="S3:X3" si="0">R3+1</f>
        <v>2030</v>
      </c>
      <c r="T3" s="113">
        <f t="shared" si="0"/>
        <v>2031</v>
      </c>
      <c r="U3" s="113">
        <f t="shared" si="0"/>
        <v>2032</v>
      </c>
      <c r="V3" s="113">
        <f t="shared" si="0"/>
        <v>2033</v>
      </c>
      <c r="W3" s="113">
        <f t="shared" si="0"/>
        <v>2034</v>
      </c>
      <c r="X3" s="113">
        <f t="shared" si="0"/>
        <v>2035</v>
      </c>
      <c r="AB3" s="146"/>
    </row>
    <row r="4" spans="1:30" s="7" customFormat="1" ht="150" customHeight="1" x14ac:dyDescent="1.25">
      <c r="A4" s="4"/>
      <c r="C4" s="77">
        <v>1</v>
      </c>
      <c r="D4" s="76" t="s">
        <v>127</v>
      </c>
      <c r="E4" s="49" t="str">
        <f>_xlfn.XLOOKUP(D4,'consolidated tracker'!D:D,'consolidated tracker'!E:E)</f>
        <v>RERA</v>
      </c>
      <c r="F4" s="33">
        <f>_xlfn.XLOOKUP(D4,'consolidated tracker'!D:D,'consolidated tracker'!F:F)</f>
        <v>708</v>
      </c>
      <c r="G4" s="33">
        <f>_xlfn.XLOOKUP(D4,'consolidated tracker'!D:D,'consolidated tracker'!G:G)</f>
        <v>1000236910.3999999</v>
      </c>
      <c r="H4" s="33">
        <f>_xlfn.XLOOKUP(D4,'consolidated tracker'!D:D,'consolidated tracker'!H:H)</f>
        <v>278916052.25000012</v>
      </c>
      <c r="I4" s="33">
        <f>_xlfn.XLOOKUP(D4,'consolidated tracker'!D:D,'consolidated tracker'!I:I)</f>
        <v>262910344.92999995</v>
      </c>
      <c r="J4" s="33">
        <f>_xlfn.XLOOKUP(D4,'consolidated tracker'!D:D,'consolidated tracker'!J:J)</f>
        <v>28797548.059999991</v>
      </c>
      <c r="K4" s="164">
        <f>_xlfn.XLOOKUP(D4,'consolidated tracker'!D:D,'consolidated tracker'!K:K)</f>
        <v>0.94261460682924836</v>
      </c>
      <c r="L4" s="189">
        <f>_xlfn.XLOOKUP(D4,'consolidated tracker'!D:D,'consolidated tracker'!L:L)</f>
        <v>16005707.289999999</v>
      </c>
      <c r="M4" s="36">
        <f>_xlfn.XLOOKUP(D4,'consolidated tracker'!D:D,'consolidated tracker'!M:M)</f>
        <v>692523310.08999968</v>
      </c>
      <c r="N4" s="30" t="e">
        <f>_xlfn.XLOOKUP(D4,'consolidated tracker'!D:D,'consolidated tracker'!#REF!)</f>
        <v>#REF!</v>
      </c>
      <c r="O4" s="33">
        <f>_xlfn.XLOOKUP($D4,'consolidated tracker'!$D:$D,'consolidated tracker'!N:N)</f>
        <v>129748476.5599997</v>
      </c>
      <c r="P4" s="40">
        <f>_xlfn.XLOOKUP($D4,'consolidated tracker'!$D:$D,'consolidated tracker'!O:O)</f>
        <v>136318732.25000003</v>
      </c>
      <c r="Q4" s="33">
        <f>_xlfn.XLOOKUP($D4,'consolidated tracker'!$D:$D,'consolidated tracker'!P:P)</f>
        <v>426456101.27999997</v>
      </c>
      <c r="R4" s="33">
        <f>_xlfn.XLOOKUP($D4,'consolidated tracker'!$D:$D,'consolidated tracker'!Q:Q)</f>
        <v>0</v>
      </c>
      <c r="S4" s="33">
        <f>_xlfn.XLOOKUP($D4,'consolidated tracker'!$D:$D,'consolidated tracker'!R:R)</f>
        <v>0</v>
      </c>
      <c r="T4" s="33">
        <f>_xlfn.XLOOKUP($D4,'consolidated tracker'!$D:$D,'consolidated tracker'!S:S)</f>
        <v>0</v>
      </c>
      <c r="U4" s="33">
        <f>_xlfn.XLOOKUP($D4,'consolidated tracker'!$D:$D,'consolidated tracker'!T:T)</f>
        <v>0</v>
      </c>
      <c r="V4" s="33">
        <f>_xlfn.XLOOKUP($D4,'consolidated tracker'!$D:$D,'consolidated tracker'!U:U)</f>
        <v>0</v>
      </c>
      <c r="W4" s="33">
        <f>_xlfn.XLOOKUP($D4,'consolidated tracker'!$D:$D,'consolidated tracker'!V:V)</f>
        <v>0</v>
      </c>
      <c r="X4" s="33">
        <f>_xlfn.XLOOKUP($D4,'consolidated tracker'!$D:$D,'consolidated tracker'!W:W)</f>
        <v>0</v>
      </c>
      <c r="Y4" s="33">
        <f>_xlfn.XLOOKUP(E4,'consolidated tracker'!E:E,'consolidated tracker'!R:R)</f>
        <v>0</v>
      </c>
      <c r="Z4" s="185"/>
      <c r="AA4" s="17"/>
      <c r="AB4" s="17"/>
      <c r="AC4" s="11"/>
      <c r="AD4" s="16"/>
    </row>
    <row r="5" spans="1:30" s="7" customFormat="1" ht="150" hidden="1" customHeight="1" outlineLevel="1" x14ac:dyDescent="1.25">
      <c r="A5" s="4"/>
      <c r="C5" s="77"/>
      <c r="D5" s="104" t="s">
        <v>126</v>
      </c>
      <c r="E5" s="49" t="str">
        <f>_xlfn.XLOOKUP(D5,'consolidated tracker'!D:D,'consolidated tracker'!E:E)</f>
        <v>RERA</v>
      </c>
      <c r="F5" s="134">
        <f>_xlfn.XLOOKUP(D5,'consolidated tracker'!D:D,'consolidated tracker'!F:F)</f>
        <v>305</v>
      </c>
      <c r="G5" s="33">
        <f>_xlfn.XLOOKUP(D5,'consolidated tracker'!D:D,'consolidated tracker'!G:G)</f>
        <v>432495610.51000011</v>
      </c>
      <c r="H5" s="33">
        <f>_xlfn.XLOOKUP(D5,'consolidated tracker'!D:D,'consolidated tracker'!H:H)</f>
        <v>117738816.98000003</v>
      </c>
      <c r="I5" s="33">
        <f>_xlfn.XLOOKUP(D5,'consolidated tracker'!D:D,'consolidated tracker'!I:I)</f>
        <v>111460705.22999994</v>
      </c>
      <c r="J5" s="33">
        <f>_xlfn.XLOOKUP(D5,'consolidated tracker'!D:D,'consolidated tracker'!J:J)</f>
        <v>17410617.129999992</v>
      </c>
      <c r="K5" s="164">
        <f>_xlfn.XLOOKUP(D5,'consolidated tracker'!D:D,'consolidated tracker'!K:K)</f>
        <v>0.94667763859843657</v>
      </c>
      <c r="L5" s="189">
        <f>_xlfn.XLOOKUP(D5,'consolidated tracker'!D:D,'consolidated tracker'!L:L)</f>
        <v>6278111.7200000007</v>
      </c>
      <c r="M5" s="36">
        <f>_xlfn.XLOOKUP(D5,'consolidated tracker'!D:D,'consolidated tracker'!M:M)</f>
        <v>297346176.4000001</v>
      </c>
      <c r="N5" s="30" t="e">
        <f>_xlfn.XLOOKUP(D5,'consolidated tracker'!D:D,'consolidated tracker'!#REF!)</f>
        <v>#REF!</v>
      </c>
      <c r="O5" s="33">
        <f>_xlfn.XLOOKUP($D5,'consolidated tracker'!$D:$D,'consolidated tracker'!N:N)</f>
        <v>53733959.850000173</v>
      </c>
      <c r="P5" s="40">
        <f>_xlfn.XLOOKUP($D5,'consolidated tracker'!$D:$D,'consolidated tracker'!O:O)</f>
        <v>58853132.390000023</v>
      </c>
      <c r="Q5" s="33">
        <f>_xlfn.XLOOKUP($D5,'consolidated tracker'!$D:$D,'consolidated tracker'!P:P)</f>
        <v>184759084.15999991</v>
      </c>
      <c r="R5" s="33">
        <f>_xlfn.XLOOKUP($D5,'consolidated tracker'!$D:$D,'consolidated tracker'!Q:Q)</f>
        <v>0</v>
      </c>
      <c r="S5" s="33">
        <f>_xlfn.XLOOKUP($D5,'consolidated tracker'!$D:$D,'consolidated tracker'!R:R)</f>
        <v>0</v>
      </c>
      <c r="T5" s="33">
        <f>_xlfn.XLOOKUP($D5,'consolidated tracker'!$D:$D,'consolidated tracker'!S:S)</f>
        <v>0</v>
      </c>
      <c r="U5" s="33">
        <f>_xlfn.XLOOKUP($D5,'consolidated tracker'!$D:$D,'consolidated tracker'!T:T)</f>
        <v>0</v>
      </c>
      <c r="V5" s="33">
        <f>_xlfn.XLOOKUP($D5,'consolidated tracker'!$D:$D,'consolidated tracker'!U:U)</f>
        <v>0</v>
      </c>
      <c r="W5" s="33">
        <f>_xlfn.XLOOKUP($D5,'consolidated tracker'!$D:$D,'consolidated tracker'!V:V)</f>
        <v>0</v>
      </c>
      <c r="X5" s="33">
        <f>_xlfn.XLOOKUP($D5,'consolidated tracker'!$D:$D,'consolidated tracker'!W:W)</f>
        <v>0</v>
      </c>
      <c r="Y5" s="33">
        <f>_xlfn.XLOOKUP(E5,'consolidated tracker'!E:E,'consolidated tracker'!R:R)</f>
        <v>0</v>
      </c>
      <c r="Z5" s="185"/>
      <c r="AA5" s="17"/>
      <c r="AB5" s="17"/>
      <c r="AC5" s="11"/>
      <c r="AD5" s="16"/>
    </row>
    <row r="6" spans="1:30" s="7" customFormat="1" ht="150" hidden="1" customHeight="1" outlineLevel="1" x14ac:dyDescent="1.25">
      <c r="A6" s="4"/>
      <c r="C6" s="77"/>
      <c r="D6" s="94" t="s">
        <v>125</v>
      </c>
      <c r="E6" s="49" t="str">
        <f>_xlfn.XLOOKUP(D6,'consolidated tracker'!D:D,'consolidated tracker'!E:E)</f>
        <v>RERA</v>
      </c>
      <c r="F6" s="134">
        <f>_xlfn.XLOOKUP(D6,'consolidated tracker'!D:D,'consolidated tracker'!F:F)</f>
        <v>216</v>
      </c>
      <c r="G6" s="33">
        <f>_xlfn.XLOOKUP(D6,'consolidated tracker'!D:D,'consolidated tracker'!G:G)</f>
        <v>301629919.64999968</v>
      </c>
      <c r="H6" s="33">
        <f>_xlfn.XLOOKUP(D6,'consolidated tracker'!D:D,'consolidated tracker'!H:H)</f>
        <v>82270210.280000076</v>
      </c>
      <c r="I6" s="33">
        <f>_xlfn.XLOOKUP(D6,'consolidated tracker'!D:D,'consolidated tracker'!I:I)</f>
        <v>78228180.019999981</v>
      </c>
      <c r="J6" s="33">
        <f>_xlfn.XLOOKUP(D6,'consolidated tracker'!D:D,'consolidated tracker'!J:J)</f>
        <v>6266361.2000000011</v>
      </c>
      <c r="K6" s="164">
        <f>_xlfn.XLOOKUP(D6,'consolidated tracker'!D:D,'consolidated tracker'!K:K)</f>
        <v>0.95086884734774146</v>
      </c>
      <c r="L6" s="189">
        <f>_xlfn.XLOOKUP(D6,'consolidated tracker'!D:D,'consolidated tracker'!L:L)</f>
        <v>4042030.26</v>
      </c>
      <c r="M6" s="36">
        <f>_xlfn.XLOOKUP(D6,'consolidated tracker'!D:D,'consolidated tracker'!M:M)</f>
        <v>213093348.1699996</v>
      </c>
      <c r="N6" s="30" t="e">
        <f>_xlfn.XLOOKUP(D6,'consolidated tracker'!D:D,'consolidated tracker'!#REF!)</f>
        <v>#REF!</v>
      </c>
      <c r="O6" s="33">
        <f>_xlfn.XLOOKUP($D6,'consolidated tracker'!$D:$D,'consolidated tracker'!N:N)</f>
        <v>39185501.739999473</v>
      </c>
      <c r="P6" s="40">
        <f>_xlfn.XLOOKUP($D6,'consolidated tracker'!$D:$D,'consolidated tracker'!O:O)</f>
        <v>43208141.860000014</v>
      </c>
      <c r="Q6" s="33">
        <f>_xlfn.XLOOKUP($D6,'consolidated tracker'!$D:$D,'consolidated tracker'!P:P)</f>
        <v>130699704.5700001</v>
      </c>
      <c r="R6" s="33">
        <f>_xlfn.XLOOKUP($D6,'consolidated tracker'!$D:$D,'consolidated tracker'!Q:Q)</f>
        <v>0</v>
      </c>
      <c r="S6" s="33">
        <f>_xlfn.XLOOKUP($D6,'consolidated tracker'!$D:$D,'consolidated tracker'!R:R)</f>
        <v>0</v>
      </c>
      <c r="T6" s="33">
        <f>_xlfn.XLOOKUP($D6,'consolidated tracker'!$D:$D,'consolidated tracker'!S:S)</f>
        <v>0</v>
      </c>
      <c r="U6" s="33">
        <f>_xlfn.XLOOKUP($D6,'consolidated tracker'!$D:$D,'consolidated tracker'!T:T)</f>
        <v>0</v>
      </c>
      <c r="V6" s="33">
        <f>_xlfn.XLOOKUP($D6,'consolidated tracker'!$D:$D,'consolidated tracker'!U:U)</f>
        <v>0</v>
      </c>
      <c r="W6" s="33">
        <f>_xlfn.XLOOKUP($D6,'consolidated tracker'!$D:$D,'consolidated tracker'!V:V)</f>
        <v>0</v>
      </c>
      <c r="X6" s="33">
        <f>_xlfn.XLOOKUP($D6,'consolidated tracker'!$D:$D,'consolidated tracker'!W:W)</f>
        <v>0</v>
      </c>
      <c r="Y6" s="33">
        <f>_xlfn.XLOOKUP(E6,'consolidated tracker'!E:E,'consolidated tracker'!R:R)</f>
        <v>0</v>
      </c>
      <c r="Z6" s="185"/>
      <c r="AA6" s="17"/>
      <c r="AB6" s="17"/>
      <c r="AC6" s="11"/>
      <c r="AD6" s="16"/>
    </row>
    <row r="7" spans="1:30" s="7" customFormat="1" ht="150" hidden="1" customHeight="1" outlineLevel="1" x14ac:dyDescent="1.25">
      <c r="A7" s="4"/>
      <c r="C7" s="77"/>
      <c r="D7" s="94" t="s">
        <v>124</v>
      </c>
      <c r="E7" s="49" t="str">
        <f>_xlfn.XLOOKUP(D7,'consolidated tracker'!D:D,'consolidated tracker'!E:E)</f>
        <v>RERA</v>
      </c>
      <c r="F7" s="134">
        <f>_xlfn.XLOOKUP(D7,'consolidated tracker'!D:D,'consolidated tracker'!F:F)</f>
        <v>187</v>
      </c>
      <c r="G7" s="33">
        <f>_xlfn.XLOOKUP(D7,'consolidated tracker'!D:D,'consolidated tracker'!G:G)</f>
        <v>266111380.24000001</v>
      </c>
      <c r="H7" s="33">
        <f>_xlfn.XLOOKUP(D7,'consolidated tracker'!D:D,'consolidated tracker'!H:H)</f>
        <v>78907024.99000001</v>
      </c>
      <c r="I7" s="33">
        <f>_xlfn.XLOOKUP(D7,'consolidated tracker'!D:D,'consolidated tracker'!I:I)</f>
        <v>73221459.680000007</v>
      </c>
      <c r="J7" s="33">
        <f>_xlfn.XLOOKUP(D7,'consolidated tracker'!D:D,'consolidated tracker'!J:J)</f>
        <v>5120569.7300000014</v>
      </c>
      <c r="K7" s="164">
        <f>_xlfn.XLOOKUP(D7,'consolidated tracker'!D:D,'consolidated tracker'!K:K)</f>
        <v>0.92794601861215098</v>
      </c>
      <c r="L7" s="189">
        <f>_xlfn.XLOOKUP(D7,'consolidated tracker'!D:D,'consolidated tracker'!L:L)</f>
        <v>5685565.3099999996</v>
      </c>
      <c r="M7" s="36">
        <f>_xlfn.XLOOKUP(D7,'consolidated tracker'!D:D,'consolidated tracker'!M:M)</f>
        <v>182083785.51999998</v>
      </c>
      <c r="N7" s="30" t="e">
        <f>_xlfn.XLOOKUP(D7,'consolidated tracker'!D:D,'consolidated tracker'!#REF!)</f>
        <v>#REF!</v>
      </c>
      <c r="O7" s="33">
        <f>_xlfn.XLOOKUP($D7,'consolidated tracker'!$D:$D,'consolidated tracker'!N:N)</f>
        <v>36829014.969999999</v>
      </c>
      <c r="P7" s="40">
        <f>_xlfn.XLOOKUP($D7,'consolidated tracker'!$D:$D,'consolidated tracker'!O:O)</f>
        <v>34257458.000000007</v>
      </c>
      <c r="Q7" s="33">
        <f>_xlfn.XLOOKUP($D7,'consolidated tracker'!$D:$D,'consolidated tracker'!P:P)</f>
        <v>110997312.54999997</v>
      </c>
      <c r="R7" s="33">
        <f>_xlfn.XLOOKUP($D7,'consolidated tracker'!$D:$D,'consolidated tracker'!Q:Q)</f>
        <v>0</v>
      </c>
      <c r="S7" s="33">
        <f>_xlfn.XLOOKUP($D7,'consolidated tracker'!$D:$D,'consolidated tracker'!R:R)</f>
        <v>0</v>
      </c>
      <c r="T7" s="33">
        <f>_xlfn.XLOOKUP($D7,'consolidated tracker'!$D:$D,'consolidated tracker'!S:S)</f>
        <v>0</v>
      </c>
      <c r="U7" s="33">
        <f>_xlfn.XLOOKUP($D7,'consolidated tracker'!$D:$D,'consolidated tracker'!T:T)</f>
        <v>0</v>
      </c>
      <c r="V7" s="33">
        <f>_xlfn.XLOOKUP($D7,'consolidated tracker'!$D:$D,'consolidated tracker'!U:U)</f>
        <v>0</v>
      </c>
      <c r="W7" s="33">
        <f>_xlfn.XLOOKUP($D7,'consolidated tracker'!$D:$D,'consolidated tracker'!V:V)</f>
        <v>0</v>
      </c>
      <c r="X7" s="33">
        <f>_xlfn.XLOOKUP($D7,'consolidated tracker'!$D:$D,'consolidated tracker'!W:W)</f>
        <v>0</v>
      </c>
      <c r="Y7" s="33">
        <f>_xlfn.XLOOKUP(E7,'consolidated tracker'!E:E,'consolidated tracker'!R:R)</f>
        <v>0</v>
      </c>
      <c r="Z7" s="185"/>
      <c r="AA7" s="17"/>
      <c r="AB7" s="17"/>
      <c r="AC7" s="11"/>
      <c r="AD7" s="16"/>
    </row>
    <row r="8" spans="1:30" s="7" customFormat="1" ht="150" customHeight="1" collapsed="1" x14ac:dyDescent="1.25">
      <c r="C8" s="77">
        <f>C4+1</f>
        <v>2</v>
      </c>
      <c r="D8" s="76" t="s">
        <v>46</v>
      </c>
      <c r="E8" s="49" t="str">
        <f>_xlfn.XLOOKUP(D8,'consolidated tracker'!D:D,'consolidated tracker'!E:E)</f>
        <v>Pre-Launch</v>
      </c>
      <c r="F8" s="33">
        <f>_xlfn.XLOOKUP(D8,'consolidated tracker'!D:D,'consolidated tracker'!F:F)</f>
        <v>122</v>
      </c>
      <c r="G8" s="33">
        <f>_xlfn.XLOOKUP(D8,'consolidated tracker'!D:D,'consolidated tracker'!G:G)</f>
        <v>169893891.99000001</v>
      </c>
      <c r="H8" s="33">
        <f>_xlfn.XLOOKUP(D8,'consolidated tracker'!D:D,'consolidated tracker'!H:H)</f>
        <v>34194183.979999989</v>
      </c>
      <c r="I8" s="33">
        <f>_xlfn.XLOOKUP(D8,'consolidated tracker'!D:D,'consolidated tracker'!I:I)</f>
        <v>32980287.309999995</v>
      </c>
      <c r="J8" s="33">
        <f>_xlfn.XLOOKUP(D8,'consolidated tracker'!D:D,'consolidated tracker'!J:J)</f>
        <v>3441448.71</v>
      </c>
      <c r="K8" s="164">
        <f>_xlfn.XLOOKUP(D8,'consolidated tracker'!D:D,'consolidated tracker'!K:K)</f>
        <v>0.96449990820924414</v>
      </c>
      <c r="L8" s="188">
        <f>_xlfn.XLOOKUP(D8,'consolidated tracker'!D:D,'consolidated tracker'!L:L)</f>
        <v>1213896.67</v>
      </c>
      <c r="M8" s="30">
        <f>_xlfn.XLOOKUP(D8,'consolidated tracker'!D:D,'consolidated tracker'!M:M)</f>
        <v>132258259.30000001</v>
      </c>
      <c r="N8" s="33" t="e">
        <f>_xlfn.XLOOKUP(D8,'consolidated tracker'!D:D,'consolidated tracker'!#REF!)</f>
        <v>#REF!</v>
      </c>
      <c r="O8" s="33">
        <f>_xlfn.XLOOKUP($D8,'consolidated tracker'!$D:$D,'consolidated tracker'!N:N)</f>
        <v>17549244.900000036</v>
      </c>
      <c r="P8" s="33">
        <f>_xlfn.XLOOKUP($D8,'consolidated tracker'!$D:$D,'consolidated tracker'!O:O)</f>
        <v>24132362.459999997</v>
      </c>
      <c r="Q8" s="33">
        <f>_xlfn.XLOOKUP($D8,'consolidated tracker'!$D:$D,'consolidated tracker'!P:P)</f>
        <v>9863847.3099999987</v>
      </c>
      <c r="R8" s="33">
        <f>_xlfn.XLOOKUP($D8,'consolidated tracker'!$D:$D,'consolidated tracker'!Q:Q)</f>
        <v>80712804.62999998</v>
      </c>
      <c r="S8" s="33">
        <f>_xlfn.XLOOKUP($D8,'consolidated tracker'!$D:$D,'consolidated tracker'!R:R)</f>
        <v>0</v>
      </c>
      <c r="T8" s="33">
        <f>_xlfn.XLOOKUP($D8,'consolidated tracker'!$D:$D,'consolidated tracker'!S:S)</f>
        <v>0</v>
      </c>
      <c r="U8" s="33">
        <f>_xlfn.XLOOKUP($D8,'consolidated tracker'!$D:$D,'consolidated tracker'!T:T)</f>
        <v>0</v>
      </c>
      <c r="V8" s="33">
        <f>_xlfn.XLOOKUP($D8,'consolidated tracker'!$D:$D,'consolidated tracker'!U:U)</f>
        <v>0</v>
      </c>
      <c r="W8" s="33">
        <f>_xlfn.XLOOKUP($D8,'consolidated tracker'!$D:$D,'consolidated tracker'!V:V)</f>
        <v>0</v>
      </c>
      <c r="X8" s="33">
        <f>_xlfn.XLOOKUP($D8,'consolidated tracker'!$D:$D,'consolidated tracker'!W:W)</f>
        <v>0</v>
      </c>
      <c r="Y8" s="185"/>
      <c r="AB8" s="146"/>
    </row>
    <row r="9" spans="1:30" s="7" customFormat="1" ht="150" hidden="1" customHeight="1" outlineLevel="1" x14ac:dyDescent="1.25">
      <c r="C9" s="77"/>
      <c r="D9" s="104" t="s">
        <v>45</v>
      </c>
      <c r="E9" s="49" t="str">
        <f>_xlfn.XLOOKUP(D9,'consolidated tracker'!D:D,'consolidated tracker'!E:E)</f>
        <v>Pre-Launch</v>
      </c>
      <c r="F9" s="33">
        <f>_xlfn.XLOOKUP(D9,'consolidated tracker'!D:D,'consolidated tracker'!F:F)</f>
        <v>60</v>
      </c>
      <c r="G9" s="33">
        <f>_xlfn.XLOOKUP(D9,'consolidated tracker'!D:D,'consolidated tracker'!G:G)</f>
        <v>85143839.729999989</v>
      </c>
      <c r="H9" s="33">
        <f>_xlfn.XLOOKUP(D9,'consolidated tracker'!D:D,'consolidated tracker'!H:H)</f>
        <v>17562072.729999986</v>
      </c>
      <c r="I9" s="33">
        <f>_xlfn.XLOOKUP(D9,'consolidated tracker'!D:D,'consolidated tracker'!I:I)</f>
        <v>17318672.849999994</v>
      </c>
      <c r="J9" s="33">
        <f>_xlfn.XLOOKUP(D9,'consolidated tracker'!D:D,'consolidated tracker'!J:J)</f>
        <v>2718916.61</v>
      </c>
      <c r="K9" s="164">
        <f>_xlfn.XLOOKUP(D9,'consolidated tracker'!D:D,'consolidated tracker'!K:K)</f>
        <v>0.98614059492054096</v>
      </c>
      <c r="L9" s="188">
        <f>_xlfn.XLOOKUP(D9,'consolidated tracker'!D:D,'consolidated tracker'!L:L)</f>
        <v>243399.87999999998</v>
      </c>
      <c r="M9" s="30">
        <f>_xlfn.XLOOKUP(D9,'consolidated tracker'!D:D,'consolidated tracker'!M:M)</f>
        <v>64862850.390000001</v>
      </c>
      <c r="N9" s="33" t="e">
        <f>_xlfn.XLOOKUP(D9,'consolidated tracker'!D:D,'consolidated tracker'!#REF!)</f>
        <v>#REF!</v>
      </c>
      <c r="O9" s="33">
        <f>_xlfn.XLOOKUP($D9,'consolidated tracker'!$D:$D,'consolidated tracker'!N:N)</f>
        <v>8181034.8500000238</v>
      </c>
      <c r="P9" s="33">
        <f>_xlfn.XLOOKUP($D9,'consolidated tracker'!$D:$D,'consolidated tracker'!O:O)</f>
        <v>10577566.409999998</v>
      </c>
      <c r="Q9" s="33">
        <f>_xlfn.XLOOKUP($D9,'consolidated tracker'!$D:$D,'consolidated tracker'!P:P)</f>
        <v>3056220.7500000009</v>
      </c>
      <c r="R9" s="33">
        <f>_xlfn.XLOOKUP($D9,'consolidated tracker'!$D:$D,'consolidated tracker'!Q:Q)</f>
        <v>43048028.37999998</v>
      </c>
      <c r="S9" s="33">
        <f>_xlfn.XLOOKUP($D9,'consolidated tracker'!$D:$D,'consolidated tracker'!R:R)</f>
        <v>0</v>
      </c>
      <c r="T9" s="33">
        <f>_xlfn.XLOOKUP($D9,'consolidated tracker'!$D:$D,'consolidated tracker'!S:S)</f>
        <v>0</v>
      </c>
      <c r="U9" s="33">
        <f>_xlfn.XLOOKUP($D9,'consolidated tracker'!$D:$D,'consolidated tracker'!T:T)</f>
        <v>0</v>
      </c>
      <c r="V9" s="33">
        <f>_xlfn.XLOOKUP($D9,'consolidated tracker'!$D:$D,'consolidated tracker'!U:U)</f>
        <v>0</v>
      </c>
      <c r="W9" s="33">
        <f>_xlfn.XLOOKUP($D9,'consolidated tracker'!$D:$D,'consolidated tracker'!V:V)</f>
        <v>0</v>
      </c>
      <c r="X9" s="33">
        <f>_xlfn.XLOOKUP($D9,'consolidated tracker'!$D:$D,'consolidated tracker'!W:W)</f>
        <v>0</v>
      </c>
      <c r="Y9" s="185"/>
      <c r="AB9" s="146"/>
    </row>
    <row r="10" spans="1:30" s="7" customFormat="1" ht="150" hidden="1" customHeight="1" outlineLevel="1" x14ac:dyDescent="1.25">
      <c r="C10" s="77"/>
      <c r="D10" s="94" t="s">
        <v>44</v>
      </c>
      <c r="E10" s="49" t="str">
        <f>_xlfn.XLOOKUP(D10,'consolidated tracker'!D:D,'consolidated tracker'!E:E)</f>
        <v>Pre-Launch</v>
      </c>
      <c r="F10" s="33">
        <f>_xlfn.XLOOKUP(D10,'consolidated tracker'!D:D,'consolidated tracker'!F:F)</f>
        <v>0</v>
      </c>
      <c r="G10" s="33">
        <f>_xlfn.XLOOKUP(D10,'consolidated tracker'!D:D,'consolidated tracker'!G:G)</f>
        <v>0</v>
      </c>
      <c r="H10" s="33">
        <f>_xlfn.XLOOKUP(D10,'consolidated tracker'!D:D,'consolidated tracker'!H:H)</f>
        <v>0</v>
      </c>
      <c r="I10" s="33">
        <f>_xlfn.XLOOKUP(D10,'consolidated tracker'!D:D,'consolidated tracker'!I:I)</f>
        <v>0</v>
      </c>
      <c r="J10" s="33">
        <f>_xlfn.XLOOKUP(D10,'consolidated tracker'!D:D,'consolidated tracker'!J:J)</f>
        <v>0</v>
      </c>
      <c r="K10" s="164">
        <f>_xlfn.XLOOKUP(D10,'consolidated tracker'!D:D,'consolidated tracker'!K:K)</f>
        <v>0</v>
      </c>
      <c r="L10" s="188">
        <f>_xlfn.XLOOKUP(D10,'consolidated tracker'!D:D,'consolidated tracker'!L:L)</f>
        <v>0</v>
      </c>
      <c r="M10" s="30">
        <f>_xlfn.XLOOKUP(D10,'consolidated tracker'!D:D,'consolidated tracker'!M:M)</f>
        <v>0</v>
      </c>
      <c r="N10" s="33" t="e">
        <f>_xlfn.XLOOKUP(D10,'consolidated tracker'!D:D,'consolidated tracker'!#REF!)</f>
        <v>#REF!</v>
      </c>
      <c r="O10" s="33">
        <f>_xlfn.XLOOKUP($D10,'consolidated tracker'!$D:$D,'consolidated tracker'!N:N)</f>
        <v>0</v>
      </c>
      <c r="P10" s="33">
        <f>_xlfn.XLOOKUP($D10,'consolidated tracker'!$D:$D,'consolidated tracker'!O:O)</f>
        <v>0</v>
      </c>
      <c r="Q10" s="33">
        <f>_xlfn.XLOOKUP($D10,'consolidated tracker'!$D:$D,'consolidated tracker'!P:P)</f>
        <v>0</v>
      </c>
      <c r="R10" s="33">
        <f>_xlfn.XLOOKUP($D10,'consolidated tracker'!$D:$D,'consolidated tracker'!Q:Q)</f>
        <v>0</v>
      </c>
      <c r="S10" s="33">
        <f>_xlfn.XLOOKUP($D10,'consolidated tracker'!$D:$D,'consolidated tracker'!R:R)</f>
        <v>0</v>
      </c>
      <c r="T10" s="33">
        <f>_xlfn.XLOOKUP($D10,'consolidated tracker'!$D:$D,'consolidated tracker'!S:S)</f>
        <v>0</v>
      </c>
      <c r="U10" s="33">
        <f>_xlfn.XLOOKUP($D10,'consolidated tracker'!$D:$D,'consolidated tracker'!T:T)</f>
        <v>0</v>
      </c>
      <c r="V10" s="33">
        <f>_xlfn.XLOOKUP($D10,'consolidated tracker'!$D:$D,'consolidated tracker'!U:U)</f>
        <v>0</v>
      </c>
      <c r="W10" s="33">
        <f>_xlfn.XLOOKUP($D10,'consolidated tracker'!$D:$D,'consolidated tracker'!V:V)</f>
        <v>0</v>
      </c>
      <c r="X10" s="33">
        <f>_xlfn.XLOOKUP($D10,'consolidated tracker'!$D:$D,'consolidated tracker'!W:W)</f>
        <v>0</v>
      </c>
      <c r="Y10" s="185"/>
      <c r="AB10" s="146"/>
    </row>
    <row r="11" spans="1:30" s="7" customFormat="1" ht="150" hidden="1" customHeight="1" outlineLevel="1" x14ac:dyDescent="1.25">
      <c r="C11" s="77"/>
      <c r="D11" s="94" t="s">
        <v>43</v>
      </c>
      <c r="E11" s="49" t="str">
        <f>_xlfn.XLOOKUP(D11,'consolidated tracker'!D:D,'consolidated tracker'!E:E)</f>
        <v>Pre-Launch</v>
      </c>
      <c r="F11" s="33">
        <f>_xlfn.XLOOKUP(D11,'consolidated tracker'!D:D,'consolidated tracker'!F:F)</f>
        <v>34</v>
      </c>
      <c r="G11" s="33">
        <f>_xlfn.XLOOKUP(D11,'consolidated tracker'!D:D,'consolidated tracker'!G:G)</f>
        <v>46691549.93</v>
      </c>
      <c r="H11" s="33">
        <f>_xlfn.XLOOKUP(D11,'consolidated tracker'!D:D,'consolidated tracker'!H:H)</f>
        <v>9606307.1000000015</v>
      </c>
      <c r="I11" s="33">
        <f>_xlfn.XLOOKUP(D11,'consolidated tracker'!D:D,'consolidated tracker'!I:I)</f>
        <v>8963610.4699999969</v>
      </c>
      <c r="J11" s="33">
        <f>_xlfn.XLOOKUP(D11,'consolidated tracker'!D:D,'consolidated tracker'!J:J)</f>
        <v>381877.16999999993</v>
      </c>
      <c r="K11" s="164">
        <f>_xlfn.XLOOKUP(D11,'consolidated tracker'!D:D,'consolidated tracker'!K:K)</f>
        <v>0.93309638935028383</v>
      </c>
      <c r="L11" s="188">
        <f>_xlfn.XLOOKUP(D11,'consolidated tracker'!D:D,'consolidated tracker'!L:L)</f>
        <v>642696.63</v>
      </c>
      <c r="M11" s="30">
        <f>_xlfn.XLOOKUP(D11,'consolidated tracker'!D:D,'consolidated tracker'!M:M)</f>
        <v>36703365.659999996</v>
      </c>
      <c r="N11" s="33" t="e">
        <f>_xlfn.XLOOKUP(D11,'consolidated tracker'!D:D,'consolidated tracker'!#REF!)</f>
        <v>#REF!</v>
      </c>
      <c r="O11" s="33">
        <f>_xlfn.XLOOKUP($D11,'consolidated tracker'!$D:$D,'consolidated tracker'!N:N)</f>
        <v>4979975.6300000027</v>
      </c>
      <c r="P11" s="33">
        <f>_xlfn.XLOOKUP($D11,'consolidated tracker'!$D:$D,'consolidated tracker'!O:O)</f>
        <v>7517275.4999999991</v>
      </c>
      <c r="Q11" s="33">
        <f>_xlfn.XLOOKUP($D11,'consolidated tracker'!$D:$D,'consolidated tracker'!P:P)</f>
        <v>3874931.2599999993</v>
      </c>
      <c r="R11" s="33">
        <f>_xlfn.XLOOKUP($D11,'consolidated tracker'!$D:$D,'consolidated tracker'!Q:Q)</f>
        <v>20331183.269999996</v>
      </c>
      <c r="S11" s="33">
        <f>_xlfn.XLOOKUP($D11,'consolidated tracker'!$D:$D,'consolidated tracker'!R:R)</f>
        <v>0</v>
      </c>
      <c r="T11" s="33">
        <f>_xlfn.XLOOKUP($D11,'consolidated tracker'!$D:$D,'consolidated tracker'!S:S)</f>
        <v>0</v>
      </c>
      <c r="U11" s="33">
        <f>_xlfn.XLOOKUP($D11,'consolidated tracker'!$D:$D,'consolidated tracker'!T:T)</f>
        <v>0</v>
      </c>
      <c r="V11" s="33">
        <f>_xlfn.XLOOKUP($D11,'consolidated tracker'!$D:$D,'consolidated tracker'!U:U)</f>
        <v>0</v>
      </c>
      <c r="W11" s="33">
        <f>_xlfn.XLOOKUP($D11,'consolidated tracker'!$D:$D,'consolidated tracker'!V:V)</f>
        <v>0</v>
      </c>
      <c r="X11" s="33">
        <f>_xlfn.XLOOKUP($D11,'consolidated tracker'!$D:$D,'consolidated tracker'!W:W)</f>
        <v>0</v>
      </c>
      <c r="Y11" s="185"/>
      <c r="AB11" s="146"/>
    </row>
    <row r="12" spans="1:30" s="7" customFormat="1" ht="150" hidden="1" customHeight="1" outlineLevel="1" x14ac:dyDescent="1.25">
      <c r="C12" s="77"/>
      <c r="D12" s="94" t="s">
        <v>42</v>
      </c>
      <c r="E12" s="49" t="str">
        <f>_xlfn.XLOOKUP(D12,'consolidated tracker'!D:D,'consolidated tracker'!E:E)</f>
        <v>Pre-Launch</v>
      </c>
      <c r="F12" s="33">
        <f>_xlfn.XLOOKUP(D12,'consolidated tracker'!D:D,'consolidated tracker'!F:F)</f>
        <v>28</v>
      </c>
      <c r="G12" s="33">
        <f>_xlfn.XLOOKUP(D12,'consolidated tracker'!D:D,'consolidated tracker'!G:G)</f>
        <v>38058502.330000006</v>
      </c>
      <c r="H12" s="33">
        <f>_xlfn.XLOOKUP(D12,'consolidated tracker'!D:D,'consolidated tracker'!H:H)</f>
        <v>7025804.1499999994</v>
      </c>
      <c r="I12" s="33">
        <f>_xlfn.XLOOKUP(D12,'consolidated tracker'!D:D,'consolidated tracker'!I:I)</f>
        <v>6698003.9900000012</v>
      </c>
      <c r="J12" s="33">
        <f>_xlfn.XLOOKUP(D12,'consolidated tracker'!D:D,'consolidated tracker'!J:J)</f>
        <v>340654.93</v>
      </c>
      <c r="K12" s="164">
        <f>_xlfn.XLOOKUP(D12,'consolidated tracker'!D:D,'consolidated tracker'!K:K)</f>
        <v>0.95334339628581899</v>
      </c>
      <c r="L12" s="188">
        <f>_xlfn.XLOOKUP(D12,'consolidated tracker'!D:D,'consolidated tracker'!L:L)</f>
        <v>327800.15999999997</v>
      </c>
      <c r="M12" s="30">
        <f>_xlfn.XLOOKUP(D12,'consolidated tracker'!D:D,'consolidated tracker'!M:M)</f>
        <v>30692043.250000007</v>
      </c>
      <c r="N12" s="33" t="e">
        <f>_xlfn.XLOOKUP(D12,'consolidated tracker'!D:D,'consolidated tracker'!#REF!)</f>
        <v>#REF!</v>
      </c>
      <c r="O12" s="33">
        <f>_xlfn.XLOOKUP($D12,'consolidated tracker'!$D:$D,'consolidated tracker'!N:N)</f>
        <v>4388234.4200000018</v>
      </c>
      <c r="P12" s="33">
        <f>_xlfn.XLOOKUP($D12,'consolidated tracker'!$D:$D,'consolidated tracker'!O:O)</f>
        <v>6037520.5500000017</v>
      </c>
      <c r="Q12" s="33">
        <f>_xlfn.XLOOKUP($D12,'consolidated tracker'!$D:$D,'consolidated tracker'!P:P)</f>
        <v>2932695.3</v>
      </c>
      <c r="R12" s="33">
        <f>_xlfn.XLOOKUP($D12,'consolidated tracker'!$D:$D,'consolidated tracker'!Q:Q)</f>
        <v>17333592.980000004</v>
      </c>
      <c r="S12" s="33">
        <f>_xlfn.XLOOKUP($D12,'consolidated tracker'!$D:$D,'consolidated tracker'!R:R)</f>
        <v>0</v>
      </c>
      <c r="T12" s="33">
        <f>_xlfn.XLOOKUP($D12,'consolidated tracker'!$D:$D,'consolidated tracker'!S:S)</f>
        <v>0</v>
      </c>
      <c r="U12" s="33">
        <f>_xlfn.XLOOKUP($D12,'consolidated tracker'!$D:$D,'consolidated tracker'!T:T)</f>
        <v>0</v>
      </c>
      <c r="V12" s="33">
        <f>_xlfn.XLOOKUP($D12,'consolidated tracker'!$D:$D,'consolidated tracker'!U:U)</f>
        <v>0</v>
      </c>
      <c r="W12" s="33">
        <f>_xlfn.XLOOKUP($D12,'consolidated tracker'!$D:$D,'consolidated tracker'!V:V)</f>
        <v>0</v>
      </c>
      <c r="X12" s="33">
        <f>_xlfn.XLOOKUP($D12,'consolidated tracker'!$D:$D,'consolidated tracker'!W:W)</f>
        <v>0</v>
      </c>
      <c r="Y12" s="185"/>
      <c r="AB12" s="146"/>
    </row>
    <row r="13" spans="1:30" s="7" customFormat="1" ht="180" customHeight="1" collapsed="1" x14ac:dyDescent="1.25">
      <c r="C13" s="75"/>
      <c r="D13" s="75" t="s">
        <v>15</v>
      </c>
      <c r="E13" s="75"/>
      <c r="F13" s="159">
        <f>SUM(F8,F4)</f>
        <v>830</v>
      </c>
      <c r="G13" s="159">
        <f>SUM(G8,G4)</f>
        <v>1170130802.3899999</v>
      </c>
      <c r="H13" s="159">
        <f>SUM(H8,H4)</f>
        <v>313110236.23000014</v>
      </c>
      <c r="I13" s="159">
        <f>SUM(I8,I4)</f>
        <v>295890632.23999995</v>
      </c>
      <c r="J13" s="159">
        <f>SUM(J8,J4)</f>
        <v>32238996.769999992</v>
      </c>
      <c r="K13" s="187">
        <f>I13/H13</f>
        <v>0.94500465970920466</v>
      </c>
      <c r="L13" s="186">
        <f t="shared" ref="L13:X13" si="1">SUM(L8,L4)</f>
        <v>17219603.960000001</v>
      </c>
      <c r="M13" s="156">
        <f t="shared" si="1"/>
        <v>824781569.38999963</v>
      </c>
      <c r="N13" s="155" t="e">
        <f t="shared" si="1"/>
        <v>#REF!</v>
      </c>
      <c r="O13" s="155">
        <f t="shared" si="1"/>
        <v>147297721.45999974</v>
      </c>
      <c r="P13" s="155">
        <f t="shared" si="1"/>
        <v>160451094.71000004</v>
      </c>
      <c r="Q13" s="155">
        <f t="shared" si="1"/>
        <v>436319948.58999997</v>
      </c>
      <c r="R13" s="155">
        <f t="shared" si="1"/>
        <v>80712804.62999998</v>
      </c>
      <c r="S13" s="155">
        <f t="shared" si="1"/>
        <v>0</v>
      </c>
      <c r="T13" s="155">
        <f t="shared" si="1"/>
        <v>0</v>
      </c>
      <c r="U13" s="155">
        <f t="shared" si="1"/>
        <v>0</v>
      </c>
      <c r="V13" s="155">
        <f t="shared" si="1"/>
        <v>0</v>
      </c>
      <c r="W13" s="155">
        <f t="shared" si="1"/>
        <v>0</v>
      </c>
      <c r="X13" s="155">
        <f t="shared" si="1"/>
        <v>0</v>
      </c>
      <c r="Y13" s="185"/>
      <c r="AB13" s="146"/>
    </row>
    <row r="14" spans="1:30" s="7" customFormat="1" ht="99" customHeight="1" x14ac:dyDescent="1.25">
      <c r="C14" s="154"/>
      <c r="D14" s="67"/>
      <c r="E14" s="66"/>
      <c r="F14" s="63"/>
      <c r="G14" s="63"/>
      <c r="H14" s="63"/>
      <c r="I14" s="63"/>
      <c r="J14" s="63"/>
      <c r="K14" s="184"/>
      <c r="L14" s="183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AB14" s="146"/>
    </row>
    <row r="19" spans="6:28" x14ac:dyDescent="0.55000000000000004">
      <c r="F19" s="176"/>
      <c r="G19" s="176"/>
      <c r="H19" s="176"/>
      <c r="I19" s="176"/>
      <c r="J19" s="176"/>
      <c r="K19" s="182"/>
      <c r="L19" s="181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</row>
    <row r="20" spans="6:28" s="172" customFormat="1" ht="55" x14ac:dyDescent="1.2">
      <c r="F20" s="175">
        <f>'consolidated - Offplan'!G147+'consolidated - Offplan'!G65</f>
        <v>830</v>
      </c>
      <c r="G20" s="175">
        <f>'consolidated - Offplan'!H147+'consolidated - Offplan'!H65</f>
        <v>1170130802.3899999</v>
      </c>
      <c r="H20" s="175">
        <f>'consolidated - Offplan'!I147+'consolidated - Offplan'!I65</f>
        <v>313110236.23000014</v>
      </c>
      <c r="I20" s="175">
        <f>'consolidated - Offplan'!J147+'consolidated - Offplan'!J65</f>
        <v>295890632.23999995</v>
      </c>
      <c r="J20" s="175">
        <f>'consolidated - Offplan'!K147+'consolidated - Offplan'!K65</f>
        <v>32238996.769999992</v>
      </c>
      <c r="K20" s="180"/>
      <c r="L20" s="175">
        <f>'consolidated - Offplan'!M147+'consolidated - Offplan'!M65</f>
        <v>17219603.960000001</v>
      </c>
      <c r="M20" s="175">
        <f>'consolidated - Offplan'!N147+'consolidated - Offplan'!N65</f>
        <v>824781569.38999963</v>
      </c>
      <c r="N20" s="175" t="e">
        <f>'consolidated - Offplan'!#REF!+'consolidated - Offplan'!#REF!</f>
        <v>#REF!</v>
      </c>
      <c r="O20" s="175">
        <f>'consolidated - Offplan'!O147+'consolidated - Offplan'!O65</f>
        <v>147297721.45999974</v>
      </c>
      <c r="P20" s="175">
        <f>'consolidated - Offplan'!P147+'consolidated - Offplan'!P65</f>
        <v>160451094.71000004</v>
      </c>
      <c r="Q20" s="175">
        <f>'consolidated - Offplan'!Q147+'consolidated - Offplan'!Q65</f>
        <v>436319948.58999997</v>
      </c>
      <c r="R20" s="175">
        <f>'consolidated - Offplan'!R147+'consolidated - Offplan'!R65</f>
        <v>80712804.62999998</v>
      </c>
      <c r="S20" s="175">
        <f>'consolidated - Offplan'!S147+'consolidated - Offplan'!S65</f>
        <v>0</v>
      </c>
      <c r="T20" s="175">
        <f>'consolidated - Offplan'!T147+'consolidated - Offplan'!T65</f>
        <v>0</v>
      </c>
      <c r="U20" s="175">
        <f>'consolidated - Offplan'!U147+'consolidated - Offplan'!U65</f>
        <v>0</v>
      </c>
      <c r="V20" s="175">
        <f>'consolidated - Offplan'!V147+'consolidated - Offplan'!V65</f>
        <v>0</v>
      </c>
      <c r="W20" s="175">
        <f>'consolidated - Offplan'!W147+'consolidated - Offplan'!W65</f>
        <v>0</v>
      </c>
      <c r="X20" s="175">
        <f>'consolidated - Offplan'!X147+'consolidated - Offplan'!X65</f>
        <v>0</v>
      </c>
      <c r="AB20" s="173"/>
    </row>
    <row r="21" spans="6:28" s="172" customFormat="1" ht="55" x14ac:dyDescent="1.2">
      <c r="F21" s="174"/>
      <c r="G21" s="174"/>
      <c r="H21" s="174"/>
      <c r="I21" s="174"/>
      <c r="J21" s="174"/>
      <c r="K21" s="180"/>
      <c r="L21" s="175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AB21" s="173"/>
    </row>
    <row r="22" spans="6:28" s="172" customFormat="1" ht="55" x14ac:dyDescent="1.2">
      <c r="F22" s="174"/>
      <c r="G22" s="174"/>
      <c r="H22" s="174"/>
      <c r="I22" s="174"/>
      <c r="J22" s="174"/>
      <c r="K22" s="180"/>
      <c r="L22" s="175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AB22" s="173"/>
    </row>
    <row r="23" spans="6:28" s="172" customFormat="1" ht="55" x14ac:dyDescent="1.2">
      <c r="F23" s="174" t="b">
        <f>F20=F13</f>
        <v>1</v>
      </c>
      <c r="G23" s="174" t="b">
        <f>G20=G13</f>
        <v>1</v>
      </c>
      <c r="H23" s="174" t="b">
        <f>H20=H13</f>
        <v>1</v>
      </c>
      <c r="I23" s="174" t="b">
        <f>I20=I13</f>
        <v>1</v>
      </c>
      <c r="J23" s="174" t="b">
        <f>J20=J13</f>
        <v>1</v>
      </c>
      <c r="K23" s="180"/>
      <c r="L23" s="175" t="b">
        <f t="shared" ref="L23:X23" si="2">L20=L13</f>
        <v>1</v>
      </c>
      <c r="M23" s="174" t="b">
        <f t="shared" si="2"/>
        <v>1</v>
      </c>
      <c r="N23" s="174" t="e">
        <f t="shared" si="2"/>
        <v>#REF!</v>
      </c>
      <c r="O23" s="174" t="b">
        <f t="shared" si="2"/>
        <v>1</v>
      </c>
      <c r="P23" s="174" t="b">
        <f t="shared" si="2"/>
        <v>1</v>
      </c>
      <c r="Q23" s="174" t="b">
        <f t="shared" si="2"/>
        <v>1</v>
      </c>
      <c r="R23" s="174" t="b">
        <f t="shared" si="2"/>
        <v>1</v>
      </c>
      <c r="S23" s="174" t="b">
        <f t="shared" si="2"/>
        <v>1</v>
      </c>
      <c r="T23" s="174" t="b">
        <f t="shared" si="2"/>
        <v>1</v>
      </c>
      <c r="U23" s="174" t="b">
        <f t="shared" si="2"/>
        <v>1</v>
      </c>
      <c r="V23" s="174" t="b">
        <f t="shared" si="2"/>
        <v>1</v>
      </c>
      <c r="W23" s="174" t="b">
        <f t="shared" si="2"/>
        <v>1</v>
      </c>
      <c r="X23" s="174" t="b">
        <f t="shared" si="2"/>
        <v>1</v>
      </c>
      <c r="AB23" s="173"/>
    </row>
    <row r="24" spans="6:28" s="172" customFormat="1" ht="55" x14ac:dyDescent="1.2">
      <c r="F24" s="174"/>
      <c r="G24" s="174"/>
      <c r="H24" s="174"/>
      <c r="I24" s="174"/>
      <c r="J24" s="174"/>
      <c r="K24" s="180"/>
      <c r="L24" s="175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AB24" s="173"/>
    </row>
    <row r="25" spans="6:28" s="172" customFormat="1" ht="55" x14ac:dyDescent="1.2">
      <c r="K25" s="179"/>
      <c r="L25" s="178"/>
      <c r="AB25" s="173"/>
    </row>
    <row r="159" spans="7:7" x14ac:dyDescent="0.55000000000000004">
      <c r="G159" s="1">
        <f>SUM(G116,G158)</f>
        <v>0</v>
      </c>
    </row>
  </sheetData>
  <pageMargins left="1.0236220472440944" right="0.59055118110236227" top="0.70866141732283472" bottom="0.55118110236220474" header="0.31496062992125984" footer="0.31496062992125984"/>
  <pageSetup paperSize="8" scale="12" orientation="landscape" r:id="rId1"/>
  <headerFooter alignWithMargins="0">
    <oddHeader>&amp;L&amp;36SOBHA LLC&amp;R&amp;36&amp;D</oddHeader>
    <oddFooter>&amp;L&amp;36COLLECTIONS&amp;R&amp;36 1/1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1F57-E935-4F46-9C4F-6475402E2256}">
  <sheetPr>
    <tabColor theme="7" tint="0.79998168889431442"/>
  </sheetPr>
  <dimension ref="A1:AD156"/>
  <sheetViews>
    <sheetView view="pageBreakPreview" zoomScale="20" zoomScaleNormal="10" zoomScaleSheetLayoutView="20" zoomScalePageLayoutView="40"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ColWidth="9.26953125" defaultRowHeight="23.5" outlineLevelRow="1" x14ac:dyDescent="0.55000000000000004"/>
  <cols>
    <col min="1" max="1" width="23" style="1" bestFit="1" customWidth="1"/>
    <col min="2" max="2" width="9.26953125" style="1"/>
    <col min="3" max="3" width="32.453125" style="1" customWidth="1"/>
    <col min="4" max="4" width="144.7265625" style="1" bestFit="1" customWidth="1"/>
    <col min="5" max="5" width="98.7265625" style="1" customWidth="1"/>
    <col min="6" max="6" width="57.26953125" style="1" bestFit="1" customWidth="1"/>
    <col min="7" max="7" width="98.26953125" style="1" customWidth="1"/>
    <col min="8" max="8" width="97.26953125" style="1" bestFit="1" customWidth="1"/>
    <col min="9" max="10" width="93.26953125" style="1" customWidth="1"/>
    <col min="11" max="11" width="77.7265625" style="177" customWidth="1"/>
    <col min="12" max="12" width="91.54296875" style="3" customWidth="1"/>
    <col min="13" max="13" width="100.81640625" style="1" customWidth="1"/>
    <col min="14" max="14" width="85.7265625" style="1" hidden="1" customWidth="1"/>
    <col min="15" max="15" width="89.26953125" style="1" bestFit="1" customWidth="1"/>
    <col min="16" max="17" width="81.26953125" style="1" customWidth="1"/>
    <col min="18" max="24" width="78.26953125" style="1" customWidth="1"/>
    <col min="25" max="25" width="91.453125" style="1" customWidth="1"/>
    <col min="26" max="26" width="69.26953125" style="1" customWidth="1"/>
    <col min="27" max="27" width="75.7265625" style="1" customWidth="1"/>
    <col min="28" max="28" width="82.54296875" style="142" customWidth="1"/>
    <col min="29" max="48" width="9.26953125" style="1"/>
    <col min="49" max="49" width="30.54296875" style="1" customWidth="1"/>
    <col min="50" max="16384" width="9.26953125" style="1"/>
  </cols>
  <sheetData>
    <row r="1" spans="1:30" x14ac:dyDescent="0.55000000000000004">
      <c r="A1" s="126">
        <v>46143</v>
      </c>
    </row>
    <row r="2" spans="1:30" ht="78" customHeight="1" x14ac:dyDescent="1.55">
      <c r="C2" s="7"/>
      <c r="D2" s="7"/>
      <c r="E2" s="7"/>
      <c r="F2" s="7"/>
      <c r="G2" s="7"/>
      <c r="H2" s="7"/>
      <c r="I2" s="123"/>
      <c r="J2" s="124" t="s">
        <v>231</v>
      </c>
      <c r="K2" s="193"/>
      <c r="L2" s="192"/>
      <c r="M2" s="7"/>
      <c r="N2" s="7"/>
      <c r="O2" s="122" t="s">
        <v>230</v>
      </c>
      <c r="P2" s="121">
        <v>46143</v>
      </c>
      <c r="Q2" s="121"/>
    </row>
    <row r="3" spans="1:30" s="7" customFormat="1" ht="180" customHeight="1" x14ac:dyDescent="1.25">
      <c r="C3" s="119" t="s">
        <v>229</v>
      </c>
      <c r="D3" s="119" t="s">
        <v>228</v>
      </c>
      <c r="E3" s="118" t="s">
        <v>227</v>
      </c>
      <c r="F3" s="117" t="s">
        <v>226</v>
      </c>
      <c r="G3" s="116" t="s">
        <v>225</v>
      </c>
      <c r="H3" s="116" t="s">
        <v>224</v>
      </c>
      <c r="I3" s="116" t="s">
        <v>223</v>
      </c>
      <c r="J3" s="116" t="s">
        <v>222</v>
      </c>
      <c r="K3" s="191" t="s">
        <v>221</v>
      </c>
      <c r="L3" s="190" t="s">
        <v>220</v>
      </c>
      <c r="M3" s="114" t="s">
        <v>219</v>
      </c>
      <c r="N3" s="113">
        <v>2025</v>
      </c>
      <c r="O3" s="113">
        <v>2026</v>
      </c>
      <c r="P3" s="113">
        <v>2027</v>
      </c>
      <c r="Q3" s="113">
        <v>2028</v>
      </c>
      <c r="R3" s="113">
        <v>2029</v>
      </c>
      <c r="S3" s="113">
        <f t="shared" ref="S3:X3" si="0">R3+1</f>
        <v>2030</v>
      </c>
      <c r="T3" s="113">
        <f t="shared" si="0"/>
        <v>2031</v>
      </c>
      <c r="U3" s="113">
        <f t="shared" si="0"/>
        <v>2032</v>
      </c>
      <c r="V3" s="113">
        <f t="shared" si="0"/>
        <v>2033</v>
      </c>
      <c r="W3" s="113">
        <f t="shared" si="0"/>
        <v>2034</v>
      </c>
      <c r="X3" s="113">
        <f t="shared" si="0"/>
        <v>2035</v>
      </c>
      <c r="AB3" s="146"/>
    </row>
    <row r="4" spans="1:30" s="7" customFormat="1" ht="150" customHeight="1" x14ac:dyDescent="1.25">
      <c r="A4" s="4"/>
      <c r="C4" s="77">
        <v>1</v>
      </c>
      <c r="D4" s="76" t="s">
        <v>32</v>
      </c>
      <c r="E4" s="49" t="str">
        <f>_xlfn.XLOOKUP(D4,'consolidated tracker'!D:D,'consolidated tracker'!E:E)</f>
        <v>Pre-Launch</v>
      </c>
      <c r="F4" s="33">
        <f>_xlfn.XLOOKUP(D4,'consolidated tracker'!D:D,'consolidated tracker'!F:F)</f>
        <v>340</v>
      </c>
      <c r="G4" s="33">
        <f>_xlfn.XLOOKUP(D4,'consolidated tracker'!D:D,'consolidated tracker'!G:G)</f>
        <v>603661803.08999979</v>
      </c>
      <c r="H4" s="33">
        <f>_xlfn.XLOOKUP(D4,'consolidated tracker'!D:D,'consolidated tracker'!H:H)</f>
        <v>84138755.400000006</v>
      </c>
      <c r="I4" s="33">
        <f>_xlfn.XLOOKUP(D4,'consolidated tracker'!D:D,'consolidated tracker'!I:I)</f>
        <v>31913755.829999994</v>
      </c>
      <c r="J4" s="33">
        <f>_xlfn.XLOOKUP(D4,'consolidated tracker'!D:D,'consolidated tracker'!J:J)</f>
        <v>1306157.04</v>
      </c>
      <c r="K4" s="164">
        <f>_xlfn.XLOOKUP(D4,'consolidated tracker'!D:D,'consolidated tracker'!K:K)</f>
        <v>0.37929911939248856</v>
      </c>
      <c r="L4" s="188">
        <f>_xlfn.XLOOKUP(D4,'consolidated tracker'!D:D,'consolidated tracker'!L:L)</f>
        <v>52224999.569999978</v>
      </c>
      <c r="M4" s="36">
        <f>_xlfn.XLOOKUP(D4,'consolidated tracker'!D:D,'consolidated tracker'!M:M)</f>
        <v>518216890.64999986</v>
      </c>
      <c r="N4" s="30" t="e">
        <f>_xlfn.XLOOKUP(D4,'consolidated tracker'!D:D,'consolidated tracker'!#REF!)</f>
        <v>#REF!</v>
      </c>
      <c r="O4" s="33">
        <f>_xlfn.XLOOKUP($D4,'consolidated tracker'!$D:$D,'consolidated tracker'!N:N)</f>
        <v>59906159.329999715</v>
      </c>
      <c r="P4" s="40">
        <f>_xlfn.XLOOKUP($D4,'consolidated tracker'!$D:$D,'consolidated tracker'!O:O)</f>
        <v>112780469.37000005</v>
      </c>
      <c r="Q4" s="33">
        <f>_xlfn.XLOOKUP($D4,'consolidated tracker'!$D:$D,'consolidated tracker'!P:P)</f>
        <v>63516263.060000032</v>
      </c>
      <c r="R4" s="33">
        <f>_xlfn.XLOOKUP($D4,'consolidated tracker'!$D:$D,'consolidated tracker'!Q:Q)</f>
        <v>282014059.28000021</v>
      </c>
      <c r="S4" s="33">
        <f>_xlfn.XLOOKUP($D4,'consolidated tracker'!$D:$D,'consolidated tracker'!R:R)</f>
        <v>0</v>
      </c>
      <c r="T4" s="33">
        <f>_xlfn.XLOOKUP($D4,'consolidated tracker'!$D:$D,'consolidated tracker'!S:S)</f>
        <v>0</v>
      </c>
      <c r="U4" s="33">
        <f>_xlfn.XLOOKUP($D4,'consolidated tracker'!$D:$D,'consolidated tracker'!T:T)</f>
        <v>0</v>
      </c>
      <c r="V4" s="33">
        <f>_xlfn.XLOOKUP($D4,'consolidated tracker'!$D:$D,'consolidated tracker'!U:U)</f>
        <v>0</v>
      </c>
      <c r="W4" s="33">
        <f>_xlfn.XLOOKUP($D4,'consolidated tracker'!$D:$D,'consolidated tracker'!V:V)</f>
        <v>0</v>
      </c>
      <c r="X4" s="33">
        <f>_xlfn.XLOOKUP($D4,'consolidated tracker'!$D:$D,'consolidated tracker'!W:W)</f>
        <v>0</v>
      </c>
      <c r="Y4" s="33">
        <f>_xlfn.XLOOKUP(E4,'consolidated tracker'!E:E,'consolidated tracker'!R:R)</f>
        <v>0</v>
      </c>
      <c r="Z4" s="185"/>
      <c r="AA4" s="17"/>
      <c r="AB4" s="17"/>
      <c r="AC4" s="11"/>
      <c r="AD4" s="16"/>
    </row>
    <row r="5" spans="1:30" s="7" customFormat="1" ht="150" hidden="1" customHeight="1" outlineLevel="1" x14ac:dyDescent="1.25">
      <c r="A5" s="4"/>
      <c r="C5" s="77"/>
      <c r="D5" s="104" t="s">
        <v>31</v>
      </c>
      <c r="E5" s="49" t="str">
        <f>_xlfn.XLOOKUP(D5,'consolidated tracker'!D:D,'consolidated tracker'!E:E)</f>
        <v>Pre-Launch</v>
      </c>
      <c r="F5" s="33">
        <f>_xlfn.XLOOKUP(D5,'consolidated tracker'!D:D,'consolidated tracker'!F:F)</f>
        <v>150</v>
      </c>
      <c r="G5" s="33">
        <f>_xlfn.XLOOKUP(D5,'consolidated tracker'!D:D,'consolidated tracker'!G:G)</f>
        <v>260682085.55999997</v>
      </c>
      <c r="H5" s="33">
        <f>_xlfn.XLOOKUP(D5,'consolidated tracker'!D:D,'consolidated tracker'!H:H)</f>
        <v>36644605.539999999</v>
      </c>
      <c r="I5" s="33">
        <f>_xlfn.XLOOKUP(D5,'consolidated tracker'!D:D,'consolidated tracker'!I:I)</f>
        <v>13984786.189999998</v>
      </c>
      <c r="J5" s="33">
        <f>_xlfn.XLOOKUP(D5,'consolidated tracker'!D:D,'consolidated tracker'!J:J)</f>
        <v>736888.9800000001</v>
      </c>
      <c r="K5" s="164">
        <f>_xlfn.XLOOKUP(D5,'consolidated tracker'!D:D,'consolidated tracker'!K:K)</f>
        <v>0.38163287566937193</v>
      </c>
      <c r="L5" s="189">
        <f>_xlfn.XLOOKUP(D5,'consolidated tracker'!D:D,'consolidated tracker'!L:L)</f>
        <v>22659819.349999987</v>
      </c>
      <c r="M5" s="36">
        <f>_xlfn.XLOOKUP(D5,'consolidated tracker'!D:D,'consolidated tracker'!M:M)</f>
        <v>223300591.03999996</v>
      </c>
      <c r="N5" s="30" t="e">
        <f>_xlfn.XLOOKUP(D5,'consolidated tracker'!D:D,'consolidated tracker'!#REF!)</f>
        <v>#REF!</v>
      </c>
      <c r="O5" s="33">
        <f>_xlfn.XLOOKUP($D5,'consolidated tracker'!$D:$D,'consolidated tracker'!N:N)</f>
        <v>25392083.039999783</v>
      </c>
      <c r="P5" s="40">
        <f>_xlfn.XLOOKUP($D5,'consolidated tracker'!$D:$D,'consolidated tracker'!O:O)</f>
        <v>48411995.88000004</v>
      </c>
      <c r="Q5" s="33">
        <f>_xlfn.XLOOKUP($D5,'consolidated tracker'!$D:$D,'consolidated tracker'!P:P)</f>
        <v>28200843.480000015</v>
      </c>
      <c r="R5" s="33">
        <f>_xlfn.XLOOKUP($D5,'consolidated tracker'!$D:$D,'consolidated tracker'!Q:Q)</f>
        <v>121295668.6400001</v>
      </c>
      <c r="S5" s="33">
        <f>_xlfn.XLOOKUP($D5,'consolidated tracker'!$D:$D,'consolidated tracker'!R:R)</f>
        <v>0</v>
      </c>
      <c r="T5" s="33">
        <f>_xlfn.XLOOKUP($D5,'consolidated tracker'!$D:$D,'consolidated tracker'!S:S)</f>
        <v>0</v>
      </c>
      <c r="U5" s="33">
        <f>_xlfn.XLOOKUP($D5,'consolidated tracker'!$D:$D,'consolidated tracker'!T:T)</f>
        <v>0</v>
      </c>
      <c r="V5" s="33">
        <f>_xlfn.XLOOKUP($D5,'consolidated tracker'!$D:$D,'consolidated tracker'!U:U)</f>
        <v>0</v>
      </c>
      <c r="W5" s="33">
        <f>_xlfn.XLOOKUP($D5,'consolidated tracker'!$D:$D,'consolidated tracker'!V:V)</f>
        <v>0</v>
      </c>
      <c r="X5" s="33">
        <f>_xlfn.XLOOKUP($D5,'consolidated tracker'!$D:$D,'consolidated tracker'!W:W)</f>
        <v>0</v>
      </c>
      <c r="Y5" s="33">
        <f>_xlfn.XLOOKUP(E5,'consolidated tracker'!E:E,'consolidated tracker'!R:R)</f>
        <v>0</v>
      </c>
      <c r="Z5" s="185"/>
      <c r="AA5" s="17"/>
      <c r="AB5" s="17"/>
      <c r="AC5" s="11"/>
      <c r="AD5" s="16"/>
    </row>
    <row r="6" spans="1:30" s="7" customFormat="1" ht="150" hidden="1" customHeight="1" outlineLevel="1" x14ac:dyDescent="1.25">
      <c r="A6" s="4"/>
      <c r="C6" s="77"/>
      <c r="D6" s="94" t="s">
        <v>30</v>
      </c>
      <c r="E6" s="49" t="str">
        <f>_xlfn.XLOOKUP(D6,'consolidated tracker'!D:D,'consolidated tracker'!E:E)</f>
        <v>Pre-Launch</v>
      </c>
      <c r="F6" s="33">
        <f>_xlfn.XLOOKUP(D6,'consolidated tracker'!D:D,'consolidated tracker'!F:F)</f>
        <v>124</v>
      </c>
      <c r="G6" s="33">
        <f>_xlfn.XLOOKUP(D6,'consolidated tracker'!D:D,'consolidated tracker'!G:G)</f>
        <v>217336656.76999989</v>
      </c>
      <c r="H6" s="33">
        <f>_xlfn.XLOOKUP(D6,'consolidated tracker'!D:D,'consolidated tracker'!H:H)</f>
        <v>31188493.250000011</v>
      </c>
      <c r="I6" s="33">
        <f>_xlfn.XLOOKUP(D6,'consolidated tracker'!D:D,'consolidated tracker'!I:I)</f>
        <v>14741408.739999998</v>
      </c>
      <c r="J6" s="33">
        <f>_xlfn.XLOOKUP(D6,'consolidated tracker'!D:D,'consolidated tracker'!J:J)</f>
        <v>459695.71999999991</v>
      </c>
      <c r="K6" s="164">
        <f>_xlfn.XLOOKUP(D6,'consolidated tracker'!D:D,'consolidated tracker'!K:K)</f>
        <v>0.47265536753687171</v>
      </c>
      <c r="L6" s="189">
        <f>_xlfn.XLOOKUP(D6,'consolidated tracker'!D:D,'consolidated tracker'!L:L)</f>
        <v>16447084.50999999</v>
      </c>
      <c r="M6" s="36">
        <f>_xlfn.XLOOKUP(D6,'consolidated tracker'!D:D,'consolidated tracker'!M:M)</f>
        <v>185688467.79999989</v>
      </c>
      <c r="N6" s="30" t="e">
        <f>_xlfn.XLOOKUP(D6,'consolidated tracker'!D:D,'consolidated tracker'!#REF!)</f>
        <v>#REF!</v>
      </c>
      <c r="O6" s="33">
        <f>_xlfn.XLOOKUP($D6,'consolidated tracker'!$D:$D,'consolidated tracker'!N:N)</f>
        <v>20847367.060000006</v>
      </c>
      <c r="P6" s="40">
        <f>_xlfn.XLOOKUP($D6,'consolidated tracker'!$D:$D,'consolidated tracker'!O:O)</f>
        <v>40756244.140000008</v>
      </c>
      <c r="Q6" s="33">
        <f>_xlfn.XLOOKUP($D6,'consolidated tracker'!$D:$D,'consolidated tracker'!P:P)</f>
        <v>22315573.780000001</v>
      </c>
      <c r="R6" s="33">
        <f>_xlfn.XLOOKUP($D6,'consolidated tracker'!$D:$D,'consolidated tracker'!Q:Q)</f>
        <v>101769343.2100001</v>
      </c>
      <c r="S6" s="33">
        <f>_xlfn.XLOOKUP($D6,'consolidated tracker'!$D:$D,'consolidated tracker'!R:R)</f>
        <v>0</v>
      </c>
      <c r="T6" s="33">
        <f>_xlfn.XLOOKUP($D6,'consolidated tracker'!$D:$D,'consolidated tracker'!S:S)</f>
        <v>0</v>
      </c>
      <c r="U6" s="33">
        <f>_xlfn.XLOOKUP($D6,'consolidated tracker'!$D:$D,'consolidated tracker'!T:T)</f>
        <v>0</v>
      </c>
      <c r="V6" s="33">
        <f>_xlfn.XLOOKUP($D6,'consolidated tracker'!$D:$D,'consolidated tracker'!U:U)</f>
        <v>0</v>
      </c>
      <c r="W6" s="33">
        <f>_xlfn.XLOOKUP($D6,'consolidated tracker'!$D:$D,'consolidated tracker'!V:V)</f>
        <v>0</v>
      </c>
      <c r="X6" s="33">
        <f>_xlfn.XLOOKUP($D6,'consolidated tracker'!$D:$D,'consolidated tracker'!W:W)</f>
        <v>0</v>
      </c>
      <c r="Y6" s="33">
        <f>_xlfn.XLOOKUP(E6,'consolidated tracker'!E:E,'consolidated tracker'!R:R)</f>
        <v>0</v>
      </c>
      <c r="Z6" s="185"/>
      <c r="AA6" s="17"/>
      <c r="AB6" s="17"/>
      <c r="AC6" s="11"/>
      <c r="AD6" s="16"/>
    </row>
    <row r="7" spans="1:30" s="7" customFormat="1" ht="150" hidden="1" customHeight="1" outlineLevel="1" x14ac:dyDescent="1.25">
      <c r="A7" s="4"/>
      <c r="C7" s="77"/>
      <c r="D7" s="94" t="s">
        <v>29</v>
      </c>
      <c r="E7" s="49" t="str">
        <f>_xlfn.XLOOKUP(D7,'consolidated tracker'!D:D,'consolidated tracker'!E:E)</f>
        <v>Pre-Launch</v>
      </c>
      <c r="F7" s="33">
        <f>_xlfn.XLOOKUP(D7,'consolidated tracker'!D:D,'consolidated tracker'!F:F)</f>
        <v>66</v>
      </c>
      <c r="G7" s="33">
        <f>_xlfn.XLOOKUP(D7,'consolidated tracker'!D:D,'consolidated tracker'!G:G)</f>
        <v>125643060.75999998</v>
      </c>
      <c r="H7" s="33">
        <f>_xlfn.XLOOKUP(D7,'consolidated tracker'!D:D,'consolidated tracker'!H:H)</f>
        <v>16305656.610000007</v>
      </c>
      <c r="I7" s="33">
        <f>_xlfn.XLOOKUP(D7,'consolidated tracker'!D:D,'consolidated tracker'!I:I)</f>
        <v>3187560.9</v>
      </c>
      <c r="J7" s="33">
        <f>_xlfn.XLOOKUP(D7,'consolidated tracker'!D:D,'consolidated tracker'!J:J)</f>
        <v>109572.34</v>
      </c>
      <c r="K7" s="164">
        <f>_xlfn.XLOOKUP(D7,'consolidated tracker'!D:D,'consolidated tracker'!K:K)</f>
        <v>0.19548804296817573</v>
      </c>
      <c r="L7" s="189">
        <f>_xlfn.XLOOKUP(D7,'consolidated tracker'!D:D,'consolidated tracker'!L:L)</f>
        <v>13118095.710000001</v>
      </c>
      <c r="M7" s="36">
        <f>_xlfn.XLOOKUP(D7,'consolidated tracker'!D:D,'consolidated tracker'!M:M)</f>
        <v>109227831.80999997</v>
      </c>
      <c r="N7" s="30" t="e">
        <f>_xlfn.XLOOKUP(D7,'consolidated tracker'!D:D,'consolidated tracker'!#REF!)</f>
        <v>#REF!</v>
      </c>
      <c r="O7" s="33">
        <f>_xlfn.XLOOKUP($D7,'consolidated tracker'!$D:$D,'consolidated tracker'!N:N)</f>
        <v>13666709.22999993</v>
      </c>
      <c r="P7" s="40">
        <f>_xlfn.XLOOKUP($D7,'consolidated tracker'!$D:$D,'consolidated tracker'!O:O)</f>
        <v>23612229.350000009</v>
      </c>
      <c r="Q7" s="33">
        <f>_xlfn.XLOOKUP($D7,'consolidated tracker'!$D:$D,'consolidated tracker'!P:P)</f>
        <v>12999845.800000008</v>
      </c>
      <c r="R7" s="33">
        <f>_xlfn.XLOOKUP($D7,'consolidated tracker'!$D:$D,'consolidated tracker'!Q:Q)</f>
        <v>58949047.430000022</v>
      </c>
      <c r="S7" s="33">
        <f>_xlfn.XLOOKUP($D7,'consolidated tracker'!$D:$D,'consolidated tracker'!R:R)</f>
        <v>0</v>
      </c>
      <c r="T7" s="33">
        <f>_xlfn.XLOOKUP($D7,'consolidated tracker'!$D:$D,'consolidated tracker'!S:S)</f>
        <v>0</v>
      </c>
      <c r="U7" s="33">
        <f>_xlfn.XLOOKUP($D7,'consolidated tracker'!$D:$D,'consolidated tracker'!T:T)</f>
        <v>0</v>
      </c>
      <c r="V7" s="33">
        <f>_xlfn.XLOOKUP($D7,'consolidated tracker'!$D:$D,'consolidated tracker'!U:U)</f>
        <v>0</v>
      </c>
      <c r="W7" s="33">
        <f>_xlfn.XLOOKUP($D7,'consolidated tracker'!$D:$D,'consolidated tracker'!V:V)</f>
        <v>0</v>
      </c>
      <c r="X7" s="33">
        <f>_xlfn.XLOOKUP($D7,'consolidated tracker'!$D:$D,'consolidated tracker'!W:W)</f>
        <v>0</v>
      </c>
      <c r="Y7" s="33">
        <f>_xlfn.XLOOKUP(E7,'consolidated tracker'!E:E,'consolidated tracker'!R:R)</f>
        <v>0</v>
      </c>
      <c r="Z7" s="185"/>
      <c r="AA7" s="17"/>
      <c r="AB7" s="17"/>
      <c r="AC7" s="11"/>
      <c r="AD7" s="16"/>
    </row>
    <row r="8" spans="1:30" s="7" customFormat="1" ht="150" customHeight="1" collapsed="1" x14ac:dyDescent="1.25">
      <c r="C8" s="77">
        <f>C4+1</f>
        <v>2</v>
      </c>
      <c r="D8" s="195" t="s">
        <v>28</v>
      </c>
      <c r="E8" s="49" t="str">
        <f>_xlfn.XLOOKUP(D8,'consolidated tracker'!D:D,'consolidated tracker'!E:E)</f>
        <v>Pre-Launch</v>
      </c>
      <c r="F8" s="33">
        <f>_xlfn.XLOOKUP(D8,'consolidated tracker'!D:D,'consolidated tracker'!F:F)</f>
        <v>40</v>
      </c>
      <c r="G8" s="33">
        <f>_xlfn.XLOOKUP(D8,'consolidated tracker'!D:D,'consolidated tracker'!G:G)</f>
        <v>230752586.9199999</v>
      </c>
      <c r="H8" s="33">
        <f>_xlfn.XLOOKUP(D8,'consolidated tracker'!D:D,'consolidated tracker'!H:H)</f>
        <v>31239338.439999994</v>
      </c>
      <c r="I8" s="33">
        <f>_xlfn.XLOOKUP(D8,'consolidated tracker'!D:D,'consolidated tracker'!I:I)</f>
        <v>15079433.340000004</v>
      </c>
      <c r="J8" s="33">
        <f>_xlfn.XLOOKUP(D8,'consolidated tracker'!D:D,'consolidated tracker'!J:J)</f>
        <v>1142253.1499999999</v>
      </c>
      <c r="K8" s="164">
        <f>_xlfn.XLOOKUP(D8,'consolidated tracker'!D:D,'consolidated tracker'!K:K)</f>
        <v>0.48270655183567346</v>
      </c>
      <c r="L8" s="188">
        <f>_xlfn.XLOOKUP(D8,'consolidated tracker'!D:D,'consolidated tracker'!L:L)</f>
        <v>16159905.100000001</v>
      </c>
      <c r="M8" s="30">
        <f>_xlfn.XLOOKUP(D8,'consolidated tracker'!D:D,'consolidated tracker'!M:M)</f>
        <v>198370995.32999989</v>
      </c>
      <c r="N8" s="33" t="e">
        <f>_xlfn.XLOOKUP(D8,'consolidated tracker'!D:D,'consolidated tracker'!#REF!)</f>
        <v>#REF!</v>
      </c>
      <c r="O8" s="33">
        <f>_xlfn.XLOOKUP($D8,'consolidated tracker'!$D:$D,'consolidated tracker'!N:N)</f>
        <v>22974304.96999988</v>
      </c>
      <c r="P8" s="33">
        <f>_xlfn.XLOOKUP($D8,'consolidated tracker'!$D:$D,'consolidated tracker'!O:O)</f>
        <v>42986914.43</v>
      </c>
      <c r="Q8" s="33">
        <f>_xlfn.XLOOKUP($D8,'consolidated tracker'!$D:$D,'consolidated tracker'!P:P)</f>
        <v>25781797.219999999</v>
      </c>
      <c r="R8" s="33">
        <f>_xlfn.XLOOKUP($D8,'consolidated tracker'!$D:$D,'consolidated tracker'!Q:Q)</f>
        <v>106627978.70999999</v>
      </c>
      <c r="S8" s="33">
        <f>_xlfn.XLOOKUP($D8,'consolidated tracker'!$D:$D,'consolidated tracker'!R:R)</f>
        <v>0</v>
      </c>
      <c r="T8" s="33">
        <f>_xlfn.XLOOKUP($D8,'consolidated tracker'!$D:$D,'consolidated tracker'!S:S)</f>
        <v>0</v>
      </c>
      <c r="U8" s="33">
        <f>_xlfn.XLOOKUP($D8,'consolidated tracker'!$D:$D,'consolidated tracker'!T:T)</f>
        <v>0</v>
      </c>
      <c r="V8" s="33">
        <f>_xlfn.XLOOKUP($D8,'consolidated tracker'!$D:$D,'consolidated tracker'!U:U)</f>
        <v>0</v>
      </c>
      <c r="W8" s="33">
        <f>_xlfn.XLOOKUP($D8,'consolidated tracker'!$D:$D,'consolidated tracker'!V:V)</f>
        <v>0</v>
      </c>
      <c r="X8" s="33">
        <f>_xlfn.XLOOKUP($D8,'consolidated tracker'!$D:$D,'consolidated tracker'!W:W)</f>
        <v>0</v>
      </c>
      <c r="Y8" s="185"/>
      <c r="AB8" s="146"/>
    </row>
    <row r="9" spans="1:30" s="7" customFormat="1" ht="150" customHeight="1" x14ac:dyDescent="1.25">
      <c r="C9" s="77">
        <v>3</v>
      </c>
      <c r="D9" s="194" t="s">
        <v>27</v>
      </c>
      <c r="E9" s="49" t="str">
        <f>_xlfn.XLOOKUP(D9,'consolidated tracker'!D:D,'consolidated tracker'!E:E)</f>
        <v>Pre-Launch</v>
      </c>
      <c r="F9" s="33">
        <f>_xlfn.XLOOKUP(D9,'consolidated tracker'!D:D,'consolidated tracker'!F:F)</f>
        <v>15</v>
      </c>
      <c r="G9" s="33">
        <f>_xlfn.XLOOKUP(D9,'consolidated tracker'!D:D,'consolidated tracker'!G:G)</f>
        <v>157448458.45999998</v>
      </c>
      <c r="H9" s="33">
        <f>_xlfn.XLOOKUP(D9,'consolidated tracker'!D:D,'consolidated tracker'!H:H)</f>
        <v>18031500.77</v>
      </c>
      <c r="I9" s="33">
        <f>_xlfn.XLOOKUP(D9,'consolidated tracker'!D:D,'consolidated tracker'!I:I)</f>
        <v>6411356.21</v>
      </c>
      <c r="J9" s="33">
        <f>_xlfn.XLOOKUP(D9,'consolidated tracker'!D:D,'consolidated tracker'!J:J)</f>
        <v>1.79</v>
      </c>
      <c r="K9" s="164">
        <f>_xlfn.XLOOKUP(D9,'consolidated tracker'!D:D,'consolidated tracker'!K:K)</f>
        <v>0.35556420354466145</v>
      </c>
      <c r="L9" s="188">
        <f>_xlfn.XLOOKUP(D9,'consolidated tracker'!D:D,'consolidated tracker'!L:L)</f>
        <v>11620144.559999999</v>
      </c>
      <c r="M9" s="30">
        <f>_xlfn.XLOOKUP(D9,'consolidated tracker'!D:D,'consolidated tracker'!M:M)</f>
        <v>139416955.89999998</v>
      </c>
      <c r="N9" s="33" t="e">
        <f>_xlfn.XLOOKUP(D9,'consolidated tracker'!D:D,'consolidated tracker'!#REF!)</f>
        <v>#REF!</v>
      </c>
      <c r="O9" s="33">
        <f>_xlfn.XLOOKUP($D9,'consolidated tracker'!$D:$D,'consolidated tracker'!N:N)</f>
        <v>15492173.589999974</v>
      </c>
      <c r="P9" s="33">
        <f>_xlfn.XLOOKUP($D9,'consolidated tracker'!$D:$D,'consolidated tracker'!O:O)</f>
        <v>25171852.420000002</v>
      </c>
      <c r="Q9" s="33">
        <f>_xlfn.XLOOKUP($D9,'consolidated tracker'!$D:$D,'consolidated tracker'!P:P)</f>
        <v>23141868.860000003</v>
      </c>
      <c r="R9" s="33">
        <f>_xlfn.XLOOKUP($D9,'consolidated tracker'!$D:$D,'consolidated tracker'!Q:Q)</f>
        <v>75611061.030000001</v>
      </c>
      <c r="S9" s="33">
        <f>_xlfn.XLOOKUP($D9,'consolidated tracker'!$D:$D,'consolidated tracker'!R:R)</f>
        <v>0</v>
      </c>
      <c r="T9" s="33">
        <f>_xlfn.XLOOKUP($D9,'consolidated tracker'!$D:$D,'consolidated tracker'!S:S)</f>
        <v>0</v>
      </c>
      <c r="U9" s="33">
        <f>_xlfn.XLOOKUP($D9,'consolidated tracker'!$D:$D,'consolidated tracker'!T:T)</f>
        <v>0</v>
      </c>
      <c r="V9" s="33">
        <f>_xlfn.XLOOKUP($D9,'consolidated tracker'!$D:$D,'consolidated tracker'!U:U)</f>
        <v>0</v>
      </c>
      <c r="W9" s="33">
        <f>_xlfn.XLOOKUP($D9,'consolidated tracker'!$D:$D,'consolidated tracker'!V:V)</f>
        <v>0</v>
      </c>
      <c r="X9" s="33">
        <f>_xlfn.XLOOKUP($D9,'consolidated tracker'!$D:$D,'consolidated tracker'!W:W)</f>
        <v>0</v>
      </c>
      <c r="Y9" s="185"/>
      <c r="AB9" s="146"/>
    </row>
    <row r="10" spans="1:30" s="7" customFormat="1" ht="180" customHeight="1" x14ac:dyDescent="1.25">
      <c r="C10" s="75"/>
      <c r="D10" s="75" t="s">
        <v>15</v>
      </c>
      <c r="E10" s="75"/>
      <c r="F10" s="159">
        <f>SUM(F8,F4,F9)</f>
        <v>395</v>
      </c>
      <c r="G10" s="159">
        <f>SUM(G8,G4,G9)</f>
        <v>991862848.46999979</v>
      </c>
      <c r="H10" s="159">
        <f>SUM(H8,H4,H9)</f>
        <v>133409594.61</v>
      </c>
      <c r="I10" s="159">
        <f>SUM(I8,I4,I9)</f>
        <v>53404545.380000003</v>
      </c>
      <c r="J10" s="159">
        <f>SUM(J8,J4,J9)</f>
        <v>2448411.98</v>
      </c>
      <c r="K10" s="187">
        <f>I10/H10</f>
        <v>0.40030513199683282</v>
      </c>
      <c r="L10" s="186">
        <f t="shared" ref="L10:X10" si="1">SUM(L8,L4,L9)</f>
        <v>80005049.229999989</v>
      </c>
      <c r="M10" s="156">
        <f t="shared" si="1"/>
        <v>856004841.87999976</v>
      </c>
      <c r="N10" s="155" t="e">
        <f t="shared" si="1"/>
        <v>#REF!</v>
      </c>
      <c r="O10" s="155">
        <f t="shared" si="1"/>
        <v>98372637.889999568</v>
      </c>
      <c r="P10" s="155">
        <f t="shared" si="1"/>
        <v>180939236.22000003</v>
      </c>
      <c r="Q10" s="155">
        <f t="shared" si="1"/>
        <v>112439929.14000003</v>
      </c>
      <c r="R10" s="155">
        <f t="shared" si="1"/>
        <v>464253099.02000022</v>
      </c>
      <c r="S10" s="155">
        <f t="shared" si="1"/>
        <v>0</v>
      </c>
      <c r="T10" s="155">
        <f t="shared" si="1"/>
        <v>0</v>
      </c>
      <c r="U10" s="155">
        <f t="shared" si="1"/>
        <v>0</v>
      </c>
      <c r="V10" s="155">
        <f t="shared" si="1"/>
        <v>0</v>
      </c>
      <c r="W10" s="155">
        <f t="shared" si="1"/>
        <v>0</v>
      </c>
      <c r="X10" s="155">
        <f t="shared" si="1"/>
        <v>0</v>
      </c>
      <c r="Y10" s="185"/>
      <c r="AB10" s="146"/>
    </row>
    <row r="11" spans="1:30" s="7" customFormat="1" ht="99" customHeight="1" x14ac:dyDescent="1.25">
      <c r="C11" s="154"/>
      <c r="D11" s="67"/>
      <c r="E11" s="66"/>
      <c r="F11" s="63"/>
      <c r="G11" s="63"/>
      <c r="H11" s="63"/>
      <c r="I11" s="63"/>
      <c r="J11" s="63"/>
      <c r="K11" s="184"/>
      <c r="L11" s="183"/>
      <c r="M11" s="64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AB11" s="146"/>
    </row>
    <row r="16" spans="1:30" x14ac:dyDescent="0.55000000000000004">
      <c r="F16" s="176"/>
      <c r="G16" s="176"/>
      <c r="H16" s="176"/>
      <c r="I16" s="176"/>
      <c r="J16" s="176"/>
      <c r="K16" s="182"/>
      <c r="L16" s="181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</row>
    <row r="17" spans="6:28" s="172" customFormat="1" ht="55" x14ac:dyDescent="1.2">
      <c r="F17" s="175">
        <f>'consolidated tracker'!F193+'consolidated tracker'!F197+'consolidated tracker'!F198</f>
        <v>395</v>
      </c>
      <c r="G17" s="175">
        <f>'consolidated tracker'!G193+'consolidated tracker'!G197+'consolidated tracker'!G198</f>
        <v>991862848.46999979</v>
      </c>
      <c r="H17" s="175">
        <f>'consolidated tracker'!H193+'consolidated tracker'!H197+'consolidated tracker'!H198</f>
        <v>133409594.61</v>
      </c>
      <c r="I17" s="175">
        <f>'consolidated tracker'!I193+'consolidated tracker'!I197+'consolidated tracker'!I198</f>
        <v>53404545.380000003</v>
      </c>
      <c r="J17" s="175">
        <f>'consolidated tracker'!J193+'consolidated tracker'!J197+'consolidated tracker'!J198</f>
        <v>2448411.98</v>
      </c>
      <c r="K17" s="180">
        <f>I17/H17</f>
        <v>0.40030513199683282</v>
      </c>
      <c r="L17" s="175">
        <f>'consolidated tracker'!L193+'consolidated tracker'!L197+'consolidated tracker'!L198</f>
        <v>80005049.229999989</v>
      </c>
      <c r="M17" s="175">
        <f>'consolidated tracker'!M193+'consolidated tracker'!M197+'consolidated tracker'!M198</f>
        <v>856004841.87999976</v>
      </c>
      <c r="N17" s="175">
        <f>'consolidated tracker'!N193+'consolidated tracker'!N197+'consolidated tracker'!N198</f>
        <v>98372637.889999568</v>
      </c>
      <c r="O17" s="175">
        <f>'consolidated tracker'!O193+'consolidated tracker'!O197+'consolidated tracker'!O198</f>
        <v>180939236.22000003</v>
      </c>
      <c r="P17" s="175">
        <f>'consolidated tracker'!P193+'consolidated tracker'!P197+'consolidated tracker'!P198</f>
        <v>112439929.14000003</v>
      </c>
      <c r="Q17" s="175">
        <f>'consolidated tracker'!Q193+'consolidated tracker'!Q197+'consolidated tracker'!Q198</f>
        <v>464253099.02000022</v>
      </c>
      <c r="R17" s="175">
        <f>'consolidated tracker'!R193+'consolidated tracker'!R197+'consolidated tracker'!R198</f>
        <v>0</v>
      </c>
      <c r="S17" s="175">
        <f>'consolidated tracker'!S193+'consolidated tracker'!S197+'consolidated tracker'!S198</f>
        <v>0</v>
      </c>
      <c r="T17" s="175">
        <f>'consolidated tracker'!T193+'consolidated tracker'!T197+'consolidated tracker'!T198</f>
        <v>0</v>
      </c>
      <c r="U17" s="175">
        <f>'consolidated tracker'!U193+'consolidated tracker'!U197+'consolidated tracker'!U198</f>
        <v>0</v>
      </c>
      <c r="V17" s="175">
        <f>'consolidated tracker'!V193+'consolidated tracker'!V197+'consolidated tracker'!V198</f>
        <v>0</v>
      </c>
      <c r="W17" s="175">
        <f>'consolidated tracker'!W193+'consolidated tracker'!W197+'consolidated tracker'!W198</f>
        <v>0</v>
      </c>
      <c r="X17" s="175">
        <f>'consolidated tracker'!X193+'consolidated tracker'!X197+'consolidated tracker'!X198</f>
        <v>0</v>
      </c>
      <c r="AB17" s="173"/>
    </row>
    <row r="18" spans="6:28" s="172" customFormat="1" ht="55" x14ac:dyDescent="1.2">
      <c r="F18" s="174"/>
      <c r="G18" s="174"/>
      <c r="H18" s="174"/>
      <c r="I18" s="174"/>
      <c r="J18" s="174"/>
      <c r="K18" s="180"/>
      <c r="L18" s="175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AB18" s="173"/>
    </row>
    <row r="19" spans="6:28" s="172" customFormat="1" ht="55" x14ac:dyDescent="1.2">
      <c r="F19" s="174"/>
      <c r="G19" s="174"/>
      <c r="H19" s="174"/>
      <c r="I19" s="174"/>
      <c r="J19" s="174"/>
      <c r="K19" s="180"/>
      <c r="L19" s="175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AB19" s="173"/>
    </row>
    <row r="20" spans="6:28" s="172" customFormat="1" ht="55" x14ac:dyDescent="1.2">
      <c r="F20" s="174" t="b">
        <f>F17=F10</f>
        <v>1</v>
      </c>
      <c r="G20" s="174" t="b">
        <f>G17=G10</f>
        <v>1</v>
      </c>
      <c r="H20" s="174" t="b">
        <f>H17=H10</f>
        <v>1</v>
      </c>
      <c r="I20" s="174" t="b">
        <f>I17=I10</f>
        <v>1</v>
      </c>
      <c r="J20" s="174" t="b">
        <f>J17=J10</f>
        <v>1</v>
      </c>
      <c r="K20" s="180"/>
      <c r="L20" s="175" t="b">
        <f t="shared" ref="L20:X20" si="2">L17=L10</f>
        <v>1</v>
      </c>
      <c r="M20" s="174" t="b">
        <f t="shared" si="2"/>
        <v>1</v>
      </c>
      <c r="N20" s="174" t="e">
        <f t="shared" si="2"/>
        <v>#REF!</v>
      </c>
      <c r="O20" s="174" t="b">
        <f t="shared" si="2"/>
        <v>0</v>
      </c>
      <c r="P20" s="174" t="b">
        <f t="shared" si="2"/>
        <v>0</v>
      </c>
      <c r="Q20" s="174" t="b">
        <f t="shared" si="2"/>
        <v>0</v>
      </c>
      <c r="R20" s="174" t="b">
        <f t="shared" si="2"/>
        <v>0</v>
      </c>
      <c r="S20" s="174" t="b">
        <f t="shared" si="2"/>
        <v>1</v>
      </c>
      <c r="T20" s="174" t="b">
        <f t="shared" si="2"/>
        <v>1</v>
      </c>
      <c r="U20" s="174" t="b">
        <f t="shared" si="2"/>
        <v>1</v>
      </c>
      <c r="V20" s="174" t="b">
        <f t="shared" si="2"/>
        <v>1</v>
      </c>
      <c r="W20" s="174" t="b">
        <f t="shared" si="2"/>
        <v>1</v>
      </c>
      <c r="X20" s="174" t="b">
        <f t="shared" si="2"/>
        <v>1</v>
      </c>
      <c r="AB20" s="173"/>
    </row>
    <row r="21" spans="6:28" s="172" customFormat="1" ht="55" x14ac:dyDescent="1.2">
      <c r="F21" s="174"/>
      <c r="G21" s="174"/>
      <c r="H21" s="174"/>
      <c r="I21" s="174"/>
      <c r="J21" s="174"/>
      <c r="K21" s="180"/>
      <c r="L21" s="175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AB21" s="173"/>
    </row>
    <row r="22" spans="6:28" s="172" customFormat="1" ht="55" x14ac:dyDescent="1.2">
      <c r="K22" s="179"/>
      <c r="L22" s="178"/>
      <c r="AB22" s="173"/>
    </row>
    <row r="156" spans="7:7" x14ac:dyDescent="0.55000000000000004">
      <c r="G156" s="1">
        <f>SUM(G113,G155)</f>
        <v>0</v>
      </c>
    </row>
  </sheetData>
  <pageMargins left="1.0236220472440944" right="0.59055118110236227" top="0.70866141732283472" bottom="0.55118110236220474" header="0.31496062992125984" footer="0.31496062992125984"/>
  <pageSetup paperSize="8" scale="12" orientation="landscape" r:id="rId1"/>
  <headerFooter alignWithMargins="0">
    <oddHeader>&amp;L&amp;36SOBHA LLC&amp;R&amp;36&amp;D</oddHeader>
    <oddFooter>&amp;L&amp;36COLLECTIONS&amp;R&amp;36 1/1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9ED3-E8ED-439F-B6F0-91E214E34B75}">
  <sheetPr>
    <pageSetUpPr fitToPage="1"/>
  </sheetPr>
  <dimension ref="B3:T208"/>
  <sheetViews>
    <sheetView view="pageBreakPreview" topLeftCell="A50" zoomScale="60" zoomScaleNormal="100" workbookViewId="0"/>
  </sheetViews>
  <sheetFormatPr defaultRowHeight="14.5" outlineLevelRow="2" x14ac:dyDescent="0.35"/>
  <cols>
    <col min="2" max="2" width="28.26953125" bestFit="1" customWidth="1"/>
    <col min="3" max="3" width="3.26953125" bestFit="1" customWidth="1"/>
    <col min="4" max="4" width="41.26953125" customWidth="1"/>
    <col min="5" max="6" width="21.453125" style="196" bestFit="1" customWidth="1"/>
    <col min="7" max="7" width="26.7265625" style="196" bestFit="1" customWidth="1"/>
    <col min="8" max="8" width="32.1796875" style="196" bestFit="1" customWidth="1"/>
    <col min="9" max="9" width="18.453125" style="196" bestFit="1" customWidth="1"/>
    <col min="10" max="11" width="18" style="196" bestFit="1" customWidth="1"/>
    <col min="12" max="12" width="16.7265625" style="196" bestFit="1" customWidth="1"/>
    <col min="13" max="13" width="18" style="196" bestFit="1" customWidth="1"/>
    <col min="14" max="14" width="18.453125" style="196" bestFit="1" customWidth="1"/>
    <col min="15" max="15" width="20" style="196" bestFit="1" customWidth="1"/>
    <col min="16" max="16" width="18.26953125" style="196" bestFit="1" customWidth="1"/>
    <col min="17" max="17" width="5.7265625" style="196" bestFit="1" customWidth="1"/>
    <col min="18" max="18" width="15.453125" bestFit="1" customWidth="1"/>
    <col min="19" max="19" width="18" bestFit="1" customWidth="1"/>
    <col min="20" max="20" width="2.26953125" bestFit="1" customWidth="1"/>
  </cols>
  <sheetData>
    <row r="3" spans="2:20" ht="15" thickBot="1" x14ac:dyDescent="0.4">
      <c r="B3" s="288">
        <v>46143</v>
      </c>
      <c r="Q3" s="287">
        <f>COUNTIFS(E8:P204,"&lt;0")</f>
        <v>0</v>
      </c>
    </row>
    <row r="4" spans="2:20" x14ac:dyDescent="0.35">
      <c r="B4" s="466" t="s">
        <v>276</v>
      </c>
      <c r="C4" s="467"/>
      <c r="D4" s="470" t="s">
        <v>275</v>
      </c>
      <c r="E4" s="472" t="s">
        <v>274</v>
      </c>
      <c r="F4" s="474" t="s">
        <v>273</v>
      </c>
      <c r="G4" s="476" t="s">
        <v>272</v>
      </c>
      <c r="H4" s="472"/>
      <c r="I4" s="478" t="s">
        <v>271</v>
      </c>
      <c r="J4" s="479"/>
      <c r="K4" s="479"/>
      <c r="L4" s="479"/>
      <c r="M4" s="479"/>
      <c r="N4" s="479"/>
      <c r="O4" s="479"/>
      <c r="P4" s="480"/>
      <c r="R4" s="196">
        <v>10000</v>
      </c>
      <c r="T4">
        <f>COUNTIFS(E8:P204,"&lt;0")</f>
        <v>0</v>
      </c>
    </row>
    <row r="5" spans="2:20" ht="15" thickBot="1" x14ac:dyDescent="0.4">
      <c r="B5" s="468"/>
      <c r="C5" s="469"/>
      <c r="D5" s="471"/>
      <c r="E5" s="473"/>
      <c r="F5" s="475"/>
      <c r="G5" s="477"/>
      <c r="H5" s="473"/>
      <c r="I5" s="481"/>
      <c r="J5" s="482"/>
      <c r="K5" s="482"/>
      <c r="L5" s="482"/>
      <c r="M5" s="482"/>
      <c r="N5" s="482"/>
      <c r="O5" s="482"/>
      <c r="P5" s="483"/>
    </row>
    <row r="6" spans="2:20" ht="28.5" x14ac:dyDescent="0.35">
      <c r="B6" s="286"/>
      <c r="C6" s="285" t="s">
        <v>270</v>
      </c>
      <c r="D6" s="282"/>
      <c r="E6" s="284"/>
      <c r="F6" s="266"/>
      <c r="G6" s="283" t="s">
        <v>223</v>
      </c>
      <c r="H6" s="282" t="s">
        <v>269</v>
      </c>
      <c r="I6" s="281" t="s">
        <v>268</v>
      </c>
      <c r="J6" s="280" t="s">
        <v>267</v>
      </c>
      <c r="K6" s="280" t="s">
        <v>266</v>
      </c>
      <c r="L6" s="280" t="s">
        <v>265</v>
      </c>
      <c r="M6" s="280" t="s">
        <v>264</v>
      </c>
      <c r="N6" s="279" t="s">
        <v>263</v>
      </c>
      <c r="O6" s="278" t="s">
        <v>4</v>
      </c>
      <c r="P6" s="277" t="s">
        <v>262</v>
      </c>
    </row>
    <row r="7" spans="2:20" outlineLevel="1" x14ac:dyDescent="0.35">
      <c r="B7" s="486" t="s">
        <v>261</v>
      </c>
      <c r="C7" s="489" t="s">
        <v>260</v>
      </c>
      <c r="D7" s="272"/>
      <c r="E7" s="219"/>
      <c r="F7" s="245"/>
      <c r="G7" s="219"/>
      <c r="H7" s="245"/>
      <c r="I7" s="217"/>
      <c r="J7" s="217"/>
      <c r="K7" s="217"/>
      <c r="L7" s="217"/>
      <c r="M7" s="217"/>
      <c r="N7" s="217"/>
      <c r="O7" s="271"/>
      <c r="P7" s="276"/>
      <c r="R7" s="197"/>
      <c r="T7" s="197"/>
    </row>
    <row r="8" spans="2:20" outlineLevel="1" x14ac:dyDescent="0.35">
      <c r="B8" s="487"/>
      <c r="C8" s="490"/>
      <c r="D8" s="272" t="s">
        <v>218</v>
      </c>
      <c r="E8" s="219">
        <f t="shared" ref="E8:P8" si="0">SUM(E9:E14)</f>
        <v>1560008516.7500002</v>
      </c>
      <c r="F8" s="245">
        <f t="shared" si="0"/>
        <v>1560555223.2799993</v>
      </c>
      <c r="G8" s="219">
        <f t="shared" si="0"/>
        <v>1557023969.95</v>
      </c>
      <c r="H8" s="245">
        <f t="shared" si="0"/>
        <v>610608.84</v>
      </c>
      <c r="I8" s="217">
        <f t="shared" si="0"/>
        <v>1492.93</v>
      </c>
      <c r="J8" s="217">
        <f t="shared" si="0"/>
        <v>0</v>
      </c>
      <c r="K8" s="217">
        <f t="shared" si="0"/>
        <v>200000</v>
      </c>
      <c r="L8" s="217">
        <f t="shared" si="0"/>
        <v>0</v>
      </c>
      <c r="M8" s="217">
        <f t="shared" si="0"/>
        <v>0</v>
      </c>
      <c r="N8" s="217">
        <f t="shared" si="0"/>
        <v>3329760.25</v>
      </c>
      <c r="O8" s="271">
        <f t="shared" si="0"/>
        <v>3531253.1799999997</v>
      </c>
      <c r="P8" s="276">
        <f t="shared" si="0"/>
        <v>17</v>
      </c>
      <c r="R8" s="197"/>
      <c r="S8" s="197"/>
      <c r="T8" s="197"/>
    </row>
    <row r="9" spans="2:20" hidden="1" outlineLevel="2" x14ac:dyDescent="0.35">
      <c r="B9" s="487"/>
      <c r="C9" s="490"/>
      <c r="D9" s="242" t="s">
        <v>217</v>
      </c>
      <c r="E9" s="219">
        <v>157655382.09999999</v>
      </c>
      <c r="F9" s="245">
        <v>158328137.53</v>
      </c>
      <c r="G9" s="219">
        <v>157426945.43000001</v>
      </c>
      <c r="H9" s="245">
        <v>0</v>
      </c>
      <c r="I9" s="217">
        <v>674.09999999999991</v>
      </c>
      <c r="J9" s="217">
        <v>0</v>
      </c>
      <c r="K9" s="217">
        <v>0</v>
      </c>
      <c r="L9" s="217">
        <v>0</v>
      </c>
      <c r="M9" s="217">
        <v>0</v>
      </c>
      <c r="N9" s="217">
        <v>900518</v>
      </c>
      <c r="O9" s="271">
        <v>901192.10000000009</v>
      </c>
      <c r="P9" s="276">
        <v>1</v>
      </c>
      <c r="R9" s="197"/>
      <c r="S9" s="197"/>
      <c r="T9" s="197"/>
    </row>
    <row r="10" spans="2:20" hidden="1" outlineLevel="2" x14ac:dyDescent="0.35">
      <c r="B10" s="487"/>
      <c r="C10" s="490"/>
      <c r="D10" s="242" t="s">
        <v>216</v>
      </c>
      <c r="E10" s="219">
        <v>199205094.81999999</v>
      </c>
      <c r="F10" s="245">
        <v>199205100.17999998</v>
      </c>
      <c r="G10" s="219">
        <v>199205093.80000001</v>
      </c>
      <c r="H10" s="245">
        <v>3.0199999999999996</v>
      </c>
      <c r="I10" s="217">
        <v>6.38</v>
      </c>
      <c r="J10" s="217">
        <v>0</v>
      </c>
      <c r="K10" s="217">
        <v>0</v>
      </c>
      <c r="L10" s="217">
        <v>0</v>
      </c>
      <c r="M10" s="217">
        <v>0</v>
      </c>
      <c r="N10" s="217">
        <v>0</v>
      </c>
      <c r="O10" s="271">
        <v>6.38</v>
      </c>
      <c r="P10" s="276">
        <v>0</v>
      </c>
      <c r="R10" s="197"/>
      <c r="S10" s="197"/>
      <c r="T10" s="197"/>
    </row>
    <row r="11" spans="2:20" hidden="1" outlineLevel="2" x14ac:dyDescent="0.35">
      <c r="B11" s="487"/>
      <c r="C11" s="490"/>
      <c r="D11" s="242" t="s">
        <v>215</v>
      </c>
      <c r="E11" s="219">
        <v>392533969.24000007</v>
      </c>
      <c r="F11" s="245">
        <v>394043349.16999972</v>
      </c>
      <c r="G11" s="219">
        <v>393770252.58000004</v>
      </c>
      <c r="H11" s="245">
        <v>1.1500000000000001</v>
      </c>
      <c r="I11" s="217">
        <v>11.040000000000001</v>
      </c>
      <c r="J11" s="217">
        <v>0</v>
      </c>
      <c r="K11" s="217">
        <v>0</v>
      </c>
      <c r="L11" s="217">
        <v>0</v>
      </c>
      <c r="M11" s="217">
        <v>0</v>
      </c>
      <c r="N11" s="217">
        <v>273085.5</v>
      </c>
      <c r="O11" s="271">
        <v>273096.53999999998</v>
      </c>
      <c r="P11" s="276">
        <v>8</v>
      </c>
      <c r="R11" s="197"/>
      <c r="S11" s="197"/>
      <c r="T11" s="197"/>
    </row>
    <row r="12" spans="2:20" hidden="1" outlineLevel="2" x14ac:dyDescent="0.35">
      <c r="B12" s="487"/>
      <c r="C12" s="490"/>
      <c r="D12" s="242" t="s">
        <v>214</v>
      </c>
      <c r="E12" s="219">
        <v>161076032.54999998</v>
      </c>
      <c r="F12" s="245">
        <v>161071027.37</v>
      </c>
      <c r="G12" s="219">
        <v>160976325.80999997</v>
      </c>
      <c r="H12" s="245">
        <v>5004.6399999999994</v>
      </c>
      <c r="I12" s="217">
        <v>3.96</v>
      </c>
      <c r="J12" s="217">
        <v>0</v>
      </c>
      <c r="K12" s="217">
        <v>0</v>
      </c>
      <c r="L12" s="217">
        <v>0</v>
      </c>
      <c r="M12" s="217">
        <v>0</v>
      </c>
      <c r="N12" s="217">
        <v>94697.600000000006</v>
      </c>
      <c r="O12" s="271">
        <v>94701.560000000012</v>
      </c>
      <c r="P12" s="276">
        <v>1</v>
      </c>
      <c r="R12" s="197"/>
      <c r="S12" s="197"/>
      <c r="T12" s="197"/>
    </row>
    <row r="13" spans="2:20" hidden="1" outlineLevel="2" x14ac:dyDescent="0.35">
      <c r="B13" s="487"/>
      <c r="C13" s="490"/>
      <c r="D13" s="242" t="s">
        <v>213</v>
      </c>
      <c r="E13" s="219">
        <v>358312432.18999994</v>
      </c>
      <c r="F13" s="245">
        <v>356878589.08999979</v>
      </c>
      <c r="G13" s="219">
        <v>355289739.41999996</v>
      </c>
      <c r="H13" s="245">
        <v>468638.21</v>
      </c>
      <c r="I13" s="217">
        <v>13.930000000000003</v>
      </c>
      <c r="J13" s="217">
        <v>0</v>
      </c>
      <c r="K13" s="217">
        <v>200000</v>
      </c>
      <c r="L13" s="217">
        <v>0</v>
      </c>
      <c r="M13" s="217">
        <v>0</v>
      </c>
      <c r="N13" s="217">
        <v>1388835.69</v>
      </c>
      <c r="O13" s="271">
        <v>1588849.6199999999</v>
      </c>
      <c r="P13" s="276">
        <v>2</v>
      </c>
      <c r="R13" s="197"/>
      <c r="S13" s="197"/>
      <c r="T13" s="197"/>
    </row>
    <row r="14" spans="2:20" hidden="1" outlineLevel="2" x14ac:dyDescent="0.35">
      <c r="B14" s="487"/>
      <c r="C14" s="490"/>
      <c r="D14" s="242" t="s">
        <v>212</v>
      </c>
      <c r="E14" s="219">
        <v>291225605.85000008</v>
      </c>
      <c r="F14" s="245">
        <v>291029019.93999976</v>
      </c>
      <c r="G14" s="219">
        <v>290355612.91000009</v>
      </c>
      <c r="H14" s="245">
        <v>136961.81999999998</v>
      </c>
      <c r="I14" s="217">
        <v>783.52000000000021</v>
      </c>
      <c r="J14" s="217">
        <v>0</v>
      </c>
      <c r="K14" s="217">
        <v>0</v>
      </c>
      <c r="L14" s="217">
        <v>0</v>
      </c>
      <c r="M14" s="217">
        <v>0</v>
      </c>
      <c r="N14" s="217">
        <v>672623.46</v>
      </c>
      <c r="O14" s="271">
        <v>673406.97999999975</v>
      </c>
      <c r="P14" s="276">
        <v>5</v>
      </c>
      <c r="R14" s="197"/>
      <c r="S14" s="197"/>
      <c r="T14" s="197"/>
    </row>
    <row r="15" spans="2:20" outlineLevel="1" collapsed="1" x14ac:dyDescent="0.35">
      <c r="B15" s="487"/>
      <c r="C15" s="490"/>
      <c r="D15" s="236" t="s">
        <v>10</v>
      </c>
      <c r="E15" s="219">
        <v>776702862.11999893</v>
      </c>
      <c r="F15" s="245">
        <v>778355329.75999641</v>
      </c>
      <c r="G15" s="219">
        <v>776553473.00999916</v>
      </c>
      <c r="H15" s="245">
        <v>401335.66000000009</v>
      </c>
      <c r="I15" s="217">
        <v>442.03999999999991</v>
      </c>
      <c r="J15" s="217">
        <v>0</v>
      </c>
      <c r="K15" s="217">
        <v>0</v>
      </c>
      <c r="L15" s="217">
        <v>0</v>
      </c>
      <c r="M15" s="217">
        <v>0</v>
      </c>
      <c r="N15" s="217">
        <v>1801414.41</v>
      </c>
      <c r="O15" s="271">
        <v>1801856.45</v>
      </c>
      <c r="P15" s="276">
        <v>2</v>
      </c>
      <c r="R15" s="197"/>
      <c r="S15" s="197"/>
      <c r="T15" s="197"/>
    </row>
    <row r="16" spans="2:20" outlineLevel="1" x14ac:dyDescent="0.35">
      <c r="B16" s="487"/>
      <c r="C16" s="490"/>
      <c r="D16" s="236" t="s">
        <v>211</v>
      </c>
      <c r="E16" s="219">
        <f t="shared" ref="E16:P16" si="1">SUM(E17:E21)</f>
        <v>1875287813.0100002</v>
      </c>
      <c r="F16" s="245">
        <f t="shared" si="1"/>
        <v>1868294679.8599989</v>
      </c>
      <c r="G16" s="219">
        <f t="shared" si="1"/>
        <v>1863774380.1600001</v>
      </c>
      <c r="H16" s="245">
        <f t="shared" si="1"/>
        <v>837382.12</v>
      </c>
      <c r="I16" s="217">
        <f t="shared" si="1"/>
        <v>2872911.2900000005</v>
      </c>
      <c r="J16" s="217">
        <f t="shared" si="1"/>
        <v>0</v>
      </c>
      <c r="K16" s="217">
        <f t="shared" si="1"/>
        <v>24796.2</v>
      </c>
      <c r="L16" s="217">
        <f t="shared" si="1"/>
        <v>0</v>
      </c>
      <c r="M16" s="217">
        <f t="shared" si="1"/>
        <v>0</v>
      </c>
      <c r="N16" s="217">
        <f t="shared" si="1"/>
        <v>1622589.2799999998</v>
      </c>
      <c r="O16" s="271">
        <f t="shared" si="1"/>
        <v>4520296.7700000005</v>
      </c>
      <c r="P16" s="276">
        <f t="shared" si="1"/>
        <v>7</v>
      </c>
      <c r="R16" s="197"/>
      <c r="S16" s="197"/>
      <c r="T16" s="197"/>
    </row>
    <row r="17" spans="2:20" hidden="1" outlineLevel="2" x14ac:dyDescent="0.35">
      <c r="B17" s="487"/>
      <c r="C17" s="490"/>
      <c r="D17" s="242" t="s">
        <v>206</v>
      </c>
      <c r="E17" s="219">
        <v>144212647.40999997</v>
      </c>
      <c r="F17" s="245">
        <v>144212647.62000006</v>
      </c>
      <c r="G17" s="219">
        <v>144212640.94999999</v>
      </c>
      <c r="H17" s="245">
        <v>0.27999999999999997</v>
      </c>
      <c r="I17" s="217">
        <v>6.4300000000000006</v>
      </c>
      <c r="J17" s="217">
        <v>0</v>
      </c>
      <c r="K17" s="217">
        <v>0</v>
      </c>
      <c r="L17" s="217">
        <v>0</v>
      </c>
      <c r="M17" s="217">
        <v>0</v>
      </c>
      <c r="N17" s="217">
        <v>0</v>
      </c>
      <c r="O17" s="271">
        <v>6.4300000000000006</v>
      </c>
      <c r="P17" s="276">
        <v>0</v>
      </c>
      <c r="R17" s="197"/>
      <c r="S17" s="197"/>
      <c r="T17" s="197"/>
    </row>
    <row r="18" spans="2:20" hidden="1" outlineLevel="2" x14ac:dyDescent="0.35">
      <c r="B18" s="487"/>
      <c r="C18" s="490"/>
      <c r="D18" s="242" t="s">
        <v>210</v>
      </c>
      <c r="E18" s="219">
        <v>634380816.07000017</v>
      </c>
      <c r="F18" s="245">
        <v>632814460.90999973</v>
      </c>
      <c r="G18" s="219">
        <v>632789049.27999997</v>
      </c>
      <c r="H18" s="245">
        <v>6.6599999999999993</v>
      </c>
      <c r="I18" s="217">
        <v>409.89000000000004</v>
      </c>
      <c r="J18" s="217">
        <v>0</v>
      </c>
      <c r="K18" s="217">
        <v>0</v>
      </c>
      <c r="L18" s="217">
        <v>0</v>
      </c>
      <c r="M18" s="217">
        <v>0</v>
      </c>
      <c r="N18" s="217">
        <v>25001.5</v>
      </c>
      <c r="O18" s="271">
        <v>25411.390000000003</v>
      </c>
      <c r="P18" s="276">
        <v>1</v>
      </c>
      <c r="R18" s="197"/>
      <c r="S18" s="197"/>
      <c r="T18" s="197"/>
    </row>
    <row r="19" spans="2:20" hidden="1" outlineLevel="2" x14ac:dyDescent="0.35">
      <c r="B19" s="487"/>
      <c r="C19" s="490"/>
      <c r="D19" s="242" t="s">
        <v>209</v>
      </c>
      <c r="E19" s="219">
        <v>183681570.45999995</v>
      </c>
      <c r="F19" s="245">
        <v>182844401.50999978</v>
      </c>
      <c r="G19" s="219">
        <v>182794897.88999999</v>
      </c>
      <c r="H19" s="245">
        <v>837172.01</v>
      </c>
      <c r="I19" s="217">
        <v>3.42</v>
      </c>
      <c r="J19" s="217">
        <v>0</v>
      </c>
      <c r="K19" s="217">
        <v>0</v>
      </c>
      <c r="L19" s="217">
        <v>0</v>
      </c>
      <c r="M19" s="217">
        <v>0</v>
      </c>
      <c r="N19" s="217">
        <v>49500.2</v>
      </c>
      <c r="O19" s="271">
        <v>49503.619999999995</v>
      </c>
      <c r="P19" s="276">
        <v>2</v>
      </c>
      <c r="R19" s="197"/>
      <c r="S19" s="197"/>
      <c r="T19" s="197"/>
    </row>
    <row r="20" spans="2:20" hidden="1" outlineLevel="2" x14ac:dyDescent="0.35">
      <c r="B20" s="487"/>
      <c r="C20" s="490"/>
      <c r="D20" s="242" t="s">
        <v>208</v>
      </c>
      <c r="E20" s="219">
        <v>913012779.07000017</v>
      </c>
      <c r="F20" s="245">
        <v>908423169.81999946</v>
      </c>
      <c r="G20" s="219">
        <v>903977792.04000008</v>
      </c>
      <c r="H20" s="245">
        <v>203.16999999999996</v>
      </c>
      <c r="I20" s="217">
        <v>2872491.5500000003</v>
      </c>
      <c r="J20" s="217">
        <v>0</v>
      </c>
      <c r="K20" s="217">
        <v>24796.2</v>
      </c>
      <c r="L20" s="217">
        <v>0</v>
      </c>
      <c r="M20" s="217">
        <v>0</v>
      </c>
      <c r="N20" s="217">
        <v>1548087.5799999998</v>
      </c>
      <c r="O20" s="271">
        <v>4445375.33</v>
      </c>
      <c r="P20" s="276">
        <v>4</v>
      </c>
      <c r="R20" s="197"/>
      <c r="S20" s="197"/>
      <c r="T20" s="197"/>
    </row>
    <row r="21" spans="2:20" hidden="1" outlineLevel="2" x14ac:dyDescent="0.35">
      <c r="B21" s="487"/>
      <c r="C21" s="490"/>
      <c r="D21" s="242" t="s">
        <v>207</v>
      </c>
      <c r="E21" s="219">
        <v>0</v>
      </c>
      <c r="F21" s="245">
        <v>0</v>
      </c>
      <c r="G21" s="219">
        <v>0</v>
      </c>
      <c r="H21" s="245">
        <v>0</v>
      </c>
      <c r="I21" s="217">
        <v>0</v>
      </c>
      <c r="J21" s="217">
        <v>0</v>
      </c>
      <c r="K21" s="217">
        <v>0</v>
      </c>
      <c r="L21" s="217">
        <v>0</v>
      </c>
      <c r="M21" s="217">
        <v>0</v>
      </c>
      <c r="N21" s="217">
        <v>0</v>
      </c>
      <c r="O21" s="271">
        <v>0</v>
      </c>
      <c r="P21" s="276">
        <v>0</v>
      </c>
      <c r="R21" s="197"/>
      <c r="S21" s="197"/>
      <c r="T21" s="197"/>
    </row>
    <row r="22" spans="2:20" outlineLevel="1" collapsed="1" x14ac:dyDescent="0.35">
      <c r="B22" s="487"/>
      <c r="C22" s="490"/>
      <c r="D22" s="236" t="s">
        <v>205</v>
      </c>
      <c r="E22" s="219">
        <f t="shared" ref="E22:P22" si="2">SUM(E23:E26)</f>
        <v>1637639122.6399999</v>
      </c>
      <c r="F22" s="245">
        <f t="shared" si="2"/>
        <v>1634992810.170002</v>
      </c>
      <c r="G22" s="219">
        <f t="shared" si="2"/>
        <v>1632402675.8299994</v>
      </c>
      <c r="H22" s="245">
        <f t="shared" si="2"/>
        <v>373043.070000001</v>
      </c>
      <c r="I22" s="217">
        <f t="shared" si="2"/>
        <v>5413.43</v>
      </c>
      <c r="J22" s="217">
        <f t="shared" si="2"/>
        <v>91349</v>
      </c>
      <c r="K22" s="217">
        <f t="shared" si="2"/>
        <v>0</v>
      </c>
      <c r="L22" s="217">
        <f t="shared" si="2"/>
        <v>0</v>
      </c>
      <c r="M22" s="217">
        <f t="shared" si="2"/>
        <v>88190.6</v>
      </c>
      <c r="N22" s="217">
        <f t="shared" si="2"/>
        <v>2405181.08</v>
      </c>
      <c r="O22" s="271">
        <f t="shared" si="2"/>
        <v>2590134.1100000003</v>
      </c>
      <c r="P22" s="276">
        <f t="shared" si="2"/>
        <v>11</v>
      </c>
      <c r="R22" s="197"/>
      <c r="S22" s="197"/>
      <c r="T22" s="197"/>
    </row>
    <row r="23" spans="2:20" hidden="1" outlineLevel="2" x14ac:dyDescent="0.35">
      <c r="B23" s="487"/>
      <c r="C23" s="490"/>
      <c r="D23" s="242" t="s">
        <v>9</v>
      </c>
      <c r="E23" s="219">
        <v>467951965.36000025</v>
      </c>
      <c r="F23" s="245">
        <v>466580405.23000044</v>
      </c>
      <c r="G23" s="219">
        <v>465060661.46999961</v>
      </c>
      <c r="H23" s="245">
        <v>349884.97000000108</v>
      </c>
      <c r="I23" s="217">
        <v>1746.9899999999998</v>
      </c>
      <c r="J23" s="217">
        <v>91349</v>
      </c>
      <c r="K23" s="217">
        <v>0</v>
      </c>
      <c r="L23" s="217">
        <v>0</v>
      </c>
      <c r="M23" s="217">
        <v>88190.6</v>
      </c>
      <c r="N23" s="217">
        <v>1338456.98</v>
      </c>
      <c r="O23" s="271">
        <v>1519743.5700000003</v>
      </c>
      <c r="P23" s="243">
        <v>7</v>
      </c>
      <c r="R23" s="197"/>
      <c r="S23" s="197"/>
      <c r="T23" s="197"/>
    </row>
    <row r="24" spans="2:20" hidden="1" outlineLevel="2" x14ac:dyDescent="0.35">
      <c r="B24" s="487"/>
      <c r="C24" s="490"/>
      <c r="D24" s="242" t="s">
        <v>7</v>
      </c>
      <c r="E24" s="219">
        <v>335073288.11000013</v>
      </c>
      <c r="F24" s="245">
        <v>334629994.64000082</v>
      </c>
      <c r="G24" s="219">
        <v>334271892.27000046</v>
      </c>
      <c r="H24" s="245">
        <v>20608.69999999995</v>
      </c>
      <c r="I24" s="217">
        <v>2566.7500000000005</v>
      </c>
      <c r="J24" s="217">
        <v>0</v>
      </c>
      <c r="K24" s="217">
        <v>0</v>
      </c>
      <c r="L24" s="217">
        <v>0</v>
      </c>
      <c r="M24" s="217">
        <v>0</v>
      </c>
      <c r="N24" s="217">
        <v>355535.62</v>
      </c>
      <c r="O24" s="271">
        <v>358102.36999999988</v>
      </c>
      <c r="P24" s="243">
        <v>2</v>
      </c>
      <c r="R24" s="197"/>
      <c r="S24" s="197"/>
      <c r="T24" s="197"/>
    </row>
    <row r="25" spans="2:20" hidden="1" outlineLevel="2" x14ac:dyDescent="0.35">
      <c r="B25" s="487"/>
      <c r="C25" s="490"/>
      <c r="D25" s="242" t="s">
        <v>13</v>
      </c>
      <c r="E25" s="219">
        <v>407497568.81999987</v>
      </c>
      <c r="F25" s="245">
        <v>407651478.55000055</v>
      </c>
      <c r="G25" s="219">
        <v>407005252.28999984</v>
      </c>
      <c r="H25" s="245">
        <v>3.2200000000000006</v>
      </c>
      <c r="I25" s="217">
        <v>469.24999999999989</v>
      </c>
      <c r="J25" s="217">
        <v>0</v>
      </c>
      <c r="K25" s="217">
        <v>0</v>
      </c>
      <c r="L25" s="217">
        <v>0</v>
      </c>
      <c r="M25" s="217">
        <v>0</v>
      </c>
      <c r="N25" s="217">
        <v>645757</v>
      </c>
      <c r="O25" s="271">
        <v>646226.25000000012</v>
      </c>
      <c r="P25" s="243">
        <v>1</v>
      </c>
      <c r="R25" s="197"/>
      <c r="S25" s="197"/>
      <c r="T25" s="197"/>
    </row>
    <row r="26" spans="2:20" hidden="1" outlineLevel="2" x14ac:dyDescent="0.35">
      <c r="B26" s="487"/>
      <c r="C26" s="490"/>
      <c r="D26" s="242" t="s">
        <v>11</v>
      </c>
      <c r="E26" s="219">
        <v>427116300.34999979</v>
      </c>
      <c r="F26" s="245">
        <v>426130931.75000006</v>
      </c>
      <c r="G26" s="219">
        <v>426064869.79999983</v>
      </c>
      <c r="H26" s="245">
        <v>2546.1800000000012</v>
      </c>
      <c r="I26" s="217">
        <v>630.44000000000005</v>
      </c>
      <c r="J26" s="217">
        <v>0</v>
      </c>
      <c r="K26" s="217">
        <v>0</v>
      </c>
      <c r="L26" s="217">
        <v>0</v>
      </c>
      <c r="M26" s="217">
        <v>0</v>
      </c>
      <c r="N26" s="217">
        <v>65431.479999999996</v>
      </c>
      <c r="O26" s="271">
        <v>66061.920000000013</v>
      </c>
      <c r="P26" s="243">
        <v>1</v>
      </c>
      <c r="R26" s="197"/>
      <c r="S26" s="197"/>
      <c r="T26" s="197"/>
    </row>
    <row r="27" spans="2:20" outlineLevel="1" collapsed="1" x14ac:dyDescent="0.35">
      <c r="B27" s="487"/>
      <c r="C27" s="490"/>
      <c r="D27" s="236" t="s">
        <v>5</v>
      </c>
      <c r="E27" s="219">
        <v>793673521.40999985</v>
      </c>
      <c r="F27" s="245">
        <v>794923048.28999949</v>
      </c>
      <c r="G27" s="219">
        <v>793964919.89999998</v>
      </c>
      <c r="H27" s="245">
        <v>0.22000000000000003</v>
      </c>
      <c r="I27" s="217">
        <v>2900.3299999999995</v>
      </c>
      <c r="J27" s="217">
        <v>0</v>
      </c>
      <c r="K27" s="217">
        <v>0</v>
      </c>
      <c r="L27" s="217">
        <v>0</v>
      </c>
      <c r="M27" s="217">
        <v>0</v>
      </c>
      <c r="N27" s="217">
        <v>955227.98</v>
      </c>
      <c r="O27" s="271">
        <v>958128.30999999994</v>
      </c>
      <c r="P27" s="243">
        <v>6</v>
      </c>
      <c r="R27" s="197"/>
      <c r="S27" s="197"/>
      <c r="T27" s="197"/>
    </row>
    <row r="28" spans="2:20" outlineLevel="1" x14ac:dyDescent="0.35">
      <c r="B28" s="487"/>
      <c r="C28" s="490"/>
      <c r="D28" s="236" t="s">
        <v>6</v>
      </c>
      <c r="E28" s="219">
        <v>797988715.11999989</v>
      </c>
      <c r="F28" s="220">
        <v>798746446.85000002</v>
      </c>
      <c r="G28" s="219">
        <v>797694530.77999938</v>
      </c>
      <c r="H28" s="245">
        <v>0.19000000000000003</v>
      </c>
      <c r="I28" s="217">
        <v>3438.6700000000014</v>
      </c>
      <c r="J28" s="217">
        <v>0</v>
      </c>
      <c r="K28" s="217">
        <v>0</v>
      </c>
      <c r="L28" s="217">
        <v>0</v>
      </c>
      <c r="M28" s="217">
        <v>0</v>
      </c>
      <c r="N28" s="217">
        <v>1048477.27</v>
      </c>
      <c r="O28" s="271">
        <v>1051915.9399999997</v>
      </c>
      <c r="P28" s="243">
        <v>4</v>
      </c>
      <c r="R28" s="197"/>
      <c r="S28" s="197"/>
      <c r="T28" s="197"/>
    </row>
    <row r="29" spans="2:20" outlineLevel="1" x14ac:dyDescent="0.35">
      <c r="B29" s="487"/>
      <c r="C29" s="490"/>
      <c r="D29" s="236" t="s">
        <v>163</v>
      </c>
      <c r="E29" s="219">
        <f t="shared" ref="E29:P29" si="3">SUM(E30:E32)</f>
        <v>1082691659.5900002</v>
      </c>
      <c r="F29" s="245">
        <f t="shared" si="3"/>
        <v>1082691715.1800001</v>
      </c>
      <c r="G29" s="219">
        <f t="shared" si="3"/>
        <v>1082688863.6999998</v>
      </c>
      <c r="H29" s="245">
        <f t="shared" si="3"/>
        <v>0.38</v>
      </c>
      <c r="I29" s="217">
        <f t="shared" si="3"/>
        <v>1190.4999999999998</v>
      </c>
      <c r="J29" s="217">
        <f t="shared" si="3"/>
        <v>0</v>
      </c>
      <c r="K29" s="217">
        <f t="shared" si="3"/>
        <v>0</v>
      </c>
      <c r="L29" s="217">
        <f t="shared" si="3"/>
        <v>0</v>
      </c>
      <c r="M29" s="217">
        <f t="shared" si="3"/>
        <v>0</v>
      </c>
      <c r="N29" s="217">
        <f t="shared" si="3"/>
        <v>1660.6</v>
      </c>
      <c r="O29" s="271">
        <f t="shared" si="3"/>
        <v>2851.1000000000004</v>
      </c>
      <c r="P29" s="243">
        <f t="shared" si="3"/>
        <v>0</v>
      </c>
      <c r="R29" s="197"/>
      <c r="S29" s="197"/>
      <c r="T29" s="197"/>
    </row>
    <row r="30" spans="2:20" hidden="1" outlineLevel="2" x14ac:dyDescent="0.35">
      <c r="B30" s="487"/>
      <c r="C30" s="490"/>
      <c r="D30" s="242" t="s">
        <v>161</v>
      </c>
      <c r="E30" s="275">
        <v>324150738.41000003</v>
      </c>
      <c r="F30" s="274">
        <v>324150738.40999997</v>
      </c>
      <c r="G30" s="275">
        <v>324150594.84999996</v>
      </c>
      <c r="H30" s="274">
        <v>0.18</v>
      </c>
      <c r="I30" s="217">
        <v>143.37999999999997</v>
      </c>
      <c r="J30" s="217">
        <v>0</v>
      </c>
      <c r="K30" s="217">
        <v>0</v>
      </c>
      <c r="L30" s="217">
        <v>0</v>
      </c>
      <c r="M30" s="217">
        <v>0</v>
      </c>
      <c r="N30" s="217">
        <v>0</v>
      </c>
      <c r="O30" s="273">
        <v>143.37999999999997</v>
      </c>
      <c r="P30" s="214">
        <v>0</v>
      </c>
      <c r="R30" s="197"/>
      <c r="S30" s="197"/>
      <c r="T30" s="197"/>
    </row>
    <row r="31" spans="2:20" hidden="1" outlineLevel="2" x14ac:dyDescent="0.35">
      <c r="B31" s="487"/>
      <c r="C31" s="490"/>
      <c r="D31" s="242" t="s">
        <v>162</v>
      </c>
      <c r="E31" s="219">
        <v>469051097.04999995</v>
      </c>
      <c r="F31" s="220">
        <v>469051152.64000028</v>
      </c>
      <c r="G31" s="219">
        <v>469048976.19999987</v>
      </c>
      <c r="H31" s="245">
        <v>0.2</v>
      </c>
      <c r="I31" s="217">
        <v>515.63999999999987</v>
      </c>
      <c r="J31" s="217">
        <v>0</v>
      </c>
      <c r="K31" s="217">
        <v>0</v>
      </c>
      <c r="L31" s="217">
        <v>0</v>
      </c>
      <c r="M31" s="217">
        <v>0</v>
      </c>
      <c r="N31" s="217">
        <v>1660.6</v>
      </c>
      <c r="O31" s="271">
        <v>2176.2400000000002</v>
      </c>
      <c r="P31" s="243">
        <v>0</v>
      </c>
      <c r="R31" s="197"/>
      <c r="S31" s="197"/>
      <c r="T31" s="197"/>
    </row>
    <row r="32" spans="2:20" hidden="1" outlineLevel="2" x14ac:dyDescent="0.35">
      <c r="B32" s="487"/>
      <c r="C32" s="490"/>
      <c r="D32" s="242" t="s">
        <v>160</v>
      </c>
      <c r="E32" s="219">
        <v>289489824.13</v>
      </c>
      <c r="F32" s="220">
        <v>289489824.12999994</v>
      </c>
      <c r="G32" s="219">
        <v>289489292.64999998</v>
      </c>
      <c r="H32" s="245">
        <v>0</v>
      </c>
      <c r="I32" s="217">
        <v>531.4799999999999</v>
      </c>
      <c r="J32" s="217">
        <v>0</v>
      </c>
      <c r="K32" s="217">
        <v>0</v>
      </c>
      <c r="L32" s="217">
        <v>0</v>
      </c>
      <c r="M32" s="217">
        <v>0</v>
      </c>
      <c r="N32" s="217">
        <v>0</v>
      </c>
      <c r="O32" s="271">
        <v>531.4799999999999</v>
      </c>
      <c r="P32" s="243">
        <v>0</v>
      </c>
      <c r="R32" s="197"/>
      <c r="S32" s="197"/>
      <c r="T32" s="197"/>
    </row>
    <row r="33" spans="2:20" outlineLevel="1" collapsed="1" x14ac:dyDescent="0.35">
      <c r="B33" s="487"/>
      <c r="C33" s="490"/>
      <c r="D33" s="272" t="s">
        <v>204</v>
      </c>
      <c r="E33" s="219">
        <v>802635089.07000005</v>
      </c>
      <c r="F33" s="220">
        <v>677960738.09999609</v>
      </c>
      <c r="G33" s="219">
        <v>666711599.26999962</v>
      </c>
      <c r="H33" s="245">
        <v>57228840.810000025</v>
      </c>
      <c r="I33" s="217">
        <v>1643.7600000000002</v>
      </c>
      <c r="J33" s="217">
        <v>0</v>
      </c>
      <c r="K33" s="217">
        <v>0</v>
      </c>
      <c r="L33" s="217">
        <v>0</v>
      </c>
      <c r="M33" s="217">
        <v>9812271.2800000068</v>
      </c>
      <c r="N33" s="217">
        <v>1435223.67</v>
      </c>
      <c r="O33" s="271">
        <v>11249138.710000006</v>
      </c>
      <c r="P33" s="243">
        <v>15</v>
      </c>
      <c r="R33" s="197"/>
      <c r="S33" s="197"/>
      <c r="T33" s="197"/>
    </row>
    <row r="34" spans="2:20" outlineLevel="1" x14ac:dyDescent="0.35">
      <c r="B34" s="487"/>
      <c r="C34" s="490"/>
      <c r="D34" s="263" t="s">
        <v>23</v>
      </c>
      <c r="E34" s="219">
        <f t="shared" ref="E34:P34" si="4">SUM(E35:E39)</f>
        <v>2522248415.8699999</v>
      </c>
      <c r="F34" s="220">
        <f t="shared" si="4"/>
        <v>1769622993.5000036</v>
      </c>
      <c r="G34" s="219">
        <f t="shared" si="4"/>
        <v>1747147409.7400002</v>
      </c>
      <c r="H34" s="245">
        <f t="shared" si="4"/>
        <v>259312334.60000011</v>
      </c>
      <c r="I34" s="217">
        <f t="shared" si="4"/>
        <v>18798.000000000004</v>
      </c>
      <c r="J34" s="217">
        <f t="shared" si="4"/>
        <v>0</v>
      </c>
      <c r="K34" s="217">
        <f t="shared" si="4"/>
        <v>0</v>
      </c>
      <c r="L34" s="217">
        <f t="shared" si="4"/>
        <v>0</v>
      </c>
      <c r="M34" s="217">
        <f t="shared" si="4"/>
        <v>7978221.1299999999</v>
      </c>
      <c r="N34" s="217">
        <f t="shared" si="4"/>
        <v>14478563.979999999</v>
      </c>
      <c r="O34" s="271">
        <f t="shared" si="4"/>
        <v>22475583.109999999</v>
      </c>
      <c r="P34" s="243">
        <f t="shared" si="4"/>
        <v>47</v>
      </c>
      <c r="R34" s="197"/>
      <c r="S34" s="197"/>
      <c r="T34" s="197"/>
    </row>
    <row r="35" spans="2:20" hidden="1" outlineLevel="2" x14ac:dyDescent="0.35">
      <c r="B35" s="487"/>
      <c r="C35" s="490"/>
      <c r="D35" s="242" t="s">
        <v>22</v>
      </c>
      <c r="E35" s="219">
        <v>931004042.99000001</v>
      </c>
      <c r="F35" s="220">
        <v>700527491.89000034</v>
      </c>
      <c r="G35" s="219">
        <v>686601398.12999904</v>
      </c>
      <c r="H35" s="245">
        <v>87005617.920000002</v>
      </c>
      <c r="I35" s="217">
        <v>4683.2800000000007</v>
      </c>
      <c r="J35" s="217">
        <v>0</v>
      </c>
      <c r="K35" s="217">
        <v>0</v>
      </c>
      <c r="L35" s="217">
        <v>0</v>
      </c>
      <c r="M35" s="217">
        <v>2800967.7399999998</v>
      </c>
      <c r="N35" s="217">
        <v>11120442.319999998</v>
      </c>
      <c r="O35" s="271">
        <v>13926093.34</v>
      </c>
      <c r="P35" s="243">
        <v>12</v>
      </c>
      <c r="R35" s="197"/>
      <c r="S35" s="197"/>
      <c r="T35" s="197"/>
    </row>
    <row r="36" spans="2:20" hidden="1" outlineLevel="2" x14ac:dyDescent="0.35">
      <c r="B36" s="487"/>
      <c r="C36" s="490"/>
      <c r="D36" s="242" t="s">
        <v>21</v>
      </c>
      <c r="E36" s="219">
        <v>752149129.11000001</v>
      </c>
      <c r="F36" s="220">
        <v>494418440.76000583</v>
      </c>
      <c r="G36" s="219">
        <v>489962750.90000111</v>
      </c>
      <c r="H36" s="245">
        <v>84258762.00000006</v>
      </c>
      <c r="I36" s="217">
        <v>6637.48</v>
      </c>
      <c r="J36" s="217">
        <v>0</v>
      </c>
      <c r="K36" s="217">
        <v>0</v>
      </c>
      <c r="L36" s="217">
        <v>0</v>
      </c>
      <c r="M36" s="217">
        <v>1921281.91</v>
      </c>
      <c r="N36" s="217">
        <v>2527770.39</v>
      </c>
      <c r="O36" s="271">
        <v>4455689.7799999993</v>
      </c>
      <c r="P36" s="243">
        <v>12</v>
      </c>
      <c r="R36" s="197"/>
      <c r="S36" s="197"/>
      <c r="T36" s="197"/>
    </row>
    <row r="37" spans="2:20" hidden="1" outlineLevel="2" x14ac:dyDescent="0.35">
      <c r="B37" s="487"/>
      <c r="C37" s="490"/>
      <c r="D37" s="242" t="s">
        <v>20</v>
      </c>
      <c r="E37" s="219">
        <v>617559227.33000004</v>
      </c>
      <c r="F37" s="220">
        <v>409634823.2299974</v>
      </c>
      <c r="G37" s="219">
        <v>405920434.42000002</v>
      </c>
      <c r="H37" s="245">
        <v>69375935.360000044</v>
      </c>
      <c r="I37" s="217">
        <v>6178.2900000000027</v>
      </c>
      <c r="J37" s="217">
        <v>0</v>
      </c>
      <c r="K37" s="217">
        <v>0</v>
      </c>
      <c r="L37" s="217">
        <v>0</v>
      </c>
      <c r="M37" s="217">
        <v>2877859.2200000007</v>
      </c>
      <c r="N37" s="217">
        <v>830351.27</v>
      </c>
      <c r="O37" s="271">
        <v>3714388.7800000007</v>
      </c>
      <c r="P37" s="243">
        <v>21</v>
      </c>
      <c r="R37" s="197"/>
      <c r="S37" s="197"/>
      <c r="T37" s="197"/>
    </row>
    <row r="38" spans="2:20" hidden="1" outlineLevel="2" x14ac:dyDescent="0.35">
      <c r="B38" s="487"/>
      <c r="C38" s="490"/>
      <c r="D38" s="242" t="s">
        <v>19</v>
      </c>
      <c r="E38" s="219">
        <v>175706960.77000001</v>
      </c>
      <c r="F38" s="220">
        <v>117795601.59000002</v>
      </c>
      <c r="G38" s="219">
        <v>117417203.91999996</v>
      </c>
      <c r="H38" s="245">
        <v>18313519.369999997</v>
      </c>
      <c r="I38" s="217">
        <v>285.29000000000002</v>
      </c>
      <c r="J38" s="217">
        <v>0</v>
      </c>
      <c r="K38" s="217">
        <v>0</v>
      </c>
      <c r="L38" s="217">
        <v>0</v>
      </c>
      <c r="M38" s="217">
        <v>378112.26</v>
      </c>
      <c r="N38" s="216">
        <v>0</v>
      </c>
      <c r="O38" s="244">
        <v>378397.54999999993</v>
      </c>
      <c r="P38" s="243">
        <v>2</v>
      </c>
      <c r="R38" s="197"/>
      <c r="S38" s="197"/>
      <c r="T38" s="197"/>
    </row>
    <row r="39" spans="2:20" hidden="1" outlineLevel="2" x14ac:dyDescent="0.35">
      <c r="B39" s="487"/>
      <c r="C39" s="490"/>
      <c r="D39" s="242" t="s">
        <v>18</v>
      </c>
      <c r="E39" s="219">
        <v>45829055.670000002</v>
      </c>
      <c r="F39" s="220">
        <v>47246636.030000016</v>
      </c>
      <c r="G39" s="219">
        <v>47245622.370000005</v>
      </c>
      <c r="H39" s="245">
        <v>358499.95</v>
      </c>
      <c r="I39" s="217">
        <v>1013.66</v>
      </c>
      <c r="J39" s="217">
        <v>0</v>
      </c>
      <c r="K39" s="217">
        <v>0</v>
      </c>
      <c r="L39" s="217">
        <v>0</v>
      </c>
      <c r="M39" s="217">
        <v>0</v>
      </c>
      <c r="N39" s="216">
        <v>0</v>
      </c>
      <c r="O39" s="244">
        <v>1013.66</v>
      </c>
      <c r="P39" s="243">
        <v>0</v>
      </c>
      <c r="R39" s="197"/>
      <c r="S39" s="197"/>
      <c r="T39" s="197"/>
    </row>
    <row r="40" spans="2:20" outlineLevel="1" collapsed="1" x14ac:dyDescent="0.35">
      <c r="B40" s="487"/>
      <c r="C40" s="490"/>
      <c r="D40" s="263" t="s">
        <v>17</v>
      </c>
      <c r="E40" s="219">
        <v>1555013823.03</v>
      </c>
      <c r="F40" s="220">
        <v>1555013778.5400038</v>
      </c>
      <c r="G40" s="219">
        <v>1451205818.9300001</v>
      </c>
      <c r="H40" s="245">
        <v>45.639999999999979</v>
      </c>
      <c r="I40" s="217">
        <v>4.26</v>
      </c>
      <c r="J40" s="217">
        <v>34952896.68</v>
      </c>
      <c r="K40" s="217">
        <v>0</v>
      </c>
      <c r="L40" s="217">
        <v>0</v>
      </c>
      <c r="M40" s="217">
        <v>0</v>
      </c>
      <c r="N40" s="216">
        <v>68855057.570000008</v>
      </c>
      <c r="O40" s="244">
        <v>103807958.50999999</v>
      </c>
      <c r="P40" s="243">
        <v>3</v>
      </c>
      <c r="R40" s="197"/>
      <c r="S40" s="197"/>
      <c r="T40" s="197"/>
    </row>
    <row r="41" spans="2:20" x14ac:dyDescent="0.35">
      <c r="B41" s="488"/>
      <c r="C41" s="491"/>
      <c r="D41" s="270" t="s">
        <v>259</v>
      </c>
      <c r="E41" s="211">
        <f t="shared" ref="E41:P41" si="5">SUM(E8,E15:E16,E27:E29,E22,E33:E34,E40)</f>
        <v>13403889538.609999</v>
      </c>
      <c r="F41" s="240">
        <f t="shared" si="5"/>
        <v>12521156763.530003</v>
      </c>
      <c r="G41" s="211">
        <f t="shared" si="5"/>
        <v>12369167641.269999</v>
      </c>
      <c r="H41" s="269">
        <f t="shared" si="5"/>
        <v>318763591.53000015</v>
      </c>
      <c r="I41" s="209">
        <f t="shared" si="5"/>
        <v>2908235.2100000004</v>
      </c>
      <c r="J41" s="209">
        <f t="shared" si="5"/>
        <v>35044245.68</v>
      </c>
      <c r="K41" s="209">
        <f t="shared" si="5"/>
        <v>224796.2</v>
      </c>
      <c r="L41" s="209">
        <f t="shared" si="5"/>
        <v>0</v>
      </c>
      <c r="M41" s="209">
        <f t="shared" si="5"/>
        <v>17878683.010000005</v>
      </c>
      <c r="N41" s="239">
        <f t="shared" si="5"/>
        <v>95933156.090000004</v>
      </c>
      <c r="O41" s="268">
        <f t="shared" si="5"/>
        <v>151989116.19</v>
      </c>
      <c r="P41" s="207">
        <f t="shared" si="5"/>
        <v>112</v>
      </c>
      <c r="R41" s="197"/>
      <c r="S41" s="197"/>
      <c r="T41" s="197"/>
    </row>
    <row r="42" spans="2:20" outlineLevel="1" x14ac:dyDescent="0.35">
      <c r="B42" s="486" t="s">
        <v>258</v>
      </c>
      <c r="C42" s="489" t="s">
        <v>257</v>
      </c>
      <c r="D42" s="267"/>
      <c r="E42" s="266"/>
      <c r="F42" s="235"/>
      <c r="G42" s="234"/>
      <c r="H42" s="233"/>
      <c r="I42" s="265"/>
      <c r="J42" s="265"/>
      <c r="K42" s="265"/>
      <c r="L42" s="265"/>
      <c r="M42" s="265"/>
      <c r="N42" s="233"/>
      <c r="O42" s="234"/>
      <c r="P42" s="264"/>
      <c r="R42" s="197"/>
      <c r="S42" s="197"/>
      <c r="T42" s="197"/>
    </row>
    <row r="43" spans="2:20" outlineLevel="1" x14ac:dyDescent="0.35">
      <c r="B43" s="487"/>
      <c r="C43" s="490"/>
      <c r="D43" s="236" t="s">
        <v>203</v>
      </c>
      <c r="E43" s="219">
        <f t="shared" ref="E43:P43" si="6">SUM(E44:E47)</f>
        <v>2548741854.77</v>
      </c>
      <c r="F43" s="220">
        <f t="shared" si="6"/>
        <v>1860490380.8199992</v>
      </c>
      <c r="G43" s="219">
        <f t="shared" si="6"/>
        <v>1749557552.6000006</v>
      </c>
      <c r="H43" s="245">
        <f t="shared" si="6"/>
        <v>88303513.029999986</v>
      </c>
      <c r="I43" s="217">
        <f t="shared" si="6"/>
        <v>11208.349999999999</v>
      </c>
      <c r="J43" s="217">
        <f t="shared" si="6"/>
        <v>104722916.73000002</v>
      </c>
      <c r="K43" s="217">
        <f t="shared" si="6"/>
        <v>0</v>
      </c>
      <c r="L43" s="217">
        <f t="shared" si="6"/>
        <v>0</v>
      </c>
      <c r="M43" s="217">
        <f t="shared" si="6"/>
        <v>0</v>
      </c>
      <c r="N43" s="216">
        <f t="shared" si="6"/>
        <v>6198702.5</v>
      </c>
      <c r="O43" s="244">
        <f t="shared" si="6"/>
        <v>110932827.58000004</v>
      </c>
      <c r="P43" s="243">
        <f t="shared" si="6"/>
        <v>163</v>
      </c>
      <c r="R43" s="197"/>
      <c r="S43" s="197"/>
      <c r="T43" s="197"/>
    </row>
    <row r="44" spans="2:20" hidden="1" outlineLevel="2" x14ac:dyDescent="0.35">
      <c r="B44" s="487"/>
      <c r="C44" s="490"/>
      <c r="D44" s="262" t="s">
        <v>202</v>
      </c>
      <c r="E44" s="219">
        <v>862944444.54999995</v>
      </c>
      <c r="F44" s="220">
        <v>635759669.01999819</v>
      </c>
      <c r="G44" s="219">
        <v>591046637.77999961</v>
      </c>
      <c r="H44" s="245">
        <v>23092171.729999993</v>
      </c>
      <c r="I44" s="217">
        <v>2633.1800000000007</v>
      </c>
      <c r="J44" s="217">
        <v>40345469.990000024</v>
      </c>
      <c r="K44" s="217">
        <v>0</v>
      </c>
      <c r="L44" s="217">
        <v>0</v>
      </c>
      <c r="M44" s="217">
        <v>0</v>
      </c>
      <c r="N44" s="216">
        <v>4364927.97</v>
      </c>
      <c r="O44" s="244">
        <v>44713031.140000015</v>
      </c>
      <c r="P44" s="243">
        <v>61</v>
      </c>
      <c r="R44" s="197"/>
      <c r="S44" s="197"/>
      <c r="T44" s="197"/>
    </row>
    <row r="45" spans="2:20" hidden="1" outlineLevel="2" x14ac:dyDescent="0.35">
      <c r="B45" s="487"/>
      <c r="C45" s="490"/>
      <c r="D45" s="242" t="s">
        <v>201</v>
      </c>
      <c r="E45" s="219">
        <v>769607765.77999997</v>
      </c>
      <c r="F45" s="220">
        <v>519359967.34999776</v>
      </c>
      <c r="G45" s="219">
        <v>498149880.93000036</v>
      </c>
      <c r="H45" s="245">
        <v>47316206.399999984</v>
      </c>
      <c r="I45" s="217">
        <v>3975.1900000000005</v>
      </c>
      <c r="J45" s="217">
        <v>21007525.649999999</v>
      </c>
      <c r="K45" s="217">
        <v>0</v>
      </c>
      <c r="L45" s="217">
        <v>0</v>
      </c>
      <c r="M45" s="217">
        <v>0</v>
      </c>
      <c r="N45" s="216">
        <v>198585.29</v>
      </c>
      <c r="O45" s="244">
        <v>21210086.129999992</v>
      </c>
      <c r="P45" s="243">
        <v>50</v>
      </c>
      <c r="R45" s="197"/>
      <c r="S45" s="197"/>
      <c r="T45" s="197"/>
    </row>
    <row r="46" spans="2:20" hidden="1" outlineLevel="2" x14ac:dyDescent="0.35">
      <c r="B46" s="487"/>
      <c r="C46" s="490"/>
      <c r="D46" s="242" t="s">
        <v>200</v>
      </c>
      <c r="E46" s="219">
        <v>868535997.65999997</v>
      </c>
      <c r="F46" s="220">
        <v>658307063.47000301</v>
      </c>
      <c r="G46" s="219">
        <v>614289798.53000057</v>
      </c>
      <c r="H46" s="245">
        <v>17875389.610000003</v>
      </c>
      <c r="I46" s="217">
        <v>3347.7499999999991</v>
      </c>
      <c r="J46" s="217">
        <v>42378727.699999996</v>
      </c>
      <c r="K46" s="217">
        <v>0</v>
      </c>
      <c r="L46" s="217">
        <v>0</v>
      </c>
      <c r="M46" s="217">
        <v>0</v>
      </c>
      <c r="N46" s="216">
        <v>1635189.24</v>
      </c>
      <c r="O46" s="244">
        <v>44017264.690000027</v>
      </c>
      <c r="P46" s="243">
        <v>50</v>
      </c>
      <c r="R46" s="197"/>
      <c r="S46" s="197"/>
      <c r="T46" s="197"/>
    </row>
    <row r="47" spans="2:20" hidden="1" outlineLevel="2" x14ac:dyDescent="0.35">
      <c r="B47" s="487"/>
      <c r="C47" s="490"/>
      <c r="D47" s="242" t="s">
        <v>199</v>
      </c>
      <c r="E47" s="219">
        <v>47653646.780000001</v>
      </c>
      <c r="F47" s="220">
        <v>47063680.979999997</v>
      </c>
      <c r="G47" s="219">
        <v>46071235.359999999</v>
      </c>
      <c r="H47" s="245">
        <v>19745.29</v>
      </c>
      <c r="I47" s="217">
        <v>1252.23</v>
      </c>
      <c r="J47" s="217">
        <v>991193.39</v>
      </c>
      <c r="K47" s="217">
        <v>0</v>
      </c>
      <c r="L47" s="217">
        <v>0</v>
      </c>
      <c r="M47" s="217">
        <v>0</v>
      </c>
      <c r="N47" s="216">
        <v>0</v>
      </c>
      <c r="O47" s="244">
        <v>992445.62000000011</v>
      </c>
      <c r="P47" s="243">
        <v>2</v>
      </c>
      <c r="R47" s="197"/>
      <c r="S47" s="197"/>
      <c r="T47" s="197"/>
    </row>
    <row r="48" spans="2:20" outlineLevel="1" collapsed="1" x14ac:dyDescent="0.35">
      <c r="B48" s="487"/>
      <c r="C48" s="490"/>
      <c r="D48" s="263" t="s">
        <v>198</v>
      </c>
      <c r="E48" s="219">
        <v>1007360090.5500002</v>
      </c>
      <c r="F48" s="220">
        <v>598134517.1899991</v>
      </c>
      <c r="G48" s="219">
        <v>588102005.86999953</v>
      </c>
      <c r="H48" s="245">
        <v>101762337.62999991</v>
      </c>
      <c r="I48" s="217">
        <v>7424.2000000000016</v>
      </c>
      <c r="J48" s="217">
        <v>0</v>
      </c>
      <c r="K48" s="217">
        <v>0</v>
      </c>
      <c r="L48" s="217">
        <v>173266.22999999998</v>
      </c>
      <c r="M48" s="217">
        <v>0</v>
      </c>
      <c r="N48" s="216">
        <v>9851820.5299999993</v>
      </c>
      <c r="O48" s="244">
        <v>10032510.960000001</v>
      </c>
      <c r="P48" s="243">
        <v>17</v>
      </c>
      <c r="R48" s="197"/>
      <c r="S48" s="197"/>
      <c r="T48" s="197"/>
    </row>
    <row r="49" spans="2:20" outlineLevel="1" x14ac:dyDescent="0.35">
      <c r="B49" s="487"/>
      <c r="C49" s="490"/>
      <c r="D49" s="236" t="s">
        <v>189</v>
      </c>
      <c r="E49" s="219">
        <v>1535529679.7600019</v>
      </c>
      <c r="F49" s="220">
        <v>891061974.60999799</v>
      </c>
      <c r="G49" s="219">
        <v>863327073.92000043</v>
      </c>
      <c r="H49" s="245">
        <v>62673788.359999962</v>
      </c>
      <c r="I49" s="217">
        <v>4011833.66</v>
      </c>
      <c r="J49" s="217">
        <v>5746872.7399999984</v>
      </c>
      <c r="K49" s="217">
        <v>2796695.13</v>
      </c>
      <c r="L49" s="217">
        <v>636388.06999999995</v>
      </c>
      <c r="M49" s="217">
        <v>4630893.0999999996</v>
      </c>
      <c r="N49" s="216">
        <v>9912217.9100000001</v>
      </c>
      <c r="O49" s="244">
        <v>27734900.610000011</v>
      </c>
      <c r="P49" s="243">
        <v>82</v>
      </c>
      <c r="R49" s="197"/>
      <c r="S49" s="197"/>
      <c r="T49" s="197"/>
    </row>
    <row r="50" spans="2:20" outlineLevel="1" x14ac:dyDescent="0.35">
      <c r="B50" s="487"/>
      <c r="C50" s="490"/>
      <c r="D50" s="263" t="s">
        <v>179</v>
      </c>
      <c r="E50" s="219">
        <v>3184231867.099999</v>
      </c>
      <c r="F50" s="220">
        <v>2118963166.0399885</v>
      </c>
      <c r="G50" s="219">
        <v>2004563019.559999</v>
      </c>
      <c r="H50" s="245">
        <v>112387998.13000004</v>
      </c>
      <c r="I50" s="217">
        <v>9865756.8299999963</v>
      </c>
      <c r="J50" s="217">
        <v>19094257.779999997</v>
      </c>
      <c r="K50" s="217">
        <v>12383224.110000003</v>
      </c>
      <c r="L50" s="217">
        <v>5491574.8699999992</v>
      </c>
      <c r="M50" s="217">
        <v>4052046.5500000003</v>
      </c>
      <c r="N50" s="216">
        <v>63513284.25</v>
      </c>
      <c r="O50" s="244">
        <v>114400144.38999999</v>
      </c>
      <c r="P50" s="243">
        <v>74</v>
      </c>
      <c r="R50" s="197"/>
      <c r="S50" s="197"/>
      <c r="T50" s="197"/>
    </row>
    <row r="51" spans="2:20" outlineLevel="1" x14ac:dyDescent="0.35">
      <c r="B51" s="487"/>
      <c r="C51" s="490"/>
      <c r="D51" s="263" t="s">
        <v>188</v>
      </c>
      <c r="E51" s="219">
        <f t="shared" ref="E51:P51" si="7">SUM(E52:E55)</f>
        <v>2966057520.7600002</v>
      </c>
      <c r="F51" s="220">
        <f t="shared" si="7"/>
        <v>1619130627.4600003</v>
      </c>
      <c r="G51" s="219">
        <f t="shared" si="7"/>
        <v>1505348877.3899999</v>
      </c>
      <c r="H51" s="245">
        <f t="shared" si="7"/>
        <v>214355430.16999999</v>
      </c>
      <c r="I51" s="217">
        <f t="shared" si="7"/>
        <v>24142441.089999996</v>
      </c>
      <c r="J51" s="217">
        <f t="shared" si="7"/>
        <v>15591911.4</v>
      </c>
      <c r="K51" s="217">
        <f t="shared" si="7"/>
        <v>2743161.6</v>
      </c>
      <c r="L51" s="217">
        <f t="shared" si="7"/>
        <v>15567555.060000001</v>
      </c>
      <c r="M51" s="217">
        <f t="shared" si="7"/>
        <v>9725947.5700000003</v>
      </c>
      <c r="N51" s="216">
        <f t="shared" si="7"/>
        <v>46010732.129999995</v>
      </c>
      <c r="O51" s="244">
        <f t="shared" si="7"/>
        <v>113781748.85000002</v>
      </c>
      <c r="P51" s="243">
        <f t="shared" si="7"/>
        <v>25</v>
      </c>
      <c r="R51" s="197"/>
      <c r="S51" s="197"/>
      <c r="T51" s="197"/>
    </row>
    <row r="52" spans="2:20" hidden="1" outlineLevel="2" x14ac:dyDescent="0.35">
      <c r="B52" s="487"/>
      <c r="C52" s="490"/>
      <c r="D52" s="242" t="s">
        <v>186</v>
      </c>
      <c r="E52" s="219">
        <v>1504805394.76</v>
      </c>
      <c r="F52" s="220">
        <v>1063549010.1600002</v>
      </c>
      <c r="G52" s="219">
        <v>1035333504.5200001</v>
      </c>
      <c r="H52" s="245">
        <v>73147086.789999992</v>
      </c>
      <c r="I52" s="217">
        <v>2899833.49</v>
      </c>
      <c r="J52" s="217">
        <v>0</v>
      </c>
      <c r="K52" s="217">
        <v>0</v>
      </c>
      <c r="L52" s="217">
        <v>0</v>
      </c>
      <c r="M52" s="217">
        <v>0</v>
      </c>
      <c r="N52" s="216">
        <v>25315670.93</v>
      </c>
      <c r="O52" s="244">
        <v>28215504.420000002</v>
      </c>
      <c r="P52" s="243">
        <v>5</v>
      </c>
      <c r="R52" s="197"/>
      <c r="S52" s="197"/>
      <c r="T52" s="197"/>
    </row>
    <row r="53" spans="2:20" hidden="1" outlineLevel="2" x14ac:dyDescent="0.35">
      <c r="B53" s="487"/>
      <c r="C53" s="490"/>
      <c r="D53" s="242" t="s">
        <v>184</v>
      </c>
      <c r="E53" s="219">
        <v>130000000</v>
      </c>
      <c r="F53" s="220">
        <v>78000000</v>
      </c>
      <c r="G53" s="219">
        <v>78000000</v>
      </c>
      <c r="H53" s="245">
        <v>0</v>
      </c>
      <c r="I53" s="217">
        <v>0</v>
      </c>
      <c r="J53" s="217">
        <v>0</v>
      </c>
      <c r="K53" s="217">
        <v>0</v>
      </c>
      <c r="L53" s="217">
        <v>0</v>
      </c>
      <c r="M53" s="217">
        <v>0</v>
      </c>
      <c r="N53" s="216">
        <v>0</v>
      </c>
      <c r="O53" s="244">
        <v>0</v>
      </c>
      <c r="P53" s="243">
        <v>0</v>
      </c>
      <c r="R53" s="197"/>
      <c r="S53" s="197"/>
      <c r="T53" s="197"/>
    </row>
    <row r="54" spans="2:20" hidden="1" outlineLevel="2" x14ac:dyDescent="0.35">
      <c r="B54" s="487"/>
      <c r="C54" s="490"/>
      <c r="D54" s="262" t="s">
        <v>182</v>
      </c>
      <c r="E54" s="219">
        <v>1266411551</v>
      </c>
      <c r="F54" s="220">
        <v>471097559.79999995</v>
      </c>
      <c r="G54" s="219">
        <v>385531315.37</v>
      </c>
      <c r="H54" s="245">
        <v>85186085.879999995</v>
      </c>
      <c r="I54" s="217">
        <v>21242607.599999998</v>
      </c>
      <c r="J54" s="217">
        <v>15591911.4</v>
      </c>
      <c r="K54" s="217">
        <v>2743161.6</v>
      </c>
      <c r="L54" s="217">
        <v>15567555.060000001</v>
      </c>
      <c r="M54" s="217">
        <v>9725947.5700000003</v>
      </c>
      <c r="N54" s="216">
        <v>20695061.199999999</v>
      </c>
      <c r="O54" s="244">
        <v>85566244.430000022</v>
      </c>
      <c r="P54" s="243">
        <v>20</v>
      </c>
      <c r="R54" s="197"/>
      <c r="S54" s="197"/>
      <c r="T54" s="197"/>
    </row>
    <row r="55" spans="2:20" hidden="1" outlineLevel="2" x14ac:dyDescent="0.35">
      <c r="B55" s="487"/>
      <c r="C55" s="490"/>
      <c r="D55" s="262" t="s">
        <v>180</v>
      </c>
      <c r="E55" s="219">
        <v>64840575</v>
      </c>
      <c r="F55" s="220">
        <v>6484057.5</v>
      </c>
      <c r="G55" s="219">
        <v>6484057.5</v>
      </c>
      <c r="H55" s="245">
        <v>56022257.5</v>
      </c>
      <c r="I55" s="217">
        <v>0</v>
      </c>
      <c r="J55" s="217">
        <v>0</v>
      </c>
      <c r="K55" s="217">
        <v>0</v>
      </c>
      <c r="L55" s="217">
        <v>0</v>
      </c>
      <c r="M55" s="217">
        <v>0</v>
      </c>
      <c r="N55" s="216">
        <v>0</v>
      </c>
      <c r="O55" s="244">
        <v>0</v>
      </c>
      <c r="P55" s="243">
        <v>0</v>
      </c>
      <c r="R55" s="197"/>
      <c r="S55" s="197"/>
      <c r="T55" s="197"/>
    </row>
    <row r="56" spans="2:20" outlineLevel="1" collapsed="1" x14ac:dyDescent="0.35">
      <c r="B56" s="487"/>
      <c r="C56" s="490"/>
      <c r="D56" s="246" t="s">
        <v>170</v>
      </c>
      <c r="E56" s="219">
        <f t="shared" ref="E56:P56" si="8">SUM(E57:E62)</f>
        <v>9390845349.4699955</v>
      </c>
      <c r="F56" s="220">
        <f t="shared" si="8"/>
        <v>4905376235.9299879</v>
      </c>
      <c r="G56" s="219">
        <f t="shared" si="8"/>
        <v>4659049754.3500004</v>
      </c>
      <c r="H56" s="245">
        <f t="shared" si="8"/>
        <v>287677889.77999997</v>
      </c>
      <c r="I56" s="217">
        <f t="shared" si="8"/>
        <v>52342679.980000004</v>
      </c>
      <c r="J56" s="217">
        <f t="shared" si="8"/>
        <v>37167085.310000002</v>
      </c>
      <c r="K56" s="217">
        <f t="shared" si="8"/>
        <v>31091406.939999998</v>
      </c>
      <c r="L56" s="217">
        <f t="shared" si="8"/>
        <v>29121873.859999999</v>
      </c>
      <c r="M56" s="217">
        <f t="shared" si="8"/>
        <v>13214290.170000002</v>
      </c>
      <c r="N56" s="216">
        <f t="shared" si="8"/>
        <v>83389145.209999993</v>
      </c>
      <c r="O56" s="244">
        <f t="shared" si="8"/>
        <v>246326481.47000006</v>
      </c>
      <c r="P56" s="243">
        <f t="shared" si="8"/>
        <v>902</v>
      </c>
      <c r="R56" s="197"/>
      <c r="S56" s="197"/>
      <c r="T56" s="197"/>
    </row>
    <row r="57" spans="2:20" hidden="1" outlineLevel="2" x14ac:dyDescent="0.35">
      <c r="B57" s="487"/>
      <c r="C57" s="490"/>
      <c r="D57" s="242" t="s">
        <v>169</v>
      </c>
      <c r="E57" s="219">
        <v>1540354407.8499997</v>
      </c>
      <c r="F57" s="220">
        <v>824217906.84999704</v>
      </c>
      <c r="G57" s="219">
        <v>784697544.91000104</v>
      </c>
      <c r="H57" s="245">
        <v>46412770.439999983</v>
      </c>
      <c r="I57" s="217">
        <v>11504551.660000004</v>
      </c>
      <c r="J57" s="217">
        <v>8197763.0799999982</v>
      </c>
      <c r="K57" s="217">
        <v>5684051.8700000001</v>
      </c>
      <c r="L57" s="217">
        <v>2857043.88</v>
      </c>
      <c r="M57" s="217">
        <v>1350702.3</v>
      </c>
      <c r="N57" s="216">
        <v>9926249.1499999985</v>
      </c>
      <c r="O57" s="244">
        <v>39520361.940000005</v>
      </c>
      <c r="P57" s="243">
        <v>133</v>
      </c>
      <c r="R57" s="197"/>
      <c r="S57" s="197"/>
      <c r="T57" s="197"/>
    </row>
    <row r="58" spans="2:20" hidden="1" outlineLevel="2" x14ac:dyDescent="0.35">
      <c r="B58" s="487"/>
      <c r="C58" s="490"/>
      <c r="D58" s="242" t="s">
        <v>168</v>
      </c>
      <c r="E58" s="219">
        <v>1367089433.2900009</v>
      </c>
      <c r="F58" s="220">
        <v>848588296.8199985</v>
      </c>
      <c r="G58" s="219">
        <v>808001355.00999928</v>
      </c>
      <c r="H58" s="245">
        <v>33761593.090000018</v>
      </c>
      <c r="I58" s="217">
        <v>7886930.1999999983</v>
      </c>
      <c r="J58" s="217">
        <v>3160011.72</v>
      </c>
      <c r="K58" s="217">
        <v>4626143.97</v>
      </c>
      <c r="L58" s="217">
        <v>5149605.47</v>
      </c>
      <c r="M58" s="217">
        <v>667020.19000000006</v>
      </c>
      <c r="N58" s="216">
        <v>19097230.260000005</v>
      </c>
      <c r="O58" s="244">
        <v>40586941.81000004</v>
      </c>
      <c r="P58" s="243">
        <v>143</v>
      </c>
      <c r="R58" s="197"/>
      <c r="S58" s="197"/>
      <c r="T58" s="197"/>
    </row>
    <row r="59" spans="2:20" hidden="1" outlineLevel="2" x14ac:dyDescent="0.35">
      <c r="B59" s="487"/>
      <c r="C59" s="490"/>
      <c r="D59" s="242" t="s">
        <v>167</v>
      </c>
      <c r="E59" s="219">
        <v>1408135850.2399991</v>
      </c>
      <c r="F59" s="220">
        <v>743660045.94999814</v>
      </c>
      <c r="G59" s="219">
        <v>712824490.49999988</v>
      </c>
      <c r="H59" s="245">
        <v>32793622.990000006</v>
      </c>
      <c r="I59" s="217">
        <v>4027685.9200000004</v>
      </c>
      <c r="J59" s="217">
        <v>1542397.76</v>
      </c>
      <c r="K59" s="217">
        <v>3821452.9000000004</v>
      </c>
      <c r="L59" s="217">
        <v>3280078.95</v>
      </c>
      <c r="M59" s="217">
        <v>5502891.4400000023</v>
      </c>
      <c r="N59" s="216">
        <v>12661048.48</v>
      </c>
      <c r="O59" s="244">
        <v>30835555.449999999</v>
      </c>
      <c r="P59" s="243">
        <v>124</v>
      </c>
      <c r="R59" s="197"/>
      <c r="S59" s="197"/>
      <c r="T59" s="197"/>
    </row>
    <row r="60" spans="2:20" hidden="1" outlineLevel="2" x14ac:dyDescent="0.35">
      <c r="B60" s="487"/>
      <c r="C60" s="490"/>
      <c r="D60" s="242" t="s">
        <v>166</v>
      </c>
      <c r="E60" s="219">
        <v>1792831545.7099993</v>
      </c>
      <c r="F60" s="220">
        <v>886951994.98999655</v>
      </c>
      <c r="G60" s="219">
        <v>830359389.26999915</v>
      </c>
      <c r="H60" s="245">
        <v>65494440.919999957</v>
      </c>
      <c r="I60" s="217">
        <v>9965823.1200000029</v>
      </c>
      <c r="J60" s="217">
        <v>12052193.690000003</v>
      </c>
      <c r="K60" s="217">
        <v>8345986.6100000013</v>
      </c>
      <c r="L60" s="217">
        <v>4279988.830000001</v>
      </c>
      <c r="M60" s="217">
        <v>1702409.57</v>
      </c>
      <c r="N60" s="216">
        <v>20246203.899999999</v>
      </c>
      <c r="O60" s="244">
        <v>56592605.720000014</v>
      </c>
      <c r="P60" s="243">
        <v>193</v>
      </c>
      <c r="R60" s="197"/>
      <c r="S60" s="197"/>
      <c r="T60" s="197"/>
    </row>
    <row r="61" spans="2:20" hidden="1" outlineLevel="2" x14ac:dyDescent="0.35">
      <c r="B61" s="487"/>
      <c r="C61" s="490"/>
      <c r="D61" s="261" t="s">
        <v>165</v>
      </c>
      <c r="E61" s="219">
        <v>1468606439.3999984</v>
      </c>
      <c r="F61" s="220">
        <v>759895185.37000251</v>
      </c>
      <c r="G61" s="219">
        <v>732896915.64000058</v>
      </c>
      <c r="H61" s="245">
        <v>57351811.219999999</v>
      </c>
      <c r="I61" s="217">
        <v>7655455.9400000004</v>
      </c>
      <c r="J61" s="217">
        <v>4061897.1400000006</v>
      </c>
      <c r="K61" s="217">
        <v>2194655.08</v>
      </c>
      <c r="L61" s="217">
        <v>4727842.8399999989</v>
      </c>
      <c r="M61" s="217">
        <v>3239269.4400000004</v>
      </c>
      <c r="N61" s="216">
        <v>5119149.22</v>
      </c>
      <c r="O61" s="244">
        <v>26998269.660000004</v>
      </c>
      <c r="P61" s="243">
        <v>118</v>
      </c>
      <c r="R61" s="197"/>
      <c r="S61" s="197"/>
      <c r="T61" s="197"/>
    </row>
    <row r="62" spans="2:20" hidden="1" outlineLevel="2" x14ac:dyDescent="0.35">
      <c r="B62" s="487"/>
      <c r="C62" s="490"/>
      <c r="D62" s="261" t="s">
        <v>164</v>
      </c>
      <c r="E62" s="219">
        <v>1813827672.9799988</v>
      </c>
      <c r="F62" s="220">
        <v>842062805.94999528</v>
      </c>
      <c r="G62" s="219">
        <v>790270059.0200007</v>
      </c>
      <c r="H62" s="245">
        <v>51863651.120000012</v>
      </c>
      <c r="I62" s="217">
        <v>11302233.140000002</v>
      </c>
      <c r="J62" s="217">
        <v>8152821.919999999</v>
      </c>
      <c r="K62" s="217">
        <v>6419116.5099999998</v>
      </c>
      <c r="L62" s="217">
        <v>8827313.8899999969</v>
      </c>
      <c r="M62" s="217">
        <v>751997.23</v>
      </c>
      <c r="N62" s="216">
        <v>16339264.200000001</v>
      </c>
      <c r="O62" s="244">
        <v>51792746.889999993</v>
      </c>
      <c r="P62" s="243">
        <v>191</v>
      </c>
      <c r="R62" s="197"/>
      <c r="S62" s="197"/>
      <c r="T62" s="197"/>
    </row>
    <row r="63" spans="2:20" outlineLevel="1" collapsed="1" x14ac:dyDescent="0.35">
      <c r="B63" s="487"/>
      <c r="C63" s="490"/>
      <c r="D63" s="246" t="s">
        <v>256</v>
      </c>
      <c r="E63" s="219">
        <f t="shared" ref="E63:P63" si="9">SUM(E64:E66)</f>
        <v>2541198797.9000025</v>
      </c>
      <c r="F63" s="220">
        <f t="shared" si="9"/>
        <v>1548350914.5199885</v>
      </c>
      <c r="G63" s="219">
        <f t="shared" si="9"/>
        <v>1527323781.1800008</v>
      </c>
      <c r="H63" s="245">
        <f t="shared" si="9"/>
        <v>184292194.43000007</v>
      </c>
      <c r="I63" s="217">
        <f t="shared" si="9"/>
        <v>909310.81</v>
      </c>
      <c r="J63" s="217">
        <f t="shared" si="9"/>
        <v>2475460.48</v>
      </c>
      <c r="K63" s="217">
        <f t="shared" si="9"/>
        <v>883250.35000000009</v>
      </c>
      <c r="L63" s="217">
        <f t="shared" si="9"/>
        <v>584231.19999999995</v>
      </c>
      <c r="M63" s="217">
        <f t="shared" si="9"/>
        <v>2990.35</v>
      </c>
      <c r="N63" s="216">
        <f t="shared" si="9"/>
        <v>16116828.240000002</v>
      </c>
      <c r="O63" s="244">
        <f t="shared" si="9"/>
        <v>20972071.429999996</v>
      </c>
      <c r="P63" s="243">
        <f t="shared" si="9"/>
        <v>55</v>
      </c>
      <c r="R63" s="197"/>
      <c r="S63" s="197"/>
      <c r="T63" s="197"/>
    </row>
    <row r="64" spans="2:20" hidden="1" outlineLevel="2" x14ac:dyDescent="0.35">
      <c r="B64" s="487"/>
      <c r="C64" s="490"/>
      <c r="D64" s="260" t="s">
        <v>196</v>
      </c>
      <c r="E64" s="219">
        <v>1017869953.77</v>
      </c>
      <c r="F64" s="220">
        <v>626245285.1399982</v>
      </c>
      <c r="G64" s="219">
        <v>617990968.49000013</v>
      </c>
      <c r="H64" s="245">
        <v>67154177.470000044</v>
      </c>
      <c r="I64" s="217">
        <v>38276.909999999996</v>
      </c>
      <c r="J64" s="217">
        <v>152403.07999999999</v>
      </c>
      <c r="K64" s="217">
        <v>0</v>
      </c>
      <c r="L64" s="217">
        <v>177647.61</v>
      </c>
      <c r="M64" s="217">
        <v>0</v>
      </c>
      <c r="N64" s="216">
        <v>7885988.9099999992</v>
      </c>
      <c r="O64" s="244">
        <v>8254316.509999997</v>
      </c>
      <c r="P64" s="243">
        <v>21</v>
      </c>
      <c r="R64" s="197"/>
      <c r="S64" s="197"/>
      <c r="T64" s="197"/>
    </row>
    <row r="65" spans="2:20" hidden="1" outlineLevel="2" x14ac:dyDescent="0.35">
      <c r="B65" s="487"/>
      <c r="C65" s="490"/>
      <c r="D65" s="260" t="s">
        <v>195</v>
      </c>
      <c r="E65" s="219">
        <v>1470983486.8800027</v>
      </c>
      <c r="F65" s="220">
        <v>889723568.8199904</v>
      </c>
      <c r="G65" s="219">
        <v>877322143.73000073</v>
      </c>
      <c r="H65" s="245">
        <v>108950023.01000005</v>
      </c>
      <c r="I65" s="217">
        <v>870963.9</v>
      </c>
      <c r="J65" s="217">
        <v>2323057.4</v>
      </c>
      <c r="K65" s="217">
        <v>883250.35000000009</v>
      </c>
      <c r="L65" s="217">
        <v>406583.59</v>
      </c>
      <c r="M65" s="217">
        <v>2990.35</v>
      </c>
      <c r="N65" s="216">
        <v>7914579.3300000019</v>
      </c>
      <c r="O65" s="244">
        <v>12401424.919999998</v>
      </c>
      <c r="P65" s="243">
        <v>33</v>
      </c>
      <c r="R65" s="197"/>
      <c r="S65" s="197"/>
      <c r="T65" s="197"/>
    </row>
    <row r="66" spans="2:20" hidden="1" outlineLevel="2" x14ac:dyDescent="0.35">
      <c r="B66" s="487"/>
      <c r="C66" s="490"/>
      <c r="D66" s="260" t="s">
        <v>194</v>
      </c>
      <c r="E66" s="219">
        <v>52345357.25</v>
      </c>
      <c r="F66" s="220">
        <v>32382060.560000002</v>
      </c>
      <c r="G66" s="219">
        <v>32010668.960000001</v>
      </c>
      <c r="H66" s="245">
        <v>8187993.9500000002</v>
      </c>
      <c r="I66" s="217">
        <v>70</v>
      </c>
      <c r="J66" s="217">
        <v>0</v>
      </c>
      <c r="K66" s="217">
        <v>0</v>
      </c>
      <c r="L66" s="217">
        <v>0</v>
      </c>
      <c r="M66" s="217">
        <v>0</v>
      </c>
      <c r="N66" s="216">
        <v>316260</v>
      </c>
      <c r="O66" s="244">
        <v>316330</v>
      </c>
      <c r="P66" s="243">
        <v>1</v>
      </c>
      <c r="R66" s="197"/>
      <c r="S66" s="197"/>
      <c r="T66" s="197"/>
    </row>
    <row r="67" spans="2:20" outlineLevel="1" collapsed="1" x14ac:dyDescent="0.35">
      <c r="B67" s="487"/>
      <c r="C67" s="490"/>
      <c r="D67" s="246" t="s">
        <v>178</v>
      </c>
      <c r="E67" s="219">
        <f t="shared" ref="E67:P67" si="10">SUM(E68:E74)</f>
        <v>6987776685.4200001</v>
      </c>
      <c r="F67" s="220">
        <f t="shared" si="10"/>
        <v>3736014218.109992</v>
      </c>
      <c r="G67" s="219">
        <f t="shared" si="10"/>
        <v>3590002271.7599978</v>
      </c>
      <c r="H67" s="245">
        <f t="shared" si="10"/>
        <v>313172768.92999995</v>
      </c>
      <c r="I67" s="217">
        <f t="shared" si="10"/>
        <v>25729809.080000002</v>
      </c>
      <c r="J67" s="217">
        <f t="shared" si="10"/>
        <v>17698478.48</v>
      </c>
      <c r="K67" s="217">
        <f t="shared" si="10"/>
        <v>13460738.1</v>
      </c>
      <c r="L67" s="217">
        <f t="shared" si="10"/>
        <v>12704600.880000001</v>
      </c>
      <c r="M67" s="217">
        <f t="shared" si="10"/>
        <v>8796825.2799999975</v>
      </c>
      <c r="N67" s="216">
        <f t="shared" si="10"/>
        <v>67621494.00999999</v>
      </c>
      <c r="O67" s="244">
        <f t="shared" si="10"/>
        <v>146011945.82999998</v>
      </c>
      <c r="P67" s="243">
        <f t="shared" si="10"/>
        <v>415</v>
      </c>
      <c r="R67" s="197"/>
      <c r="S67" s="197"/>
      <c r="T67" s="197"/>
    </row>
    <row r="68" spans="2:20" hidden="1" outlineLevel="2" x14ac:dyDescent="0.35">
      <c r="B68" s="487"/>
      <c r="C68" s="490"/>
      <c r="D68" s="260" t="s">
        <v>177</v>
      </c>
      <c r="E68" s="219">
        <v>1437789012.3800011</v>
      </c>
      <c r="F68" s="220">
        <v>796240293.83000207</v>
      </c>
      <c r="G68" s="219">
        <v>762980005.54999983</v>
      </c>
      <c r="H68" s="245">
        <v>58937694.339999974</v>
      </c>
      <c r="I68" s="217">
        <v>3692461.3000000003</v>
      </c>
      <c r="J68" s="217">
        <v>2980085.08</v>
      </c>
      <c r="K68" s="217">
        <v>3363831.6400000006</v>
      </c>
      <c r="L68" s="217">
        <v>4909235.0900000008</v>
      </c>
      <c r="M68" s="217">
        <v>1258533.74</v>
      </c>
      <c r="N68" s="216">
        <v>17056141.370000001</v>
      </c>
      <c r="O68" s="244">
        <v>33260288.219999995</v>
      </c>
      <c r="P68" s="243">
        <v>95</v>
      </c>
      <c r="R68" s="197"/>
      <c r="S68" s="197"/>
      <c r="T68" s="197"/>
    </row>
    <row r="69" spans="2:20" hidden="1" outlineLevel="2" x14ac:dyDescent="0.35">
      <c r="B69" s="487"/>
      <c r="C69" s="490"/>
      <c r="D69" s="260" t="s">
        <v>176</v>
      </c>
      <c r="E69" s="219">
        <v>1649643870.8700001</v>
      </c>
      <c r="F69" s="220">
        <v>893626709.47999382</v>
      </c>
      <c r="G69" s="219">
        <v>871301816.70999885</v>
      </c>
      <c r="H69" s="245">
        <v>71956848.750000015</v>
      </c>
      <c r="I69" s="217">
        <v>2123335</v>
      </c>
      <c r="J69" s="217">
        <v>2486388.64</v>
      </c>
      <c r="K69" s="217">
        <v>1911840.69</v>
      </c>
      <c r="L69" s="217">
        <v>1278815.9800000002</v>
      </c>
      <c r="M69" s="217">
        <v>1565001.4099999997</v>
      </c>
      <c r="N69" s="216">
        <v>12959510.949999994</v>
      </c>
      <c r="O69" s="244">
        <v>22324892.669999979</v>
      </c>
      <c r="P69" s="243">
        <v>87</v>
      </c>
      <c r="R69" s="197"/>
      <c r="S69" s="197"/>
      <c r="T69" s="197"/>
    </row>
    <row r="70" spans="2:20" hidden="1" outlineLevel="2" x14ac:dyDescent="0.35">
      <c r="B70" s="487"/>
      <c r="C70" s="490"/>
      <c r="D70" s="260" t="s">
        <v>175</v>
      </c>
      <c r="E70" s="219">
        <v>1020475280.3399996</v>
      </c>
      <c r="F70" s="220">
        <v>545044972.50999868</v>
      </c>
      <c r="G70" s="219">
        <v>518691731.61999989</v>
      </c>
      <c r="H70" s="245">
        <v>47445506.089999981</v>
      </c>
      <c r="I70" s="217">
        <v>5767616.8800000008</v>
      </c>
      <c r="J70" s="217">
        <v>1947423.6500000001</v>
      </c>
      <c r="K70" s="217">
        <v>1717884.01</v>
      </c>
      <c r="L70" s="217">
        <v>654578.54</v>
      </c>
      <c r="M70" s="217">
        <v>2588912.2599999998</v>
      </c>
      <c r="N70" s="216">
        <v>13676825.550000001</v>
      </c>
      <c r="O70" s="244">
        <v>26353240.890000004</v>
      </c>
      <c r="P70" s="243">
        <v>61</v>
      </c>
      <c r="R70" s="197"/>
      <c r="S70" s="197"/>
      <c r="T70" s="197"/>
    </row>
    <row r="71" spans="2:20" hidden="1" outlineLevel="2" x14ac:dyDescent="0.35">
      <c r="B71" s="487"/>
      <c r="C71" s="490"/>
      <c r="D71" s="260" t="s">
        <v>174</v>
      </c>
      <c r="E71" s="219">
        <v>1066287099.3199998</v>
      </c>
      <c r="F71" s="220">
        <v>580504271.9599967</v>
      </c>
      <c r="G71" s="219">
        <v>563112062.14999962</v>
      </c>
      <c r="H71" s="245">
        <v>40491992.799999982</v>
      </c>
      <c r="I71" s="217">
        <v>5599575.8899999987</v>
      </c>
      <c r="J71" s="217">
        <v>1174538.3799999999</v>
      </c>
      <c r="K71" s="217">
        <v>950253.82000000007</v>
      </c>
      <c r="L71" s="217">
        <v>677917.21</v>
      </c>
      <c r="M71" s="217">
        <v>648280.64999999991</v>
      </c>
      <c r="N71" s="216">
        <v>8341643.7000000011</v>
      </c>
      <c r="O71" s="244">
        <v>17392209.650000002</v>
      </c>
      <c r="P71" s="243">
        <v>74</v>
      </c>
      <c r="R71" s="197"/>
      <c r="S71" s="197"/>
      <c r="T71" s="197"/>
    </row>
    <row r="72" spans="2:20" hidden="1" outlineLevel="2" x14ac:dyDescent="0.35">
      <c r="B72" s="487"/>
      <c r="C72" s="490"/>
      <c r="D72" s="260" t="s">
        <v>173</v>
      </c>
      <c r="E72" s="219">
        <v>1165155774.8299992</v>
      </c>
      <c r="F72" s="220">
        <v>624951739.96000111</v>
      </c>
      <c r="G72" s="219">
        <v>595976594.86999953</v>
      </c>
      <c r="H72" s="245">
        <v>58976268.090000004</v>
      </c>
      <c r="I72" s="217">
        <v>5125740.32</v>
      </c>
      <c r="J72" s="217">
        <v>3204014.71</v>
      </c>
      <c r="K72" s="217">
        <v>4368165.45</v>
      </c>
      <c r="L72" s="217">
        <v>733759.84000000008</v>
      </c>
      <c r="M72" s="217">
        <v>2637500.44</v>
      </c>
      <c r="N72" s="216">
        <v>12905964.130000003</v>
      </c>
      <c r="O72" s="244">
        <v>28975144.890000008</v>
      </c>
      <c r="P72" s="243">
        <v>71</v>
      </c>
      <c r="R72" s="197"/>
      <c r="S72" s="197"/>
      <c r="T72" s="197"/>
    </row>
    <row r="73" spans="2:20" hidden="1" outlineLevel="2" x14ac:dyDescent="0.35">
      <c r="B73" s="487"/>
      <c r="C73" s="490"/>
      <c r="D73" s="260" t="s">
        <v>172</v>
      </c>
      <c r="E73" s="219">
        <v>562226720.17999995</v>
      </c>
      <c r="F73" s="220">
        <v>243337504.86999983</v>
      </c>
      <c r="G73" s="219">
        <v>232013439.36000004</v>
      </c>
      <c r="H73" s="245">
        <v>34702400.840000004</v>
      </c>
      <c r="I73" s="217">
        <v>3421079.69</v>
      </c>
      <c r="J73" s="217">
        <v>3909429.0200000005</v>
      </c>
      <c r="K73" s="217">
        <v>1148762.49</v>
      </c>
      <c r="L73" s="217">
        <v>159865.22</v>
      </c>
      <c r="M73" s="217">
        <v>3520.78</v>
      </c>
      <c r="N73" s="216">
        <v>2681408.31</v>
      </c>
      <c r="O73" s="244">
        <v>11324065.51</v>
      </c>
      <c r="P73" s="243">
        <v>24</v>
      </c>
      <c r="R73" s="197"/>
      <c r="S73" s="197"/>
      <c r="T73" s="197"/>
    </row>
    <row r="74" spans="2:20" hidden="1" outlineLevel="2" x14ac:dyDescent="0.35">
      <c r="B74" s="487"/>
      <c r="C74" s="490"/>
      <c r="D74" s="260" t="s">
        <v>171</v>
      </c>
      <c r="E74" s="219">
        <v>86198927.5</v>
      </c>
      <c r="F74" s="220">
        <v>52308725.5</v>
      </c>
      <c r="G74" s="219">
        <v>45926621.5</v>
      </c>
      <c r="H74" s="245">
        <v>662058.02</v>
      </c>
      <c r="I74" s="217">
        <v>0</v>
      </c>
      <c r="J74" s="217">
        <v>1996599</v>
      </c>
      <c r="K74" s="217">
        <v>0</v>
      </c>
      <c r="L74" s="217">
        <v>4290429</v>
      </c>
      <c r="M74" s="217">
        <v>95076</v>
      </c>
      <c r="N74" s="216">
        <v>0</v>
      </c>
      <c r="O74" s="244">
        <v>6382104</v>
      </c>
      <c r="P74" s="243">
        <v>3</v>
      </c>
      <c r="R74" s="197"/>
      <c r="S74" s="197"/>
      <c r="T74" s="197"/>
    </row>
    <row r="75" spans="2:20" x14ac:dyDescent="0.35">
      <c r="B75" s="488"/>
      <c r="C75" s="491"/>
      <c r="D75" s="232" t="s">
        <v>255</v>
      </c>
      <c r="E75" s="212">
        <f t="shared" ref="E75:P75" si="11">SUM(E43,E48:E51,E56,E63,E67)</f>
        <v>30161741845.729996</v>
      </c>
      <c r="F75" s="210">
        <f t="shared" si="11"/>
        <v>17277522034.679955</v>
      </c>
      <c r="G75" s="211">
        <f t="shared" si="11"/>
        <v>16487274336.629999</v>
      </c>
      <c r="H75" s="240">
        <f t="shared" si="11"/>
        <v>1364625920.46</v>
      </c>
      <c r="I75" s="209">
        <f t="shared" si="11"/>
        <v>117020464</v>
      </c>
      <c r="J75" s="209">
        <f t="shared" si="11"/>
        <v>202496982.91999999</v>
      </c>
      <c r="K75" s="209">
        <f t="shared" si="11"/>
        <v>63358476.230000004</v>
      </c>
      <c r="L75" s="209">
        <f t="shared" si="11"/>
        <v>64279490.170000009</v>
      </c>
      <c r="M75" s="209">
        <f t="shared" si="11"/>
        <v>40422993.019999996</v>
      </c>
      <c r="N75" s="239">
        <f t="shared" si="11"/>
        <v>302614224.77999997</v>
      </c>
      <c r="O75" s="238">
        <f t="shared" si="11"/>
        <v>790192631.12000012</v>
      </c>
      <c r="P75" s="207">
        <f t="shared" si="11"/>
        <v>1733</v>
      </c>
      <c r="R75" s="197"/>
      <c r="S75" s="197"/>
      <c r="T75" s="197"/>
    </row>
    <row r="76" spans="2:20" outlineLevel="1" x14ac:dyDescent="0.35">
      <c r="B76" s="486" t="s">
        <v>254</v>
      </c>
      <c r="C76" s="489" t="s">
        <v>253</v>
      </c>
      <c r="D76" s="251"/>
      <c r="E76" s="259"/>
      <c r="F76" s="258"/>
      <c r="G76" s="257"/>
      <c r="H76" s="255"/>
      <c r="I76" s="256"/>
      <c r="J76" s="256"/>
      <c r="K76" s="256"/>
      <c r="L76" s="256"/>
      <c r="M76" s="256"/>
      <c r="N76" s="255"/>
      <c r="O76" s="254"/>
      <c r="P76" s="253"/>
      <c r="Q76" s="252"/>
      <c r="R76" s="197"/>
      <c r="S76" s="197"/>
      <c r="T76" s="197"/>
    </row>
    <row r="77" spans="2:20" outlineLevel="1" x14ac:dyDescent="0.35">
      <c r="B77" s="487"/>
      <c r="C77" s="490"/>
      <c r="D77" s="251" t="s">
        <v>252</v>
      </c>
      <c r="E77" s="219">
        <f t="shared" ref="E77:P77" si="12">SUM(E78:E80)</f>
        <v>5301963228.2799997</v>
      </c>
      <c r="F77" s="220">
        <f t="shared" si="12"/>
        <v>3061852349.7400026</v>
      </c>
      <c r="G77" s="219">
        <f t="shared" si="12"/>
        <v>2861273379.0300007</v>
      </c>
      <c r="H77" s="245">
        <f t="shared" si="12"/>
        <v>258975239.60000002</v>
      </c>
      <c r="I77" s="217">
        <f t="shared" si="12"/>
        <v>47070394.089999989</v>
      </c>
      <c r="J77" s="217">
        <f t="shared" si="12"/>
        <v>53009470.860000007</v>
      </c>
      <c r="K77" s="217">
        <f t="shared" si="12"/>
        <v>15075023.35</v>
      </c>
      <c r="L77" s="217">
        <f t="shared" si="12"/>
        <v>8230393.2400000002</v>
      </c>
      <c r="M77" s="217">
        <f t="shared" si="12"/>
        <v>11773113.780000001</v>
      </c>
      <c r="N77" s="216">
        <f t="shared" si="12"/>
        <v>65420572.789999992</v>
      </c>
      <c r="O77" s="244">
        <f t="shared" si="12"/>
        <v>200578968.11000001</v>
      </c>
      <c r="P77" s="243">
        <f t="shared" si="12"/>
        <v>176</v>
      </c>
      <c r="R77" s="197"/>
      <c r="S77" s="197"/>
      <c r="T77" s="197"/>
    </row>
    <row r="78" spans="2:20" hidden="1" outlineLevel="2" x14ac:dyDescent="0.35">
      <c r="B78" s="487"/>
      <c r="C78" s="490"/>
      <c r="D78" s="250" t="s">
        <v>192</v>
      </c>
      <c r="E78" s="219">
        <v>2615490904.3499999</v>
      </c>
      <c r="F78" s="220">
        <v>1736493994.8900018</v>
      </c>
      <c r="G78" s="219">
        <v>1604216341.1900008</v>
      </c>
      <c r="H78" s="245">
        <v>145719771.67000002</v>
      </c>
      <c r="I78" s="217">
        <v>24706390.999999989</v>
      </c>
      <c r="J78" s="217">
        <v>31466705.850000005</v>
      </c>
      <c r="K78" s="217">
        <v>10670712.84</v>
      </c>
      <c r="L78" s="217">
        <v>1289326.6200000001</v>
      </c>
      <c r="M78" s="217">
        <v>7332165.6099999994</v>
      </c>
      <c r="N78" s="216">
        <v>56812349.809999995</v>
      </c>
      <c r="O78" s="244">
        <v>132277651.73000002</v>
      </c>
      <c r="P78" s="243">
        <v>93</v>
      </c>
      <c r="R78" s="197"/>
      <c r="S78" s="197"/>
      <c r="T78" s="197"/>
    </row>
    <row r="79" spans="2:20" hidden="1" outlineLevel="2" x14ac:dyDescent="0.35">
      <c r="B79" s="487"/>
      <c r="C79" s="490"/>
      <c r="D79" s="250" t="s">
        <v>191</v>
      </c>
      <c r="E79" s="219">
        <v>1512285647.21</v>
      </c>
      <c r="F79" s="220">
        <v>799332322.49000072</v>
      </c>
      <c r="G79" s="219">
        <v>761723950.79999995</v>
      </c>
      <c r="H79" s="245">
        <v>33855060.810000002</v>
      </c>
      <c r="I79" s="217">
        <v>11229419.199999997</v>
      </c>
      <c r="J79" s="217">
        <v>12093407.969999999</v>
      </c>
      <c r="K79" s="217">
        <v>1845626.1099999999</v>
      </c>
      <c r="L79" s="217">
        <v>4626319.47</v>
      </c>
      <c r="M79" s="217">
        <v>2061820.71</v>
      </c>
      <c r="N79" s="216">
        <v>5751778.1500000004</v>
      </c>
      <c r="O79" s="244">
        <v>37608371.609999992</v>
      </c>
      <c r="P79" s="243">
        <v>46</v>
      </c>
      <c r="R79" s="197"/>
      <c r="S79" s="197"/>
      <c r="T79" s="197"/>
    </row>
    <row r="80" spans="2:20" hidden="1" outlineLevel="2" x14ac:dyDescent="0.35">
      <c r="B80" s="487"/>
      <c r="C80" s="490"/>
      <c r="D80" s="250" t="s">
        <v>190</v>
      </c>
      <c r="E80" s="219">
        <v>1174186676.72</v>
      </c>
      <c r="F80" s="220">
        <v>526026032.36000037</v>
      </c>
      <c r="G80" s="219">
        <v>495333087.03999996</v>
      </c>
      <c r="H80" s="245">
        <v>79400407.11999999</v>
      </c>
      <c r="I80" s="217">
        <v>11134583.890000001</v>
      </c>
      <c r="J80" s="217">
        <v>9449357.0399999991</v>
      </c>
      <c r="K80" s="217">
        <v>2558684.4</v>
      </c>
      <c r="L80" s="217">
        <v>2314747.1500000004</v>
      </c>
      <c r="M80" s="217">
        <v>2379127.46</v>
      </c>
      <c r="N80" s="216">
        <v>2856444.8299999996</v>
      </c>
      <c r="O80" s="244">
        <v>30692944.770000003</v>
      </c>
      <c r="P80" s="243">
        <v>37</v>
      </c>
      <c r="R80" s="197"/>
      <c r="S80" s="197"/>
      <c r="T80" s="197"/>
    </row>
    <row r="81" spans="2:20" outlineLevel="1" collapsed="1" x14ac:dyDescent="0.35">
      <c r="B81" s="487"/>
      <c r="C81" s="490"/>
      <c r="D81" s="251" t="s">
        <v>158</v>
      </c>
      <c r="E81" s="219">
        <f t="shared" ref="E81:P81" si="13">SUM(E82:E89)</f>
        <v>3738518271.7600002</v>
      </c>
      <c r="F81" s="220">
        <f t="shared" si="13"/>
        <v>1582324083.3500047</v>
      </c>
      <c r="G81" s="219">
        <f t="shared" si="13"/>
        <v>1507701123.5200002</v>
      </c>
      <c r="H81" s="245">
        <f t="shared" si="13"/>
        <v>82998338.939999983</v>
      </c>
      <c r="I81" s="217">
        <f t="shared" si="13"/>
        <v>16185377.460000003</v>
      </c>
      <c r="J81" s="217">
        <f t="shared" si="13"/>
        <v>20204321.969999995</v>
      </c>
      <c r="K81" s="217">
        <f t="shared" si="13"/>
        <v>3618064.7399999998</v>
      </c>
      <c r="L81" s="217">
        <f t="shared" si="13"/>
        <v>3821112.76</v>
      </c>
      <c r="M81" s="217">
        <f t="shared" si="13"/>
        <v>8599816.7599999998</v>
      </c>
      <c r="N81" s="216">
        <f t="shared" si="13"/>
        <v>22194266.07</v>
      </c>
      <c r="O81" s="244">
        <f t="shared" si="13"/>
        <v>74622959.759999961</v>
      </c>
      <c r="P81" s="243">
        <f t="shared" si="13"/>
        <v>505</v>
      </c>
      <c r="R81" s="197"/>
      <c r="S81" s="197"/>
      <c r="T81" s="197"/>
    </row>
    <row r="82" spans="2:20" hidden="1" outlineLevel="2" x14ac:dyDescent="0.35">
      <c r="B82" s="487"/>
      <c r="C82" s="490"/>
      <c r="D82" s="250" t="s">
        <v>157</v>
      </c>
      <c r="E82" s="219">
        <v>732242701.68999994</v>
      </c>
      <c r="F82" s="220">
        <v>379088560.84000438</v>
      </c>
      <c r="G82" s="219">
        <v>357972786.68999982</v>
      </c>
      <c r="H82" s="245">
        <v>12986703.869999994</v>
      </c>
      <c r="I82" s="217">
        <v>1655086.2000000002</v>
      </c>
      <c r="J82" s="217">
        <v>11480189.629999997</v>
      </c>
      <c r="K82" s="217">
        <v>431521.69</v>
      </c>
      <c r="L82" s="217">
        <v>542809.59999999998</v>
      </c>
      <c r="M82" s="217">
        <v>1314957.9099999999</v>
      </c>
      <c r="N82" s="216">
        <v>5691209.120000001</v>
      </c>
      <c r="O82" s="244">
        <v>21115774.149999999</v>
      </c>
      <c r="P82" s="243">
        <v>151</v>
      </c>
      <c r="R82" s="197"/>
      <c r="S82" s="197"/>
      <c r="T82" s="197"/>
    </row>
    <row r="83" spans="2:20" hidden="1" outlineLevel="2" x14ac:dyDescent="0.35">
      <c r="B83" s="487"/>
      <c r="C83" s="490"/>
      <c r="D83" s="250" t="s">
        <v>156</v>
      </c>
      <c r="E83" s="219">
        <v>750979306.7300005</v>
      </c>
      <c r="F83" s="220">
        <v>330182519.46000069</v>
      </c>
      <c r="G83" s="219">
        <v>313825041.03999978</v>
      </c>
      <c r="H83" s="245">
        <v>17075733.02999999</v>
      </c>
      <c r="I83" s="217">
        <v>3923525.5200000009</v>
      </c>
      <c r="J83" s="217">
        <v>801011.16</v>
      </c>
      <c r="K83" s="217">
        <v>837578.18</v>
      </c>
      <c r="L83" s="217">
        <v>818201.45000000007</v>
      </c>
      <c r="M83" s="217">
        <v>3524536.7</v>
      </c>
      <c r="N83" s="216">
        <v>6452625.4100000001</v>
      </c>
      <c r="O83" s="244">
        <v>16357478.419999996</v>
      </c>
      <c r="P83" s="243">
        <v>100</v>
      </c>
      <c r="R83" s="197"/>
      <c r="S83" s="197"/>
      <c r="T83" s="197"/>
    </row>
    <row r="84" spans="2:20" hidden="1" outlineLevel="2" x14ac:dyDescent="0.35">
      <c r="B84" s="487"/>
      <c r="C84" s="490"/>
      <c r="D84" s="250" t="s">
        <v>155</v>
      </c>
      <c r="E84" s="219">
        <v>266342833.88000008</v>
      </c>
      <c r="F84" s="220">
        <v>83851843.330000073</v>
      </c>
      <c r="G84" s="219">
        <v>80472263.659999952</v>
      </c>
      <c r="H84" s="245">
        <v>7763700.129999999</v>
      </c>
      <c r="I84" s="217">
        <v>1130589.3900000006</v>
      </c>
      <c r="J84" s="217">
        <v>340194.18</v>
      </c>
      <c r="K84" s="217">
        <v>490082.69</v>
      </c>
      <c r="L84" s="217">
        <v>501022.24</v>
      </c>
      <c r="M84" s="217">
        <v>404739.01</v>
      </c>
      <c r="N84" s="216">
        <v>512952.16</v>
      </c>
      <c r="O84" s="244">
        <v>3379579.6700000004</v>
      </c>
      <c r="P84" s="243">
        <v>24</v>
      </c>
      <c r="R84" s="197"/>
      <c r="S84" s="197"/>
      <c r="T84" s="197"/>
    </row>
    <row r="85" spans="2:20" hidden="1" outlineLevel="2" x14ac:dyDescent="0.35">
      <c r="B85" s="487"/>
      <c r="C85" s="490"/>
      <c r="D85" s="250" t="s">
        <v>154</v>
      </c>
      <c r="E85" s="219">
        <v>331848722.86999995</v>
      </c>
      <c r="F85" s="220">
        <v>101253982.25999998</v>
      </c>
      <c r="G85" s="219">
        <v>98350674.440000072</v>
      </c>
      <c r="H85" s="245">
        <v>7843520</v>
      </c>
      <c r="I85" s="217">
        <v>731159.63000000012</v>
      </c>
      <c r="J85" s="217">
        <v>1015250.5900000002</v>
      </c>
      <c r="K85" s="217">
        <v>184219.44</v>
      </c>
      <c r="L85" s="217">
        <v>293398.53999999998</v>
      </c>
      <c r="M85" s="217">
        <v>516570.06999999995</v>
      </c>
      <c r="N85" s="216">
        <v>162709.54999999999</v>
      </c>
      <c r="O85" s="244">
        <v>2903307.82</v>
      </c>
      <c r="P85" s="243">
        <v>25</v>
      </c>
      <c r="R85" s="197"/>
      <c r="S85" s="197"/>
      <c r="T85" s="197"/>
    </row>
    <row r="86" spans="2:20" hidden="1" outlineLevel="2" x14ac:dyDescent="0.35">
      <c r="B86" s="487"/>
      <c r="C86" s="490"/>
      <c r="D86" s="250" t="s">
        <v>153</v>
      </c>
      <c r="E86" s="219">
        <v>913478656.37999904</v>
      </c>
      <c r="F86" s="220">
        <v>437884662.62999958</v>
      </c>
      <c r="G86" s="219">
        <v>415154034.83000046</v>
      </c>
      <c r="H86" s="245">
        <v>16644972.849999998</v>
      </c>
      <c r="I86" s="217">
        <v>7064511.3000000017</v>
      </c>
      <c r="J86" s="217">
        <v>4146754.8800000004</v>
      </c>
      <c r="K86" s="217">
        <v>1016652.1300000001</v>
      </c>
      <c r="L86" s="217">
        <v>1099128.3400000001</v>
      </c>
      <c r="M86" s="217">
        <v>1886939.4700000002</v>
      </c>
      <c r="N86" s="216">
        <v>7516641.6800000006</v>
      </c>
      <c r="O86" s="244">
        <v>22730627.799999975</v>
      </c>
      <c r="P86" s="243">
        <v>145</v>
      </c>
      <c r="R86" s="197"/>
      <c r="S86" s="197"/>
      <c r="T86" s="197"/>
    </row>
    <row r="87" spans="2:20" hidden="1" outlineLevel="2" x14ac:dyDescent="0.35">
      <c r="B87" s="487"/>
      <c r="C87" s="490"/>
      <c r="D87" s="250" t="s">
        <v>152</v>
      </c>
      <c r="E87" s="219">
        <v>335904063.08000004</v>
      </c>
      <c r="F87" s="220">
        <v>114446912.95999986</v>
      </c>
      <c r="G87" s="219">
        <v>109872092.58000001</v>
      </c>
      <c r="H87" s="245">
        <v>11871682.410000002</v>
      </c>
      <c r="I87" s="217">
        <v>877709.3200000003</v>
      </c>
      <c r="J87" s="217">
        <v>2038601.59</v>
      </c>
      <c r="K87" s="217">
        <v>4705.71</v>
      </c>
      <c r="L87" s="217">
        <v>115790.9</v>
      </c>
      <c r="M87" s="217">
        <v>430913.87</v>
      </c>
      <c r="N87" s="216">
        <v>1107098.99</v>
      </c>
      <c r="O87" s="244">
        <v>4574820.3800000008</v>
      </c>
      <c r="P87" s="243">
        <v>31</v>
      </c>
      <c r="R87" s="197"/>
      <c r="S87" s="197"/>
      <c r="T87" s="197"/>
    </row>
    <row r="88" spans="2:20" hidden="1" outlineLevel="2" x14ac:dyDescent="0.35">
      <c r="B88" s="487"/>
      <c r="C88" s="490"/>
      <c r="D88" s="250" t="s">
        <v>151</v>
      </c>
      <c r="E88" s="219">
        <v>303141987.13000035</v>
      </c>
      <c r="F88" s="220">
        <v>110019604.87000006</v>
      </c>
      <c r="G88" s="219">
        <v>106749138.38000001</v>
      </c>
      <c r="H88" s="245">
        <v>8213276.389999995</v>
      </c>
      <c r="I88" s="217">
        <v>793165.60000000033</v>
      </c>
      <c r="J88" s="217">
        <v>376215.36</v>
      </c>
      <c r="K88" s="217">
        <v>395044.65</v>
      </c>
      <c r="L88" s="217">
        <v>450761.69</v>
      </c>
      <c r="M88" s="217">
        <v>504249.95999999996</v>
      </c>
      <c r="N88" s="216">
        <v>751029.16</v>
      </c>
      <c r="O88" s="244">
        <v>3270466.4200000004</v>
      </c>
      <c r="P88" s="243">
        <v>26</v>
      </c>
      <c r="R88" s="197"/>
      <c r="S88" s="197"/>
      <c r="T88" s="197"/>
    </row>
    <row r="89" spans="2:20" hidden="1" outlineLevel="2" x14ac:dyDescent="0.35">
      <c r="B89" s="487"/>
      <c r="C89" s="490"/>
      <c r="D89" s="250" t="s">
        <v>150</v>
      </c>
      <c r="E89" s="219">
        <v>104580000</v>
      </c>
      <c r="F89" s="220">
        <v>25595997</v>
      </c>
      <c r="G89" s="219">
        <v>25305091.899999999</v>
      </c>
      <c r="H89" s="245">
        <v>598750.26</v>
      </c>
      <c r="I89" s="217">
        <v>9630.5</v>
      </c>
      <c r="J89" s="217">
        <v>6104.58</v>
      </c>
      <c r="K89" s="217">
        <v>258260.25</v>
      </c>
      <c r="L89" s="217">
        <v>0</v>
      </c>
      <c r="M89" s="217">
        <v>16909.77</v>
      </c>
      <c r="N89" s="216">
        <v>0</v>
      </c>
      <c r="O89" s="244">
        <v>290905.09999999998</v>
      </c>
      <c r="P89" s="243">
        <v>3</v>
      </c>
      <c r="R89" s="197"/>
      <c r="S89" s="197"/>
      <c r="T89" s="197"/>
    </row>
    <row r="90" spans="2:20" outlineLevel="1" collapsed="1" x14ac:dyDescent="0.35">
      <c r="B90" s="487"/>
      <c r="C90" s="490"/>
      <c r="D90" s="251" t="s">
        <v>149</v>
      </c>
      <c r="E90" s="219">
        <f t="shared" ref="E90:P90" si="14">SUM(E91:E93)</f>
        <v>3839886319.8000002</v>
      </c>
      <c r="F90" s="220">
        <f t="shared" si="14"/>
        <v>1045588601.7500001</v>
      </c>
      <c r="G90" s="219">
        <f t="shared" si="14"/>
        <v>1005409411.4799995</v>
      </c>
      <c r="H90" s="245">
        <f t="shared" si="14"/>
        <v>150309394.14999992</v>
      </c>
      <c r="I90" s="217">
        <f t="shared" si="14"/>
        <v>6222862.9700000007</v>
      </c>
      <c r="J90" s="217">
        <f t="shared" si="14"/>
        <v>7786998.7400000002</v>
      </c>
      <c r="K90" s="217">
        <f t="shared" si="14"/>
        <v>3998975.5</v>
      </c>
      <c r="L90" s="217">
        <f t="shared" si="14"/>
        <v>5410717.8600000003</v>
      </c>
      <c r="M90" s="217">
        <f t="shared" si="14"/>
        <v>4791703.4800000004</v>
      </c>
      <c r="N90" s="216">
        <f t="shared" si="14"/>
        <v>11967931.599999998</v>
      </c>
      <c r="O90" s="244">
        <f t="shared" si="14"/>
        <v>40179190.149999999</v>
      </c>
      <c r="P90" s="243">
        <f t="shared" si="14"/>
        <v>155</v>
      </c>
      <c r="R90" s="197"/>
      <c r="S90" s="197"/>
      <c r="T90" s="197"/>
    </row>
    <row r="91" spans="2:20" hidden="1" outlineLevel="2" x14ac:dyDescent="0.35">
      <c r="B91" s="487"/>
      <c r="C91" s="490"/>
      <c r="D91" s="250" t="s">
        <v>148</v>
      </c>
      <c r="E91" s="219">
        <v>1204568671.5399995</v>
      </c>
      <c r="F91" s="220">
        <v>324248300.53999984</v>
      </c>
      <c r="G91" s="219">
        <v>313302488.40999979</v>
      </c>
      <c r="H91" s="245">
        <v>67276427.449999988</v>
      </c>
      <c r="I91" s="217">
        <v>2688741.0199999996</v>
      </c>
      <c r="J91" s="217">
        <v>2212335.5700000003</v>
      </c>
      <c r="K91" s="217">
        <v>1079674.99</v>
      </c>
      <c r="L91" s="217">
        <v>697079.66999999993</v>
      </c>
      <c r="M91" s="217">
        <v>1183034.6299999999</v>
      </c>
      <c r="N91" s="216">
        <v>3084946.1299999994</v>
      </c>
      <c r="O91" s="244">
        <v>10945812.010000002</v>
      </c>
      <c r="P91" s="243">
        <v>50</v>
      </c>
      <c r="R91" s="197"/>
      <c r="S91" s="197"/>
      <c r="T91" s="197"/>
    </row>
    <row r="92" spans="2:20" hidden="1" outlineLevel="2" x14ac:dyDescent="0.35">
      <c r="B92" s="487"/>
      <c r="C92" s="490"/>
      <c r="D92" s="250" t="s">
        <v>147</v>
      </c>
      <c r="E92" s="219">
        <v>934429390.42000055</v>
      </c>
      <c r="F92" s="220">
        <v>255367785.73999977</v>
      </c>
      <c r="G92" s="219">
        <v>248328378.34999999</v>
      </c>
      <c r="H92" s="245">
        <v>36450225.639999986</v>
      </c>
      <c r="I92" s="217">
        <v>1450181.4100000004</v>
      </c>
      <c r="J92" s="217">
        <v>1498917.6600000001</v>
      </c>
      <c r="K92" s="217">
        <v>1248979.2</v>
      </c>
      <c r="L92" s="217">
        <v>1339251.4100000001</v>
      </c>
      <c r="M92" s="217">
        <v>342789.66000000003</v>
      </c>
      <c r="N92" s="216">
        <v>1159288.0499999998</v>
      </c>
      <c r="O92" s="244">
        <v>7039407.3900000006</v>
      </c>
      <c r="P92" s="243">
        <v>40</v>
      </c>
      <c r="R92" s="197"/>
      <c r="S92" s="197"/>
      <c r="T92" s="197"/>
    </row>
    <row r="93" spans="2:20" hidden="1" outlineLevel="2" x14ac:dyDescent="0.35">
      <c r="B93" s="487"/>
      <c r="C93" s="490"/>
      <c r="D93" s="250" t="s">
        <v>146</v>
      </c>
      <c r="E93" s="248">
        <v>1700888257.8400002</v>
      </c>
      <c r="F93" s="249">
        <v>465972515.47000051</v>
      </c>
      <c r="G93" s="248">
        <v>443778544.71999985</v>
      </c>
      <c r="H93" s="245">
        <v>46582741.059999958</v>
      </c>
      <c r="I93" s="217">
        <v>2083940.540000001</v>
      </c>
      <c r="J93" s="217">
        <v>4075745.5100000002</v>
      </c>
      <c r="K93" s="217">
        <v>1670321.3099999998</v>
      </c>
      <c r="L93" s="217">
        <v>3374386.7800000003</v>
      </c>
      <c r="M93" s="217">
        <v>3265879.19</v>
      </c>
      <c r="N93" s="216">
        <v>7723697.419999999</v>
      </c>
      <c r="O93" s="247">
        <v>22193970.749999996</v>
      </c>
      <c r="P93" s="243">
        <v>65</v>
      </c>
      <c r="R93" s="197"/>
      <c r="S93" s="197"/>
      <c r="T93" s="197"/>
    </row>
    <row r="94" spans="2:20" outlineLevel="1" collapsed="1" x14ac:dyDescent="0.35">
      <c r="B94" s="487"/>
      <c r="C94" s="490"/>
      <c r="D94" s="246" t="s">
        <v>133</v>
      </c>
      <c r="E94" s="219">
        <v>948166135.37000036</v>
      </c>
      <c r="F94" s="220">
        <v>242744868.43000039</v>
      </c>
      <c r="G94" s="219">
        <v>223599095.42999998</v>
      </c>
      <c r="H94" s="245">
        <v>19307987.160000004</v>
      </c>
      <c r="I94" s="217">
        <v>7000721.3399999999</v>
      </c>
      <c r="J94" s="217">
        <v>5335637.6899999995</v>
      </c>
      <c r="K94" s="217">
        <v>4391436.2800000012</v>
      </c>
      <c r="L94" s="217">
        <v>509983.81</v>
      </c>
      <c r="M94" s="217">
        <v>131631.49</v>
      </c>
      <c r="N94" s="216">
        <v>1776362.3900000001</v>
      </c>
      <c r="O94" s="244">
        <v>19145773</v>
      </c>
      <c r="P94" s="243">
        <v>54</v>
      </c>
      <c r="R94" s="197"/>
      <c r="S94" s="197"/>
      <c r="T94" s="197"/>
    </row>
    <row r="95" spans="2:20" outlineLevel="1" x14ac:dyDescent="0.35">
      <c r="B95" s="487"/>
      <c r="C95" s="490"/>
      <c r="D95" s="236" t="s">
        <v>140</v>
      </c>
      <c r="E95" s="235">
        <v>1954312376.55</v>
      </c>
      <c r="F95" s="235">
        <v>768457079.78999925</v>
      </c>
      <c r="G95" s="234">
        <v>701877883.23999989</v>
      </c>
      <c r="H95" s="233">
        <v>59776025.799999997</v>
      </c>
      <c r="I95" s="217">
        <v>24855181.370000001</v>
      </c>
      <c r="J95" s="217">
        <v>6585659.5399999991</v>
      </c>
      <c r="K95" s="217">
        <v>11130719.130000001</v>
      </c>
      <c r="L95" s="217">
        <v>1999629.0299999998</v>
      </c>
      <c r="M95" s="217">
        <v>1096616.5</v>
      </c>
      <c r="N95" s="216">
        <v>20911390.98</v>
      </c>
      <c r="O95" s="215">
        <v>66579196.550000019</v>
      </c>
      <c r="P95" s="214">
        <v>52</v>
      </c>
      <c r="R95" s="197"/>
      <c r="S95" s="197"/>
      <c r="T95" s="197"/>
    </row>
    <row r="96" spans="2:20" outlineLevel="1" x14ac:dyDescent="0.35">
      <c r="B96" s="487"/>
      <c r="C96" s="490"/>
      <c r="D96" s="236" t="s">
        <v>139</v>
      </c>
      <c r="E96" s="235">
        <v>294914060</v>
      </c>
      <c r="F96" s="235">
        <v>57991284</v>
      </c>
      <c r="G96" s="234">
        <v>50210980</v>
      </c>
      <c r="H96" s="233">
        <v>9851943.7400000002</v>
      </c>
      <c r="I96" s="217">
        <v>3182814</v>
      </c>
      <c r="J96" s="217">
        <v>4597490</v>
      </c>
      <c r="K96" s="217">
        <v>0</v>
      </c>
      <c r="L96" s="217">
        <v>0</v>
      </c>
      <c r="M96" s="217">
        <v>0</v>
      </c>
      <c r="N96" s="216">
        <v>0</v>
      </c>
      <c r="O96" s="215">
        <v>7780304</v>
      </c>
      <c r="P96" s="214">
        <v>9</v>
      </c>
      <c r="R96" s="197"/>
      <c r="S96" s="197"/>
      <c r="T96" s="197"/>
    </row>
    <row r="97" spans="2:20" outlineLevel="1" x14ac:dyDescent="0.35">
      <c r="B97" s="487"/>
      <c r="C97" s="490"/>
      <c r="D97" s="236" t="s">
        <v>138</v>
      </c>
      <c r="E97" s="235">
        <f t="shared" ref="E97:P97" si="15">SUM(E98:E101)</f>
        <v>2655913536.2199993</v>
      </c>
      <c r="F97" s="235">
        <f t="shared" si="15"/>
        <v>843400732.57999992</v>
      </c>
      <c r="G97" s="234">
        <f t="shared" si="15"/>
        <v>802824204.00999975</v>
      </c>
      <c r="H97" s="233">
        <f t="shared" si="15"/>
        <v>52176492.309999995</v>
      </c>
      <c r="I97" s="217">
        <f t="shared" si="15"/>
        <v>10895955.090000002</v>
      </c>
      <c r="J97" s="217">
        <f t="shared" si="15"/>
        <v>9942884.6599999983</v>
      </c>
      <c r="K97" s="217">
        <f t="shared" si="15"/>
        <v>3422355.83</v>
      </c>
      <c r="L97" s="217">
        <f t="shared" si="15"/>
        <v>3806695.9699999997</v>
      </c>
      <c r="M97" s="217">
        <f t="shared" si="15"/>
        <v>5266306.67</v>
      </c>
      <c r="N97" s="216">
        <f t="shared" si="15"/>
        <v>7242330.2699999996</v>
      </c>
      <c r="O97" s="215">
        <f t="shared" si="15"/>
        <v>40576528.490000002</v>
      </c>
      <c r="P97" s="214">
        <f t="shared" si="15"/>
        <v>335</v>
      </c>
      <c r="R97" s="197"/>
      <c r="S97" s="197"/>
      <c r="T97" s="197"/>
    </row>
    <row r="98" spans="2:20" hidden="1" outlineLevel="2" x14ac:dyDescent="0.35">
      <c r="B98" s="487"/>
      <c r="C98" s="490"/>
      <c r="D98" s="242" t="s">
        <v>137</v>
      </c>
      <c r="E98" s="235">
        <v>872847820.75999939</v>
      </c>
      <c r="F98" s="235">
        <v>306736410.64999938</v>
      </c>
      <c r="G98" s="234">
        <v>292047027.54999977</v>
      </c>
      <c r="H98" s="233">
        <v>18155469.450000003</v>
      </c>
      <c r="I98" s="217">
        <v>3865009.7600000007</v>
      </c>
      <c r="J98" s="217">
        <v>2753429.5100000002</v>
      </c>
      <c r="K98" s="217">
        <v>1171153.8899999999</v>
      </c>
      <c r="L98" s="217">
        <v>985655.7</v>
      </c>
      <c r="M98" s="217">
        <v>2289979.4299999997</v>
      </c>
      <c r="N98" s="216">
        <v>3624154.81</v>
      </c>
      <c r="O98" s="215">
        <v>14689383.100000003</v>
      </c>
      <c r="P98" s="214">
        <v>125</v>
      </c>
      <c r="R98" s="197"/>
      <c r="S98" s="197"/>
      <c r="T98" s="197"/>
    </row>
    <row r="99" spans="2:20" hidden="1" outlineLevel="2" x14ac:dyDescent="0.35">
      <c r="B99" s="487"/>
      <c r="C99" s="490"/>
      <c r="D99" s="242" t="s">
        <v>136</v>
      </c>
      <c r="E99" s="235">
        <v>752157920.16000009</v>
      </c>
      <c r="F99" s="235">
        <v>227399445.8400006</v>
      </c>
      <c r="G99" s="234">
        <v>217912823.7100001</v>
      </c>
      <c r="H99" s="233">
        <v>16447481.040000001</v>
      </c>
      <c r="I99" s="217">
        <v>3461573.3000000007</v>
      </c>
      <c r="J99" s="217">
        <v>2261210.85</v>
      </c>
      <c r="K99" s="217">
        <v>964094.23</v>
      </c>
      <c r="L99" s="217">
        <v>971722.62000000011</v>
      </c>
      <c r="M99" s="217">
        <v>976714.99</v>
      </c>
      <c r="N99" s="216">
        <v>851306.05999999994</v>
      </c>
      <c r="O99" s="215">
        <v>9486622.0499999989</v>
      </c>
      <c r="P99" s="214">
        <v>86</v>
      </c>
      <c r="R99" s="197"/>
      <c r="S99" s="197"/>
      <c r="T99" s="197"/>
    </row>
    <row r="100" spans="2:20" hidden="1" outlineLevel="2" x14ac:dyDescent="0.35">
      <c r="B100" s="487"/>
      <c r="C100" s="490"/>
      <c r="D100" s="242" t="s">
        <v>135</v>
      </c>
      <c r="E100" s="235">
        <v>588273562.0200001</v>
      </c>
      <c r="F100" s="235">
        <v>173728307.50000012</v>
      </c>
      <c r="G100" s="234">
        <v>166835480.58999985</v>
      </c>
      <c r="H100" s="233">
        <v>7709442.9399999967</v>
      </c>
      <c r="I100" s="217">
        <v>1058684.9199999995</v>
      </c>
      <c r="J100" s="217">
        <v>2327781.7599999993</v>
      </c>
      <c r="K100" s="217">
        <v>710326.88</v>
      </c>
      <c r="L100" s="217">
        <v>508390.16</v>
      </c>
      <c r="M100" s="217">
        <v>1436406.1900000002</v>
      </c>
      <c r="N100" s="216">
        <v>851236.99999999988</v>
      </c>
      <c r="O100" s="215">
        <v>6892826.910000002</v>
      </c>
      <c r="P100" s="214">
        <v>60</v>
      </c>
      <c r="R100" s="197"/>
      <c r="S100" s="197"/>
      <c r="T100" s="197"/>
    </row>
    <row r="101" spans="2:20" hidden="1" outlineLevel="2" x14ac:dyDescent="0.35">
      <c r="B101" s="487"/>
      <c r="C101" s="490"/>
      <c r="D101" s="242" t="s">
        <v>134</v>
      </c>
      <c r="E101" s="235">
        <v>442634233.27999991</v>
      </c>
      <c r="F101" s="235">
        <v>135536568.58999974</v>
      </c>
      <c r="G101" s="234">
        <v>126028872.16000004</v>
      </c>
      <c r="H101" s="233">
        <v>9864098.8799999971</v>
      </c>
      <c r="I101" s="217">
        <v>2510687.1100000013</v>
      </c>
      <c r="J101" s="217">
        <v>2600462.5399999996</v>
      </c>
      <c r="K101" s="217">
        <v>576780.82999999996</v>
      </c>
      <c r="L101" s="217">
        <v>1340927.49</v>
      </c>
      <c r="M101" s="217">
        <v>563206.05999999994</v>
      </c>
      <c r="N101" s="216">
        <v>1915632.4</v>
      </c>
      <c r="O101" s="215">
        <v>9507696.4299999978</v>
      </c>
      <c r="P101" s="214">
        <v>64</v>
      </c>
      <c r="R101" s="197"/>
      <c r="S101" s="197"/>
      <c r="T101" s="197"/>
    </row>
    <row r="102" spans="2:20" outlineLevel="1" collapsed="1" x14ac:dyDescent="0.35">
      <c r="B102" s="487"/>
      <c r="C102" s="490"/>
      <c r="D102" s="236" t="s">
        <v>132</v>
      </c>
      <c r="E102" s="235">
        <f t="shared" ref="E102:P102" si="16">SUM(E103:E106)</f>
        <v>4707104548.2700014</v>
      </c>
      <c r="F102" s="235">
        <f t="shared" si="16"/>
        <v>1201503819.1500008</v>
      </c>
      <c r="G102" s="234">
        <f t="shared" si="16"/>
        <v>1110390649.8599992</v>
      </c>
      <c r="H102" s="233">
        <f t="shared" si="16"/>
        <v>85541920.189999968</v>
      </c>
      <c r="I102" s="217">
        <f t="shared" si="16"/>
        <v>35131269.460000008</v>
      </c>
      <c r="J102" s="217">
        <f t="shared" si="16"/>
        <v>28940736.620000001</v>
      </c>
      <c r="K102" s="217">
        <f t="shared" si="16"/>
        <v>6648405.3599999994</v>
      </c>
      <c r="L102" s="217">
        <f t="shared" si="16"/>
        <v>8559565.879999999</v>
      </c>
      <c r="M102" s="217">
        <f t="shared" si="16"/>
        <v>7207969.5699999975</v>
      </c>
      <c r="N102" s="216">
        <f t="shared" si="16"/>
        <v>4625222.3400000008</v>
      </c>
      <c r="O102" s="215">
        <f t="shared" si="16"/>
        <v>91113169.230000049</v>
      </c>
      <c r="P102" s="214">
        <f t="shared" si="16"/>
        <v>447</v>
      </c>
      <c r="R102" s="197"/>
      <c r="S102" s="197"/>
      <c r="T102" s="197"/>
    </row>
    <row r="103" spans="2:20" hidden="1" outlineLevel="2" x14ac:dyDescent="0.35">
      <c r="B103" s="487"/>
      <c r="C103" s="490"/>
      <c r="D103" s="241" t="s">
        <v>131</v>
      </c>
      <c r="E103" s="235">
        <v>1368413533.6900022</v>
      </c>
      <c r="F103" s="235">
        <v>398485949.59000134</v>
      </c>
      <c r="G103" s="234">
        <v>381136194.98999941</v>
      </c>
      <c r="H103" s="233">
        <v>25459825.039999984</v>
      </c>
      <c r="I103" s="217">
        <v>1386391.5799999996</v>
      </c>
      <c r="J103" s="217">
        <v>3119399.54</v>
      </c>
      <c r="K103" s="217">
        <v>2018210.3599999999</v>
      </c>
      <c r="L103" s="217">
        <v>2931250.67</v>
      </c>
      <c r="M103" s="217">
        <v>6224748.9099999974</v>
      </c>
      <c r="N103" s="216">
        <v>1669753.5400000003</v>
      </c>
      <c r="O103" s="215">
        <v>17349754.600000005</v>
      </c>
      <c r="P103" s="214">
        <v>95</v>
      </c>
      <c r="R103" s="197"/>
      <c r="S103" s="197"/>
      <c r="T103" s="197"/>
    </row>
    <row r="104" spans="2:20" hidden="1" outlineLevel="2" x14ac:dyDescent="0.35">
      <c r="B104" s="487"/>
      <c r="C104" s="490"/>
      <c r="D104" s="241" t="s">
        <v>130</v>
      </c>
      <c r="E104" s="235">
        <v>943836669.27999902</v>
      </c>
      <c r="F104" s="235">
        <v>258471428.14999917</v>
      </c>
      <c r="G104" s="234">
        <v>238303679.15999991</v>
      </c>
      <c r="H104" s="233">
        <v>29859692.299999993</v>
      </c>
      <c r="I104" s="217">
        <v>4130293.7699999996</v>
      </c>
      <c r="J104" s="217">
        <v>11860923.43</v>
      </c>
      <c r="K104" s="217">
        <v>3459373.8399999994</v>
      </c>
      <c r="L104" s="217">
        <v>296928.25</v>
      </c>
      <c r="M104" s="217">
        <v>131892.53</v>
      </c>
      <c r="N104" s="216">
        <v>288337.17</v>
      </c>
      <c r="O104" s="215">
        <v>20167748.99000001</v>
      </c>
      <c r="P104" s="214">
        <v>117</v>
      </c>
      <c r="R104" s="197"/>
      <c r="S104" s="197"/>
      <c r="T104" s="197"/>
    </row>
    <row r="105" spans="2:20" hidden="1" outlineLevel="2" x14ac:dyDescent="0.35">
      <c r="B105" s="487"/>
      <c r="C105" s="490"/>
      <c r="D105" s="241" t="s">
        <v>129</v>
      </c>
      <c r="E105" s="235">
        <v>1486271076.660001</v>
      </c>
      <c r="F105" s="235">
        <v>376678878.78000033</v>
      </c>
      <c r="G105" s="234">
        <v>335092426.60999995</v>
      </c>
      <c r="H105" s="233">
        <v>23472938.319999993</v>
      </c>
      <c r="I105" s="217">
        <v>24431702.390000012</v>
      </c>
      <c r="J105" s="217">
        <v>11059647.300000001</v>
      </c>
      <c r="K105" s="217">
        <v>9991.2900000000009</v>
      </c>
      <c r="L105" s="217">
        <v>3062255.7599999993</v>
      </c>
      <c r="M105" s="217">
        <v>355723.74000000005</v>
      </c>
      <c r="N105" s="216">
        <v>2667131.6300000004</v>
      </c>
      <c r="O105" s="215">
        <v>41586452.110000022</v>
      </c>
      <c r="P105" s="214">
        <v>174</v>
      </c>
      <c r="R105" s="197"/>
      <c r="S105" s="197"/>
      <c r="T105" s="197"/>
    </row>
    <row r="106" spans="2:20" hidden="1" outlineLevel="2" x14ac:dyDescent="0.35">
      <c r="B106" s="487"/>
      <c r="C106" s="490"/>
      <c r="D106" s="241" t="s">
        <v>128</v>
      </c>
      <c r="E106" s="235">
        <v>908583268.63999951</v>
      </c>
      <c r="F106" s="235">
        <v>167867562.63000005</v>
      </c>
      <c r="G106" s="234">
        <v>155858349.09999996</v>
      </c>
      <c r="H106" s="233">
        <v>6749464.5299999975</v>
      </c>
      <c r="I106" s="217">
        <v>5182881.72</v>
      </c>
      <c r="J106" s="217">
        <v>2900766.35</v>
      </c>
      <c r="K106" s="217">
        <v>1160829.8700000001</v>
      </c>
      <c r="L106" s="217">
        <v>2269131.2000000002</v>
      </c>
      <c r="M106" s="217">
        <v>495604.39</v>
      </c>
      <c r="N106" s="216">
        <v>0</v>
      </c>
      <c r="O106" s="215">
        <v>12009213.530000001</v>
      </c>
      <c r="P106" s="214">
        <v>61</v>
      </c>
      <c r="R106" s="197"/>
      <c r="S106" s="197"/>
      <c r="T106" s="197"/>
    </row>
    <row r="107" spans="2:20" outlineLevel="1" collapsed="1" x14ac:dyDescent="0.35">
      <c r="B107" s="487"/>
      <c r="C107" s="490"/>
      <c r="D107" s="236" t="s">
        <v>41</v>
      </c>
      <c r="E107" s="235">
        <v>563398526</v>
      </c>
      <c r="F107" s="235">
        <v>103535608.13000007</v>
      </c>
      <c r="G107" s="234">
        <v>98389626.309999973</v>
      </c>
      <c r="H107" s="233">
        <v>12176372.290000003</v>
      </c>
      <c r="I107" s="217">
        <v>1597821.5599999998</v>
      </c>
      <c r="J107" s="217">
        <v>256891.28</v>
      </c>
      <c r="K107" s="217">
        <v>787649.21</v>
      </c>
      <c r="L107" s="217">
        <v>1911551.3199999998</v>
      </c>
      <c r="M107" s="217">
        <v>241502.85</v>
      </c>
      <c r="N107" s="216">
        <v>350565.6</v>
      </c>
      <c r="O107" s="215">
        <v>5145981.82</v>
      </c>
      <c r="P107" s="214">
        <v>16</v>
      </c>
      <c r="R107" s="197"/>
      <c r="S107" s="197"/>
      <c r="T107" s="197"/>
    </row>
    <row r="108" spans="2:20" x14ac:dyDescent="0.35">
      <c r="B108" s="488"/>
      <c r="C108" s="491"/>
      <c r="D108" s="232" t="s">
        <v>251</v>
      </c>
      <c r="E108" s="212">
        <f t="shared" ref="E108:P108" si="17">SUM(E102,E107,E97,E96,E94,E90,E81,E77,E95)</f>
        <v>24004177002.25</v>
      </c>
      <c r="F108" s="210">
        <f t="shared" si="17"/>
        <v>8907398426.9200077</v>
      </c>
      <c r="G108" s="211">
        <f t="shared" si="17"/>
        <v>8361676352.8799992</v>
      </c>
      <c r="H108" s="240">
        <f t="shared" si="17"/>
        <v>731113714.17999983</v>
      </c>
      <c r="I108" s="209">
        <f t="shared" si="17"/>
        <v>152142397.34</v>
      </c>
      <c r="J108" s="209">
        <f t="shared" si="17"/>
        <v>136660091.35999998</v>
      </c>
      <c r="K108" s="209">
        <f t="shared" si="17"/>
        <v>49072629.399999999</v>
      </c>
      <c r="L108" s="209">
        <f t="shared" si="17"/>
        <v>34249649.870000005</v>
      </c>
      <c r="M108" s="209">
        <f t="shared" si="17"/>
        <v>39108661.099999994</v>
      </c>
      <c r="N108" s="239">
        <f t="shared" si="17"/>
        <v>134488642.03999999</v>
      </c>
      <c r="O108" s="238">
        <f t="shared" si="17"/>
        <v>545722071.11000013</v>
      </c>
      <c r="P108" s="207">
        <f t="shared" si="17"/>
        <v>1749</v>
      </c>
      <c r="R108" s="197"/>
      <c r="S108" s="197"/>
      <c r="T108" s="197"/>
    </row>
    <row r="109" spans="2:20" outlineLevel="1" x14ac:dyDescent="0.35">
      <c r="B109" s="487" t="s">
        <v>250</v>
      </c>
      <c r="C109" s="490" t="s">
        <v>249</v>
      </c>
      <c r="D109" s="236" t="s">
        <v>123</v>
      </c>
      <c r="E109" s="235">
        <v>1599366651.0000005</v>
      </c>
      <c r="F109" s="235">
        <v>315579971.6600005</v>
      </c>
      <c r="G109" s="234">
        <v>309757309.13999975</v>
      </c>
      <c r="H109" s="233">
        <v>47734481.490000054</v>
      </c>
      <c r="I109" s="217">
        <v>2738978.2799999989</v>
      </c>
      <c r="J109" s="217">
        <v>1039051.72</v>
      </c>
      <c r="K109" s="217">
        <v>202872.16</v>
      </c>
      <c r="L109" s="217">
        <v>353659.83999999997</v>
      </c>
      <c r="M109" s="217">
        <v>122963.68</v>
      </c>
      <c r="N109" s="216">
        <v>1365136.64</v>
      </c>
      <c r="O109" s="215">
        <v>5822662.3200000003</v>
      </c>
      <c r="P109" s="214">
        <v>24</v>
      </c>
      <c r="R109" s="197"/>
      <c r="S109" s="197"/>
      <c r="T109" s="197"/>
    </row>
    <row r="110" spans="2:20" outlineLevel="1" x14ac:dyDescent="0.35">
      <c r="B110" s="487"/>
      <c r="C110" s="490"/>
      <c r="D110" s="236" t="s">
        <v>122</v>
      </c>
      <c r="E110" s="235">
        <v>815006748.8999995</v>
      </c>
      <c r="F110" s="235">
        <v>162408311.98000008</v>
      </c>
      <c r="G110" s="234">
        <v>159823019.47000015</v>
      </c>
      <c r="H110" s="233">
        <v>9155167.0500000026</v>
      </c>
      <c r="I110" s="217">
        <v>6056.1600000000035</v>
      </c>
      <c r="J110" s="217">
        <v>6865.1</v>
      </c>
      <c r="K110" s="217">
        <v>479105.03</v>
      </c>
      <c r="L110" s="217">
        <v>269833.8</v>
      </c>
      <c r="M110" s="217">
        <v>785463.39</v>
      </c>
      <c r="N110" s="216">
        <v>1037969.03</v>
      </c>
      <c r="O110" s="215">
        <v>2585292.5100000002</v>
      </c>
      <c r="P110" s="214">
        <v>15</v>
      </c>
      <c r="R110" s="197"/>
      <c r="S110" s="197"/>
      <c r="T110" s="197"/>
    </row>
    <row r="111" spans="2:20" outlineLevel="1" x14ac:dyDescent="0.35">
      <c r="B111" s="487"/>
      <c r="C111" s="490"/>
      <c r="D111" s="236" t="s">
        <v>48</v>
      </c>
      <c r="E111" s="235">
        <v>767755653.95999968</v>
      </c>
      <c r="F111" s="235">
        <v>155502596.26000002</v>
      </c>
      <c r="G111" s="234">
        <v>153559126.75000009</v>
      </c>
      <c r="H111" s="233">
        <v>13542202.470000001</v>
      </c>
      <c r="I111" s="217">
        <v>240134.23</v>
      </c>
      <c r="J111" s="217">
        <v>198850.58000000002</v>
      </c>
      <c r="K111" s="217">
        <v>203976.85</v>
      </c>
      <c r="L111" s="217">
        <v>0</v>
      </c>
      <c r="M111" s="217">
        <v>462780.04000000004</v>
      </c>
      <c r="N111" s="216">
        <v>837727.80999999982</v>
      </c>
      <c r="O111" s="215">
        <v>1943469.51</v>
      </c>
      <c r="P111" s="214">
        <v>16</v>
      </c>
      <c r="R111" s="197"/>
      <c r="S111" s="197"/>
      <c r="T111" s="197"/>
    </row>
    <row r="112" spans="2:20" outlineLevel="1" x14ac:dyDescent="0.35">
      <c r="B112" s="487"/>
      <c r="C112" s="490"/>
      <c r="D112" s="236" t="s">
        <v>47</v>
      </c>
      <c r="E112" s="235">
        <v>806869395.10000038</v>
      </c>
      <c r="F112" s="235">
        <v>160057195.97000006</v>
      </c>
      <c r="G112" s="234">
        <v>155620981.19000006</v>
      </c>
      <c r="H112" s="233">
        <v>10338128.229999999</v>
      </c>
      <c r="I112" s="217">
        <v>616260.69999999995</v>
      </c>
      <c r="J112" s="217">
        <v>554906.89</v>
      </c>
      <c r="K112" s="217">
        <v>826081.24</v>
      </c>
      <c r="L112" s="217">
        <v>1054097.02</v>
      </c>
      <c r="M112" s="217">
        <v>1372485.05</v>
      </c>
      <c r="N112" s="216">
        <v>12383.880000000001</v>
      </c>
      <c r="O112" s="215">
        <v>4436214.78</v>
      </c>
      <c r="P112" s="214">
        <v>24</v>
      </c>
      <c r="R112" s="197"/>
      <c r="S112" s="197"/>
      <c r="T112" s="197"/>
    </row>
    <row r="113" spans="2:20" outlineLevel="1" x14ac:dyDescent="0.35">
      <c r="B113" s="487"/>
      <c r="C113" s="490"/>
      <c r="D113" s="236" t="s">
        <v>40</v>
      </c>
      <c r="E113" s="235">
        <v>553930211.53999996</v>
      </c>
      <c r="F113" s="235">
        <v>104035900.91000003</v>
      </c>
      <c r="G113" s="234">
        <v>96424495.040000007</v>
      </c>
      <c r="H113" s="233">
        <v>1992951.0300000003</v>
      </c>
      <c r="I113" s="217">
        <v>2527317.2799999993</v>
      </c>
      <c r="J113" s="217">
        <v>2304771.14</v>
      </c>
      <c r="K113" s="217">
        <v>2664851.75</v>
      </c>
      <c r="L113" s="217">
        <v>29010.349999999995</v>
      </c>
      <c r="M113" s="217">
        <v>85455.349999999991</v>
      </c>
      <c r="N113" s="216">
        <v>0</v>
      </c>
      <c r="O113" s="215">
        <v>7611405.870000001</v>
      </c>
      <c r="P113" s="214">
        <v>30</v>
      </c>
      <c r="R113" s="197"/>
      <c r="S113" s="197"/>
      <c r="T113" s="197"/>
    </row>
    <row r="114" spans="2:20" outlineLevel="1" x14ac:dyDescent="0.35">
      <c r="B114" s="487"/>
      <c r="C114" s="490"/>
      <c r="D114" s="236" t="s">
        <v>39</v>
      </c>
      <c r="E114" s="235">
        <v>665379462.88999987</v>
      </c>
      <c r="F114" s="235">
        <v>111574574.38999985</v>
      </c>
      <c r="G114" s="234">
        <v>96740655.38000001</v>
      </c>
      <c r="H114" s="233">
        <v>3690545.0200000009</v>
      </c>
      <c r="I114" s="217">
        <v>9586090.8500000015</v>
      </c>
      <c r="J114" s="217">
        <v>4221090.5200000005</v>
      </c>
      <c r="K114" s="217">
        <v>652437.39</v>
      </c>
      <c r="L114" s="217">
        <v>176132.18000000005</v>
      </c>
      <c r="M114" s="217">
        <v>198168.07</v>
      </c>
      <c r="N114" s="216">
        <v>0</v>
      </c>
      <c r="O114" s="215">
        <v>14833919.010000002</v>
      </c>
      <c r="P114" s="214">
        <v>68</v>
      </c>
      <c r="R114" s="197"/>
      <c r="S114" s="197"/>
      <c r="T114" s="197"/>
    </row>
    <row r="115" spans="2:20" outlineLevel="1" x14ac:dyDescent="0.35">
      <c r="B115" s="487"/>
      <c r="C115" s="490"/>
      <c r="D115" s="236" t="s">
        <v>38</v>
      </c>
      <c r="E115" s="235">
        <v>393210660.60000002</v>
      </c>
      <c r="F115" s="235">
        <v>70714827.00999999</v>
      </c>
      <c r="G115" s="234">
        <v>63994980.059999995</v>
      </c>
      <c r="H115" s="233">
        <v>2456825.4799999995</v>
      </c>
      <c r="I115" s="217">
        <v>5103783.0100000007</v>
      </c>
      <c r="J115" s="217">
        <v>0</v>
      </c>
      <c r="K115" s="217">
        <v>719445.5</v>
      </c>
      <c r="L115" s="217">
        <v>697481.84000000008</v>
      </c>
      <c r="M115" s="217">
        <v>199136.6</v>
      </c>
      <c r="N115" s="216">
        <v>0</v>
      </c>
      <c r="O115" s="215">
        <v>6719846.9500000002</v>
      </c>
      <c r="P115" s="214">
        <v>20</v>
      </c>
      <c r="R115" s="197"/>
      <c r="S115" s="197"/>
      <c r="T115" s="197"/>
    </row>
    <row r="116" spans="2:20" x14ac:dyDescent="0.35">
      <c r="B116" s="488"/>
      <c r="C116" s="491"/>
      <c r="D116" s="232" t="s">
        <v>248</v>
      </c>
      <c r="E116" s="212">
        <f t="shared" ref="E116:P116" si="18">SUM(E109:E115)</f>
        <v>5601518783.9899998</v>
      </c>
      <c r="F116" s="211">
        <f t="shared" si="18"/>
        <v>1079873378.1800005</v>
      </c>
      <c r="G116" s="210">
        <f t="shared" si="18"/>
        <v>1035920567.03</v>
      </c>
      <c r="H116" s="210">
        <f t="shared" si="18"/>
        <v>88910300.77000007</v>
      </c>
      <c r="I116" s="209">
        <f t="shared" si="18"/>
        <v>20818620.510000002</v>
      </c>
      <c r="J116" s="209">
        <f t="shared" si="18"/>
        <v>8325535.9500000011</v>
      </c>
      <c r="K116" s="209">
        <f t="shared" si="18"/>
        <v>5748769.9199999999</v>
      </c>
      <c r="L116" s="209">
        <f t="shared" si="18"/>
        <v>2580215.0300000003</v>
      </c>
      <c r="M116" s="209">
        <f t="shared" si="18"/>
        <v>3226452.18</v>
      </c>
      <c r="N116" s="209">
        <f t="shared" si="18"/>
        <v>3253217.3599999994</v>
      </c>
      <c r="O116" s="208">
        <f t="shared" si="18"/>
        <v>43952810.950000003</v>
      </c>
      <c r="P116" s="207">
        <f t="shared" si="18"/>
        <v>197</v>
      </c>
      <c r="R116" s="197"/>
      <c r="S116" s="197"/>
      <c r="T116" s="197"/>
    </row>
    <row r="117" spans="2:20" outlineLevel="1" x14ac:dyDescent="0.35">
      <c r="B117" s="487" t="s">
        <v>247</v>
      </c>
      <c r="C117" s="490" t="s">
        <v>246</v>
      </c>
      <c r="D117" s="236" t="s">
        <v>36</v>
      </c>
      <c r="E117" s="235">
        <v>589121955.75999999</v>
      </c>
      <c r="F117" s="235">
        <v>91549118.429999962</v>
      </c>
      <c r="G117" s="234">
        <v>71670445.779999956</v>
      </c>
      <c r="H117" s="233">
        <v>4684299.3500000006</v>
      </c>
      <c r="I117" s="217">
        <v>16383837.550000003</v>
      </c>
      <c r="J117" s="217">
        <v>1572387.82</v>
      </c>
      <c r="K117" s="217">
        <v>556996.6</v>
      </c>
      <c r="L117" s="217">
        <v>1365450.68</v>
      </c>
      <c r="M117" s="217">
        <v>0</v>
      </c>
      <c r="N117" s="216">
        <v>0</v>
      </c>
      <c r="O117" s="215">
        <v>19878672.65000001</v>
      </c>
      <c r="P117" s="214">
        <v>46</v>
      </c>
      <c r="R117" s="197"/>
      <c r="S117" s="197"/>
      <c r="T117" s="197"/>
    </row>
    <row r="118" spans="2:20" outlineLevel="1" x14ac:dyDescent="0.35">
      <c r="B118" s="487"/>
      <c r="C118" s="490"/>
      <c r="D118" s="236" t="s">
        <v>35</v>
      </c>
      <c r="E118" s="235">
        <v>521314715.09999996</v>
      </c>
      <c r="F118" s="235">
        <v>89618196.749999911</v>
      </c>
      <c r="G118" s="234">
        <v>74222719.939999983</v>
      </c>
      <c r="H118" s="233">
        <v>7221461.1300000027</v>
      </c>
      <c r="I118" s="217">
        <v>11465974.610000003</v>
      </c>
      <c r="J118" s="217">
        <v>1651188.75</v>
      </c>
      <c r="K118" s="217">
        <v>1392250.19</v>
      </c>
      <c r="L118" s="217">
        <v>886063.26</v>
      </c>
      <c r="M118" s="217">
        <v>0</v>
      </c>
      <c r="N118" s="216">
        <v>0</v>
      </c>
      <c r="O118" s="215">
        <v>15395476.810000008</v>
      </c>
      <c r="P118" s="214">
        <v>34</v>
      </c>
      <c r="R118" s="197"/>
      <c r="S118" s="197"/>
      <c r="T118" s="197"/>
    </row>
    <row r="119" spans="2:20" outlineLevel="1" x14ac:dyDescent="0.35">
      <c r="B119" s="487"/>
      <c r="C119" s="490"/>
      <c r="D119" s="236" t="s">
        <v>34</v>
      </c>
      <c r="E119" s="235">
        <v>144763149.75</v>
      </c>
      <c r="F119" s="235">
        <v>24360571.329999998</v>
      </c>
      <c r="G119" s="234">
        <v>20670062.550000001</v>
      </c>
      <c r="H119" s="233">
        <v>200094.85</v>
      </c>
      <c r="I119" s="217">
        <v>3690508.7800000003</v>
      </c>
      <c r="J119" s="217">
        <v>0</v>
      </c>
      <c r="K119" s="217">
        <v>0</v>
      </c>
      <c r="L119" s="217">
        <v>0</v>
      </c>
      <c r="M119" s="217">
        <v>0</v>
      </c>
      <c r="N119" s="216">
        <v>0</v>
      </c>
      <c r="O119" s="215">
        <v>3690508.7800000003</v>
      </c>
      <c r="P119" s="214">
        <v>4</v>
      </c>
      <c r="R119" s="197"/>
      <c r="S119" s="197"/>
      <c r="T119" s="197"/>
    </row>
    <row r="120" spans="2:20" outlineLevel="1" x14ac:dyDescent="0.35">
      <c r="B120" s="487"/>
      <c r="C120" s="490"/>
      <c r="D120" s="236" t="s">
        <v>33</v>
      </c>
      <c r="E120" s="235">
        <v>360850556.36000001</v>
      </c>
      <c r="F120" s="235">
        <v>44678724.109999985</v>
      </c>
      <c r="G120" s="234">
        <v>33227696.970000014</v>
      </c>
      <c r="H120" s="233">
        <v>5388781.5600000015</v>
      </c>
      <c r="I120" s="217">
        <v>9652511.1400000006</v>
      </c>
      <c r="J120" s="217">
        <v>1798516.0000000002</v>
      </c>
      <c r="K120" s="217">
        <v>0</v>
      </c>
      <c r="L120" s="217">
        <v>0</v>
      </c>
      <c r="M120" s="217">
        <v>0</v>
      </c>
      <c r="N120" s="216">
        <v>0</v>
      </c>
      <c r="O120" s="215">
        <v>11451027.140000002</v>
      </c>
      <c r="P120" s="214">
        <v>29</v>
      </c>
      <c r="R120" s="197"/>
      <c r="S120" s="197"/>
      <c r="T120" s="197"/>
    </row>
    <row r="121" spans="2:20" x14ac:dyDescent="0.35">
      <c r="B121" s="488"/>
      <c r="C121" s="491"/>
      <c r="D121" s="232" t="s">
        <v>245</v>
      </c>
      <c r="E121" s="212">
        <f t="shared" ref="E121:P121" si="19">SUM(E117:E120)</f>
        <v>1616050376.9699998</v>
      </c>
      <c r="F121" s="211">
        <f t="shared" si="19"/>
        <v>250206610.61999986</v>
      </c>
      <c r="G121" s="210">
        <f t="shared" si="19"/>
        <v>199790925.23999995</v>
      </c>
      <c r="H121" s="210">
        <f t="shared" si="19"/>
        <v>17494636.890000004</v>
      </c>
      <c r="I121" s="209">
        <f t="shared" si="19"/>
        <v>41192832.080000006</v>
      </c>
      <c r="J121" s="209">
        <f t="shared" si="19"/>
        <v>5022092.57</v>
      </c>
      <c r="K121" s="209">
        <f t="shared" si="19"/>
        <v>1949246.79</v>
      </c>
      <c r="L121" s="209">
        <f t="shared" si="19"/>
        <v>2251513.94</v>
      </c>
      <c r="M121" s="209">
        <f t="shared" si="19"/>
        <v>0</v>
      </c>
      <c r="N121" s="209">
        <f t="shared" si="19"/>
        <v>0</v>
      </c>
      <c r="O121" s="208">
        <f t="shared" si="19"/>
        <v>50415685.380000018</v>
      </c>
      <c r="P121" s="207">
        <f t="shared" si="19"/>
        <v>113</v>
      </c>
      <c r="R121" s="197"/>
      <c r="S121" s="197"/>
      <c r="T121" s="197"/>
    </row>
    <row r="122" spans="2:20" outlineLevel="1" x14ac:dyDescent="0.35">
      <c r="B122" s="497" t="s">
        <v>144</v>
      </c>
      <c r="C122" s="484" t="s">
        <v>244</v>
      </c>
      <c r="D122" s="231"/>
      <c r="E122" s="227"/>
      <c r="F122" s="230"/>
      <c r="G122" s="229"/>
      <c r="H122" s="229"/>
      <c r="I122" s="228"/>
      <c r="J122" s="228"/>
      <c r="K122" s="228"/>
      <c r="L122" s="228"/>
      <c r="M122" s="228"/>
      <c r="N122" s="228"/>
      <c r="O122" s="227"/>
      <c r="P122" s="226"/>
      <c r="R122" s="197"/>
      <c r="S122" s="197"/>
      <c r="T122" s="197"/>
    </row>
    <row r="123" spans="2:20" outlineLevel="1" x14ac:dyDescent="0.35">
      <c r="B123" s="492"/>
      <c r="C123" s="485"/>
      <c r="D123" s="225" t="s">
        <v>145</v>
      </c>
      <c r="E123" s="219">
        <f t="shared" ref="E123:P123" si="20">SUM(E124:E127)</f>
        <v>2576602179.7700005</v>
      </c>
      <c r="F123" s="220">
        <f t="shared" si="20"/>
        <v>756395215.1499989</v>
      </c>
      <c r="G123" s="219">
        <f t="shared" si="20"/>
        <v>681960575.27999997</v>
      </c>
      <c r="H123" s="218">
        <f t="shared" si="20"/>
        <v>49385303.180000007</v>
      </c>
      <c r="I123" s="217">
        <f t="shared" si="20"/>
        <v>15587426.449999999</v>
      </c>
      <c r="J123" s="217">
        <f t="shared" si="20"/>
        <v>14013441.040000001</v>
      </c>
      <c r="K123" s="217">
        <f t="shared" si="20"/>
        <v>17099759.309999999</v>
      </c>
      <c r="L123" s="217">
        <f t="shared" si="20"/>
        <v>7638010.8600000003</v>
      </c>
      <c r="M123" s="217">
        <f t="shared" si="20"/>
        <v>7952689.3100000005</v>
      </c>
      <c r="N123" s="216">
        <f t="shared" si="20"/>
        <v>12143312.899999999</v>
      </c>
      <c r="O123" s="215">
        <f t="shared" si="20"/>
        <v>74434639.870000005</v>
      </c>
      <c r="P123" s="214">
        <f t="shared" si="20"/>
        <v>47</v>
      </c>
      <c r="R123" s="197"/>
      <c r="S123" s="197"/>
      <c r="T123" s="197"/>
    </row>
    <row r="124" spans="2:20" hidden="1" outlineLevel="2" x14ac:dyDescent="0.35">
      <c r="B124" s="492"/>
      <c r="C124" s="485"/>
      <c r="D124" s="222" t="s">
        <v>144</v>
      </c>
      <c r="E124" s="219">
        <v>1849700766.1800001</v>
      </c>
      <c r="F124" s="220">
        <v>557175564.50999892</v>
      </c>
      <c r="G124" s="219">
        <v>504545324.44000006</v>
      </c>
      <c r="H124" s="218">
        <v>25258580.270000003</v>
      </c>
      <c r="I124" s="217">
        <v>11464068.569999998</v>
      </c>
      <c r="J124" s="217">
        <v>12292532.15</v>
      </c>
      <c r="K124" s="217">
        <v>5424040.3999999994</v>
      </c>
      <c r="L124" s="217">
        <v>7141718.4000000004</v>
      </c>
      <c r="M124" s="217">
        <v>6179971.8300000001</v>
      </c>
      <c r="N124" s="216">
        <v>10127908.719999999</v>
      </c>
      <c r="O124" s="215">
        <v>52630240.069999993</v>
      </c>
      <c r="P124" s="214">
        <v>34</v>
      </c>
      <c r="R124" s="197"/>
      <c r="S124" s="197"/>
      <c r="T124" s="197"/>
    </row>
    <row r="125" spans="2:20" hidden="1" outlineLevel="2" x14ac:dyDescent="0.35">
      <c r="B125" s="492"/>
      <c r="C125" s="485"/>
      <c r="D125" s="223" t="s">
        <v>143</v>
      </c>
      <c r="E125" s="219">
        <v>408560860.88999999</v>
      </c>
      <c r="F125" s="220">
        <v>105301636.58999993</v>
      </c>
      <c r="G125" s="219">
        <v>92337579.919999987</v>
      </c>
      <c r="H125" s="218">
        <v>11313254.830000002</v>
      </c>
      <c r="I125" s="217">
        <v>1423407.9200000002</v>
      </c>
      <c r="J125" s="217">
        <v>1720908.89</v>
      </c>
      <c r="K125" s="217">
        <v>6855293.120000001</v>
      </c>
      <c r="L125" s="217">
        <v>470457.66000000003</v>
      </c>
      <c r="M125" s="217">
        <v>1772717.48</v>
      </c>
      <c r="N125" s="216">
        <v>721271.6</v>
      </c>
      <c r="O125" s="215">
        <v>12964056.67</v>
      </c>
      <c r="P125" s="214">
        <v>9</v>
      </c>
      <c r="R125" s="197"/>
      <c r="S125" s="197"/>
      <c r="T125" s="197"/>
    </row>
    <row r="126" spans="2:20" hidden="1" outlineLevel="2" x14ac:dyDescent="0.35">
      <c r="B126" s="492"/>
      <c r="C126" s="485"/>
      <c r="D126" s="223" t="s">
        <v>142</v>
      </c>
      <c r="E126" s="219">
        <v>318340552.70000005</v>
      </c>
      <c r="F126" s="220">
        <v>93918014.050000012</v>
      </c>
      <c r="G126" s="219">
        <v>85077670.919999987</v>
      </c>
      <c r="H126" s="218">
        <v>12813468.08</v>
      </c>
      <c r="I126" s="217">
        <v>2699949.96</v>
      </c>
      <c r="J126" s="217">
        <v>0</v>
      </c>
      <c r="K126" s="217">
        <v>4820425.79</v>
      </c>
      <c r="L126" s="217">
        <v>25834.799999999999</v>
      </c>
      <c r="M126" s="217">
        <v>0</v>
      </c>
      <c r="N126" s="216">
        <v>1294132.58</v>
      </c>
      <c r="O126" s="215">
        <v>8840343.1300000027</v>
      </c>
      <c r="P126" s="214">
        <v>4</v>
      </c>
      <c r="R126" s="197"/>
      <c r="S126" s="197"/>
      <c r="T126" s="197"/>
    </row>
    <row r="127" spans="2:20" hidden="1" outlineLevel="2" x14ac:dyDescent="0.35">
      <c r="B127" s="492"/>
      <c r="C127" s="485"/>
      <c r="D127" s="223" t="s">
        <v>141</v>
      </c>
      <c r="E127" s="219">
        <v>0</v>
      </c>
      <c r="F127" s="220">
        <v>0</v>
      </c>
      <c r="G127" s="219">
        <v>0</v>
      </c>
      <c r="H127" s="218">
        <v>0</v>
      </c>
      <c r="I127" s="217">
        <v>0</v>
      </c>
      <c r="J127" s="217">
        <v>0</v>
      </c>
      <c r="K127" s="217">
        <v>0</v>
      </c>
      <c r="L127" s="217">
        <v>0</v>
      </c>
      <c r="M127" s="217">
        <v>0</v>
      </c>
      <c r="N127" s="216">
        <v>0</v>
      </c>
      <c r="O127" s="215">
        <v>0</v>
      </c>
      <c r="P127" s="214">
        <v>0</v>
      </c>
      <c r="R127" s="197"/>
      <c r="S127" s="197"/>
      <c r="T127" s="197"/>
    </row>
    <row r="128" spans="2:20" outlineLevel="1" collapsed="1" x14ac:dyDescent="0.35">
      <c r="B128" s="492"/>
      <c r="C128" s="485"/>
      <c r="D128" s="221" t="s">
        <v>121</v>
      </c>
      <c r="E128" s="219">
        <f t="shared" ref="E128:P128" si="21">SUM(E129:E162)</f>
        <v>6111875456.7699995</v>
      </c>
      <c r="F128" s="220">
        <f t="shared" si="21"/>
        <v>2297616634.4300003</v>
      </c>
      <c r="G128" s="219">
        <f t="shared" si="21"/>
        <v>2192217726.7499995</v>
      </c>
      <c r="H128" s="218">
        <f t="shared" si="21"/>
        <v>148563911.60000005</v>
      </c>
      <c r="I128" s="217">
        <f t="shared" si="21"/>
        <v>38231067.149999991</v>
      </c>
      <c r="J128" s="217">
        <f t="shared" si="21"/>
        <v>22219974.860000003</v>
      </c>
      <c r="K128" s="217">
        <f t="shared" si="21"/>
        <v>10290269.99</v>
      </c>
      <c r="L128" s="217">
        <f t="shared" si="21"/>
        <v>5707039.1800000016</v>
      </c>
      <c r="M128" s="217">
        <f t="shared" si="21"/>
        <v>13536395.460000001</v>
      </c>
      <c r="N128" s="216">
        <f t="shared" si="21"/>
        <v>15506550.439999999</v>
      </c>
      <c r="O128" s="215">
        <f t="shared" si="21"/>
        <v>105491297.08</v>
      </c>
      <c r="P128" s="214">
        <f t="shared" si="21"/>
        <v>587</v>
      </c>
      <c r="R128" s="197"/>
      <c r="S128" s="197"/>
      <c r="T128" s="197"/>
    </row>
    <row r="129" spans="2:20" hidden="1" outlineLevel="2" x14ac:dyDescent="0.35">
      <c r="B129" s="492"/>
      <c r="C129" s="485"/>
      <c r="D129" s="224" t="s">
        <v>119</v>
      </c>
      <c r="E129" s="219">
        <v>170716643.01999995</v>
      </c>
      <c r="F129" s="220">
        <v>77822635.330000117</v>
      </c>
      <c r="G129" s="219">
        <v>74900557.380000025</v>
      </c>
      <c r="H129" s="218">
        <v>1929415.8199999998</v>
      </c>
      <c r="I129" s="217">
        <v>590853.35999999987</v>
      </c>
      <c r="J129" s="217">
        <v>905424.80999999982</v>
      </c>
      <c r="K129" s="217">
        <v>449671.50999999995</v>
      </c>
      <c r="L129" s="217">
        <v>0</v>
      </c>
      <c r="M129" s="217">
        <v>544116.19999999995</v>
      </c>
      <c r="N129" s="216">
        <v>432012.06999999995</v>
      </c>
      <c r="O129" s="215">
        <v>2922077.95</v>
      </c>
      <c r="P129" s="214">
        <v>16</v>
      </c>
      <c r="R129" s="197"/>
      <c r="S129" s="197"/>
      <c r="T129" s="197"/>
    </row>
    <row r="130" spans="2:20" hidden="1" outlineLevel="2" x14ac:dyDescent="0.35">
      <c r="B130" s="492"/>
      <c r="C130" s="485"/>
      <c r="D130" s="223" t="s">
        <v>118</v>
      </c>
      <c r="E130" s="219">
        <v>406691809.55999959</v>
      </c>
      <c r="F130" s="220">
        <v>187198845.75999978</v>
      </c>
      <c r="G130" s="219">
        <v>179308748.24000004</v>
      </c>
      <c r="H130" s="218">
        <v>4535574.1499999994</v>
      </c>
      <c r="I130" s="217">
        <v>617385.28000000014</v>
      </c>
      <c r="J130" s="217">
        <v>797966.74</v>
      </c>
      <c r="K130" s="217">
        <v>2820592.8399999989</v>
      </c>
      <c r="L130" s="217">
        <v>1237804.2</v>
      </c>
      <c r="M130" s="217">
        <v>718296.28</v>
      </c>
      <c r="N130" s="216">
        <v>1698052.18</v>
      </c>
      <c r="O130" s="215">
        <v>7890097.5199999996</v>
      </c>
      <c r="P130" s="214">
        <v>48</v>
      </c>
      <c r="R130" s="197"/>
      <c r="S130" s="197"/>
      <c r="T130" s="197"/>
    </row>
    <row r="131" spans="2:20" hidden="1" outlineLevel="2" x14ac:dyDescent="0.35">
      <c r="B131" s="492"/>
      <c r="C131" s="485"/>
      <c r="D131" s="223" t="s">
        <v>117</v>
      </c>
      <c r="E131" s="219">
        <v>173058462.76000002</v>
      </c>
      <c r="F131" s="220">
        <v>78637602.500000224</v>
      </c>
      <c r="G131" s="219">
        <v>75648736.50000003</v>
      </c>
      <c r="H131" s="218">
        <v>3575929.5300000007</v>
      </c>
      <c r="I131" s="217">
        <v>241207.16000000006</v>
      </c>
      <c r="J131" s="217">
        <v>478042.29000000004</v>
      </c>
      <c r="K131" s="217">
        <v>1176268.71</v>
      </c>
      <c r="L131" s="217">
        <v>453312.06000000006</v>
      </c>
      <c r="M131" s="217">
        <v>148783.74</v>
      </c>
      <c r="N131" s="216">
        <v>491252.04</v>
      </c>
      <c r="O131" s="215">
        <v>2988866</v>
      </c>
      <c r="P131" s="214">
        <v>21</v>
      </c>
      <c r="R131" s="197"/>
      <c r="S131" s="197"/>
      <c r="T131" s="197"/>
    </row>
    <row r="132" spans="2:20" hidden="1" outlineLevel="2" x14ac:dyDescent="0.35">
      <c r="B132" s="492"/>
      <c r="C132" s="485"/>
      <c r="D132" s="223" t="s">
        <v>116</v>
      </c>
      <c r="E132" s="219">
        <v>101524028.48000002</v>
      </c>
      <c r="F132" s="220">
        <v>46109658.340000048</v>
      </c>
      <c r="G132" s="219">
        <v>44749633.82</v>
      </c>
      <c r="H132" s="218">
        <v>3655976.63</v>
      </c>
      <c r="I132" s="217">
        <v>429140.72</v>
      </c>
      <c r="J132" s="217">
        <v>930883.8</v>
      </c>
      <c r="K132" s="217">
        <v>0</v>
      </c>
      <c r="L132" s="217">
        <v>0</v>
      </c>
      <c r="M132" s="217">
        <v>0</v>
      </c>
      <c r="N132" s="216">
        <v>0</v>
      </c>
      <c r="O132" s="215">
        <v>1360024.52</v>
      </c>
      <c r="P132" s="214">
        <v>3</v>
      </c>
      <c r="R132" s="197"/>
      <c r="S132" s="197"/>
      <c r="T132" s="197"/>
    </row>
    <row r="133" spans="2:20" hidden="1" outlineLevel="2" x14ac:dyDescent="0.35">
      <c r="B133" s="492"/>
      <c r="C133" s="485"/>
      <c r="D133" s="224" t="s">
        <v>114</v>
      </c>
      <c r="E133" s="219">
        <v>179682374.32000008</v>
      </c>
      <c r="F133" s="220">
        <v>72327716.710000038</v>
      </c>
      <c r="G133" s="219">
        <v>69967058.99000001</v>
      </c>
      <c r="H133" s="218">
        <v>6384912.3500000034</v>
      </c>
      <c r="I133" s="217">
        <v>797921.65000000014</v>
      </c>
      <c r="J133" s="217">
        <v>817520.35000000009</v>
      </c>
      <c r="K133" s="217">
        <v>0</v>
      </c>
      <c r="L133" s="217">
        <v>0</v>
      </c>
      <c r="M133" s="217">
        <v>497632.56</v>
      </c>
      <c r="N133" s="216">
        <v>247583.15999999997</v>
      </c>
      <c r="O133" s="215">
        <v>2360657.7199999997</v>
      </c>
      <c r="P133" s="214">
        <v>20</v>
      </c>
      <c r="R133" s="197"/>
      <c r="S133" s="197"/>
      <c r="T133" s="197"/>
    </row>
    <row r="134" spans="2:20" hidden="1" outlineLevel="2" x14ac:dyDescent="0.35">
      <c r="B134" s="492"/>
      <c r="C134" s="485"/>
      <c r="D134" s="223" t="s">
        <v>113</v>
      </c>
      <c r="E134" s="219">
        <v>447949529.65999949</v>
      </c>
      <c r="F134" s="220">
        <v>201561126.69000044</v>
      </c>
      <c r="G134" s="219">
        <v>191170320.72000009</v>
      </c>
      <c r="H134" s="218">
        <v>8429377.5600000005</v>
      </c>
      <c r="I134" s="217">
        <v>799293.59000000043</v>
      </c>
      <c r="J134" s="217">
        <v>4409613.709999999</v>
      </c>
      <c r="K134" s="217">
        <v>1622183.3800000004</v>
      </c>
      <c r="L134" s="217">
        <v>0</v>
      </c>
      <c r="M134" s="217">
        <v>1079709.43</v>
      </c>
      <c r="N134" s="216">
        <v>2480005.86</v>
      </c>
      <c r="O134" s="215">
        <v>10390805.970000004</v>
      </c>
      <c r="P134" s="214">
        <v>64</v>
      </c>
      <c r="R134" s="197"/>
      <c r="S134" s="197"/>
      <c r="T134" s="197"/>
    </row>
    <row r="135" spans="2:20" hidden="1" outlineLevel="2" x14ac:dyDescent="0.35">
      <c r="B135" s="492"/>
      <c r="C135" s="485"/>
      <c r="D135" s="223" t="s">
        <v>112</v>
      </c>
      <c r="E135" s="219">
        <v>189209765.97</v>
      </c>
      <c r="F135" s="220">
        <v>81575394.610000029</v>
      </c>
      <c r="G135" s="219">
        <v>75503179.379999995</v>
      </c>
      <c r="H135" s="218">
        <v>4921086.6499999985</v>
      </c>
      <c r="I135" s="217">
        <v>2394751.7499999995</v>
      </c>
      <c r="J135" s="217">
        <v>2484148.5299999998</v>
      </c>
      <c r="K135" s="217">
        <v>108225.47</v>
      </c>
      <c r="L135" s="217">
        <v>0</v>
      </c>
      <c r="M135" s="217">
        <v>92283.89</v>
      </c>
      <c r="N135" s="216">
        <v>992805.59</v>
      </c>
      <c r="O135" s="215">
        <v>6072215.2300000042</v>
      </c>
      <c r="P135" s="214">
        <v>32</v>
      </c>
      <c r="R135" s="197"/>
      <c r="S135" s="197"/>
      <c r="T135" s="197"/>
    </row>
    <row r="136" spans="2:20" hidden="1" outlineLevel="2" x14ac:dyDescent="0.35">
      <c r="B136" s="492"/>
      <c r="C136" s="485"/>
      <c r="D136" s="223" t="s">
        <v>111</v>
      </c>
      <c r="E136" s="219">
        <v>87260599.070000023</v>
      </c>
      <c r="F136" s="220">
        <v>36270715.649999984</v>
      </c>
      <c r="G136" s="219">
        <v>33652924.710000008</v>
      </c>
      <c r="H136" s="218">
        <v>858971.82</v>
      </c>
      <c r="I136" s="217">
        <v>2329787.2300000004</v>
      </c>
      <c r="J136" s="217">
        <v>0</v>
      </c>
      <c r="K136" s="217">
        <v>0</v>
      </c>
      <c r="L136" s="217">
        <v>0</v>
      </c>
      <c r="M136" s="217">
        <v>0</v>
      </c>
      <c r="N136" s="216">
        <v>288003.71000000002</v>
      </c>
      <c r="O136" s="215">
        <v>2617790.9399999995</v>
      </c>
      <c r="P136" s="214">
        <v>9</v>
      </c>
      <c r="R136" s="197"/>
      <c r="S136" s="197"/>
      <c r="T136" s="197"/>
    </row>
    <row r="137" spans="2:20" hidden="1" outlineLevel="2" x14ac:dyDescent="0.35">
      <c r="B137" s="492"/>
      <c r="C137" s="485"/>
      <c r="D137" s="222" t="s">
        <v>109</v>
      </c>
      <c r="E137" s="219">
        <v>186078654.75</v>
      </c>
      <c r="F137" s="220">
        <v>75568932.190000042</v>
      </c>
      <c r="G137" s="219">
        <v>70157493.609999999</v>
      </c>
      <c r="H137" s="218">
        <v>4858485.6500000032</v>
      </c>
      <c r="I137" s="217">
        <v>2740414.78</v>
      </c>
      <c r="J137" s="217">
        <v>292287.40000000002</v>
      </c>
      <c r="K137" s="217">
        <v>240925.6</v>
      </c>
      <c r="L137" s="217">
        <v>365356.99</v>
      </c>
      <c r="M137" s="217">
        <v>499905.56</v>
      </c>
      <c r="N137" s="216">
        <v>1272548.25</v>
      </c>
      <c r="O137" s="215">
        <v>5411438.580000001</v>
      </c>
      <c r="P137" s="214">
        <v>27</v>
      </c>
      <c r="R137" s="197"/>
      <c r="S137" s="197"/>
      <c r="T137" s="197"/>
    </row>
    <row r="138" spans="2:20" hidden="1" outlineLevel="2" x14ac:dyDescent="0.35">
      <c r="B138" s="492"/>
      <c r="C138" s="485"/>
      <c r="D138" s="222" t="s">
        <v>108</v>
      </c>
      <c r="E138" s="219">
        <v>473235445.00999999</v>
      </c>
      <c r="F138" s="220">
        <v>207732705.86999968</v>
      </c>
      <c r="G138" s="219">
        <v>195864041.14999986</v>
      </c>
      <c r="H138" s="218">
        <v>13530319.850000005</v>
      </c>
      <c r="I138" s="217">
        <v>9075589.2899999972</v>
      </c>
      <c r="J138" s="217">
        <v>392129.2</v>
      </c>
      <c r="K138" s="217">
        <v>4111.17</v>
      </c>
      <c r="L138" s="217">
        <v>247135.89</v>
      </c>
      <c r="M138" s="217">
        <v>797946.5199999999</v>
      </c>
      <c r="N138" s="216">
        <v>1351752.6500000001</v>
      </c>
      <c r="O138" s="215">
        <v>11868664.720000003</v>
      </c>
      <c r="P138" s="214">
        <v>82</v>
      </c>
      <c r="R138" s="197"/>
      <c r="S138" s="197"/>
      <c r="T138" s="197"/>
    </row>
    <row r="139" spans="2:20" hidden="1" outlineLevel="2" x14ac:dyDescent="0.35">
      <c r="B139" s="492"/>
      <c r="C139" s="485"/>
      <c r="D139" s="222" t="s">
        <v>107</v>
      </c>
      <c r="E139" s="219">
        <v>195265056.10000002</v>
      </c>
      <c r="F139" s="220">
        <v>78472159.149999991</v>
      </c>
      <c r="G139" s="219">
        <v>74471808.770000011</v>
      </c>
      <c r="H139" s="218">
        <v>4610959.2399999993</v>
      </c>
      <c r="I139" s="217">
        <v>2507529.44</v>
      </c>
      <c r="J139" s="217">
        <v>251526.44</v>
      </c>
      <c r="K139" s="217">
        <v>127765.67</v>
      </c>
      <c r="L139" s="217">
        <v>158104.31</v>
      </c>
      <c r="M139" s="217">
        <v>417229.62</v>
      </c>
      <c r="N139" s="216">
        <v>538194.89999999991</v>
      </c>
      <c r="O139" s="215">
        <v>4000350.3800000008</v>
      </c>
      <c r="P139" s="214">
        <v>27</v>
      </c>
      <c r="R139" s="197"/>
      <c r="S139" s="197"/>
      <c r="T139" s="197"/>
    </row>
    <row r="140" spans="2:20" hidden="1" outlineLevel="2" x14ac:dyDescent="0.35">
      <c r="B140" s="492"/>
      <c r="C140" s="485"/>
      <c r="D140" s="222" t="s">
        <v>106</v>
      </c>
      <c r="E140" s="219">
        <v>111611376.25</v>
      </c>
      <c r="F140" s="220">
        <v>41174044.570000008</v>
      </c>
      <c r="G140" s="219">
        <v>39012544.640000008</v>
      </c>
      <c r="H140" s="218">
        <v>1496489.03</v>
      </c>
      <c r="I140" s="217">
        <v>1771137.1600000001</v>
      </c>
      <c r="J140" s="217">
        <v>0</v>
      </c>
      <c r="K140" s="217">
        <v>0</v>
      </c>
      <c r="L140" s="217">
        <v>388612</v>
      </c>
      <c r="M140" s="217">
        <v>1750.77</v>
      </c>
      <c r="N140" s="216">
        <v>0</v>
      </c>
      <c r="O140" s="215">
        <v>2161499.9300000002</v>
      </c>
      <c r="P140" s="214">
        <v>5</v>
      </c>
      <c r="R140" s="197"/>
      <c r="S140" s="197"/>
      <c r="T140" s="197"/>
    </row>
    <row r="141" spans="2:20" hidden="1" outlineLevel="2" x14ac:dyDescent="0.35">
      <c r="B141" s="492"/>
      <c r="C141" s="485"/>
      <c r="D141" s="222" t="s">
        <v>104</v>
      </c>
      <c r="E141" s="219">
        <v>181742042.34999999</v>
      </c>
      <c r="F141" s="220">
        <v>67445258.920000106</v>
      </c>
      <c r="G141" s="219">
        <v>66529391.869999997</v>
      </c>
      <c r="H141" s="218">
        <v>2980704.68</v>
      </c>
      <c r="I141" s="217">
        <v>157775.87000000002</v>
      </c>
      <c r="J141" s="217">
        <v>479561.31</v>
      </c>
      <c r="K141" s="217">
        <v>0</v>
      </c>
      <c r="L141" s="217">
        <v>2580.7199999999998</v>
      </c>
      <c r="M141" s="217">
        <v>148051.01999999999</v>
      </c>
      <c r="N141" s="216">
        <v>127898.13</v>
      </c>
      <c r="O141" s="215">
        <v>915867.05</v>
      </c>
      <c r="P141" s="214">
        <v>5</v>
      </c>
      <c r="R141" s="197"/>
      <c r="S141" s="197"/>
      <c r="T141" s="197"/>
    </row>
    <row r="142" spans="2:20" hidden="1" outlineLevel="2" x14ac:dyDescent="0.35">
      <c r="B142" s="492"/>
      <c r="C142" s="485"/>
      <c r="D142" s="222" t="s">
        <v>103</v>
      </c>
      <c r="E142" s="219">
        <v>470711136.28000015</v>
      </c>
      <c r="F142" s="220">
        <v>177451329.09999993</v>
      </c>
      <c r="G142" s="219">
        <v>173156837.50999993</v>
      </c>
      <c r="H142" s="218">
        <v>12937618.359999999</v>
      </c>
      <c r="I142" s="217">
        <v>722745.84999999986</v>
      </c>
      <c r="J142" s="217">
        <v>517794.07</v>
      </c>
      <c r="K142" s="217">
        <v>336124.23000000004</v>
      </c>
      <c r="L142" s="217">
        <v>366928.01</v>
      </c>
      <c r="M142" s="217">
        <v>1260418.0500000003</v>
      </c>
      <c r="N142" s="216">
        <v>1090481.3799999999</v>
      </c>
      <c r="O142" s="215">
        <v>4294491.5900000017</v>
      </c>
      <c r="P142" s="214">
        <v>27</v>
      </c>
      <c r="R142" s="197"/>
      <c r="S142" s="197"/>
      <c r="T142" s="197"/>
    </row>
    <row r="143" spans="2:20" hidden="1" outlineLevel="2" x14ac:dyDescent="0.35">
      <c r="B143" s="492"/>
      <c r="C143" s="485"/>
      <c r="D143" s="222" t="s">
        <v>102</v>
      </c>
      <c r="E143" s="219">
        <v>201490444.67000002</v>
      </c>
      <c r="F143" s="220">
        <v>73728897.019999921</v>
      </c>
      <c r="G143" s="219">
        <v>71827425.580000013</v>
      </c>
      <c r="H143" s="218">
        <v>6775656.7599999988</v>
      </c>
      <c r="I143" s="217">
        <v>216882.51999999996</v>
      </c>
      <c r="J143" s="217">
        <v>288762.73</v>
      </c>
      <c r="K143" s="217">
        <v>129262.7</v>
      </c>
      <c r="L143" s="217">
        <v>0</v>
      </c>
      <c r="M143" s="217">
        <v>879916.79</v>
      </c>
      <c r="N143" s="216">
        <v>386646.69999999995</v>
      </c>
      <c r="O143" s="215">
        <v>1901471.4399999997</v>
      </c>
      <c r="P143" s="214">
        <v>12</v>
      </c>
      <c r="R143" s="197"/>
      <c r="S143" s="197"/>
      <c r="T143" s="197"/>
    </row>
    <row r="144" spans="2:20" hidden="1" outlineLevel="2" x14ac:dyDescent="0.35">
      <c r="B144" s="492"/>
      <c r="C144" s="485"/>
      <c r="D144" s="222" t="s">
        <v>101</v>
      </c>
      <c r="E144" s="219">
        <v>89188139</v>
      </c>
      <c r="F144" s="220">
        <v>31428312.409999993</v>
      </c>
      <c r="G144" s="219">
        <v>31209492.520000003</v>
      </c>
      <c r="H144" s="218">
        <v>1633312.54</v>
      </c>
      <c r="I144" s="217">
        <v>1334.59</v>
      </c>
      <c r="J144" s="217">
        <v>0</v>
      </c>
      <c r="K144" s="217">
        <v>0</v>
      </c>
      <c r="L144" s="217">
        <v>0</v>
      </c>
      <c r="M144" s="217">
        <v>217485.3</v>
      </c>
      <c r="N144" s="216">
        <v>0</v>
      </c>
      <c r="O144" s="215">
        <v>218819.88999999998</v>
      </c>
      <c r="P144" s="214">
        <v>1</v>
      </c>
      <c r="R144" s="197"/>
      <c r="S144" s="197"/>
      <c r="T144" s="197"/>
    </row>
    <row r="145" spans="2:20" hidden="1" outlineLevel="2" x14ac:dyDescent="0.35">
      <c r="B145" s="492"/>
      <c r="C145" s="485"/>
      <c r="D145" s="223" t="s">
        <v>99</v>
      </c>
      <c r="E145" s="219">
        <v>214412498.4300001</v>
      </c>
      <c r="F145" s="220">
        <v>72666188.329999954</v>
      </c>
      <c r="G145" s="219">
        <v>70179506.779999971</v>
      </c>
      <c r="H145" s="218">
        <v>3589538.0800000005</v>
      </c>
      <c r="I145" s="217">
        <v>765090.1</v>
      </c>
      <c r="J145" s="217">
        <v>647220.93999999994</v>
      </c>
      <c r="K145" s="217">
        <v>0</v>
      </c>
      <c r="L145" s="217">
        <v>257088.54</v>
      </c>
      <c r="M145" s="217">
        <v>567422.78</v>
      </c>
      <c r="N145" s="216">
        <v>249859.19</v>
      </c>
      <c r="O145" s="215">
        <v>2486681.5500000003</v>
      </c>
      <c r="P145" s="214">
        <v>14</v>
      </c>
      <c r="R145" s="197"/>
      <c r="S145" s="197"/>
      <c r="T145" s="197"/>
    </row>
    <row r="146" spans="2:20" hidden="1" outlineLevel="2" x14ac:dyDescent="0.35">
      <c r="B146" s="492"/>
      <c r="C146" s="485"/>
      <c r="D146" s="223" t="s">
        <v>98</v>
      </c>
      <c r="E146" s="219">
        <v>121459172.51999998</v>
      </c>
      <c r="F146" s="220">
        <v>41261658.699999981</v>
      </c>
      <c r="G146" s="219">
        <v>40338141.430000015</v>
      </c>
      <c r="H146" s="218">
        <v>3366734.4799999991</v>
      </c>
      <c r="I146" s="217">
        <v>258567.87999999998</v>
      </c>
      <c r="J146" s="217">
        <v>402741.49</v>
      </c>
      <c r="K146" s="217">
        <v>0</v>
      </c>
      <c r="L146" s="217">
        <v>0</v>
      </c>
      <c r="M146" s="217">
        <v>258837.68</v>
      </c>
      <c r="N146" s="216">
        <v>3370.22</v>
      </c>
      <c r="O146" s="215">
        <v>923517.2699999999</v>
      </c>
      <c r="P146" s="214">
        <v>6</v>
      </c>
      <c r="R146" s="197"/>
      <c r="S146" s="197"/>
      <c r="T146" s="197"/>
    </row>
    <row r="147" spans="2:20" hidden="1" outlineLevel="2" x14ac:dyDescent="0.35">
      <c r="B147" s="492"/>
      <c r="C147" s="485"/>
      <c r="D147" s="223" t="s">
        <v>97</v>
      </c>
      <c r="E147" s="219">
        <v>119708422.34</v>
      </c>
      <c r="F147" s="220">
        <v>41476719.639999978</v>
      </c>
      <c r="G147" s="219">
        <v>40014394.380000003</v>
      </c>
      <c r="H147" s="218">
        <v>5442665.450000002</v>
      </c>
      <c r="I147" s="217">
        <v>402073.99000000005</v>
      </c>
      <c r="J147" s="217">
        <v>157044.96</v>
      </c>
      <c r="K147" s="217">
        <v>0</v>
      </c>
      <c r="L147" s="217">
        <v>0</v>
      </c>
      <c r="M147" s="217">
        <v>524807.35</v>
      </c>
      <c r="N147" s="216">
        <v>378398.96</v>
      </c>
      <c r="O147" s="215">
        <v>1462325.26</v>
      </c>
      <c r="P147" s="214">
        <v>6</v>
      </c>
      <c r="R147" s="197"/>
      <c r="S147" s="197"/>
      <c r="T147" s="197"/>
    </row>
    <row r="148" spans="2:20" hidden="1" outlineLevel="2" x14ac:dyDescent="0.35">
      <c r="B148" s="492"/>
      <c r="C148" s="485"/>
      <c r="D148" s="223" t="s">
        <v>96</v>
      </c>
      <c r="E148" s="219">
        <v>218453650.02999997</v>
      </c>
      <c r="F148" s="220">
        <v>81423024.169999987</v>
      </c>
      <c r="G148" s="219">
        <v>78917156.61999999</v>
      </c>
      <c r="H148" s="218">
        <v>10852247.520000003</v>
      </c>
      <c r="I148" s="217">
        <v>2301.2199999999998</v>
      </c>
      <c r="J148" s="217">
        <v>930541.61</v>
      </c>
      <c r="K148" s="217">
        <v>272226.69</v>
      </c>
      <c r="L148" s="217">
        <v>74461.47</v>
      </c>
      <c r="M148" s="217">
        <v>535264.48</v>
      </c>
      <c r="N148" s="216">
        <v>691072.08000000007</v>
      </c>
      <c r="O148" s="215">
        <v>2505867.5499999998</v>
      </c>
      <c r="P148" s="214">
        <v>11</v>
      </c>
      <c r="R148" s="197"/>
      <c r="S148" s="197"/>
      <c r="T148" s="197"/>
    </row>
    <row r="149" spans="2:20" hidden="1" outlineLevel="2" x14ac:dyDescent="0.35">
      <c r="B149" s="492"/>
      <c r="C149" s="485"/>
      <c r="D149" s="223" t="s">
        <v>94</v>
      </c>
      <c r="E149" s="219">
        <v>207226554.46000004</v>
      </c>
      <c r="F149" s="220">
        <v>72066632.439999983</v>
      </c>
      <c r="G149" s="219">
        <v>68844865.349999979</v>
      </c>
      <c r="H149" s="218">
        <v>2920284.68</v>
      </c>
      <c r="I149" s="217">
        <v>322503.18999999994</v>
      </c>
      <c r="J149" s="217">
        <v>1601017.02</v>
      </c>
      <c r="K149" s="217">
        <v>0</v>
      </c>
      <c r="L149" s="217">
        <v>802441.14</v>
      </c>
      <c r="M149" s="217">
        <v>159881</v>
      </c>
      <c r="N149" s="216">
        <v>335924.74</v>
      </c>
      <c r="O149" s="215">
        <v>3221767.0900000008</v>
      </c>
      <c r="P149" s="214">
        <v>13</v>
      </c>
      <c r="R149" s="197"/>
      <c r="S149" s="197"/>
      <c r="T149" s="197"/>
    </row>
    <row r="150" spans="2:20" hidden="1" outlineLevel="2" x14ac:dyDescent="0.35">
      <c r="B150" s="492"/>
      <c r="C150" s="485"/>
      <c r="D150" s="223" t="s">
        <v>93</v>
      </c>
      <c r="E150" s="219">
        <v>127611774.5</v>
      </c>
      <c r="F150" s="220">
        <v>43367893.540000014</v>
      </c>
      <c r="G150" s="219">
        <v>41894222.710000008</v>
      </c>
      <c r="H150" s="218">
        <v>5869249.4500000002</v>
      </c>
      <c r="I150" s="217">
        <v>521018.80000000005</v>
      </c>
      <c r="J150" s="217">
        <v>130575.25</v>
      </c>
      <c r="K150" s="217">
        <v>383422.38</v>
      </c>
      <c r="L150" s="217">
        <v>63307.51</v>
      </c>
      <c r="M150" s="217">
        <v>201593.4</v>
      </c>
      <c r="N150" s="216">
        <v>173753.49</v>
      </c>
      <c r="O150" s="215">
        <v>1473670.83</v>
      </c>
      <c r="P150" s="214">
        <v>9</v>
      </c>
      <c r="R150" s="197"/>
      <c r="S150" s="197"/>
      <c r="T150" s="197"/>
    </row>
    <row r="151" spans="2:20" hidden="1" outlineLevel="2" x14ac:dyDescent="0.35">
      <c r="B151" s="492"/>
      <c r="C151" s="485"/>
      <c r="D151" s="223" t="s">
        <v>92</v>
      </c>
      <c r="E151" s="219">
        <v>135215901.75</v>
      </c>
      <c r="F151" s="220">
        <v>42957328.639999978</v>
      </c>
      <c r="G151" s="219">
        <v>41416507.840000018</v>
      </c>
      <c r="H151" s="218">
        <v>4993790.5300000031</v>
      </c>
      <c r="I151" s="217">
        <v>407424.83</v>
      </c>
      <c r="J151" s="217">
        <v>128756.25</v>
      </c>
      <c r="K151" s="217">
        <v>241869.03000000003</v>
      </c>
      <c r="L151" s="217">
        <v>146456.09</v>
      </c>
      <c r="M151" s="217">
        <v>494833.85</v>
      </c>
      <c r="N151" s="216">
        <v>121480.75</v>
      </c>
      <c r="O151" s="215">
        <v>1540820.8</v>
      </c>
      <c r="P151" s="214">
        <v>8</v>
      </c>
      <c r="R151" s="197"/>
      <c r="S151" s="197"/>
      <c r="T151" s="197"/>
    </row>
    <row r="152" spans="2:20" hidden="1" outlineLevel="2" x14ac:dyDescent="0.35">
      <c r="B152" s="492"/>
      <c r="C152" s="485"/>
      <c r="D152" s="223" t="s">
        <v>91</v>
      </c>
      <c r="E152" s="219">
        <v>197632624.47</v>
      </c>
      <c r="F152" s="220">
        <v>67099207.720000058</v>
      </c>
      <c r="G152" s="219">
        <v>62357180.459999986</v>
      </c>
      <c r="H152" s="218">
        <v>8512208.2299999986</v>
      </c>
      <c r="I152" s="217">
        <v>685961.88</v>
      </c>
      <c r="J152" s="217">
        <v>1409075.75</v>
      </c>
      <c r="K152" s="217">
        <v>1020917.2</v>
      </c>
      <c r="L152" s="217">
        <v>607901.69000000006</v>
      </c>
      <c r="M152" s="217">
        <v>29796.7</v>
      </c>
      <c r="N152" s="216">
        <v>1080763.44</v>
      </c>
      <c r="O152" s="215">
        <v>4834416.66</v>
      </c>
      <c r="P152" s="214">
        <v>21</v>
      </c>
      <c r="R152" s="197"/>
      <c r="S152" s="197"/>
      <c r="T152" s="197"/>
    </row>
    <row r="153" spans="2:20" hidden="1" outlineLevel="2" x14ac:dyDescent="0.35">
      <c r="B153" s="492"/>
      <c r="C153" s="485"/>
      <c r="D153" s="223" t="s">
        <v>89</v>
      </c>
      <c r="E153" s="219">
        <v>201300176.35000002</v>
      </c>
      <c r="F153" s="220">
        <v>62684203.290000029</v>
      </c>
      <c r="G153" s="219">
        <v>58336936.729999989</v>
      </c>
      <c r="H153" s="218">
        <v>3158798.4200000004</v>
      </c>
      <c r="I153" s="217">
        <v>2054969.6500000001</v>
      </c>
      <c r="J153" s="217">
        <v>1700430.76</v>
      </c>
      <c r="K153" s="217">
        <v>224770.06</v>
      </c>
      <c r="L153" s="217">
        <v>0</v>
      </c>
      <c r="M153" s="217">
        <v>327838.05000000005</v>
      </c>
      <c r="N153" s="216">
        <v>39258.04</v>
      </c>
      <c r="O153" s="215">
        <v>4347266.5599999996</v>
      </c>
      <c r="P153" s="214">
        <v>26</v>
      </c>
      <c r="R153" s="197"/>
      <c r="S153" s="197"/>
      <c r="T153" s="197"/>
    </row>
    <row r="154" spans="2:20" hidden="1" outlineLevel="2" x14ac:dyDescent="0.35">
      <c r="B154" s="492"/>
      <c r="C154" s="485"/>
      <c r="D154" s="223" t="s">
        <v>88</v>
      </c>
      <c r="E154" s="219">
        <v>112257735.09000003</v>
      </c>
      <c r="F154" s="220">
        <v>36492658.950000025</v>
      </c>
      <c r="G154" s="219">
        <v>32366518.909999996</v>
      </c>
      <c r="H154" s="218">
        <v>1006992.0999999996</v>
      </c>
      <c r="I154" s="217">
        <v>1178701.2500000002</v>
      </c>
      <c r="J154" s="217">
        <v>924451.20000000007</v>
      </c>
      <c r="K154" s="217">
        <v>0</v>
      </c>
      <c r="L154" s="217">
        <v>129068.53</v>
      </c>
      <c r="M154" s="217">
        <v>1496638.2999999998</v>
      </c>
      <c r="N154" s="216">
        <v>397280.76</v>
      </c>
      <c r="O154" s="215">
        <v>4126140.040000001</v>
      </c>
      <c r="P154" s="214">
        <v>15</v>
      </c>
      <c r="R154" s="197"/>
      <c r="S154" s="197"/>
      <c r="T154" s="197"/>
    </row>
    <row r="155" spans="2:20" hidden="1" outlineLevel="2" x14ac:dyDescent="0.35">
      <c r="B155" s="492"/>
      <c r="C155" s="485"/>
      <c r="D155" s="223" t="s">
        <v>87</v>
      </c>
      <c r="E155" s="219">
        <v>114038368.36000001</v>
      </c>
      <c r="F155" s="220">
        <v>38018449.589999989</v>
      </c>
      <c r="G155" s="219">
        <v>35671626.07</v>
      </c>
      <c r="H155" s="218">
        <v>3919148.5100000012</v>
      </c>
      <c r="I155" s="217">
        <v>1945097.4300000004</v>
      </c>
      <c r="J155" s="217">
        <v>237103.21</v>
      </c>
      <c r="K155" s="217">
        <v>0</v>
      </c>
      <c r="L155" s="217">
        <v>0</v>
      </c>
      <c r="M155" s="217">
        <v>160591.88</v>
      </c>
      <c r="N155" s="216">
        <v>4031</v>
      </c>
      <c r="O155" s="215">
        <v>2346823.52</v>
      </c>
      <c r="P155" s="214">
        <v>12</v>
      </c>
      <c r="R155" s="197"/>
      <c r="S155" s="197"/>
      <c r="T155" s="197"/>
    </row>
    <row r="156" spans="2:20" hidden="1" outlineLevel="2" x14ac:dyDescent="0.35">
      <c r="B156" s="492"/>
      <c r="C156" s="485"/>
      <c r="D156" s="223" t="s">
        <v>86</v>
      </c>
      <c r="E156" s="219">
        <v>134825410.69000003</v>
      </c>
      <c r="F156" s="220">
        <v>42108257.269999996</v>
      </c>
      <c r="G156" s="219">
        <v>39402178.100000009</v>
      </c>
      <c r="H156" s="218">
        <v>4082207.8800000008</v>
      </c>
      <c r="I156" s="217">
        <v>1813452.3</v>
      </c>
      <c r="J156" s="217">
        <v>511601.02999999997</v>
      </c>
      <c r="K156" s="217">
        <v>0</v>
      </c>
      <c r="L156" s="217">
        <v>0</v>
      </c>
      <c r="M156" s="217">
        <v>0</v>
      </c>
      <c r="N156" s="216">
        <v>381025.83999999997</v>
      </c>
      <c r="O156" s="215">
        <v>2706079.17</v>
      </c>
      <c r="P156" s="214">
        <v>14</v>
      </c>
      <c r="R156" s="197"/>
      <c r="S156" s="197"/>
      <c r="T156" s="197"/>
    </row>
    <row r="157" spans="2:20" hidden="1" outlineLevel="2" x14ac:dyDescent="0.35">
      <c r="B157" s="492"/>
      <c r="C157" s="485"/>
      <c r="D157" s="223" t="s">
        <v>84</v>
      </c>
      <c r="E157" s="219">
        <v>176125043.90999994</v>
      </c>
      <c r="F157" s="220">
        <v>40825980.520000026</v>
      </c>
      <c r="G157" s="219">
        <v>39231055.38000001</v>
      </c>
      <c r="H157" s="218">
        <v>2729059.36</v>
      </c>
      <c r="I157" s="217">
        <v>703288.2799999998</v>
      </c>
      <c r="J157" s="217">
        <v>142165.37</v>
      </c>
      <c r="K157" s="217">
        <v>0</v>
      </c>
      <c r="L157" s="217">
        <v>388552.80000000005</v>
      </c>
      <c r="M157" s="217">
        <v>251489.9</v>
      </c>
      <c r="N157" s="216">
        <v>109428.79</v>
      </c>
      <c r="O157" s="215">
        <v>1594925.1399999997</v>
      </c>
      <c r="P157" s="214">
        <v>9</v>
      </c>
      <c r="R157" s="197"/>
      <c r="S157" s="197"/>
      <c r="T157" s="197"/>
    </row>
    <row r="158" spans="2:20" hidden="1" outlineLevel="2" x14ac:dyDescent="0.35">
      <c r="B158" s="492"/>
      <c r="C158" s="485"/>
      <c r="D158" s="223" t="s">
        <v>83</v>
      </c>
      <c r="E158" s="219">
        <v>85991289.330000043</v>
      </c>
      <c r="F158" s="220">
        <v>21373973.089999996</v>
      </c>
      <c r="G158" s="219">
        <v>20380330.900000006</v>
      </c>
      <c r="H158" s="218">
        <v>279333.83</v>
      </c>
      <c r="I158" s="217">
        <v>580.69000000000005</v>
      </c>
      <c r="J158" s="217">
        <v>8091.69</v>
      </c>
      <c r="K158" s="217">
        <v>285176.77</v>
      </c>
      <c r="L158" s="217">
        <v>0</v>
      </c>
      <c r="M158" s="217">
        <v>699793.04</v>
      </c>
      <c r="N158" s="216">
        <v>0</v>
      </c>
      <c r="O158" s="215">
        <v>993642.19</v>
      </c>
      <c r="P158" s="214">
        <v>4</v>
      </c>
      <c r="R158" s="197"/>
      <c r="S158" s="197"/>
      <c r="T158" s="197"/>
    </row>
    <row r="159" spans="2:20" hidden="1" outlineLevel="2" x14ac:dyDescent="0.35">
      <c r="B159" s="492"/>
      <c r="C159" s="485"/>
      <c r="D159" s="223" t="s">
        <v>82</v>
      </c>
      <c r="E159" s="219">
        <v>98725716.030000031</v>
      </c>
      <c r="F159" s="220">
        <v>23074265.02999999</v>
      </c>
      <c r="G159" s="219">
        <v>22387401.060000006</v>
      </c>
      <c r="H159" s="218">
        <v>3195463.6299999994</v>
      </c>
      <c r="I159" s="217">
        <v>34846.360000000008</v>
      </c>
      <c r="J159" s="217">
        <v>0</v>
      </c>
      <c r="K159" s="217">
        <v>142509.06</v>
      </c>
      <c r="L159" s="217">
        <v>17927.23</v>
      </c>
      <c r="M159" s="217">
        <v>491581.32</v>
      </c>
      <c r="N159" s="216">
        <v>0</v>
      </c>
      <c r="O159" s="215">
        <v>686863.97</v>
      </c>
      <c r="P159" s="214">
        <v>4</v>
      </c>
      <c r="R159" s="197"/>
      <c r="S159" s="197"/>
      <c r="T159" s="197"/>
    </row>
    <row r="160" spans="2:20" hidden="1" outlineLevel="2" x14ac:dyDescent="0.35">
      <c r="B160" s="492"/>
      <c r="C160" s="485"/>
      <c r="D160" s="223" t="s">
        <v>81</v>
      </c>
      <c r="E160" s="219">
        <v>107966002.66999999</v>
      </c>
      <c r="F160" s="220">
        <v>27471236.640000027</v>
      </c>
      <c r="G160" s="219">
        <v>26356440.720000003</v>
      </c>
      <c r="H160" s="218">
        <v>1484391.73</v>
      </c>
      <c r="I160" s="217">
        <v>234381.88</v>
      </c>
      <c r="J160" s="217">
        <v>0</v>
      </c>
      <c r="K160" s="217">
        <v>704247.52</v>
      </c>
      <c r="L160" s="217">
        <v>0</v>
      </c>
      <c r="M160" s="217">
        <v>32500</v>
      </c>
      <c r="N160" s="216">
        <v>143666.51999999999</v>
      </c>
      <c r="O160" s="215">
        <v>1114795.92</v>
      </c>
      <c r="P160" s="214">
        <v>5</v>
      </c>
      <c r="R160" s="197"/>
      <c r="S160" s="197"/>
      <c r="T160" s="197"/>
    </row>
    <row r="161" spans="2:20" hidden="1" outlineLevel="2" x14ac:dyDescent="0.35">
      <c r="B161" s="492"/>
      <c r="C161" s="485"/>
      <c r="D161" s="223" t="s">
        <v>79</v>
      </c>
      <c r="E161" s="219">
        <v>69342013.700000018</v>
      </c>
      <c r="F161" s="220">
        <v>8326862.5600000005</v>
      </c>
      <c r="G161" s="219">
        <v>6576308.4299999978</v>
      </c>
      <c r="H161" s="218">
        <v>47007.1</v>
      </c>
      <c r="I161" s="217">
        <v>1507057.18</v>
      </c>
      <c r="J161" s="217">
        <v>243496.95</v>
      </c>
      <c r="K161" s="217">
        <v>0</v>
      </c>
      <c r="L161" s="217">
        <v>0</v>
      </c>
      <c r="M161" s="217">
        <v>0</v>
      </c>
      <c r="N161" s="216">
        <v>0</v>
      </c>
      <c r="O161" s="215">
        <v>1750554.13</v>
      </c>
      <c r="P161" s="214">
        <v>11</v>
      </c>
      <c r="R161" s="197"/>
      <c r="S161" s="197"/>
      <c r="T161" s="197"/>
    </row>
    <row r="162" spans="2:20" hidden="1" outlineLevel="2" x14ac:dyDescent="0.35">
      <c r="B162" s="492"/>
      <c r="C162" s="485"/>
      <c r="D162" s="223" t="s">
        <v>78</v>
      </c>
      <c r="E162" s="219">
        <v>4167594.89</v>
      </c>
      <c r="F162" s="220">
        <v>416759.49</v>
      </c>
      <c r="G162" s="219">
        <v>416759.49</v>
      </c>
      <c r="H162" s="218">
        <v>0</v>
      </c>
      <c r="I162" s="217">
        <v>0</v>
      </c>
      <c r="J162" s="217">
        <v>0</v>
      </c>
      <c r="K162" s="217">
        <v>0</v>
      </c>
      <c r="L162" s="217">
        <v>0</v>
      </c>
      <c r="M162" s="217">
        <v>0</v>
      </c>
      <c r="N162" s="216">
        <v>0</v>
      </c>
      <c r="O162" s="215">
        <v>0</v>
      </c>
      <c r="P162" s="214">
        <v>0</v>
      </c>
      <c r="R162" s="197"/>
      <c r="S162" s="197"/>
      <c r="T162" s="197"/>
    </row>
    <row r="163" spans="2:20" outlineLevel="1" collapsed="1" x14ac:dyDescent="0.35">
      <c r="B163" s="492"/>
      <c r="C163" s="485"/>
      <c r="D163" s="221" t="s">
        <v>77</v>
      </c>
      <c r="E163" s="219">
        <f t="shared" ref="E163:P163" si="22">SUM(E164:E185)</f>
        <v>2631180043.4400001</v>
      </c>
      <c r="F163" s="220">
        <f t="shared" si="22"/>
        <v>730412781.33999932</v>
      </c>
      <c r="G163" s="219">
        <f t="shared" si="22"/>
        <v>696055803.0200001</v>
      </c>
      <c r="H163" s="218">
        <f t="shared" si="22"/>
        <v>47311001.079999998</v>
      </c>
      <c r="I163" s="217">
        <f t="shared" si="22"/>
        <v>12711476.6</v>
      </c>
      <c r="J163" s="217">
        <f t="shared" si="22"/>
        <v>8089888.8300000001</v>
      </c>
      <c r="K163" s="217">
        <f t="shared" si="22"/>
        <v>5111929.9499999993</v>
      </c>
      <c r="L163" s="217">
        <f t="shared" si="22"/>
        <v>3416447.81</v>
      </c>
      <c r="M163" s="217">
        <f t="shared" si="22"/>
        <v>2626914.02</v>
      </c>
      <c r="N163" s="216">
        <f t="shared" si="22"/>
        <v>2400321.1099999994</v>
      </c>
      <c r="O163" s="215">
        <f t="shared" si="22"/>
        <v>34356978.32</v>
      </c>
      <c r="P163" s="214">
        <f t="shared" si="22"/>
        <v>233</v>
      </c>
      <c r="R163" s="197"/>
      <c r="S163" s="197"/>
      <c r="T163" s="197"/>
    </row>
    <row r="164" spans="2:20" hidden="1" outlineLevel="2" x14ac:dyDescent="0.35">
      <c r="B164" s="492"/>
      <c r="C164" s="485"/>
      <c r="D164" s="222" t="s">
        <v>75</v>
      </c>
      <c r="E164" s="219">
        <v>112606324.23999998</v>
      </c>
      <c r="F164" s="220">
        <v>37974444.980000004</v>
      </c>
      <c r="G164" s="219">
        <v>36373697.230000004</v>
      </c>
      <c r="H164" s="218">
        <v>2320045.87</v>
      </c>
      <c r="I164" s="217">
        <v>432288.14</v>
      </c>
      <c r="J164" s="217">
        <v>533567.19999999995</v>
      </c>
      <c r="K164" s="217">
        <v>359989.16</v>
      </c>
      <c r="L164" s="217">
        <v>138444.84</v>
      </c>
      <c r="M164" s="217">
        <v>0</v>
      </c>
      <c r="N164" s="216">
        <v>136458.41</v>
      </c>
      <c r="O164" s="215">
        <v>1600747.7500000005</v>
      </c>
      <c r="P164" s="214">
        <v>12</v>
      </c>
      <c r="R164" s="197"/>
      <c r="S164" s="197"/>
      <c r="T164" s="197"/>
    </row>
    <row r="165" spans="2:20" hidden="1" outlineLevel="2" x14ac:dyDescent="0.35">
      <c r="B165" s="492"/>
      <c r="C165" s="485"/>
      <c r="D165" s="222" t="s">
        <v>74</v>
      </c>
      <c r="E165" s="219">
        <v>302508355.49000013</v>
      </c>
      <c r="F165" s="220">
        <v>105636555.49999987</v>
      </c>
      <c r="G165" s="219">
        <v>100144763.56000005</v>
      </c>
      <c r="H165" s="218">
        <v>6166448.4899999993</v>
      </c>
      <c r="I165" s="217">
        <v>2866413.6999999997</v>
      </c>
      <c r="J165" s="217">
        <v>259657.71000000002</v>
      </c>
      <c r="K165" s="217">
        <v>960864.98</v>
      </c>
      <c r="L165" s="217">
        <v>968044.72000000009</v>
      </c>
      <c r="M165" s="217">
        <v>172944.46</v>
      </c>
      <c r="N165" s="216">
        <v>263866.37</v>
      </c>
      <c r="O165" s="215">
        <v>5491791.9400000004</v>
      </c>
      <c r="P165" s="214">
        <v>37</v>
      </c>
      <c r="R165" s="197"/>
      <c r="S165" s="197"/>
      <c r="T165" s="197"/>
    </row>
    <row r="166" spans="2:20" hidden="1" outlineLevel="2" x14ac:dyDescent="0.35">
      <c r="B166" s="492"/>
      <c r="C166" s="485"/>
      <c r="D166" s="222" t="s">
        <v>73</v>
      </c>
      <c r="E166" s="219">
        <v>109349382.32999995</v>
      </c>
      <c r="F166" s="220">
        <v>34886771.150000021</v>
      </c>
      <c r="G166" s="219">
        <v>32588515.139999993</v>
      </c>
      <c r="H166" s="218">
        <v>410796.92999999988</v>
      </c>
      <c r="I166" s="217">
        <v>369326.14999999997</v>
      </c>
      <c r="J166" s="217">
        <v>896672.77</v>
      </c>
      <c r="K166" s="217">
        <v>625172.37</v>
      </c>
      <c r="L166" s="217">
        <v>334478.28000000003</v>
      </c>
      <c r="M166" s="217">
        <v>0</v>
      </c>
      <c r="N166" s="216">
        <v>72606.44</v>
      </c>
      <c r="O166" s="215">
        <v>2298256.0100000002</v>
      </c>
      <c r="P166" s="214">
        <v>11</v>
      </c>
      <c r="R166" s="197"/>
      <c r="S166" s="197"/>
      <c r="T166" s="197"/>
    </row>
    <row r="167" spans="2:20" hidden="1" outlineLevel="2" x14ac:dyDescent="0.35">
      <c r="B167" s="492"/>
      <c r="C167" s="485"/>
      <c r="D167" s="222" t="s">
        <v>72</v>
      </c>
      <c r="E167" s="219">
        <v>7169339.9299999997</v>
      </c>
      <c r="F167" s="220">
        <v>1967334.9100000001</v>
      </c>
      <c r="G167" s="219">
        <v>1896741.7</v>
      </c>
      <c r="H167" s="218">
        <v>0</v>
      </c>
      <c r="I167" s="217">
        <v>7.0000000000000007E-2</v>
      </c>
      <c r="J167" s="217">
        <v>70593.14</v>
      </c>
      <c r="K167" s="217">
        <v>0</v>
      </c>
      <c r="L167" s="217">
        <v>0</v>
      </c>
      <c r="M167" s="217">
        <v>0</v>
      </c>
      <c r="N167" s="216">
        <v>0</v>
      </c>
      <c r="O167" s="215">
        <v>70593.210000000006</v>
      </c>
      <c r="P167" s="214">
        <v>1</v>
      </c>
      <c r="R167" s="197"/>
      <c r="S167" s="197"/>
      <c r="T167" s="197"/>
    </row>
    <row r="168" spans="2:20" hidden="1" outlineLevel="2" x14ac:dyDescent="0.35">
      <c r="B168" s="492"/>
      <c r="C168" s="485"/>
      <c r="D168" s="222" t="s">
        <v>70</v>
      </c>
      <c r="E168" s="219">
        <v>98654797.970000014</v>
      </c>
      <c r="F168" s="220">
        <v>30439836.579999998</v>
      </c>
      <c r="G168" s="219">
        <v>27696749.899999995</v>
      </c>
      <c r="H168" s="218">
        <v>2625300.0599999996</v>
      </c>
      <c r="I168" s="217">
        <v>1209435.3299999998</v>
      </c>
      <c r="J168" s="217">
        <v>777576.74</v>
      </c>
      <c r="K168" s="217">
        <v>0</v>
      </c>
      <c r="L168" s="217">
        <v>355256.86</v>
      </c>
      <c r="M168" s="217">
        <v>0</v>
      </c>
      <c r="N168" s="216">
        <v>400817.75</v>
      </c>
      <c r="O168" s="215">
        <v>2743086.68</v>
      </c>
      <c r="P168" s="214">
        <v>17</v>
      </c>
      <c r="R168" s="197"/>
      <c r="S168" s="197"/>
      <c r="T168" s="197"/>
    </row>
    <row r="169" spans="2:20" hidden="1" outlineLevel="2" x14ac:dyDescent="0.35">
      <c r="B169" s="492"/>
      <c r="C169" s="485"/>
      <c r="D169" s="222" t="s">
        <v>69</v>
      </c>
      <c r="E169" s="219">
        <v>333473985.47999972</v>
      </c>
      <c r="F169" s="220">
        <v>119475814.84999962</v>
      </c>
      <c r="G169" s="219">
        <v>115139880.64000009</v>
      </c>
      <c r="H169" s="218">
        <v>4560908.5099999988</v>
      </c>
      <c r="I169" s="217">
        <v>868234.4299999997</v>
      </c>
      <c r="J169" s="217">
        <v>1715670.19</v>
      </c>
      <c r="K169" s="217">
        <v>625183.72</v>
      </c>
      <c r="L169" s="217">
        <v>408862.31999999995</v>
      </c>
      <c r="M169" s="217">
        <v>131091.51</v>
      </c>
      <c r="N169" s="216">
        <v>586892.04</v>
      </c>
      <c r="O169" s="215">
        <v>4335934.209999999</v>
      </c>
      <c r="P169" s="214">
        <v>28</v>
      </c>
      <c r="R169" s="197"/>
      <c r="S169" s="197"/>
      <c r="T169" s="197"/>
    </row>
    <row r="170" spans="2:20" hidden="1" outlineLevel="2" x14ac:dyDescent="0.35">
      <c r="B170" s="492"/>
      <c r="C170" s="485"/>
      <c r="D170" s="222" t="s">
        <v>68</v>
      </c>
      <c r="E170" s="219">
        <v>118950515.39999996</v>
      </c>
      <c r="F170" s="220">
        <v>41038581.800000004</v>
      </c>
      <c r="G170" s="219">
        <v>39505361.680000015</v>
      </c>
      <c r="H170" s="218">
        <v>7264257.0600000015</v>
      </c>
      <c r="I170" s="217">
        <v>1136135.1200000001</v>
      </c>
      <c r="J170" s="217">
        <v>163537.70000000001</v>
      </c>
      <c r="K170" s="217">
        <v>0</v>
      </c>
      <c r="L170" s="217">
        <v>0</v>
      </c>
      <c r="M170" s="217">
        <v>40629.130000000005</v>
      </c>
      <c r="N170" s="216">
        <v>192918.16999999998</v>
      </c>
      <c r="O170" s="215">
        <v>1533220.1199999996</v>
      </c>
      <c r="P170" s="214">
        <v>11</v>
      </c>
      <c r="R170" s="197"/>
      <c r="S170" s="197"/>
      <c r="T170" s="197"/>
    </row>
    <row r="171" spans="2:20" hidden="1" outlineLevel="2" x14ac:dyDescent="0.35">
      <c r="B171" s="492"/>
      <c r="C171" s="485"/>
      <c r="D171" s="222" t="s">
        <v>67</v>
      </c>
      <c r="E171" s="219">
        <v>0</v>
      </c>
      <c r="F171" s="220">
        <v>0</v>
      </c>
      <c r="G171" s="219">
        <v>0</v>
      </c>
      <c r="H171" s="218">
        <v>0</v>
      </c>
      <c r="I171" s="217">
        <v>0</v>
      </c>
      <c r="J171" s="217">
        <v>0</v>
      </c>
      <c r="K171" s="217">
        <v>0</v>
      </c>
      <c r="L171" s="217">
        <v>0</v>
      </c>
      <c r="M171" s="217">
        <v>0</v>
      </c>
      <c r="N171" s="216">
        <v>0</v>
      </c>
      <c r="O171" s="215">
        <v>0</v>
      </c>
      <c r="P171" s="214">
        <v>0</v>
      </c>
      <c r="R171" s="197"/>
      <c r="S171" s="197"/>
      <c r="T171" s="197"/>
    </row>
    <row r="172" spans="2:20" hidden="1" outlineLevel="2" x14ac:dyDescent="0.35">
      <c r="B172" s="492"/>
      <c r="C172" s="485"/>
      <c r="D172" s="222" t="s">
        <v>65</v>
      </c>
      <c r="E172" s="219">
        <v>43066656.010000005</v>
      </c>
      <c r="F172" s="220">
        <v>9628019.339999998</v>
      </c>
      <c r="G172" s="219">
        <v>9508056.1400000006</v>
      </c>
      <c r="H172" s="218">
        <v>3265976.4800000004</v>
      </c>
      <c r="I172" s="217">
        <v>51213.86</v>
      </c>
      <c r="J172" s="217">
        <v>68749.34</v>
      </c>
      <c r="K172" s="217">
        <v>0</v>
      </c>
      <c r="L172" s="217">
        <v>0</v>
      </c>
      <c r="M172" s="217">
        <v>0</v>
      </c>
      <c r="N172" s="216">
        <v>0</v>
      </c>
      <c r="O172" s="215">
        <v>119963.2</v>
      </c>
      <c r="P172" s="214">
        <v>2</v>
      </c>
      <c r="R172" s="197"/>
      <c r="S172" s="197"/>
      <c r="T172" s="197"/>
    </row>
    <row r="173" spans="2:20" hidden="1" outlineLevel="2" x14ac:dyDescent="0.35">
      <c r="B173" s="492"/>
      <c r="C173" s="485"/>
      <c r="D173" s="222" t="s">
        <v>64</v>
      </c>
      <c r="E173" s="219">
        <v>307742223.7100001</v>
      </c>
      <c r="F173" s="220">
        <v>85076248.469999969</v>
      </c>
      <c r="G173" s="219">
        <v>82282178.769999996</v>
      </c>
      <c r="H173" s="218">
        <v>6098937.8099999968</v>
      </c>
      <c r="I173" s="217">
        <v>133519.96999999997</v>
      </c>
      <c r="J173" s="217">
        <v>930985.04</v>
      </c>
      <c r="K173" s="217">
        <v>343643.28</v>
      </c>
      <c r="L173" s="217">
        <v>800855.02</v>
      </c>
      <c r="M173" s="217">
        <v>239983.04</v>
      </c>
      <c r="N173" s="216">
        <v>345083.35</v>
      </c>
      <c r="O173" s="215">
        <v>2794069.7000000007</v>
      </c>
      <c r="P173" s="214">
        <v>19</v>
      </c>
      <c r="R173" s="197"/>
      <c r="S173" s="197"/>
      <c r="T173" s="197"/>
    </row>
    <row r="174" spans="2:20" hidden="1" outlineLevel="2" x14ac:dyDescent="0.35">
      <c r="B174" s="492"/>
      <c r="C174" s="485"/>
      <c r="D174" s="222" t="s">
        <v>63</v>
      </c>
      <c r="E174" s="219">
        <v>73852394.799999997</v>
      </c>
      <c r="F174" s="220">
        <v>16463257.750000004</v>
      </c>
      <c r="G174" s="219">
        <v>15852553.280000003</v>
      </c>
      <c r="H174" s="218">
        <v>1232222.76</v>
      </c>
      <c r="I174" s="217">
        <v>360081.22000000003</v>
      </c>
      <c r="J174" s="217">
        <v>0</v>
      </c>
      <c r="K174" s="217">
        <v>178299.73</v>
      </c>
      <c r="L174" s="217">
        <v>72323.520000000004</v>
      </c>
      <c r="M174" s="217">
        <v>0</v>
      </c>
      <c r="N174" s="216">
        <v>0</v>
      </c>
      <c r="O174" s="215">
        <v>610704.47000000009</v>
      </c>
      <c r="P174" s="214">
        <v>4</v>
      </c>
      <c r="R174" s="197"/>
      <c r="S174" s="197"/>
      <c r="T174" s="197"/>
    </row>
    <row r="175" spans="2:20" hidden="1" outlineLevel="2" x14ac:dyDescent="0.35">
      <c r="B175" s="492"/>
      <c r="C175" s="485"/>
      <c r="D175" s="222" t="s">
        <v>62</v>
      </c>
      <c r="E175" s="219">
        <v>0</v>
      </c>
      <c r="F175" s="220">
        <v>0</v>
      </c>
      <c r="G175" s="219">
        <v>0</v>
      </c>
      <c r="H175" s="218">
        <v>0</v>
      </c>
      <c r="I175" s="217">
        <v>0</v>
      </c>
      <c r="J175" s="217">
        <v>0</v>
      </c>
      <c r="K175" s="217">
        <v>0</v>
      </c>
      <c r="L175" s="217">
        <v>0</v>
      </c>
      <c r="M175" s="217">
        <v>0</v>
      </c>
      <c r="N175" s="216">
        <v>0</v>
      </c>
      <c r="O175" s="215">
        <v>0</v>
      </c>
      <c r="P175" s="214">
        <v>0</v>
      </c>
      <c r="R175" s="197"/>
      <c r="S175" s="197"/>
      <c r="T175" s="197"/>
    </row>
    <row r="176" spans="2:20" hidden="1" outlineLevel="2" x14ac:dyDescent="0.35">
      <c r="B176" s="492"/>
      <c r="C176" s="485"/>
      <c r="D176" s="222" t="s">
        <v>60</v>
      </c>
      <c r="E176" s="219">
        <v>102178718.46000002</v>
      </c>
      <c r="F176" s="220">
        <v>24300364.609999992</v>
      </c>
      <c r="G176" s="219">
        <v>23147070.129999995</v>
      </c>
      <c r="H176" s="218">
        <v>353036.02</v>
      </c>
      <c r="I176" s="217">
        <v>214871.25</v>
      </c>
      <c r="J176" s="217">
        <v>524660.30999999994</v>
      </c>
      <c r="K176" s="217">
        <v>0</v>
      </c>
      <c r="L176" s="217">
        <v>0</v>
      </c>
      <c r="M176" s="217">
        <v>285428.09999999998</v>
      </c>
      <c r="N176" s="216">
        <v>128334.81999999999</v>
      </c>
      <c r="O176" s="215">
        <v>1153294.48</v>
      </c>
      <c r="P176" s="214">
        <v>11</v>
      </c>
      <c r="R176" s="197"/>
      <c r="S176" s="197"/>
      <c r="T176" s="197"/>
    </row>
    <row r="177" spans="2:20" hidden="1" outlineLevel="2" x14ac:dyDescent="0.35">
      <c r="B177" s="492"/>
      <c r="C177" s="485"/>
      <c r="D177" s="222" t="s">
        <v>59</v>
      </c>
      <c r="E177" s="219">
        <v>323752706.84000003</v>
      </c>
      <c r="F177" s="220">
        <v>74770331.420000017</v>
      </c>
      <c r="G177" s="219">
        <v>69922866.560000002</v>
      </c>
      <c r="H177" s="218">
        <v>5048056.8400000008</v>
      </c>
      <c r="I177" s="217">
        <v>2178727.83</v>
      </c>
      <c r="J177" s="217">
        <v>760696.4</v>
      </c>
      <c r="K177" s="217">
        <v>224777.06</v>
      </c>
      <c r="L177" s="217">
        <v>264870.79000000004</v>
      </c>
      <c r="M177" s="217">
        <v>1191123.0200000003</v>
      </c>
      <c r="N177" s="216">
        <v>227269.76000000001</v>
      </c>
      <c r="O177" s="215">
        <v>4847464.8600000013</v>
      </c>
      <c r="P177" s="214">
        <v>35</v>
      </c>
      <c r="R177" s="197"/>
      <c r="S177" s="197"/>
      <c r="T177" s="197"/>
    </row>
    <row r="178" spans="2:20" hidden="1" outlineLevel="2" x14ac:dyDescent="0.35">
      <c r="B178" s="492"/>
      <c r="C178" s="485"/>
      <c r="D178" s="222" t="s">
        <v>58</v>
      </c>
      <c r="E178" s="219">
        <v>111338667.5</v>
      </c>
      <c r="F178" s="220">
        <v>24038995.709999975</v>
      </c>
      <c r="G178" s="219">
        <v>22581778.540000007</v>
      </c>
      <c r="H178" s="218">
        <v>1005545.4000000001</v>
      </c>
      <c r="I178" s="217">
        <v>586762.92000000004</v>
      </c>
      <c r="J178" s="217">
        <v>654335.85</v>
      </c>
      <c r="K178" s="217">
        <v>170044.4</v>
      </c>
      <c r="L178" s="217">
        <v>0</v>
      </c>
      <c r="M178" s="217">
        <v>0</v>
      </c>
      <c r="N178" s="216">
        <v>46074</v>
      </c>
      <c r="O178" s="215">
        <v>1457217.17</v>
      </c>
      <c r="P178" s="214">
        <v>9</v>
      </c>
      <c r="R178" s="197"/>
      <c r="S178" s="197"/>
      <c r="T178" s="197"/>
    </row>
    <row r="179" spans="2:20" hidden="1" outlineLevel="2" x14ac:dyDescent="0.35">
      <c r="B179" s="492"/>
      <c r="C179" s="485"/>
      <c r="D179" s="222" t="s">
        <v>57</v>
      </c>
      <c r="E179" s="219">
        <v>0</v>
      </c>
      <c r="F179" s="220">
        <v>0</v>
      </c>
      <c r="G179" s="219">
        <v>0</v>
      </c>
      <c r="H179" s="218">
        <v>0</v>
      </c>
      <c r="I179" s="217">
        <v>0</v>
      </c>
      <c r="J179" s="217">
        <v>0</v>
      </c>
      <c r="K179" s="217">
        <v>0</v>
      </c>
      <c r="L179" s="217">
        <v>0</v>
      </c>
      <c r="M179" s="217">
        <v>0</v>
      </c>
      <c r="N179" s="216">
        <v>0</v>
      </c>
      <c r="O179" s="215">
        <v>0</v>
      </c>
      <c r="P179" s="214">
        <v>0</v>
      </c>
      <c r="R179" s="197"/>
      <c r="S179" s="197"/>
      <c r="T179" s="197"/>
    </row>
    <row r="180" spans="2:20" hidden="1" outlineLevel="2" x14ac:dyDescent="0.35">
      <c r="B180" s="492"/>
      <c r="C180" s="485"/>
      <c r="D180" s="222" t="s">
        <v>55</v>
      </c>
      <c r="E180" s="219">
        <v>110209124.58999997</v>
      </c>
      <c r="F180" s="220">
        <v>23758499.370000012</v>
      </c>
      <c r="G180" s="219">
        <v>22756758.549999993</v>
      </c>
      <c r="H180" s="218">
        <v>3097533.3599999989</v>
      </c>
      <c r="I180" s="217">
        <v>751770.87</v>
      </c>
      <c r="J180" s="217">
        <v>0</v>
      </c>
      <c r="K180" s="217">
        <v>145342.13</v>
      </c>
      <c r="L180" s="217">
        <v>0</v>
      </c>
      <c r="M180" s="217">
        <v>104627.81999999999</v>
      </c>
      <c r="N180" s="216">
        <v>0</v>
      </c>
      <c r="O180" s="215">
        <v>1001740.82</v>
      </c>
      <c r="P180" s="214">
        <v>5</v>
      </c>
      <c r="R180" s="197"/>
      <c r="S180" s="197"/>
      <c r="T180" s="197"/>
    </row>
    <row r="181" spans="2:20" hidden="1" outlineLevel="2" x14ac:dyDescent="0.35">
      <c r="B181" s="492"/>
      <c r="C181" s="485"/>
      <c r="D181" s="222" t="s">
        <v>54</v>
      </c>
      <c r="E181" s="219">
        <v>318684536.71000028</v>
      </c>
      <c r="F181" s="220">
        <v>69298705.819999963</v>
      </c>
      <c r="G181" s="219">
        <v>66356771.520000033</v>
      </c>
      <c r="H181" s="218">
        <v>3000215.5600000005</v>
      </c>
      <c r="I181" s="217">
        <v>858220.99999999988</v>
      </c>
      <c r="J181" s="217">
        <v>569516.6100000001</v>
      </c>
      <c r="K181" s="217">
        <v>1142441.07</v>
      </c>
      <c r="L181" s="217">
        <v>51803.02</v>
      </c>
      <c r="M181" s="217">
        <v>319952.59999999998</v>
      </c>
      <c r="N181" s="216">
        <v>0</v>
      </c>
      <c r="O181" s="215">
        <v>2941934.2999999989</v>
      </c>
      <c r="P181" s="214">
        <v>18</v>
      </c>
      <c r="R181" s="197"/>
      <c r="S181" s="197"/>
      <c r="T181" s="197"/>
    </row>
    <row r="182" spans="2:20" hidden="1" outlineLevel="2" x14ac:dyDescent="0.35">
      <c r="B182" s="492"/>
      <c r="C182" s="485"/>
      <c r="D182" s="222" t="s">
        <v>53</v>
      </c>
      <c r="E182" s="219">
        <v>0</v>
      </c>
      <c r="F182" s="220">
        <v>0</v>
      </c>
      <c r="G182" s="219">
        <v>0</v>
      </c>
      <c r="H182" s="218">
        <v>0</v>
      </c>
      <c r="I182" s="217">
        <v>0</v>
      </c>
      <c r="J182" s="217">
        <v>0</v>
      </c>
      <c r="K182" s="217">
        <v>0</v>
      </c>
      <c r="L182" s="217">
        <v>0</v>
      </c>
      <c r="M182" s="217">
        <v>0</v>
      </c>
      <c r="N182" s="216">
        <v>0</v>
      </c>
      <c r="O182" s="215">
        <v>0</v>
      </c>
      <c r="P182" s="214">
        <v>0</v>
      </c>
      <c r="R182" s="197"/>
      <c r="S182" s="197"/>
      <c r="T182" s="197"/>
    </row>
    <row r="183" spans="2:20" hidden="1" outlineLevel="2" x14ac:dyDescent="0.35">
      <c r="B183" s="492"/>
      <c r="C183" s="485"/>
      <c r="D183" s="222" t="s">
        <v>52</v>
      </c>
      <c r="E183" s="219">
        <v>0</v>
      </c>
      <c r="F183" s="220">
        <v>0</v>
      </c>
      <c r="G183" s="219">
        <v>0</v>
      </c>
      <c r="H183" s="218">
        <v>0</v>
      </c>
      <c r="I183" s="217">
        <v>0</v>
      </c>
      <c r="J183" s="217">
        <v>0</v>
      </c>
      <c r="K183" s="217">
        <v>0</v>
      </c>
      <c r="L183" s="217">
        <v>0</v>
      </c>
      <c r="M183" s="217">
        <v>0</v>
      </c>
      <c r="N183" s="216">
        <v>0</v>
      </c>
      <c r="O183" s="215">
        <v>0</v>
      </c>
      <c r="P183" s="214">
        <v>0</v>
      </c>
      <c r="R183" s="197"/>
      <c r="S183" s="197"/>
      <c r="T183" s="197"/>
    </row>
    <row r="184" spans="2:20" hidden="1" outlineLevel="2" x14ac:dyDescent="0.35">
      <c r="B184" s="492"/>
      <c r="C184" s="485"/>
      <c r="D184" s="222" t="s">
        <v>50</v>
      </c>
      <c r="E184" s="219">
        <v>68528303.86999999</v>
      </c>
      <c r="F184" s="220">
        <v>13143215.820000004</v>
      </c>
      <c r="G184" s="219">
        <v>12382868.470000003</v>
      </c>
      <c r="H184" s="218">
        <v>407963.62999999995</v>
      </c>
      <c r="I184" s="217">
        <v>245933.14999999997</v>
      </c>
      <c r="J184" s="217">
        <v>163669.83000000002</v>
      </c>
      <c r="K184" s="217">
        <v>190279.99</v>
      </c>
      <c r="L184" s="217">
        <v>21508.44</v>
      </c>
      <c r="M184" s="217">
        <v>138955.94</v>
      </c>
      <c r="N184" s="216">
        <v>0</v>
      </c>
      <c r="O184" s="215">
        <v>760347.35000000009</v>
      </c>
      <c r="P184" s="214">
        <v>9</v>
      </c>
      <c r="R184" s="197"/>
      <c r="S184" s="197"/>
      <c r="T184" s="197"/>
    </row>
    <row r="185" spans="2:20" hidden="1" outlineLevel="2" x14ac:dyDescent="0.35">
      <c r="B185" s="492"/>
      <c r="C185" s="485"/>
      <c r="D185" s="222" t="s">
        <v>49</v>
      </c>
      <c r="E185" s="219">
        <v>89114010.109999999</v>
      </c>
      <c r="F185" s="220">
        <v>18515803.25999999</v>
      </c>
      <c r="G185" s="219">
        <v>17919191.210000001</v>
      </c>
      <c r="H185" s="218">
        <v>453756.29999999993</v>
      </c>
      <c r="I185" s="217">
        <v>448541.58999999991</v>
      </c>
      <c r="J185" s="217">
        <v>0</v>
      </c>
      <c r="K185" s="217">
        <v>145892.06</v>
      </c>
      <c r="L185" s="217">
        <v>0</v>
      </c>
      <c r="M185" s="217">
        <v>2178.4</v>
      </c>
      <c r="N185" s="216">
        <v>0</v>
      </c>
      <c r="O185" s="215">
        <v>596612.05000000005</v>
      </c>
      <c r="P185" s="214">
        <v>4</v>
      </c>
      <c r="R185" s="197"/>
      <c r="S185" s="197"/>
      <c r="T185" s="197"/>
    </row>
    <row r="186" spans="2:20" x14ac:dyDescent="0.35">
      <c r="B186" s="492"/>
      <c r="C186" s="485"/>
      <c r="D186" s="213" t="s">
        <v>243</v>
      </c>
      <c r="E186" s="212">
        <f t="shared" ref="E186:P186" si="23">SUM(E163,E128,E123)</f>
        <v>11319657679.98</v>
      </c>
      <c r="F186" s="211">
        <f t="shared" si="23"/>
        <v>3784424630.9199982</v>
      </c>
      <c r="G186" s="210">
        <f t="shared" si="23"/>
        <v>3570234105.0499992</v>
      </c>
      <c r="H186" s="210">
        <f t="shared" si="23"/>
        <v>245260215.86000007</v>
      </c>
      <c r="I186" s="209">
        <f t="shared" si="23"/>
        <v>66529970.199999988</v>
      </c>
      <c r="J186" s="209">
        <f t="shared" si="23"/>
        <v>44323304.730000004</v>
      </c>
      <c r="K186" s="209">
        <f t="shared" si="23"/>
        <v>32501959.25</v>
      </c>
      <c r="L186" s="209">
        <f t="shared" si="23"/>
        <v>16761497.850000001</v>
      </c>
      <c r="M186" s="209">
        <f t="shared" si="23"/>
        <v>24115998.789999999</v>
      </c>
      <c r="N186" s="209">
        <f t="shared" si="23"/>
        <v>30050184.449999996</v>
      </c>
      <c r="O186" s="208">
        <f t="shared" si="23"/>
        <v>214282915.27000001</v>
      </c>
      <c r="P186" s="207">
        <f t="shared" si="23"/>
        <v>867</v>
      </c>
      <c r="R186" s="197"/>
      <c r="S186" s="197"/>
      <c r="T186" s="197"/>
    </row>
    <row r="187" spans="2:20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P187" si="24">SUM(E188:E190)</f>
        <v>1000236910.3999999</v>
      </c>
      <c r="F187" s="220">
        <f t="shared" si="24"/>
        <v>278916052.25000012</v>
      </c>
      <c r="G187" s="219">
        <f t="shared" si="24"/>
        <v>262910344.92999995</v>
      </c>
      <c r="H187" s="218">
        <f t="shared" si="24"/>
        <v>28797548.059999991</v>
      </c>
      <c r="I187" s="217">
        <f t="shared" si="24"/>
        <v>8835892.9199999981</v>
      </c>
      <c r="J187" s="217">
        <f t="shared" si="24"/>
        <v>1010971.23</v>
      </c>
      <c r="K187" s="217">
        <f t="shared" si="24"/>
        <v>1030510.59</v>
      </c>
      <c r="L187" s="217">
        <f t="shared" si="24"/>
        <v>1512571.8</v>
      </c>
      <c r="M187" s="217">
        <f t="shared" si="24"/>
        <v>2244659.6800000002</v>
      </c>
      <c r="N187" s="216">
        <f t="shared" si="24"/>
        <v>1371101.0699999998</v>
      </c>
      <c r="O187" s="215">
        <f t="shared" si="24"/>
        <v>16005707.289999999</v>
      </c>
      <c r="P187" s="214">
        <f t="shared" si="24"/>
        <v>121</v>
      </c>
      <c r="R187" s="197"/>
      <c r="S187" s="197"/>
      <c r="T187" s="197"/>
    </row>
    <row r="188" spans="2:20" ht="15" hidden="1" customHeight="1" outlineLevel="2" x14ac:dyDescent="0.35">
      <c r="B188" s="492"/>
      <c r="C188" s="485"/>
      <c r="D188" s="222" t="s">
        <v>126</v>
      </c>
      <c r="E188" s="219">
        <v>432495610.51000011</v>
      </c>
      <c r="F188" s="220">
        <v>117738816.98000003</v>
      </c>
      <c r="G188" s="219">
        <v>111460705.22999994</v>
      </c>
      <c r="H188" s="218">
        <v>17410617.129999992</v>
      </c>
      <c r="I188" s="217">
        <v>3007223.9399999985</v>
      </c>
      <c r="J188" s="217">
        <v>426159.34</v>
      </c>
      <c r="K188" s="217">
        <v>180244.98</v>
      </c>
      <c r="L188" s="217">
        <v>492093.45</v>
      </c>
      <c r="M188" s="217">
        <v>1282538.0400000003</v>
      </c>
      <c r="N188" s="216">
        <v>889851.97</v>
      </c>
      <c r="O188" s="215">
        <v>6278111.7200000007</v>
      </c>
      <c r="P188" s="214">
        <v>45</v>
      </c>
      <c r="R188" s="197"/>
      <c r="S188" s="197"/>
      <c r="T188" s="197"/>
    </row>
    <row r="189" spans="2:20" ht="15" hidden="1" customHeight="1" outlineLevel="2" x14ac:dyDescent="0.35">
      <c r="B189" s="492"/>
      <c r="C189" s="485"/>
      <c r="D189" s="222" t="s">
        <v>125</v>
      </c>
      <c r="E189" s="219">
        <v>301629919.64999968</v>
      </c>
      <c r="F189" s="220">
        <v>82270210.280000076</v>
      </c>
      <c r="G189" s="219">
        <v>78228180.019999981</v>
      </c>
      <c r="H189" s="218">
        <v>6266361.2000000011</v>
      </c>
      <c r="I189" s="217">
        <v>1991253.7499999998</v>
      </c>
      <c r="J189" s="217">
        <v>379214.07999999996</v>
      </c>
      <c r="K189" s="217">
        <v>507028.80999999994</v>
      </c>
      <c r="L189" s="217">
        <v>540460.55000000005</v>
      </c>
      <c r="M189" s="217">
        <v>613960.87999999989</v>
      </c>
      <c r="N189" s="216">
        <v>10112.19</v>
      </c>
      <c r="O189" s="215">
        <v>4042030.26</v>
      </c>
      <c r="P189" s="214">
        <v>32</v>
      </c>
      <c r="R189" s="197"/>
      <c r="S189" s="197"/>
      <c r="T189" s="197"/>
    </row>
    <row r="190" spans="2:20" ht="15" hidden="1" customHeight="1" outlineLevel="2" x14ac:dyDescent="0.35">
      <c r="B190" s="492"/>
      <c r="C190" s="485"/>
      <c r="D190" s="222" t="s">
        <v>124</v>
      </c>
      <c r="E190" s="219">
        <v>266111380.24000001</v>
      </c>
      <c r="F190" s="220">
        <v>78907024.99000001</v>
      </c>
      <c r="G190" s="219">
        <v>73221459.680000007</v>
      </c>
      <c r="H190" s="218">
        <v>5120569.7300000014</v>
      </c>
      <c r="I190" s="217">
        <v>3837415.2299999986</v>
      </c>
      <c r="J190" s="217">
        <v>205597.81</v>
      </c>
      <c r="K190" s="217">
        <v>343236.80000000005</v>
      </c>
      <c r="L190" s="217">
        <v>480017.8</v>
      </c>
      <c r="M190" s="217">
        <v>348160.76</v>
      </c>
      <c r="N190" s="216">
        <v>471136.91000000003</v>
      </c>
      <c r="O190" s="215">
        <v>5685565.3099999996</v>
      </c>
      <c r="P190" s="214">
        <v>44</v>
      </c>
      <c r="R190" s="197"/>
      <c r="S190" s="197"/>
      <c r="T190" s="197"/>
    </row>
    <row r="191" spans="2:20" outlineLevel="1" collapsed="1" x14ac:dyDescent="0.35">
      <c r="B191" s="492"/>
      <c r="C191" s="485"/>
      <c r="D191" s="221" t="s">
        <v>46</v>
      </c>
      <c r="E191" s="219">
        <f t="shared" ref="E191:P191" si="25">SUM(E192:E195)</f>
        <v>169893891.99000001</v>
      </c>
      <c r="F191" s="220">
        <f t="shared" si="25"/>
        <v>34194183.979999989</v>
      </c>
      <c r="G191" s="219">
        <f t="shared" si="25"/>
        <v>32980287.309999995</v>
      </c>
      <c r="H191" s="218">
        <f t="shared" si="25"/>
        <v>3441448.71</v>
      </c>
      <c r="I191" s="217">
        <f t="shared" si="25"/>
        <v>856885.76000000001</v>
      </c>
      <c r="J191" s="217">
        <f t="shared" si="25"/>
        <v>131954.4</v>
      </c>
      <c r="K191" s="217">
        <f t="shared" si="25"/>
        <v>225056.51</v>
      </c>
      <c r="L191" s="217">
        <f t="shared" si="25"/>
        <v>0</v>
      </c>
      <c r="M191" s="217">
        <f t="shared" si="25"/>
        <v>0</v>
      </c>
      <c r="N191" s="216">
        <f t="shared" si="25"/>
        <v>0</v>
      </c>
      <c r="O191" s="215">
        <f t="shared" si="25"/>
        <v>1213896.67</v>
      </c>
      <c r="P191" s="214">
        <f t="shared" si="25"/>
        <v>11</v>
      </c>
      <c r="R191" s="197"/>
      <c r="S191" s="197"/>
      <c r="T191" s="197"/>
    </row>
    <row r="192" spans="2:20" ht="15" hidden="1" customHeight="1" outlineLevel="2" x14ac:dyDescent="0.35">
      <c r="B192" s="492"/>
      <c r="C192" s="485"/>
      <c r="D192" s="222" t="s">
        <v>45</v>
      </c>
      <c r="E192" s="219">
        <v>85143839.729999989</v>
      </c>
      <c r="F192" s="220">
        <v>17562072.729999986</v>
      </c>
      <c r="G192" s="219">
        <v>17318672.849999994</v>
      </c>
      <c r="H192" s="218">
        <v>2718916.61</v>
      </c>
      <c r="I192" s="217">
        <v>146158.43999999997</v>
      </c>
      <c r="J192" s="217">
        <v>0</v>
      </c>
      <c r="K192" s="217">
        <v>97241.44</v>
      </c>
      <c r="L192" s="217">
        <v>0</v>
      </c>
      <c r="M192" s="217">
        <v>0</v>
      </c>
      <c r="N192" s="216">
        <v>0</v>
      </c>
      <c r="O192" s="215">
        <v>243399.87999999998</v>
      </c>
      <c r="P192" s="214">
        <v>3</v>
      </c>
      <c r="R192" s="197"/>
      <c r="S192" s="197"/>
      <c r="T192" s="197"/>
    </row>
    <row r="193" spans="2:20" ht="15" hidden="1" customHeight="1" outlineLevel="2" x14ac:dyDescent="0.35">
      <c r="B193" s="492"/>
      <c r="C193" s="485"/>
      <c r="D193" s="222" t="s">
        <v>44</v>
      </c>
      <c r="E193" s="219">
        <v>0</v>
      </c>
      <c r="F193" s="220">
        <v>0</v>
      </c>
      <c r="G193" s="219">
        <v>0</v>
      </c>
      <c r="H193" s="218">
        <v>0</v>
      </c>
      <c r="I193" s="217">
        <v>0</v>
      </c>
      <c r="J193" s="217">
        <v>0</v>
      </c>
      <c r="K193" s="217">
        <v>0</v>
      </c>
      <c r="L193" s="217">
        <v>0</v>
      </c>
      <c r="M193" s="217">
        <v>0</v>
      </c>
      <c r="N193" s="216">
        <v>0</v>
      </c>
      <c r="O193" s="215">
        <v>0</v>
      </c>
      <c r="P193" s="214">
        <v>0</v>
      </c>
      <c r="R193" s="197"/>
      <c r="S193" s="197"/>
      <c r="T193" s="197"/>
    </row>
    <row r="194" spans="2:20" ht="15" hidden="1" customHeight="1" outlineLevel="2" x14ac:dyDescent="0.35">
      <c r="B194" s="492"/>
      <c r="C194" s="485"/>
      <c r="D194" s="222" t="s">
        <v>43</v>
      </c>
      <c r="E194" s="219">
        <v>46691549.93</v>
      </c>
      <c r="F194" s="220">
        <v>9606307.1000000015</v>
      </c>
      <c r="G194" s="219">
        <v>8963610.4699999969</v>
      </c>
      <c r="H194" s="218">
        <v>381877.16999999993</v>
      </c>
      <c r="I194" s="217">
        <v>514881.56000000006</v>
      </c>
      <c r="J194" s="217">
        <v>0</v>
      </c>
      <c r="K194" s="217">
        <v>127815.07</v>
      </c>
      <c r="L194" s="217">
        <v>0</v>
      </c>
      <c r="M194" s="217">
        <v>0</v>
      </c>
      <c r="N194" s="216">
        <v>0</v>
      </c>
      <c r="O194" s="215">
        <v>642696.63</v>
      </c>
      <c r="P194" s="214">
        <v>5</v>
      </c>
      <c r="R194" s="197"/>
      <c r="S194" s="197"/>
      <c r="T194" s="197"/>
    </row>
    <row r="195" spans="2:20" ht="15" hidden="1" customHeight="1" outlineLevel="2" x14ac:dyDescent="0.35">
      <c r="B195" s="492"/>
      <c r="C195" s="485"/>
      <c r="D195" s="222" t="s">
        <v>42</v>
      </c>
      <c r="E195" s="219">
        <v>38058502.330000006</v>
      </c>
      <c r="F195" s="220">
        <v>7025804.1499999994</v>
      </c>
      <c r="G195" s="219">
        <v>6698003.9900000012</v>
      </c>
      <c r="H195" s="218">
        <v>340654.93</v>
      </c>
      <c r="I195" s="217">
        <v>195845.76000000001</v>
      </c>
      <c r="J195" s="217">
        <v>131954.4</v>
      </c>
      <c r="K195" s="217">
        <v>0</v>
      </c>
      <c r="L195" s="217">
        <v>0</v>
      </c>
      <c r="M195" s="217">
        <v>0</v>
      </c>
      <c r="N195" s="216">
        <v>0</v>
      </c>
      <c r="O195" s="215">
        <v>327800.15999999997</v>
      </c>
      <c r="P195" s="214">
        <v>3</v>
      </c>
      <c r="R195" s="197"/>
      <c r="S195" s="197"/>
      <c r="T195" s="197"/>
    </row>
    <row r="196" spans="2:20" x14ac:dyDescent="0.35">
      <c r="B196" s="493"/>
      <c r="C196" s="494"/>
      <c r="D196" s="213" t="s">
        <v>239</v>
      </c>
      <c r="E196" s="212">
        <f t="shared" ref="E196:P196" si="26">SUM(E191,E187)</f>
        <v>1170130802.3899999</v>
      </c>
      <c r="F196" s="211">
        <f t="shared" si="26"/>
        <v>313110236.23000014</v>
      </c>
      <c r="G196" s="210">
        <f t="shared" si="26"/>
        <v>295890632.23999995</v>
      </c>
      <c r="H196" s="210">
        <f t="shared" si="26"/>
        <v>32238996.769999992</v>
      </c>
      <c r="I196" s="209">
        <f t="shared" si="26"/>
        <v>9692778.6799999978</v>
      </c>
      <c r="J196" s="209">
        <f t="shared" si="26"/>
        <v>1142925.6299999999</v>
      </c>
      <c r="K196" s="209">
        <f t="shared" si="26"/>
        <v>1255567.1000000001</v>
      </c>
      <c r="L196" s="209">
        <f t="shared" si="26"/>
        <v>1512571.8</v>
      </c>
      <c r="M196" s="209">
        <f t="shared" si="26"/>
        <v>2244659.6800000002</v>
      </c>
      <c r="N196" s="209">
        <f t="shared" si="26"/>
        <v>1371101.0699999998</v>
      </c>
      <c r="O196" s="208">
        <f t="shared" si="26"/>
        <v>17219603.960000001</v>
      </c>
      <c r="P196" s="207">
        <f t="shared" si="26"/>
        <v>132</v>
      </c>
      <c r="R196" s="197"/>
      <c r="T196" s="197"/>
    </row>
    <row r="197" spans="2:20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P197" si="27">SUM(E198:E200)</f>
        <v>603661803.08999979</v>
      </c>
      <c r="F197" s="220">
        <f t="shared" si="27"/>
        <v>84138755.400000006</v>
      </c>
      <c r="G197" s="219">
        <f t="shared" si="27"/>
        <v>31913755.829999994</v>
      </c>
      <c r="H197" s="218">
        <f t="shared" si="27"/>
        <v>1306157.04</v>
      </c>
      <c r="I197" s="217">
        <f t="shared" si="27"/>
        <v>52224999.569999978</v>
      </c>
      <c r="J197" s="217">
        <f t="shared" si="27"/>
        <v>0</v>
      </c>
      <c r="K197" s="217">
        <f t="shared" si="27"/>
        <v>0</v>
      </c>
      <c r="L197" s="217">
        <f t="shared" si="27"/>
        <v>0</v>
      </c>
      <c r="M197" s="217">
        <f t="shared" si="27"/>
        <v>0</v>
      </c>
      <c r="N197" s="216">
        <f t="shared" si="27"/>
        <v>0</v>
      </c>
      <c r="O197" s="215">
        <f t="shared" si="27"/>
        <v>52224999.569999978</v>
      </c>
      <c r="P197" s="214">
        <f t="shared" si="27"/>
        <v>247</v>
      </c>
      <c r="R197" s="197"/>
      <c r="S197" s="197"/>
      <c r="T197" s="197"/>
    </row>
    <row r="198" spans="2:20" ht="15" hidden="1" customHeight="1" outlineLevel="2" x14ac:dyDescent="0.35">
      <c r="B198" s="492"/>
      <c r="C198" s="485"/>
      <c r="D198" s="222" t="s">
        <v>31</v>
      </c>
      <c r="E198" s="219">
        <v>260682085.55999997</v>
      </c>
      <c r="F198" s="220">
        <v>36644605.539999999</v>
      </c>
      <c r="G198" s="219">
        <v>13984786.189999998</v>
      </c>
      <c r="H198" s="218">
        <v>736888.9800000001</v>
      </c>
      <c r="I198" s="217">
        <v>22659819.349999987</v>
      </c>
      <c r="J198" s="217">
        <v>0</v>
      </c>
      <c r="K198" s="217">
        <v>0</v>
      </c>
      <c r="L198" s="217">
        <v>0</v>
      </c>
      <c r="M198" s="217">
        <v>0</v>
      </c>
      <c r="N198" s="216">
        <v>0</v>
      </c>
      <c r="O198" s="215">
        <v>22659819.349999987</v>
      </c>
      <c r="P198" s="214">
        <v>106</v>
      </c>
      <c r="R198" s="197"/>
      <c r="S198" s="197"/>
      <c r="T198" s="197"/>
    </row>
    <row r="199" spans="2:20" ht="15" hidden="1" customHeight="1" outlineLevel="2" x14ac:dyDescent="0.35">
      <c r="B199" s="492"/>
      <c r="C199" s="485"/>
      <c r="D199" s="222" t="s">
        <v>30</v>
      </c>
      <c r="E199" s="219">
        <v>217336656.76999989</v>
      </c>
      <c r="F199" s="220">
        <v>31188493.250000011</v>
      </c>
      <c r="G199" s="219">
        <v>14741408.739999998</v>
      </c>
      <c r="H199" s="218">
        <v>459695.71999999991</v>
      </c>
      <c r="I199" s="217">
        <v>16447084.50999999</v>
      </c>
      <c r="J199" s="217">
        <v>0</v>
      </c>
      <c r="K199" s="217">
        <v>0</v>
      </c>
      <c r="L199" s="217">
        <v>0</v>
      </c>
      <c r="M199" s="217">
        <v>0</v>
      </c>
      <c r="N199" s="216">
        <v>0</v>
      </c>
      <c r="O199" s="215">
        <v>16447084.50999999</v>
      </c>
      <c r="P199" s="214">
        <v>79</v>
      </c>
      <c r="R199" s="197"/>
      <c r="S199" s="197"/>
      <c r="T199" s="197"/>
    </row>
    <row r="200" spans="2:20" ht="15" hidden="1" customHeight="1" outlineLevel="2" x14ac:dyDescent="0.35">
      <c r="B200" s="492"/>
      <c r="C200" s="485"/>
      <c r="D200" s="222" t="s">
        <v>29</v>
      </c>
      <c r="E200" s="219">
        <v>125643060.75999998</v>
      </c>
      <c r="F200" s="220">
        <v>16305656.610000007</v>
      </c>
      <c r="G200" s="219">
        <v>3187560.9</v>
      </c>
      <c r="H200" s="218">
        <v>109572.34</v>
      </c>
      <c r="I200" s="217">
        <v>13118095.710000001</v>
      </c>
      <c r="J200" s="217">
        <v>0</v>
      </c>
      <c r="K200" s="217">
        <v>0</v>
      </c>
      <c r="L200" s="217">
        <v>0</v>
      </c>
      <c r="M200" s="217">
        <v>0</v>
      </c>
      <c r="N200" s="216">
        <v>0</v>
      </c>
      <c r="O200" s="215">
        <v>13118095.710000001</v>
      </c>
      <c r="P200" s="214">
        <v>62</v>
      </c>
      <c r="R200" s="197"/>
      <c r="S200" s="197"/>
      <c r="T200" s="197"/>
    </row>
    <row r="201" spans="2:20" outlineLevel="1" collapsed="1" x14ac:dyDescent="0.35">
      <c r="B201" s="492"/>
      <c r="C201" s="485"/>
      <c r="D201" s="221" t="s">
        <v>28</v>
      </c>
      <c r="E201" s="219">
        <v>230752586.9199999</v>
      </c>
      <c r="F201" s="220">
        <v>31239338.439999994</v>
      </c>
      <c r="G201" s="219">
        <v>15079433.340000004</v>
      </c>
      <c r="H201" s="218">
        <v>1142253.1499999999</v>
      </c>
      <c r="I201" s="217">
        <v>16159905.100000001</v>
      </c>
      <c r="J201" s="217">
        <v>0</v>
      </c>
      <c r="K201" s="217">
        <v>0</v>
      </c>
      <c r="L201" s="217">
        <v>0</v>
      </c>
      <c r="M201" s="217">
        <v>0</v>
      </c>
      <c r="N201" s="216">
        <v>0</v>
      </c>
      <c r="O201" s="215">
        <v>16159905.100000001</v>
      </c>
      <c r="P201" s="214">
        <v>28</v>
      </c>
      <c r="R201" s="197"/>
      <c r="S201" s="197"/>
      <c r="T201" s="197"/>
    </row>
    <row r="202" spans="2:20" outlineLevel="1" x14ac:dyDescent="0.35">
      <c r="B202" s="492"/>
      <c r="C202" s="485"/>
      <c r="D202" s="221" t="s">
        <v>27</v>
      </c>
      <c r="E202" s="219">
        <v>157448458.45999998</v>
      </c>
      <c r="F202" s="220">
        <v>18031500.77</v>
      </c>
      <c r="G202" s="219">
        <v>6411356.21</v>
      </c>
      <c r="H202" s="218">
        <v>1.79</v>
      </c>
      <c r="I202" s="217">
        <v>11620144.559999999</v>
      </c>
      <c r="J202" s="217">
        <v>0</v>
      </c>
      <c r="K202" s="217">
        <v>0</v>
      </c>
      <c r="L202" s="217">
        <v>0</v>
      </c>
      <c r="M202" s="217">
        <v>0</v>
      </c>
      <c r="N202" s="216">
        <v>0</v>
      </c>
      <c r="O202" s="215">
        <v>11620144.559999999</v>
      </c>
      <c r="P202" s="214">
        <v>11</v>
      </c>
      <c r="R202" s="197"/>
      <c r="S202" s="197"/>
      <c r="T202" s="197"/>
    </row>
    <row r="203" spans="2:20" x14ac:dyDescent="0.35">
      <c r="B203" s="493"/>
      <c r="C203" s="494"/>
      <c r="D203" s="213" t="s">
        <v>236</v>
      </c>
      <c r="E203" s="212">
        <f t="shared" ref="E203:P203" si="28">SUM(E202,E201,E197)</f>
        <v>991862848.46999967</v>
      </c>
      <c r="F203" s="211">
        <f t="shared" si="28"/>
        <v>133409594.61</v>
      </c>
      <c r="G203" s="210">
        <f t="shared" si="28"/>
        <v>53404545.379999995</v>
      </c>
      <c r="H203" s="210">
        <f t="shared" si="28"/>
        <v>2448411.98</v>
      </c>
      <c r="I203" s="209">
        <f t="shared" si="28"/>
        <v>80005049.229999974</v>
      </c>
      <c r="J203" s="209">
        <f t="shared" si="28"/>
        <v>0</v>
      </c>
      <c r="K203" s="209">
        <f t="shared" si="28"/>
        <v>0</v>
      </c>
      <c r="L203" s="209">
        <f t="shared" si="28"/>
        <v>0</v>
      </c>
      <c r="M203" s="209">
        <f t="shared" si="28"/>
        <v>0</v>
      </c>
      <c r="N203" s="209">
        <f t="shared" si="28"/>
        <v>0</v>
      </c>
      <c r="O203" s="208">
        <f t="shared" si="28"/>
        <v>80005049.229999974</v>
      </c>
      <c r="P203" s="207">
        <f t="shared" si="28"/>
        <v>286</v>
      </c>
      <c r="R203" s="197"/>
      <c r="T203" s="197"/>
    </row>
    <row r="204" spans="2:20" ht="15" thickBot="1" x14ac:dyDescent="0.4">
      <c r="B204" s="495" t="s">
        <v>235</v>
      </c>
      <c r="C204" s="496"/>
      <c r="D204" s="206" t="s">
        <v>15</v>
      </c>
      <c r="E204" s="205">
        <f t="shared" ref="E204:P204" si="29">SUM(E203,E186,E121,E108,E75,E41,E116,E196)</f>
        <v>88269028878.389999</v>
      </c>
      <c r="F204" s="204">
        <f t="shared" si="29"/>
        <v>44267101675.689972</v>
      </c>
      <c r="G204" s="203">
        <f t="shared" si="29"/>
        <v>42373359105.719994</v>
      </c>
      <c r="H204" s="203">
        <f t="shared" si="29"/>
        <v>2800855788.4400001</v>
      </c>
      <c r="I204" s="202">
        <f t="shared" si="29"/>
        <v>490310347.24999994</v>
      </c>
      <c r="J204" s="201">
        <f t="shared" si="29"/>
        <v>433015178.83999997</v>
      </c>
      <c r="K204" s="201">
        <f t="shared" si="29"/>
        <v>154111444.88999999</v>
      </c>
      <c r="L204" s="201">
        <f t="shared" si="29"/>
        <v>121634938.66000001</v>
      </c>
      <c r="M204" s="201">
        <f t="shared" si="29"/>
        <v>126997447.78000002</v>
      </c>
      <c r="N204" s="200">
        <f t="shared" si="29"/>
        <v>567710525.79000008</v>
      </c>
      <c r="O204" s="199">
        <f t="shared" si="29"/>
        <v>1893779883.2100003</v>
      </c>
      <c r="P204" s="198">
        <f t="shared" si="29"/>
        <v>5189</v>
      </c>
      <c r="R204" s="197"/>
      <c r="T204" s="197"/>
    </row>
    <row r="207" spans="2:20" x14ac:dyDescent="0.35">
      <c r="E207" s="196">
        <f>'Overdue-2'!E204</f>
        <v>88269028878.389999</v>
      </c>
      <c r="F207" s="196">
        <f>'Overdue-2'!F204</f>
        <v>44267101675.689972</v>
      </c>
      <c r="G207" s="196">
        <f>'Overdue-2'!G204</f>
        <v>42373359105.719994</v>
      </c>
      <c r="H207" s="196">
        <f>'Overdue-2'!H204</f>
        <v>2800855788.4400001</v>
      </c>
      <c r="O207" s="196">
        <f>'Overdue-2'!O204</f>
        <v>1893779883.21</v>
      </c>
      <c r="P207" s="196">
        <f>'Overdue-2'!P204</f>
        <v>5189</v>
      </c>
    </row>
    <row r="208" spans="2:20" x14ac:dyDescent="0.35">
      <c r="E208" s="196" t="b">
        <f>E207=E204</f>
        <v>1</v>
      </c>
      <c r="F208" s="196" t="b">
        <f>F207=F204</f>
        <v>1</v>
      </c>
      <c r="G208" s="196" t="b">
        <f>G207=G204</f>
        <v>1</v>
      </c>
      <c r="H208" s="196" t="b">
        <f>H207=H204</f>
        <v>1</v>
      </c>
      <c r="O208" s="196" t="b">
        <f>O207=O204</f>
        <v>1</v>
      </c>
      <c r="P208" s="196" t="b">
        <f>P207=P204</f>
        <v>1</v>
      </c>
    </row>
  </sheetData>
  <mergeCells count="23">
    <mergeCell ref="B187:B196"/>
    <mergeCell ref="C187:C196"/>
    <mergeCell ref="B197:B203"/>
    <mergeCell ref="C197:C203"/>
    <mergeCell ref="B204:C204"/>
    <mergeCell ref="I4:P5"/>
    <mergeCell ref="C122:C186"/>
    <mergeCell ref="B7:B41"/>
    <mergeCell ref="C7:C41"/>
    <mergeCell ref="B42:B75"/>
    <mergeCell ref="C42:C75"/>
    <mergeCell ref="B76:B108"/>
    <mergeCell ref="C76:C108"/>
    <mergeCell ref="B109:B116"/>
    <mergeCell ref="C109:C116"/>
    <mergeCell ref="B117:B121"/>
    <mergeCell ref="C117:C121"/>
    <mergeCell ref="B122:B186"/>
    <mergeCell ref="B4:C5"/>
    <mergeCell ref="D4:D5"/>
    <mergeCell ref="E4:E5"/>
    <mergeCell ref="F4:F5"/>
    <mergeCell ref="G4:H5"/>
  </mergeCells>
  <pageMargins left="0.70866141732283505" right="0.70866141732283505" top="1.4980314960000001" bottom="0.74803149606299202" header="0.31496062992126" footer="0.31496062992126"/>
  <pageSetup paperSize="8" scale="60" fitToHeight="0" orientation="landscape" r:id="rId1"/>
  <headerFooter alignWithMargins="0">
    <oddHeader>&amp;L&amp;12SOBHA LLC&amp;C
&amp;"Tahoma,Regular"&amp;14OVERDUE AGEING_ overdue broken up into respective age buckets&amp;R&amp;12&amp;D</oddHeader>
    <oddFooter>&amp;L&amp;12COLLECTIONS&amp;R&amp;12&amp;P/&amp;N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C998-4C3F-4993-8CD9-B1EBD5700180}">
  <sheetPr>
    <pageSetUpPr fitToPage="1"/>
  </sheetPr>
  <dimension ref="B1:M221"/>
  <sheetViews>
    <sheetView view="pageBreakPreview" topLeftCell="A48" zoomScale="60" zoomScaleNormal="100" workbookViewId="0"/>
  </sheetViews>
  <sheetFormatPr defaultRowHeight="14.5" outlineLevelRow="2" x14ac:dyDescent="0.35"/>
  <cols>
    <col min="2" max="2" width="28.26953125" bestFit="1" customWidth="1"/>
    <col min="3" max="3" width="3.26953125" bestFit="1" customWidth="1"/>
    <col min="4" max="4" width="41.26953125" bestFit="1" customWidth="1"/>
    <col min="5" max="5" width="16.26953125" customWidth="1"/>
    <col min="6" max="6" width="23.7265625" bestFit="1" customWidth="1"/>
    <col min="7" max="7" width="20.54296875" bestFit="1" customWidth="1"/>
    <col min="8" max="8" width="20" bestFit="1" customWidth="1"/>
    <col min="9" max="9" width="20.81640625" bestFit="1" customWidth="1"/>
    <col min="10" max="10" width="27.7265625" style="6" bestFit="1" customWidth="1"/>
    <col min="11" max="11" width="6.453125" bestFit="1" customWidth="1"/>
    <col min="12" max="12" width="5.7265625" bestFit="1" customWidth="1"/>
    <col min="13" max="13" width="18.1796875" bestFit="1" customWidth="1"/>
  </cols>
  <sheetData>
    <row r="1" spans="2:13" x14ac:dyDescent="0.35">
      <c r="M1" s="290">
        <v>489141609.78999829</v>
      </c>
    </row>
    <row r="3" spans="2:13" x14ac:dyDescent="0.35">
      <c r="B3" s="288">
        <v>46143</v>
      </c>
    </row>
    <row r="4" spans="2:13" ht="15" thickBot="1" x14ac:dyDescent="0.4"/>
    <row r="5" spans="2:13" x14ac:dyDescent="0.35">
      <c r="B5" s="466" t="s">
        <v>276</v>
      </c>
      <c r="C5" s="467"/>
      <c r="D5" s="470" t="s">
        <v>275</v>
      </c>
      <c r="E5" s="472" t="s">
        <v>281</v>
      </c>
      <c r="F5" s="498" t="s">
        <v>280</v>
      </c>
      <c r="G5" s="472" t="s">
        <v>274</v>
      </c>
      <c r="H5" s="474" t="s">
        <v>273</v>
      </c>
      <c r="I5" s="307" t="s">
        <v>272</v>
      </c>
      <c r="J5" s="500" t="s">
        <v>279</v>
      </c>
    </row>
    <row r="6" spans="2:13" ht="28" x14ac:dyDescent="0.35">
      <c r="B6" s="468"/>
      <c r="C6" s="469"/>
      <c r="D6" s="471"/>
      <c r="E6" s="473"/>
      <c r="F6" s="499"/>
      <c r="G6" s="473"/>
      <c r="H6" s="475"/>
      <c r="I6" s="306" t="s">
        <v>278</v>
      </c>
      <c r="J6" s="501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03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01">
        <f t="shared" si="0"/>
        <v>0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03">
        <v>0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03">
        <v>0</v>
      </c>
    </row>
    <row r="11" spans="2:13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03">
        <v>0</v>
      </c>
    </row>
    <row r="12" spans="2:13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03">
        <v>0</v>
      </c>
    </row>
    <row r="13" spans="2:13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03">
        <v>0</v>
      </c>
    </row>
    <row r="14" spans="2:13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03">
        <v>0</v>
      </c>
    </row>
    <row r="15" spans="2:13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01">
        <v>0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1</v>
      </c>
      <c r="F16" s="219">
        <f t="shared" si="1"/>
        <v>1</v>
      </c>
      <c r="G16" s="219">
        <f t="shared" si="1"/>
        <v>17919096.5</v>
      </c>
      <c r="H16" s="219">
        <f t="shared" si="1"/>
        <v>17919096</v>
      </c>
      <c r="I16" s="219">
        <f t="shared" si="1"/>
        <v>15046608.609999999</v>
      </c>
      <c r="J16" s="301">
        <f t="shared" si="1"/>
        <v>2872487.39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03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03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03">
        <v>0</v>
      </c>
    </row>
    <row r="20" spans="2:10" hidden="1" outlineLevel="2" x14ac:dyDescent="0.35">
      <c r="B20" s="503"/>
      <c r="C20" s="506"/>
      <c r="D20" s="242" t="s">
        <v>208</v>
      </c>
      <c r="E20" s="219">
        <v>1</v>
      </c>
      <c r="F20" s="219">
        <v>1</v>
      </c>
      <c r="G20" s="219">
        <v>17919096.5</v>
      </c>
      <c r="H20" s="219">
        <v>17919096</v>
      </c>
      <c r="I20" s="219">
        <v>15046608.609999999</v>
      </c>
      <c r="J20" s="303">
        <v>2872487.39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03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01">
        <f t="shared" si="2"/>
        <v>0</v>
      </c>
    </row>
    <row r="23" spans="2:10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01">
        <v>0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0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0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0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0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0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0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0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0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0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01">
        <v>0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01">
        <f t="shared" si="4"/>
        <v>0</v>
      </c>
    </row>
    <row r="35" spans="2:10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01">
        <v>0</v>
      </c>
    </row>
    <row r="36" spans="2:10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01">
        <v>0</v>
      </c>
    </row>
    <row r="37" spans="2:10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01">
        <v>0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0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0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01">
        <v>0</v>
      </c>
    </row>
    <row r="41" spans="2:10" x14ac:dyDescent="0.35">
      <c r="B41" s="504"/>
      <c r="C41" s="507"/>
      <c r="D41" s="213" t="s">
        <v>259</v>
      </c>
      <c r="E41" s="295">
        <f t="shared" ref="E41:J41" si="5">SUM(E8,E15:E16,E27:E29,E22,E33:E34,E40)</f>
        <v>1</v>
      </c>
      <c r="F41" s="295">
        <f t="shared" si="5"/>
        <v>1</v>
      </c>
      <c r="G41" s="295">
        <f t="shared" si="5"/>
        <v>17919096.5</v>
      </c>
      <c r="H41" s="295">
        <f t="shared" si="5"/>
        <v>17919096</v>
      </c>
      <c r="I41" s="294">
        <f t="shared" si="5"/>
        <v>15046608.609999999</v>
      </c>
      <c r="J41" s="293">
        <f t="shared" si="5"/>
        <v>2872487.39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0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0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0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0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0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01">
        <v>0</v>
      </c>
    </row>
    <row r="49" spans="2:10" outlineLevel="1" x14ac:dyDescent="0.35">
      <c r="B49" s="487"/>
      <c r="C49" s="490"/>
      <c r="D49" s="236" t="s">
        <v>189</v>
      </c>
      <c r="E49" s="219">
        <v>20</v>
      </c>
      <c r="F49" s="219">
        <v>20</v>
      </c>
      <c r="G49" s="219">
        <v>49675807.399999999</v>
      </c>
      <c r="H49" s="219">
        <v>29379423.289999995</v>
      </c>
      <c r="I49" s="219">
        <v>25376075.57</v>
      </c>
      <c r="J49" s="301">
        <v>4003347.7199999993</v>
      </c>
    </row>
    <row r="50" spans="2:10" outlineLevel="1" x14ac:dyDescent="0.35">
      <c r="B50" s="487"/>
      <c r="C50" s="490"/>
      <c r="D50" s="263" t="s">
        <v>179</v>
      </c>
      <c r="E50" s="219">
        <v>12</v>
      </c>
      <c r="F50" s="219">
        <v>12</v>
      </c>
      <c r="G50" s="219">
        <v>113722414.44</v>
      </c>
      <c r="H50" s="219">
        <v>76939219.350000009</v>
      </c>
      <c r="I50" s="219">
        <v>63745320.82</v>
      </c>
      <c r="J50" s="301">
        <v>9860748.9600000009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9</v>
      </c>
      <c r="F51" s="219">
        <f t="shared" si="7"/>
        <v>5</v>
      </c>
      <c r="G51" s="219">
        <f t="shared" si="7"/>
        <v>278460511.5</v>
      </c>
      <c r="H51" s="219">
        <f t="shared" si="7"/>
        <v>131632793.7</v>
      </c>
      <c r="I51" s="219">
        <f t="shared" si="7"/>
        <v>79198803</v>
      </c>
      <c r="J51" s="301">
        <f t="shared" si="7"/>
        <v>24141036.699999999</v>
      </c>
    </row>
    <row r="52" spans="2:10" hidden="1" outlineLevel="2" x14ac:dyDescent="0.35">
      <c r="B52" s="487"/>
      <c r="C52" s="490"/>
      <c r="D52" s="242" t="s">
        <v>186</v>
      </c>
      <c r="E52" s="219">
        <v>1</v>
      </c>
      <c r="F52" s="219">
        <v>1</v>
      </c>
      <c r="G52" s="219">
        <v>66002287.5</v>
      </c>
      <c r="H52" s="219">
        <v>39601372.5</v>
      </c>
      <c r="I52" s="219">
        <v>36701794</v>
      </c>
      <c r="J52" s="301">
        <v>2899578.5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01">
        <v>0</v>
      </c>
    </row>
    <row r="54" spans="2:10" hidden="1" outlineLevel="2" x14ac:dyDescent="0.35">
      <c r="B54" s="487"/>
      <c r="C54" s="490"/>
      <c r="D54" s="262" t="s">
        <v>182</v>
      </c>
      <c r="E54" s="219">
        <v>8</v>
      </c>
      <c r="F54" s="219">
        <v>4</v>
      </c>
      <c r="G54" s="219">
        <v>212458224</v>
      </c>
      <c r="H54" s="219">
        <v>92031421.200000003</v>
      </c>
      <c r="I54" s="219">
        <v>42497009</v>
      </c>
      <c r="J54" s="301">
        <v>21241458.199999999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0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274</v>
      </c>
      <c r="F56" s="219">
        <f t="shared" si="8"/>
        <v>264</v>
      </c>
      <c r="G56" s="219">
        <f t="shared" si="8"/>
        <v>588780456.63</v>
      </c>
      <c r="H56" s="219">
        <f t="shared" si="8"/>
        <v>330135913.90000004</v>
      </c>
      <c r="I56" s="219">
        <f t="shared" si="8"/>
        <v>267969397.09999999</v>
      </c>
      <c r="J56" s="301">
        <f t="shared" si="8"/>
        <v>52087264.409999996</v>
      </c>
    </row>
    <row r="57" spans="2:10" hidden="1" outlineLevel="2" x14ac:dyDescent="0.35">
      <c r="B57" s="487"/>
      <c r="C57" s="490"/>
      <c r="D57" s="242" t="s">
        <v>169</v>
      </c>
      <c r="E57" s="219">
        <v>58</v>
      </c>
      <c r="F57" s="219">
        <v>57</v>
      </c>
      <c r="G57" s="219">
        <v>141687776.25999999</v>
      </c>
      <c r="H57" s="219">
        <v>87683912.240000024</v>
      </c>
      <c r="I57" s="219">
        <v>73949387.990000024</v>
      </c>
      <c r="J57" s="301">
        <v>11478043.400000004</v>
      </c>
    </row>
    <row r="58" spans="2:10" hidden="1" outlineLevel="2" x14ac:dyDescent="0.35">
      <c r="B58" s="487"/>
      <c r="C58" s="490"/>
      <c r="D58" s="242" t="s">
        <v>168</v>
      </c>
      <c r="E58" s="219">
        <v>48</v>
      </c>
      <c r="F58" s="219">
        <v>45</v>
      </c>
      <c r="G58" s="219">
        <v>88829059.26000002</v>
      </c>
      <c r="H58" s="219">
        <v>58462372.580000006</v>
      </c>
      <c r="I58" s="219">
        <v>47925090.360000007</v>
      </c>
      <c r="J58" s="301">
        <v>7834765.4799999977</v>
      </c>
    </row>
    <row r="59" spans="2:10" hidden="1" outlineLevel="2" x14ac:dyDescent="0.35">
      <c r="B59" s="487"/>
      <c r="C59" s="490"/>
      <c r="D59" s="242" t="s">
        <v>167</v>
      </c>
      <c r="E59" s="219">
        <v>21</v>
      </c>
      <c r="F59" s="219">
        <v>19</v>
      </c>
      <c r="G59" s="219">
        <v>41447663.699999996</v>
      </c>
      <c r="H59" s="219">
        <v>19515750.77</v>
      </c>
      <c r="I59" s="219">
        <v>14762588.969999997</v>
      </c>
      <c r="J59" s="301">
        <v>3977499.7199999993</v>
      </c>
    </row>
    <row r="60" spans="2:10" hidden="1" outlineLevel="2" x14ac:dyDescent="0.35">
      <c r="B60" s="487"/>
      <c r="C60" s="490"/>
      <c r="D60" s="242" t="s">
        <v>166</v>
      </c>
      <c r="E60" s="219">
        <v>48</v>
      </c>
      <c r="F60" s="219">
        <v>46</v>
      </c>
      <c r="G60" s="219">
        <v>106123503.64999999</v>
      </c>
      <c r="H60" s="219">
        <v>55484954.729999997</v>
      </c>
      <c r="I60" s="219">
        <v>43492479.179999992</v>
      </c>
      <c r="J60" s="301">
        <v>9917637.7100000009</v>
      </c>
    </row>
    <row r="61" spans="2:10" hidden="1" outlineLevel="2" x14ac:dyDescent="0.35">
      <c r="B61" s="487"/>
      <c r="C61" s="490"/>
      <c r="D61" s="261" t="s">
        <v>165</v>
      </c>
      <c r="E61" s="219">
        <v>40</v>
      </c>
      <c r="F61" s="219">
        <v>39</v>
      </c>
      <c r="G61" s="219">
        <v>90035864.399999991</v>
      </c>
      <c r="H61" s="219">
        <v>46030624.109999985</v>
      </c>
      <c r="I61" s="219">
        <v>38059428.619999997</v>
      </c>
      <c r="J61" s="301">
        <v>7621221.4799999986</v>
      </c>
    </row>
    <row r="62" spans="2:10" hidden="1" outlineLevel="2" x14ac:dyDescent="0.35">
      <c r="B62" s="487"/>
      <c r="C62" s="490"/>
      <c r="D62" s="261" t="s">
        <v>164</v>
      </c>
      <c r="E62" s="219">
        <v>59</v>
      </c>
      <c r="F62" s="219">
        <v>58</v>
      </c>
      <c r="G62" s="219">
        <v>120656589.35999998</v>
      </c>
      <c r="H62" s="219">
        <v>62958299.470000006</v>
      </c>
      <c r="I62" s="219">
        <v>49780421.979999989</v>
      </c>
      <c r="J62" s="301">
        <v>11258096.620000001</v>
      </c>
    </row>
    <row r="63" spans="2:10" outlineLevel="1" collapsed="1" x14ac:dyDescent="0.35">
      <c r="B63" s="487"/>
      <c r="C63" s="490"/>
      <c r="D63" s="246" t="s">
        <v>256</v>
      </c>
      <c r="E63" s="219">
        <f t="shared" ref="E63:J63" si="9">SUM(E64:E66)</f>
        <v>3</v>
      </c>
      <c r="F63" s="219">
        <f t="shared" si="9"/>
        <v>3</v>
      </c>
      <c r="G63" s="219">
        <f t="shared" si="9"/>
        <v>5918477.1799999997</v>
      </c>
      <c r="H63" s="219">
        <f t="shared" si="9"/>
        <v>2696798</v>
      </c>
      <c r="I63" s="219">
        <f t="shared" si="9"/>
        <v>1097882</v>
      </c>
      <c r="J63" s="301">
        <f t="shared" si="9"/>
        <v>838212</v>
      </c>
    </row>
    <row r="64" spans="2:10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01">
        <v>0</v>
      </c>
    </row>
    <row r="65" spans="2:10" hidden="1" outlineLevel="2" x14ac:dyDescent="0.35">
      <c r="B65" s="487"/>
      <c r="C65" s="490"/>
      <c r="D65" s="260" t="s">
        <v>195</v>
      </c>
      <c r="E65" s="219">
        <v>3</v>
      </c>
      <c r="F65" s="219">
        <v>3</v>
      </c>
      <c r="G65" s="219">
        <v>5918477.1799999997</v>
      </c>
      <c r="H65" s="219">
        <v>2696798</v>
      </c>
      <c r="I65" s="219">
        <v>1097882</v>
      </c>
      <c r="J65" s="301">
        <v>838212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01">
        <v>0</v>
      </c>
    </row>
    <row r="67" spans="2:10" outlineLevel="1" collapsed="1" x14ac:dyDescent="0.35">
      <c r="B67" s="487"/>
      <c r="C67" s="490"/>
      <c r="D67" s="246" t="s">
        <v>178</v>
      </c>
      <c r="E67" s="219">
        <f t="shared" ref="E67:J67" si="10">SUM(E68:E74)</f>
        <v>109</v>
      </c>
      <c r="F67" s="219">
        <f t="shared" si="10"/>
        <v>92</v>
      </c>
      <c r="G67" s="219">
        <f t="shared" si="10"/>
        <v>293494245.14999998</v>
      </c>
      <c r="H67" s="219">
        <f t="shared" si="10"/>
        <v>146204434.63</v>
      </c>
      <c r="I67" s="219">
        <f t="shared" si="10"/>
        <v>114787248.02</v>
      </c>
      <c r="J67" s="301">
        <f t="shared" si="10"/>
        <v>25595379.319999997</v>
      </c>
    </row>
    <row r="68" spans="2:10" hidden="1" outlineLevel="2" x14ac:dyDescent="0.35">
      <c r="B68" s="487"/>
      <c r="C68" s="490"/>
      <c r="D68" s="260" t="s">
        <v>177</v>
      </c>
      <c r="E68" s="219">
        <v>18</v>
      </c>
      <c r="F68" s="219">
        <v>18</v>
      </c>
      <c r="G68" s="219">
        <v>40923519.210000001</v>
      </c>
      <c r="H68" s="219">
        <v>21036507.370000001</v>
      </c>
      <c r="I68" s="219">
        <v>16061036.23</v>
      </c>
      <c r="J68" s="301">
        <v>3648197.0099999988</v>
      </c>
    </row>
    <row r="69" spans="2:10" hidden="1" outlineLevel="2" x14ac:dyDescent="0.35">
      <c r="B69" s="487"/>
      <c r="C69" s="490"/>
      <c r="D69" s="260" t="s">
        <v>176</v>
      </c>
      <c r="E69" s="219">
        <v>12</v>
      </c>
      <c r="F69" s="219">
        <v>12</v>
      </c>
      <c r="G69" s="219">
        <v>24888619.52</v>
      </c>
      <c r="H69" s="219">
        <v>11548305.860000003</v>
      </c>
      <c r="I69" s="219">
        <v>8859532.9199999999</v>
      </c>
      <c r="J69" s="301">
        <v>2081082.3</v>
      </c>
    </row>
    <row r="70" spans="2:10" hidden="1" outlineLevel="2" x14ac:dyDescent="0.35">
      <c r="B70" s="487"/>
      <c r="C70" s="490"/>
      <c r="D70" s="260" t="s">
        <v>175</v>
      </c>
      <c r="E70" s="219">
        <v>22</v>
      </c>
      <c r="F70" s="219">
        <v>20</v>
      </c>
      <c r="G70" s="219">
        <v>71001020.770000011</v>
      </c>
      <c r="H70" s="219">
        <v>33971006.749999993</v>
      </c>
      <c r="I70" s="219">
        <v>27381211.080000002</v>
      </c>
      <c r="J70" s="301">
        <v>5749991.6500000004</v>
      </c>
    </row>
    <row r="71" spans="2:10" hidden="1" outlineLevel="2" x14ac:dyDescent="0.35">
      <c r="B71" s="487"/>
      <c r="C71" s="490"/>
      <c r="D71" s="260" t="s">
        <v>174</v>
      </c>
      <c r="E71" s="219">
        <v>30</v>
      </c>
      <c r="F71" s="219">
        <v>16</v>
      </c>
      <c r="G71" s="219">
        <v>63118240.149999991</v>
      </c>
      <c r="H71" s="219">
        <v>35806298.230000004</v>
      </c>
      <c r="I71" s="219">
        <v>29573762.239999998</v>
      </c>
      <c r="J71" s="301">
        <v>5582769.2899999991</v>
      </c>
    </row>
    <row r="72" spans="2:10" hidden="1" outlineLevel="2" x14ac:dyDescent="0.35">
      <c r="B72" s="487"/>
      <c r="C72" s="490"/>
      <c r="D72" s="260" t="s">
        <v>173</v>
      </c>
      <c r="E72" s="219">
        <v>17</v>
      </c>
      <c r="F72" s="219">
        <v>16</v>
      </c>
      <c r="G72" s="219">
        <v>51547838.499999993</v>
      </c>
      <c r="H72" s="219">
        <v>26733029.220000003</v>
      </c>
      <c r="I72" s="219">
        <v>19491296.989999995</v>
      </c>
      <c r="J72" s="301">
        <v>5112917.4000000004</v>
      </c>
    </row>
    <row r="73" spans="2:10" hidden="1" outlineLevel="2" x14ac:dyDescent="0.35">
      <c r="B73" s="487"/>
      <c r="C73" s="490"/>
      <c r="D73" s="260" t="s">
        <v>172</v>
      </c>
      <c r="E73" s="219">
        <v>10</v>
      </c>
      <c r="F73" s="219">
        <v>10</v>
      </c>
      <c r="G73" s="219">
        <v>42015007</v>
      </c>
      <c r="H73" s="219">
        <v>17109287.199999999</v>
      </c>
      <c r="I73" s="219">
        <v>13420408.559999999</v>
      </c>
      <c r="J73" s="301">
        <v>3420421.6699999995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01">
        <v>0</v>
      </c>
    </row>
    <row r="75" spans="2:10" x14ac:dyDescent="0.35">
      <c r="B75" s="488"/>
      <c r="C75" s="491"/>
      <c r="D75" s="213" t="s">
        <v>255</v>
      </c>
      <c r="E75" s="295">
        <f t="shared" ref="E75:J75" si="11">SUM(E43,E48:E51,E56,E63,E67)</f>
        <v>427</v>
      </c>
      <c r="F75" s="295">
        <f t="shared" si="11"/>
        <v>396</v>
      </c>
      <c r="G75" s="295">
        <f t="shared" si="11"/>
        <v>1330051912.3</v>
      </c>
      <c r="H75" s="304">
        <f t="shared" si="11"/>
        <v>716988582.87</v>
      </c>
      <c r="I75" s="294">
        <f t="shared" si="11"/>
        <v>552174726.50999999</v>
      </c>
      <c r="J75" s="293">
        <f t="shared" si="11"/>
        <v>116525989.10999998</v>
      </c>
    </row>
    <row r="76" spans="2:10" outlineLevel="1" x14ac:dyDescent="0.35">
      <c r="B76" s="486" t="s">
        <v>254</v>
      </c>
      <c r="C76" s="489" t="s">
        <v>253</v>
      </c>
      <c r="D76" s="251"/>
      <c r="E76" s="219"/>
      <c r="F76" s="219"/>
      <c r="G76" s="219"/>
      <c r="H76" s="219"/>
      <c r="I76" s="219"/>
      <c r="J76" s="303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73</v>
      </c>
      <c r="F77" s="219">
        <f t="shared" si="12"/>
        <v>57</v>
      </c>
      <c r="G77" s="219">
        <f t="shared" si="12"/>
        <v>554851482.5</v>
      </c>
      <c r="H77" s="219">
        <f t="shared" si="12"/>
        <v>343722922.14999998</v>
      </c>
      <c r="I77" s="219">
        <f t="shared" si="12"/>
        <v>283922400.09000003</v>
      </c>
      <c r="J77" s="301">
        <f t="shared" si="12"/>
        <v>47058417.199999988</v>
      </c>
    </row>
    <row r="78" spans="2:10" hidden="1" outlineLevel="2" x14ac:dyDescent="0.35">
      <c r="B78" s="487"/>
      <c r="C78" s="490"/>
      <c r="D78" s="250" t="s">
        <v>192</v>
      </c>
      <c r="E78" s="219">
        <v>33</v>
      </c>
      <c r="F78" s="219">
        <v>25</v>
      </c>
      <c r="G78" s="219">
        <v>269133928.5</v>
      </c>
      <c r="H78" s="219">
        <v>199130493.89999995</v>
      </c>
      <c r="I78" s="219">
        <v>163858762.78</v>
      </c>
      <c r="J78" s="301">
        <v>24701828.819999993</v>
      </c>
    </row>
    <row r="79" spans="2:10" hidden="1" outlineLevel="2" x14ac:dyDescent="0.35">
      <c r="B79" s="487"/>
      <c r="C79" s="490"/>
      <c r="D79" s="250" t="s">
        <v>191</v>
      </c>
      <c r="E79" s="219">
        <v>20</v>
      </c>
      <c r="F79" s="219">
        <v>20</v>
      </c>
      <c r="G79" s="219">
        <v>142861365</v>
      </c>
      <c r="H79" s="219">
        <v>83929530.149999991</v>
      </c>
      <c r="I79" s="219">
        <v>71513260.030000001</v>
      </c>
      <c r="J79" s="301">
        <v>11223844.559999997</v>
      </c>
    </row>
    <row r="80" spans="2:10" hidden="1" outlineLevel="2" x14ac:dyDescent="0.35">
      <c r="B80" s="487"/>
      <c r="C80" s="490"/>
      <c r="D80" s="250" t="s">
        <v>190</v>
      </c>
      <c r="E80" s="219">
        <v>20</v>
      </c>
      <c r="F80" s="219">
        <v>12</v>
      </c>
      <c r="G80" s="219">
        <v>142856189</v>
      </c>
      <c r="H80" s="219">
        <v>60662898.100000001</v>
      </c>
      <c r="I80" s="219">
        <v>48550377.280000001</v>
      </c>
      <c r="J80" s="301">
        <v>11132743.82</v>
      </c>
    </row>
    <row r="81" spans="2:11" outlineLevel="1" collapsed="1" x14ac:dyDescent="0.35">
      <c r="B81" s="487"/>
      <c r="C81" s="490"/>
      <c r="D81" s="251" t="s">
        <v>158</v>
      </c>
      <c r="E81" s="219">
        <f t="shared" ref="E81:J81" si="13">SUM(E82:E89)</f>
        <v>160</v>
      </c>
      <c r="F81" s="219">
        <f t="shared" si="13"/>
        <v>151</v>
      </c>
      <c r="G81" s="219">
        <f t="shared" si="13"/>
        <v>198604396.60000002</v>
      </c>
      <c r="H81" s="219">
        <f t="shared" si="13"/>
        <v>101655422.14000002</v>
      </c>
      <c r="I81" s="219">
        <f t="shared" si="13"/>
        <v>80730887.649999991</v>
      </c>
      <c r="J81" s="301">
        <f t="shared" si="13"/>
        <v>16088461.389999999</v>
      </c>
    </row>
    <row r="82" spans="2:11" hidden="1" outlineLevel="2" x14ac:dyDescent="0.35">
      <c r="B82" s="487"/>
      <c r="C82" s="490"/>
      <c r="D82" s="250" t="s">
        <v>157</v>
      </c>
      <c r="E82" s="219">
        <v>18</v>
      </c>
      <c r="F82" s="219">
        <v>17</v>
      </c>
      <c r="G82" s="219">
        <v>19081118.75</v>
      </c>
      <c r="H82" s="219">
        <v>10429048.050000001</v>
      </c>
      <c r="I82" s="219">
        <v>8277194.6900000004</v>
      </c>
      <c r="J82" s="301">
        <v>1631837.6600000001</v>
      </c>
    </row>
    <row r="83" spans="2:11" hidden="1" outlineLevel="2" x14ac:dyDescent="0.35">
      <c r="B83" s="487"/>
      <c r="C83" s="490"/>
      <c r="D83" s="250" t="s">
        <v>156</v>
      </c>
      <c r="E83" s="219">
        <v>43</v>
      </c>
      <c r="F83" s="219">
        <v>41</v>
      </c>
      <c r="G83" s="219">
        <v>51366644.310000002</v>
      </c>
      <c r="H83" s="219">
        <v>27235368.580000002</v>
      </c>
      <c r="I83" s="219">
        <v>21990220.540000003</v>
      </c>
      <c r="J83" s="301">
        <v>3904721.9200000009</v>
      </c>
    </row>
    <row r="84" spans="2:11" hidden="1" outlineLevel="2" x14ac:dyDescent="0.35">
      <c r="B84" s="487"/>
      <c r="C84" s="490"/>
      <c r="D84" s="250" t="s">
        <v>155</v>
      </c>
      <c r="E84" s="219">
        <v>8</v>
      </c>
      <c r="F84" s="219">
        <v>8</v>
      </c>
      <c r="G84" s="219">
        <v>15037821.4</v>
      </c>
      <c r="H84" s="219">
        <v>4618998.6500000004</v>
      </c>
      <c r="I84" s="219">
        <v>3374177.6500000004</v>
      </c>
      <c r="J84" s="301">
        <v>1126141.02</v>
      </c>
    </row>
    <row r="85" spans="2:11" hidden="1" outlineLevel="2" x14ac:dyDescent="0.35">
      <c r="B85" s="487"/>
      <c r="C85" s="490"/>
      <c r="D85" s="250" t="s">
        <v>154</v>
      </c>
      <c r="E85" s="219">
        <v>5</v>
      </c>
      <c r="F85" s="219">
        <v>5</v>
      </c>
      <c r="G85" s="219">
        <v>6486883.6799999997</v>
      </c>
      <c r="H85" s="219">
        <v>2276450.92</v>
      </c>
      <c r="I85" s="219">
        <v>1550502.49</v>
      </c>
      <c r="J85" s="301">
        <v>725948.42999999993</v>
      </c>
    </row>
    <row r="86" spans="2:11" hidden="1" outlineLevel="2" x14ac:dyDescent="0.35">
      <c r="B86" s="487"/>
      <c r="C86" s="490"/>
      <c r="D86" s="250" t="s">
        <v>153</v>
      </c>
      <c r="E86" s="219">
        <v>71</v>
      </c>
      <c r="F86" s="219">
        <v>67</v>
      </c>
      <c r="G86" s="219">
        <v>83018012.75999999</v>
      </c>
      <c r="H86" s="219">
        <v>45708354.030000016</v>
      </c>
      <c r="I86" s="219">
        <v>36382175.389999993</v>
      </c>
      <c r="J86" s="301">
        <v>7031455.2699999977</v>
      </c>
    </row>
    <row r="87" spans="2:11" hidden="1" outlineLevel="2" x14ac:dyDescent="0.35">
      <c r="B87" s="487"/>
      <c r="C87" s="490"/>
      <c r="D87" s="250" t="s">
        <v>152</v>
      </c>
      <c r="E87" s="219">
        <v>7</v>
      </c>
      <c r="F87" s="219">
        <v>5</v>
      </c>
      <c r="G87" s="219">
        <v>9800750.5499999989</v>
      </c>
      <c r="H87" s="219">
        <v>5149363.8099999987</v>
      </c>
      <c r="I87" s="219">
        <v>4077741.5300000003</v>
      </c>
      <c r="J87" s="301">
        <v>873795.61</v>
      </c>
    </row>
    <row r="88" spans="2:11" hidden="1" outlineLevel="2" x14ac:dyDescent="0.35">
      <c r="B88" s="487"/>
      <c r="C88" s="490"/>
      <c r="D88" s="250" t="s">
        <v>151</v>
      </c>
      <c r="E88" s="219">
        <v>7</v>
      </c>
      <c r="F88" s="219">
        <v>7</v>
      </c>
      <c r="G88" s="219">
        <v>8726665.1500000004</v>
      </c>
      <c r="H88" s="219">
        <v>4101508.0999999996</v>
      </c>
      <c r="I88" s="219">
        <v>2952175.36</v>
      </c>
      <c r="J88" s="301">
        <v>784931.48</v>
      </c>
    </row>
    <row r="89" spans="2:11" hidden="1" outlineLevel="2" x14ac:dyDescent="0.35">
      <c r="B89" s="487"/>
      <c r="C89" s="490"/>
      <c r="D89" s="250" t="s">
        <v>150</v>
      </c>
      <c r="E89" s="219">
        <v>1</v>
      </c>
      <c r="F89" s="219">
        <v>1</v>
      </c>
      <c r="G89" s="219">
        <v>5086500</v>
      </c>
      <c r="H89" s="219">
        <v>2136330</v>
      </c>
      <c r="I89" s="219">
        <v>2126700</v>
      </c>
      <c r="J89" s="301">
        <v>9630</v>
      </c>
    </row>
    <row r="90" spans="2:11" outlineLevel="1" collapsed="1" x14ac:dyDescent="0.35">
      <c r="B90" s="487"/>
      <c r="C90" s="490"/>
      <c r="D90" s="251" t="s">
        <v>149</v>
      </c>
      <c r="E90" s="219">
        <f t="shared" ref="E90:J90" si="14">SUM(E91:E93)</f>
        <v>27</v>
      </c>
      <c r="F90" s="219">
        <f t="shared" si="14"/>
        <v>27</v>
      </c>
      <c r="G90" s="219">
        <f t="shared" si="14"/>
        <v>77070753.449999988</v>
      </c>
      <c r="H90" s="219">
        <f t="shared" si="14"/>
        <v>17959425.490000002</v>
      </c>
      <c r="I90" s="219">
        <f t="shared" si="14"/>
        <v>11795454.489999998</v>
      </c>
      <c r="J90" s="301">
        <f t="shared" si="14"/>
        <v>6163971</v>
      </c>
    </row>
    <row r="91" spans="2:11" hidden="1" outlineLevel="2" x14ac:dyDescent="0.35">
      <c r="B91" s="487"/>
      <c r="C91" s="490"/>
      <c r="D91" s="250" t="s">
        <v>148</v>
      </c>
      <c r="E91" s="219">
        <v>11</v>
      </c>
      <c r="F91" s="219">
        <v>11</v>
      </c>
      <c r="G91" s="219">
        <v>30050029.5</v>
      </c>
      <c r="H91" s="219">
        <v>6307135.8300000001</v>
      </c>
      <c r="I91" s="219">
        <v>3632220.1</v>
      </c>
      <c r="J91" s="301">
        <v>2674915.73</v>
      </c>
    </row>
    <row r="92" spans="2:11" hidden="1" outlineLevel="2" x14ac:dyDescent="0.35">
      <c r="B92" s="487"/>
      <c r="C92" s="490"/>
      <c r="D92" s="250" t="s">
        <v>147</v>
      </c>
      <c r="E92" s="219">
        <v>7</v>
      </c>
      <c r="F92" s="219">
        <v>7</v>
      </c>
      <c r="G92" s="219">
        <v>18858489.849999998</v>
      </c>
      <c r="H92" s="219">
        <v>4431242.51</v>
      </c>
      <c r="I92" s="219">
        <v>2995127.9699999997</v>
      </c>
      <c r="J92" s="301">
        <v>1436114.54</v>
      </c>
    </row>
    <row r="93" spans="2:11" hidden="1" outlineLevel="2" x14ac:dyDescent="0.35">
      <c r="B93" s="487"/>
      <c r="C93" s="490"/>
      <c r="D93" s="250" t="s">
        <v>146</v>
      </c>
      <c r="E93" s="219">
        <v>9</v>
      </c>
      <c r="F93" s="219">
        <v>9</v>
      </c>
      <c r="G93" s="219">
        <v>28162234.100000001</v>
      </c>
      <c r="H93" s="219">
        <v>7221047.1500000004</v>
      </c>
      <c r="I93" s="219">
        <v>5168106.419999999</v>
      </c>
      <c r="J93" s="301">
        <v>2052940.7300000002</v>
      </c>
      <c r="K93" s="302"/>
    </row>
    <row r="94" spans="2:11" outlineLevel="1" collapsed="1" x14ac:dyDescent="0.35">
      <c r="B94" s="487"/>
      <c r="C94" s="490"/>
      <c r="D94" s="246" t="s">
        <v>133</v>
      </c>
      <c r="E94" s="219">
        <v>21</v>
      </c>
      <c r="F94" s="219">
        <v>20</v>
      </c>
      <c r="G94" s="219">
        <v>73675365.25</v>
      </c>
      <c r="H94" s="219">
        <v>19626472.109999999</v>
      </c>
      <c r="I94" s="219">
        <v>12216070.67</v>
      </c>
      <c r="J94" s="301">
        <v>6996122.3399999999</v>
      </c>
    </row>
    <row r="95" spans="2:11" outlineLevel="1" x14ac:dyDescent="0.35">
      <c r="B95" s="487"/>
      <c r="C95" s="490"/>
      <c r="D95" s="236" t="s">
        <v>140</v>
      </c>
      <c r="E95" s="275">
        <v>23</v>
      </c>
      <c r="F95" s="275">
        <v>17</v>
      </c>
      <c r="G95" s="275">
        <v>204624612.5</v>
      </c>
      <c r="H95" s="275">
        <v>89645007.5</v>
      </c>
      <c r="I95" s="275">
        <v>56491851.710000001</v>
      </c>
      <c r="J95" s="300">
        <v>24848789.859999999</v>
      </c>
    </row>
    <row r="96" spans="2:11" outlineLevel="1" x14ac:dyDescent="0.35">
      <c r="B96" s="487"/>
      <c r="C96" s="490"/>
      <c r="D96" s="236" t="s">
        <v>139</v>
      </c>
      <c r="E96" s="275">
        <v>3</v>
      </c>
      <c r="F96" s="275">
        <v>3</v>
      </c>
      <c r="G96" s="275">
        <v>33196320</v>
      </c>
      <c r="H96" s="275">
        <v>6639264</v>
      </c>
      <c r="I96" s="275">
        <v>3456450</v>
      </c>
      <c r="J96" s="300">
        <v>3182814</v>
      </c>
    </row>
    <row r="97" spans="2:10" outlineLevel="1" x14ac:dyDescent="0.35">
      <c r="B97" s="487"/>
      <c r="C97" s="490"/>
      <c r="D97" s="236" t="s">
        <v>138</v>
      </c>
      <c r="E97" s="275">
        <f t="shared" ref="E97:J97" si="15">SUM(E98:E101)</f>
        <v>92</v>
      </c>
      <c r="F97" s="275">
        <f t="shared" si="15"/>
        <v>89</v>
      </c>
      <c r="G97" s="275">
        <f t="shared" si="15"/>
        <v>123628238.64999999</v>
      </c>
      <c r="H97" s="275">
        <f t="shared" si="15"/>
        <v>42591169.900000006</v>
      </c>
      <c r="I97" s="275">
        <f t="shared" si="15"/>
        <v>29755552.27</v>
      </c>
      <c r="J97" s="300">
        <f t="shared" si="15"/>
        <v>10841445.119999999</v>
      </c>
    </row>
    <row r="98" spans="2:10" hidden="1" outlineLevel="2" x14ac:dyDescent="0.35">
      <c r="B98" s="487"/>
      <c r="C98" s="490"/>
      <c r="D98" s="242" t="s">
        <v>137</v>
      </c>
      <c r="E98" s="275">
        <v>33</v>
      </c>
      <c r="F98" s="275">
        <v>32</v>
      </c>
      <c r="G98" s="275">
        <v>42052670.5</v>
      </c>
      <c r="H98" s="275">
        <v>16929900.870000001</v>
      </c>
      <c r="I98" s="275">
        <v>11832571.559999999</v>
      </c>
      <c r="J98" s="300">
        <v>3841386.0300000003</v>
      </c>
    </row>
    <row r="99" spans="2:10" hidden="1" outlineLevel="2" x14ac:dyDescent="0.35">
      <c r="B99" s="487"/>
      <c r="C99" s="490"/>
      <c r="D99" s="242" t="s">
        <v>136</v>
      </c>
      <c r="E99" s="275">
        <v>27</v>
      </c>
      <c r="F99" s="275">
        <v>25</v>
      </c>
      <c r="G99" s="275">
        <v>37959914.700000003</v>
      </c>
      <c r="H99" s="275">
        <v>12537129.9</v>
      </c>
      <c r="I99" s="275">
        <v>8700262.7300000004</v>
      </c>
      <c r="J99" s="300">
        <v>3452366.4699999997</v>
      </c>
    </row>
    <row r="100" spans="2:10" hidden="1" outlineLevel="2" x14ac:dyDescent="0.35">
      <c r="B100" s="487"/>
      <c r="C100" s="490"/>
      <c r="D100" s="242" t="s">
        <v>135</v>
      </c>
      <c r="E100" s="275">
        <v>10</v>
      </c>
      <c r="F100" s="275">
        <v>10</v>
      </c>
      <c r="G100" s="275">
        <v>12495806.799999999</v>
      </c>
      <c r="H100" s="275">
        <v>3642792.39</v>
      </c>
      <c r="I100" s="275">
        <v>2593075.54</v>
      </c>
      <c r="J100" s="300">
        <v>1049716.8500000001</v>
      </c>
    </row>
    <row r="101" spans="2:10" hidden="1" outlineLevel="2" x14ac:dyDescent="0.35">
      <c r="B101" s="487"/>
      <c r="C101" s="490"/>
      <c r="D101" s="242" t="s">
        <v>134</v>
      </c>
      <c r="E101" s="275">
        <v>22</v>
      </c>
      <c r="F101" s="275">
        <v>22</v>
      </c>
      <c r="G101" s="275">
        <v>31119846.649999991</v>
      </c>
      <c r="H101" s="275">
        <v>9481346.7399999984</v>
      </c>
      <c r="I101" s="275">
        <v>6629642.4400000013</v>
      </c>
      <c r="J101" s="300">
        <v>2497975.77</v>
      </c>
    </row>
    <row r="102" spans="2:10" outlineLevel="1" collapsed="1" x14ac:dyDescent="0.35">
      <c r="B102" s="487"/>
      <c r="C102" s="490"/>
      <c r="D102" s="236" t="s">
        <v>132</v>
      </c>
      <c r="E102" s="275">
        <f t="shared" ref="E102:J102" si="16">SUM(E103:E106)</f>
        <v>170</v>
      </c>
      <c r="F102" s="275">
        <f t="shared" si="16"/>
        <v>156</v>
      </c>
      <c r="G102" s="275">
        <f t="shared" si="16"/>
        <v>411390445.38999987</v>
      </c>
      <c r="H102" s="275">
        <f t="shared" si="16"/>
        <v>113905880.72000003</v>
      </c>
      <c r="I102" s="275">
        <f t="shared" si="16"/>
        <v>77965509.510000005</v>
      </c>
      <c r="J102" s="299">
        <f t="shared" si="16"/>
        <v>35019435.479999997</v>
      </c>
    </row>
    <row r="103" spans="2:10" hidden="1" outlineLevel="2" x14ac:dyDescent="0.35">
      <c r="B103" s="487"/>
      <c r="C103" s="490"/>
      <c r="D103" s="241" t="s">
        <v>131</v>
      </c>
      <c r="E103" s="275">
        <v>8</v>
      </c>
      <c r="F103" s="275">
        <v>8</v>
      </c>
      <c r="G103" s="275">
        <v>19259559.25</v>
      </c>
      <c r="H103" s="275">
        <v>5777867.8099999996</v>
      </c>
      <c r="I103" s="275">
        <v>4222054.21</v>
      </c>
      <c r="J103" s="299">
        <v>1359693.5999999999</v>
      </c>
    </row>
    <row r="104" spans="2:10" hidden="1" outlineLevel="2" x14ac:dyDescent="0.35">
      <c r="B104" s="487"/>
      <c r="C104" s="490"/>
      <c r="D104" s="241" t="s">
        <v>130</v>
      </c>
      <c r="E104" s="275">
        <v>22</v>
      </c>
      <c r="F104" s="275">
        <v>21</v>
      </c>
      <c r="G104" s="275">
        <v>55536510.100000001</v>
      </c>
      <c r="H104" s="275">
        <v>16432158.849999998</v>
      </c>
      <c r="I104" s="275">
        <v>12323454.02</v>
      </c>
      <c r="J104" s="299">
        <v>4108704.83</v>
      </c>
    </row>
    <row r="105" spans="2:10" hidden="1" outlineLevel="2" x14ac:dyDescent="0.35">
      <c r="B105" s="487"/>
      <c r="C105" s="490"/>
      <c r="D105" s="241" t="s">
        <v>129</v>
      </c>
      <c r="E105" s="275">
        <v>117</v>
      </c>
      <c r="F105" s="275">
        <v>107</v>
      </c>
      <c r="G105" s="275">
        <v>282049183.65999985</v>
      </c>
      <c r="H105" s="275">
        <v>82813677.360000029</v>
      </c>
      <c r="I105" s="275">
        <v>57703118.230000012</v>
      </c>
      <c r="J105" s="299">
        <v>24389455.399999999</v>
      </c>
    </row>
    <row r="106" spans="2:10" hidden="1" outlineLevel="2" x14ac:dyDescent="0.35">
      <c r="B106" s="487"/>
      <c r="C106" s="490"/>
      <c r="D106" s="241" t="s">
        <v>128</v>
      </c>
      <c r="E106" s="275">
        <v>23</v>
      </c>
      <c r="F106" s="275">
        <v>20</v>
      </c>
      <c r="G106" s="275">
        <v>54545192.380000003</v>
      </c>
      <c r="H106" s="275">
        <v>8882176.7000000011</v>
      </c>
      <c r="I106" s="275">
        <v>3716883.05</v>
      </c>
      <c r="J106" s="299">
        <v>5161581.6500000004</v>
      </c>
    </row>
    <row r="107" spans="2:10" outlineLevel="1" collapsed="1" x14ac:dyDescent="0.35">
      <c r="B107" s="487"/>
      <c r="C107" s="490"/>
      <c r="D107" s="236" t="s">
        <v>41</v>
      </c>
      <c r="E107" s="275">
        <v>3</v>
      </c>
      <c r="F107" s="275">
        <v>3</v>
      </c>
      <c r="G107" s="275">
        <v>20455224.5</v>
      </c>
      <c r="H107" s="275">
        <v>4091044.9</v>
      </c>
      <c r="I107" s="275">
        <v>2496599.7599999998</v>
      </c>
      <c r="J107" s="299">
        <v>1594445.1400000001</v>
      </c>
    </row>
    <row r="108" spans="2:10" x14ac:dyDescent="0.35">
      <c r="B108" s="488"/>
      <c r="C108" s="491"/>
      <c r="D108" s="213" t="s">
        <v>251</v>
      </c>
      <c r="E108" s="295">
        <f t="shared" ref="E108:J108" si="17">SUM(E102,E107,E97,E96,E94,E90,E81,E77,E95)</f>
        <v>572</v>
      </c>
      <c r="F108" s="295">
        <f t="shared" si="17"/>
        <v>523</v>
      </c>
      <c r="G108" s="295">
        <f t="shared" si="17"/>
        <v>1697496838.8399997</v>
      </c>
      <c r="H108" s="295">
        <f t="shared" si="17"/>
        <v>739836608.91000009</v>
      </c>
      <c r="I108" s="295">
        <f t="shared" si="17"/>
        <v>558830776.1500001</v>
      </c>
      <c r="J108" s="293">
        <f t="shared" si="17"/>
        <v>151793901.52999997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75">
        <v>10</v>
      </c>
      <c r="F109" s="275">
        <v>10</v>
      </c>
      <c r="G109" s="275">
        <v>27855817.049999997</v>
      </c>
      <c r="H109" s="275">
        <v>4975631.03</v>
      </c>
      <c r="I109" s="275">
        <v>2279990.6800000002</v>
      </c>
      <c r="J109" s="299">
        <v>2693916.8</v>
      </c>
    </row>
    <row r="110" spans="2:10" outlineLevel="1" x14ac:dyDescent="0.35">
      <c r="B110" s="487"/>
      <c r="C110" s="490"/>
      <c r="D110" s="236" t="s">
        <v>122</v>
      </c>
      <c r="E110" s="275">
        <v>0</v>
      </c>
      <c r="F110" s="275">
        <v>0</v>
      </c>
      <c r="G110" s="275">
        <v>0</v>
      </c>
      <c r="H110" s="275">
        <v>0</v>
      </c>
      <c r="I110" s="275">
        <v>0</v>
      </c>
      <c r="J110" s="299">
        <v>0</v>
      </c>
    </row>
    <row r="111" spans="2:10" outlineLevel="1" x14ac:dyDescent="0.35">
      <c r="B111" s="487"/>
      <c r="C111" s="490"/>
      <c r="D111" s="236" t="s">
        <v>48</v>
      </c>
      <c r="E111" s="275">
        <v>3</v>
      </c>
      <c r="F111" s="275">
        <v>3</v>
      </c>
      <c r="G111" s="275">
        <v>7171491.75</v>
      </c>
      <c r="H111" s="275">
        <v>974139.67999999993</v>
      </c>
      <c r="I111" s="275">
        <v>753119.71</v>
      </c>
      <c r="J111" s="299">
        <v>221019.97</v>
      </c>
    </row>
    <row r="112" spans="2:10" outlineLevel="1" x14ac:dyDescent="0.35">
      <c r="B112" s="487"/>
      <c r="C112" s="490"/>
      <c r="D112" s="236" t="s">
        <v>47</v>
      </c>
      <c r="E112" s="275">
        <v>3</v>
      </c>
      <c r="F112" s="275">
        <v>3</v>
      </c>
      <c r="G112" s="275">
        <v>6597233.1500000004</v>
      </c>
      <c r="H112" s="275">
        <v>1065034.6399999999</v>
      </c>
      <c r="I112" s="275">
        <v>456313.44</v>
      </c>
      <c r="J112" s="299">
        <v>608721.19999999995</v>
      </c>
    </row>
    <row r="113" spans="2:11" outlineLevel="1" x14ac:dyDescent="0.35">
      <c r="B113" s="487"/>
      <c r="C113" s="490"/>
      <c r="D113" s="236" t="s">
        <v>40</v>
      </c>
      <c r="E113" s="275">
        <v>11</v>
      </c>
      <c r="F113" s="275">
        <v>11</v>
      </c>
      <c r="G113" s="275">
        <v>27467334.5</v>
      </c>
      <c r="H113" s="275">
        <v>4035955.5200000009</v>
      </c>
      <c r="I113" s="275">
        <v>1523614.98</v>
      </c>
      <c r="J113" s="299">
        <v>2512340.54</v>
      </c>
    </row>
    <row r="114" spans="2:11" outlineLevel="1" x14ac:dyDescent="0.35">
      <c r="B114" s="487"/>
      <c r="C114" s="490"/>
      <c r="D114" s="236" t="s">
        <v>39</v>
      </c>
      <c r="E114" s="275">
        <v>44</v>
      </c>
      <c r="F114" s="275">
        <v>43</v>
      </c>
      <c r="G114" s="275">
        <v>103569317.55000006</v>
      </c>
      <c r="H114" s="275">
        <v>18547932.770000007</v>
      </c>
      <c r="I114" s="275">
        <v>8998199.3600000013</v>
      </c>
      <c r="J114" s="299">
        <v>9547993.1700000018</v>
      </c>
    </row>
    <row r="115" spans="2:11" outlineLevel="1" x14ac:dyDescent="0.35">
      <c r="B115" s="487"/>
      <c r="C115" s="490"/>
      <c r="D115" s="236" t="s">
        <v>38</v>
      </c>
      <c r="E115" s="275">
        <v>14</v>
      </c>
      <c r="F115" s="275">
        <v>14</v>
      </c>
      <c r="G115" s="275">
        <v>94382320</v>
      </c>
      <c r="H115" s="275">
        <v>16751781.560000001</v>
      </c>
      <c r="I115" s="275">
        <v>11623383.100000001</v>
      </c>
      <c r="J115" s="299">
        <v>5103479.8600000003</v>
      </c>
    </row>
    <row r="116" spans="2:11" x14ac:dyDescent="0.35">
      <c r="B116" s="488"/>
      <c r="C116" s="491"/>
      <c r="D116" s="213" t="s">
        <v>248</v>
      </c>
      <c r="E116" s="295">
        <f t="shared" ref="E116:J116" si="18">SUM(E109:E115)</f>
        <v>85</v>
      </c>
      <c r="F116" s="295">
        <f t="shared" si="18"/>
        <v>84</v>
      </c>
      <c r="G116" s="295">
        <f t="shared" si="18"/>
        <v>267043514.00000006</v>
      </c>
      <c r="H116" s="295">
        <f t="shared" si="18"/>
        <v>46350475.20000001</v>
      </c>
      <c r="I116" s="294">
        <f t="shared" si="18"/>
        <v>25634621.270000003</v>
      </c>
      <c r="J116" s="293">
        <f t="shared" si="18"/>
        <v>20687471.540000003</v>
      </c>
    </row>
    <row r="117" spans="2:11" outlineLevel="1" x14ac:dyDescent="0.35">
      <c r="B117" s="487" t="s">
        <v>247</v>
      </c>
      <c r="C117" s="490" t="s">
        <v>246</v>
      </c>
      <c r="D117" s="236" t="s">
        <v>36</v>
      </c>
      <c r="E117" s="275">
        <v>38</v>
      </c>
      <c r="F117" s="275">
        <v>34</v>
      </c>
      <c r="G117" s="275">
        <v>170554042.68000001</v>
      </c>
      <c r="H117" s="275">
        <v>30064869.470000014</v>
      </c>
      <c r="I117" s="275">
        <v>13683028.170000002</v>
      </c>
      <c r="J117" s="299">
        <v>16381841.300000004</v>
      </c>
    </row>
    <row r="118" spans="2:11" outlineLevel="1" x14ac:dyDescent="0.35">
      <c r="B118" s="487"/>
      <c r="C118" s="490"/>
      <c r="D118" s="236" t="s">
        <v>35</v>
      </c>
      <c r="E118" s="275">
        <v>25</v>
      </c>
      <c r="F118" s="275">
        <v>25</v>
      </c>
      <c r="G118" s="275">
        <v>136300230.59999999</v>
      </c>
      <c r="H118" s="275">
        <v>22779230.900000002</v>
      </c>
      <c r="I118" s="275">
        <v>11115304.970000001</v>
      </c>
      <c r="J118" s="299">
        <v>11463930.130000003</v>
      </c>
    </row>
    <row r="119" spans="2:11" outlineLevel="1" x14ac:dyDescent="0.35">
      <c r="B119" s="487"/>
      <c r="C119" s="490"/>
      <c r="D119" s="236" t="s">
        <v>34</v>
      </c>
      <c r="E119" s="275">
        <v>4</v>
      </c>
      <c r="F119" s="275">
        <v>4</v>
      </c>
      <c r="G119" s="275">
        <v>43254646.5</v>
      </c>
      <c r="H119" s="275">
        <v>6420901.5000000009</v>
      </c>
      <c r="I119" s="275">
        <v>2730395.25</v>
      </c>
      <c r="J119" s="299">
        <v>3690506.25</v>
      </c>
    </row>
    <row r="120" spans="2:11" outlineLevel="1" x14ac:dyDescent="0.35">
      <c r="B120" s="487"/>
      <c r="C120" s="490"/>
      <c r="D120" s="236" t="s">
        <v>33</v>
      </c>
      <c r="E120" s="275">
        <v>24</v>
      </c>
      <c r="F120" s="275">
        <v>23</v>
      </c>
      <c r="G120" s="275">
        <v>105358881.5</v>
      </c>
      <c r="H120" s="275">
        <v>13707458.700000001</v>
      </c>
      <c r="I120" s="275">
        <v>3948950.4699999997</v>
      </c>
      <c r="J120" s="299">
        <v>9652469.9299999997</v>
      </c>
    </row>
    <row r="121" spans="2:11" x14ac:dyDescent="0.35">
      <c r="B121" s="488"/>
      <c r="C121" s="491"/>
      <c r="D121" s="213" t="s">
        <v>245</v>
      </c>
      <c r="E121" s="295">
        <f t="shared" ref="E121:J121" si="19">SUM(E117:E120)</f>
        <v>91</v>
      </c>
      <c r="F121" s="295">
        <f t="shared" si="19"/>
        <v>86</v>
      </c>
      <c r="G121" s="295">
        <f t="shared" si="19"/>
        <v>455467801.27999997</v>
      </c>
      <c r="H121" s="295">
        <f t="shared" si="19"/>
        <v>72972460.570000023</v>
      </c>
      <c r="I121" s="294">
        <f t="shared" si="19"/>
        <v>31477678.859999999</v>
      </c>
      <c r="J121" s="293">
        <f t="shared" si="19"/>
        <v>41188747.610000007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298"/>
      <c r="K122" s="297"/>
    </row>
    <row r="123" spans="2:11" outlineLevel="1" x14ac:dyDescent="0.35">
      <c r="B123" s="492"/>
      <c r="C123" s="485"/>
      <c r="D123" s="225" t="s">
        <v>145</v>
      </c>
      <c r="E123" s="275">
        <f t="shared" ref="E123:J123" si="20">SUM(E124:E127)</f>
        <v>13</v>
      </c>
      <c r="F123" s="275">
        <f t="shared" si="20"/>
        <v>12</v>
      </c>
      <c r="G123" s="275">
        <f t="shared" si="20"/>
        <v>190400821.09999999</v>
      </c>
      <c r="H123" s="275">
        <f t="shared" si="20"/>
        <v>58077941.43</v>
      </c>
      <c r="I123" s="219">
        <f t="shared" si="20"/>
        <v>36141367.280000001</v>
      </c>
      <c r="J123" s="296">
        <f t="shared" si="20"/>
        <v>15586148.479999997</v>
      </c>
    </row>
    <row r="124" spans="2:11" hidden="1" outlineLevel="2" x14ac:dyDescent="0.35">
      <c r="B124" s="492"/>
      <c r="C124" s="485"/>
      <c r="D124" s="222" t="s">
        <v>144</v>
      </c>
      <c r="E124" s="275">
        <v>11</v>
      </c>
      <c r="F124" s="275">
        <v>10</v>
      </c>
      <c r="G124" s="275">
        <v>145671109.09999999</v>
      </c>
      <c r="H124" s="275">
        <v>43732099.829999998</v>
      </c>
      <c r="I124" s="219">
        <v>25944331.280000001</v>
      </c>
      <c r="J124" s="296">
        <v>11463177.679999998</v>
      </c>
    </row>
    <row r="125" spans="2:11" hidden="1" outlineLevel="2" x14ac:dyDescent="0.35">
      <c r="B125" s="492"/>
      <c r="C125" s="485"/>
      <c r="D125" s="223" t="s">
        <v>143</v>
      </c>
      <c r="E125" s="275">
        <v>1</v>
      </c>
      <c r="F125" s="275">
        <v>1</v>
      </c>
      <c r="G125" s="275">
        <v>17730216</v>
      </c>
      <c r="H125" s="275">
        <v>3546043.2</v>
      </c>
      <c r="I125" s="219">
        <v>2123022</v>
      </c>
      <c r="J125" s="296">
        <v>1423021.2</v>
      </c>
    </row>
    <row r="126" spans="2:11" hidden="1" outlineLevel="2" x14ac:dyDescent="0.35">
      <c r="B126" s="492"/>
      <c r="C126" s="485"/>
      <c r="D126" s="223" t="s">
        <v>142</v>
      </c>
      <c r="E126" s="275">
        <v>1</v>
      </c>
      <c r="F126" s="275">
        <v>1</v>
      </c>
      <c r="G126" s="275">
        <v>26999496</v>
      </c>
      <c r="H126" s="275">
        <v>10799798.4</v>
      </c>
      <c r="I126" s="219">
        <v>8074014</v>
      </c>
      <c r="J126" s="296">
        <v>2699949.6</v>
      </c>
    </row>
    <row r="127" spans="2:11" hidden="1" outlineLevel="2" x14ac:dyDescent="0.35">
      <c r="B127" s="492"/>
      <c r="C127" s="485"/>
      <c r="D127" s="223" t="s">
        <v>141</v>
      </c>
      <c r="E127" s="275">
        <v>0</v>
      </c>
      <c r="F127" s="275">
        <v>0</v>
      </c>
      <c r="G127" s="275">
        <v>0</v>
      </c>
      <c r="H127" s="275">
        <v>0</v>
      </c>
      <c r="I127" s="219">
        <v>0</v>
      </c>
      <c r="J127" s="296">
        <v>0</v>
      </c>
    </row>
    <row r="128" spans="2:11" outlineLevel="1" collapsed="1" x14ac:dyDescent="0.35">
      <c r="B128" s="492"/>
      <c r="C128" s="485"/>
      <c r="D128" s="221" t="s">
        <v>121</v>
      </c>
      <c r="E128" s="275">
        <f t="shared" ref="E128:J128" si="21">SUM(E129:E162)</f>
        <v>242</v>
      </c>
      <c r="F128" s="275">
        <f t="shared" si="21"/>
        <v>233</v>
      </c>
      <c r="G128" s="275">
        <f t="shared" si="21"/>
        <v>432664031.29999989</v>
      </c>
      <c r="H128" s="275">
        <f t="shared" si="21"/>
        <v>175202575.55000001</v>
      </c>
      <c r="I128" s="219">
        <f t="shared" si="21"/>
        <v>133936504.82000001</v>
      </c>
      <c r="J128" s="296">
        <f t="shared" si="21"/>
        <v>38118263.300000004</v>
      </c>
    </row>
    <row r="129" spans="2:10" hidden="1" outlineLevel="2" x14ac:dyDescent="0.35">
      <c r="B129" s="492"/>
      <c r="C129" s="485"/>
      <c r="D129" s="224" t="s">
        <v>119</v>
      </c>
      <c r="E129" s="275">
        <v>4</v>
      </c>
      <c r="F129" s="275">
        <v>4</v>
      </c>
      <c r="G129" s="275">
        <v>5868785.1200000001</v>
      </c>
      <c r="H129" s="275">
        <v>2716199.5</v>
      </c>
      <c r="I129" s="219">
        <v>2128566.9300000002</v>
      </c>
      <c r="J129" s="296">
        <v>585973.46</v>
      </c>
    </row>
    <row r="130" spans="2:10" hidden="1" outlineLevel="2" x14ac:dyDescent="0.35">
      <c r="B130" s="492"/>
      <c r="C130" s="485"/>
      <c r="D130" s="223" t="s">
        <v>118</v>
      </c>
      <c r="E130" s="275">
        <v>5</v>
      </c>
      <c r="F130" s="275">
        <v>5</v>
      </c>
      <c r="G130" s="275">
        <v>6953135.6099999994</v>
      </c>
      <c r="H130" s="275">
        <v>2638434.46</v>
      </c>
      <c r="I130" s="219">
        <v>2038195.99</v>
      </c>
      <c r="J130" s="296">
        <v>600238.47</v>
      </c>
    </row>
    <row r="131" spans="2:10" hidden="1" outlineLevel="2" x14ac:dyDescent="0.35">
      <c r="B131" s="492"/>
      <c r="C131" s="485"/>
      <c r="D131" s="223" t="s">
        <v>117</v>
      </c>
      <c r="E131" s="275">
        <v>2</v>
      </c>
      <c r="F131" s="275">
        <v>2</v>
      </c>
      <c r="G131" s="275">
        <v>2355454.86</v>
      </c>
      <c r="H131" s="275">
        <v>1177727.3999999999</v>
      </c>
      <c r="I131" s="219">
        <v>941981.7</v>
      </c>
      <c r="J131" s="296">
        <v>235745.7</v>
      </c>
    </row>
    <row r="132" spans="2:10" hidden="1" outlineLevel="2" x14ac:dyDescent="0.35">
      <c r="B132" s="492"/>
      <c r="C132" s="485"/>
      <c r="D132" s="223" t="s">
        <v>116</v>
      </c>
      <c r="E132" s="275">
        <v>1</v>
      </c>
      <c r="F132" s="275">
        <v>1</v>
      </c>
      <c r="G132" s="275">
        <v>4291441.7</v>
      </c>
      <c r="H132" s="275">
        <v>858288.34</v>
      </c>
      <c r="I132" s="219">
        <v>429148.84</v>
      </c>
      <c r="J132" s="296">
        <v>429139.5</v>
      </c>
    </row>
    <row r="133" spans="2:10" hidden="1" outlineLevel="2" x14ac:dyDescent="0.35">
      <c r="B133" s="492"/>
      <c r="C133" s="485"/>
      <c r="D133" s="224" t="s">
        <v>114</v>
      </c>
      <c r="E133" s="275">
        <v>8</v>
      </c>
      <c r="F133" s="275">
        <v>8</v>
      </c>
      <c r="G133" s="275">
        <v>9780582.9299999997</v>
      </c>
      <c r="H133" s="275">
        <v>3970724.9699999997</v>
      </c>
      <c r="I133" s="219">
        <v>3177560.7700000005</v>
      </c>
      <c r="J133" s="296">
        <v>793164.20000000007</v>
      </c>
    </row>
    <row r="134" spans="2:10" hidden="1" outlineLevel="2" x14ac:dyDescent="0.35">
      <c r="B134" s="492"/>
      <c r="C134" s="485"/>
      <c r="D134" s="223" t="s">
        <v>113</v>
      </c>
      <c r="E134" s="275">
        <v>6</v>
      </c>
      <c r="F134" s="275">
        <v>6</v>
      </c>
      <c r="G134" s="275">
        <v>8027223.5600000005</v>
      </c>
      <c r="H134" s="275">
        <v>3871363.5</v>
      </c>
      <c r="I134" s="219">
        <v>3090238.1899999995</v>
      </c>
      <c r="J134" s="296">
        <v>779400.41</v>
      </c>
    </row>
    <row r="135" spans="2:10" hidden="1" outlineLevel="2" x14ac:dyDescent="0.35">
      <c r="B135" s="492"/>
      <c r="C135" s="485"/>
      <c r="D135" s="223" t="s">
        <v>112</v>
      </c>
      <c r="E135" s="275">
        <v>13</v>
      </c>
      <c r="F135" s="275">
        <v>13</v>
      </c>
      <c r="G135" s="275">
        <v>25536477.289999995</v>
      </c>
      <c r="H135" s="275">
        <v>12168493.59</v>
      </c>
      <c r="I135" s="219">
        <v>9368179.6400000006</v>
      </c>
      <c r="J135" s="296">
        <v>2389267.4800000004</v>
      </c>
    </row>
    <row r="136" spans="2:10" hidden="1" outlineLevel="2" x14ac:dyDescent="0.35">
      <c r="B136" s="492"/>
      <c r="C136" s="485"/>
      <c r="D136" s="223" t="s">
        <v>111</v>
      </c>
      <c r="E136" s="275">
        <v>8</v>
      </c>
      <c r="F136" s="275">
        <v>6</v>
      </c>
      <c r="G136" s="275">
        <v>26442066.979999997</v>
      </c>
      <c r="H136" s="275">
        <v>11565957.969999999</v>
      </c>
      <c r="I136" s="219">
        <v>9192751.8899999987</v>
      </c>
      <c r="J136" s="296">
        <v>2327891.56</v>
      </c>
    </row>
    <row r="137" spans="2:10" hidden="1" outlineLevel="2" x14ac:dyDescent="0.35">
      <c r="B137" s="492"/>
      <c r="C137" s="485"/>
      <c r="D137" s="222" t="s">
        <v>109</v>
      </c>
      <c r="E137" s="275">
        <v>20</v>
      </c>
      <c r="F137" s="275">
        <v>19</v>
      </c>
      <c r="G137" s="275">
        <v>29196047.75</v>
      </c>
      <c r="H137" s="275">
        <v>13547219.970000001</v>
      </c>
      <c r="I137" s="219">
        <v>10021206.51</v>
      </c>
      <c r="J137" s="296">
        <v>2738952.35</v>
      </c>
    </row>
    <row r="138" spans="2:10" hidden="1" outlineLevel="2" x14ac:dyDescent="0.35">
      <c r="B138" s="492"/>
      <c r="C138" s="485"/>
      <c r="D138" s="222" t="s">
        <v>108</v>
      </c>
      <c r="E138" s="275">
        <v>72</v>
      </c>
      <c r="F138" s="275">
        <v>69</v>
      </c>
      <c r="G138" s="275">
        <v>98456651.469999999</v>
      </c>
      <c r="H138" s="275">
        <v>47782918.580000013</v>
      </c>
      <c r="I138" s="219">
        <v>37721136.160000004</v>
      </c>
      <c r="J138" s="296">
        <v>9071316.5199999977</v>
      </c>
    </row>
    <row r="139" spans="2:10" hidden="1" outlineLevel="2" x14ac:dyDescent="0.35">
      <c r="B139" s="492"/>
      <c r="C139" s="485"/>
      <c r="D139" s="222" t="s">
        <v>107</v>
      </c>
      <c r="E139" s="275">
        <v>19</v>
      </c>
      <c r="F139" s="275">
        <v>19</v>
      </c>
      <c r="G139" s="275">
        <v>26697369.859999992</v>
      </c>
      <c r="H139" s="275">
        <v>12953687.950000001</v>
      </c>
      <c r="I139" s="219">
        <v>10035443.749999998</v>
      </c>
      <c r="J139" s="296">
        <v>2505839.17</v>
      </c>
    </row>
    <row r="140" spans="2:10" hidden="1" outlineLevel="2" x14ac:dyDescent="0.35">
      <c r="B140" s="492"/>
      <c r="C140" s="485"/>
      <c r="D140" s="222" t="s">
        <v>106</v>
      </c>
      <c r="E140" s="275">
        <v>4</v>
      </c>
      <c r="F140" s="275">
        <v>4</v>
      </c>
      <c r="G140" s="275">
        <v>17757471.25</v>
      </c>
      <c r="H140" s="275">
        <v>6638305.5600000005</v>
      </c>
      <c r="I140" s="219">
        <v>4867189.78</v>
      </c>
      <c r="J140" s="296">
        <v>1771115.78</v>
      </c>
    </row>
    <row r="141" spans="2:10" hidden="1" outlineLevel="2" x14ac:dyDescent="0.35">
      <c r="B141" s="492"/>
      <c r="C141" s="485"/>
      <c r="D141" s="222" t="s">
        <v>104</v>
      </c>
      <c r="E141" s="275">
        <v>1</v>
      </c>
      <c r="F141" s="275">
        <v>1</v>
      </c>
      <c r="G141" s="275">
        <v>1552520.18</v>
      </c>
      <c r="H141" s="275">
        <v>310504.03999999998</v>
      </c>
      <c r="I141" s="219">
        <v>155621.62</v>
      </c>
      <c r="J141" s="296">
        <v>154882.42000000001</v>
      </c>
    </row>
    <row r="142" spans="2:10" hidden="1" outlineLevel="2" x14ac:dyDescent="0.35">
      <c r="B142" s="492"/>
      <c r="C142" s="485"/>
      <c r="D142" s="222" t="s">
        <v>103</v>
      </c>
      <c r="E142" s="275">
        <v>4</v>
      </c>
      <c r="F142" s="275">
        <v>4</v>
      </c>
      <c r="G142" s="275">
        <v>8512373.1100000013</v>
      </c>
      <c r="H142" s="275">
        <v>3404949.1999999997</v>
      </c>
      <c r="I142" s="219">
        <v>2680136.31</v>
      </c>
      <c r="J142" s="296">
        <v>716037.73</v>
      </c>
    </row>
    <row r="143" spans="2:10" hidden="1" outlineLevel="2" x14ac:dyDescent="0.35">
      <c r="B143" s="492"/>
      <c r="C143" s="485"/>
      <c r="D143" s="222" t="s">
        <v>102</v>
      </c>
      <c r="E143" s="275">
        <v>1</v>
      </c>
      <c r="F143" s="275">
        <v>1</v>
      </c>
      <c r="G143" s="275">
        <v>2159445.4900000002</v>
      </c>
      <c r="H143" s="275">
        <v>863778.2</v>
      </c>
      <c r="I143" s="219">
        <v>649984.1</v>
      </c>
      <c r="J143" s="296">
        <v>213794.1</v>
      </c>
    </row>
    <row r="144" spans="2:10" hidden="1" outlineLevel="2" x14ac:dyDescent="0.35">
      <c r="B144" s="492"/>
      <c r="C144" s="485"/>
      <c r="D144" s="222" t="s">
        <v>101</v>
      </c>
      <c r="E144" s="275">
        <v>0</v>
      </c>
      <c r="F144" s="275">
        <v>0</v>
      </c>
      <c r="G144" s="275">
        <v>0</v>
      </c>
      <c r="H144" s="275">
        <v>0</v>
      </c>
      <c r="I144" s="219">
        <v>0</v>
      </c>
      <c r="J144" s="296">
        <v>0</v>
      </c>
    </row>
    <row r="145" spans="2:10" hidden="1" outlineLevel="2" x14ac:dyDescent="0.35">
      <c r="B145" s="492"/>
      <c r="C145" s="485"/>
      <c r="D145" s="223" t="s">
        <v>99</v>
      </c>
      <c r="E145" s="275">
        <v>5</v>
      </c>
      <c r="F145" s="275">
        <v>5</v>
      </c>
      <c r="G145" s="275">
        <v>9307162.3900000006</v>
      </c>
      <c r="H145" s="275">
        <v>3264824.4899999998</v>
      </c>
      <c r="I145" s="219">
        <v>2504792.3899999997</v>
      </c>
      <c r="J145" s="296">
        <v>760032.1</v>
      </c>
    </row>
    <row r="146" spans="2:10" hidden="1" outlineLevel="2" x14ac:dyDescent="0.35">
      <c r="B146" s="492"/>
      <c r="C146" s="485"/>
      <c r="D146" s="223" t="s">
        <v>98</v>
      </c>
      <c r="E146" s="275">
        <v>3</v>
      </c>
      <c r="F146" s="275">
        <v>3</v>
      </c>
      <c r="G146" s="275">
        <v>4165956.08</v>
      </c>
      <c r="H146" s="275">
        <v>1518825.38</v>
      </c>
      <c r="I146" s="219">
        <v>1257104.4500000002</v>
      </c>
      <c r="J146" s="296">
        <v>258350.71000000002</v>
      </c>
    </row>
    <row r="147" spans="2:10" hidden="1" outlineLevel="2" x14ac:dyDescent="0.35">
      <c r="B147" s="492"/>
      <c r="C147" s="485"/>
      <c r="D147" s="223" t="s">
        <v>97</v>
      </c>
      <c r="E147" s="275">
        <v>3</v>
      </c>
      <c r="F147" s="275">
        <v>3</v>
      </c>
      <c r="G147" s="275">
        <v>6005099.2800000003</v>
      </c>
      <c r="H147" s="275">
        <v>2204737.25</v>
      </c>
      <c r="I147" s="219">
        <v>1800804.7400000002</v>
      </c>
      <c r="J147" s="296">
        <v>400873.25</v>
      </c>
    </row>
    <row r="148" spans="2:10" hidden="1" outlineLevel="2" x14ac:dyDescent="0.35">
      <c r="B148" s="492"/>
      <c r="C148" s="485"/>
      <c r="D148" s="223" t="s">
        <v>96</v>
      </c>
      <c r="E148" s="275">
        <v>0</v>
      </c>
      <c r="F148" s="275">
        <v>0</v>
      </c>
      <c r="G148" s="275">
        <v>0</v>
      </c>
      <c r="H148" s="275">
        <v>0</v>
      </c>
      <c r="I148" s="219">
        <v>0</v>
      </c>
      <c r="J148" s="296">
        <v>0</v>
      </c>
    </row>
    <row r="149" spans="2:10" hidden="1" outlineLevel="2" x14ac:dyDescent="0.35">
      <c r="B149" s="492"/>
      <c r="C149" s="485"/>
      <c r="D149" s="223" t="s">
        <v>94</v>
      </c>
      <c r="E149" s="275">
        <v>2</v>
      </c>
      <c r="F149" s="275">
        <v>2</v>
      </c>
      <c r="G149" s="275">
        <v>3226502.48</v>
      </c>
      <c r="H149" s="275">
        <v>1290601</v>
      </c>
      <c r="I149" s="219">
        <v>969951.09</v>
      </c>
      <c r="J149" s="296">
        <v>320649.90999999997</v>
      </c>
    </row>
    <row r="150" spans="2:10" hidden="1" outlineLevel="2" x14ac:dyDescent="0.35">
      <c r="B150" s="492"/>
      <c r="C150" s="485"/>
      <c r="D150" s="223" t="s">
        <v>93</v>
      </c>
      <c r="E150" s="275">
        <v>3</v>
      </c>
      <c r="F150" s="275">
        <v>3</v>
      </c>
      <c r="G150" s="275">
        <v>5205942.25</v>
      </c>
      <c r="H150" s="275">
        <v>1885099.12</v>
      </c>
      <c r="I150" s="219">
        <v>1312839.94</v>
      </c>
      <c r="J150" s="296">
        <v>519986.44</v>
      </c>
    </row>
    <row r="151" spans="2:10" hidden="1" outlineLevel="2" x14ac:dyDescent="0.35">
      <c r="B151" s="492"/>
      <c r="C151" s="485"/>
      <c r="D151" s="223" t="s">
        <v>92</v>
      </c>
      <c r="E151" s="275">
        <v>2</v>
      </c>
      <c r="F151" s="275">
        <v>2</v>
      </c>
      <c r="G151" s="275">
        <v>6558762.5</v>
      </c>
      <c r="H151" s="275">
        <v>1626805.76</v>
      </c>
      <c r="I151" s="219">
        <v>1222005</v>
      </c>
      <c r="J151" s="296">
        <v>404800.76</v>
      </c>
    </row>
    <row r="152" spans="2:10" hidden="1" outlineLevel="2" x14ac:dyDescent="0.35">
      <c r="B152" s="492"/>
      <c r="C152" s="485"/>
      <c r="D152" s="223" t="s">
        <v>91</v>
      </c>
      <c r="E152" s="275">
        <v>5</v>
      </c>
      <c r="F152" s="275">
        <v>5</v>
      </c>
      <c r="G152" s="275">
        <v>12857841</v>
      </c>
      <c r="H152" s="275">
        <v>4245007.5</v>
      </c>
      <c r="I152" s="219">
        <v>3564568.54</v>
      </c>
      <c r="J152" s="296">
        <v>680438.96</v>
      </c>
    </row>
    <row r="153" spans="2:10" hidden="1" outlineLevel="2" x14ac:dyDescent="0.35">
      <c r="B153" s="492"/>
      <c r="C153" s="485"/>
      <c r="D153" s="223" t="s">
        <v>89</v>
      </c>
      <c r="E153" s="275">
        <v>9</v>
      </c>
      <c r="F153" s="275">
        <v>7</v>
      </c>
      <c r="G153" s="275">
        <v>25517585.810000002</v>
      </c>
      <c r="H153" s="275">
        <v>8428298.4699999988</v>
      </c>
      <c r="I153" s="219">
        <v>6340056.6400000006</v>
      </c>
      <c r="J153" s="296">
        <v>2051152.51</v>
      </c>
    </row>
    <row r="154" spans="2:10" hidden="1" outlineLevel="2" x14ac:dyDescent="0.35">
      <c r="B154" s="492"/>
      <c r="C154" s="485"/>
      <c r="D154" s="223" t="s">
        <v>88</v>
      </c>
      <c r="E154" s="275">
        <v>8</v>
      </c>
      <c r="F154" s="275">
        <v>8</v>
      </c>
      <c r="G154" s="275">
        <v>12323848.15</v>
      </c>
      <c r="H154" s="275">
        <v>4929539.24</v>
      </c>
      <c r="I154" s="219">
        <v>3751966.52</v>
      </c>
      <c r="J154" s="296">
        <v>1177572.72</v>
      </c>
    </row>
    <row r="155" spans="2:10" hidden="1" outlineLevel="2" x14ac:dyDescent="0.35">
      <c r="B155" s="492"/>
      <c r="C155" s="485"/>
      <c r="D155" s="223" t="s">
        <v>87</v>
      </c>
      <c r="E155" s="275">
        <v>8</v>
      </c>
      <c r="F155" s="275">
        <v>7</v>
      </c>
      <c r="G155" s="275">
        <v>20810174</v>
      </c>
      <c r="H155" s="275">
        <v>6927885.4799999995</v>
      </c>
      <c r="I155" s="219">
        <v>4980312.8499999996</v>
      </c>
      <c r="J155" s="296">
        <v>1943541.6300000001</v>
      </c>
    </row>
    <row r="156" spans="2:10" hidden="1" outlineLevel="2" x14ac:dyDescent="0.35">
      <c r="B156" s="492"/>
      <c r="C156" s="485"/>
      <c r="D156" s="223" t="s">
        <v>86</v>
      </c>
      <c r="E156" s="275">
        <v>10</v>
      </c>
      <c r="F156" s="275">
        <v>10</v>
      </c>
      <c r="G156" s="275">
        <v>21142149.130000003</v>
      </c>
      <c r="H156" s="275">
        <v>8456859.6500000004</v>
      </c>
      <c r="I156" s="219">
        <v>6397170.2700000005</v>
      </c>
      <c r="J156" s="296">
        <v>1811556.61</v>
      </c>
    </row>
    <row r="157" spans="2:10" hidden="1" outlineLevel="2" x14ac:dyDescent="0.35">
      <c r="B157" s="492"/>
      <c r="C157" s="485"/>
      <c r="D157" s="223" t="s">
        <v>84</v>
      </c>
      <c r="E157" s="275">
        <v>5</v>
      </c>
      <c r="F157" s="275">
        <v>5</v>
      </c>
      <c r="G157" s="275">
        <v>12382062.549999999</v>
      </c>
      <c r="H157" s="275">
        <v>3094727.96</v>
      </c>
      <c r="I157" s="219">
        <v>2251586.2800000003</v>
      </c>
      <c r="J157" s="296">
        <v>701741.76</v>
      </c>
    </row>
    <row r="158" spans="2:10" hidden="1" outlineLevel="2" x14ac:dyDescent="0.35">
      <c r="B158" s="492"/>
      <c r="C158" s="485"/>
      <c r="D158" s="223" t="s">
        <v>83</v>
      </c>
      <c r="E158" s="275">
        <v>0</v>
      </c>
      <c r="F158" s="275">
        <v>0</v>
      </c>
      <c r="G158" s="275">
        <v>0</v>
      </c>
      <c r="H158" s="275">
        <v>0</v>
      </c>
      <c r="I158" s="219">
        <v>0</v>
      </c>
      <c r="J158" s="296">
        <v>0</v>
      </c>
    </row>
    <row r="159" spans="2:10" hidden="1" outlineLevel="2" x14ac:dyDescent="0.35">
      <c r="B159" s="492"/>
      <c r="C159" s="485"/>
      <c r="D159" s="223" t="s">
        <v>82</v>
      </c>
      <c r="E159" s="275">
        <v>1</v>
      </c>
      <c r="F159" s="275">
        <v>1</v>
      </c>
      <c r="G159" s="275">
        <v>2351139.33</v>
      </c>
      <c r="H159" s="275">
        <v>470227.87</v>
      </c>
      <c r="I159" s="219">
        <v>435413.93</v>
      </c>
      <c r="J159" s="296">
        <v>34813.94</v>
      </c>
    </row>
    <row r="160" spans="2:10" hidden="1" outlineLevel="2" x14ac:dyDescent="0.35">
      <c r="B160" s="492"/>
      <c r="C160" s="485"/>
      <c r="D160" s="223" t="s">
        <v>81</v>
      </c>
      <c r="E160" s="275">
        <v>1</v>
      </c>
      <c r="F160" s="275">
        <v>1</v>
      </c>
      <c r="G160" s="275">
        <v>2350235.17</v>
      </c>
      <c r="H160" s="275">
        <v>470047.04</v>
      </c>
      <c r="I160" s="219">
        <v>235963</v>
      </c>
      <c r="J160" s="296">
        <v>234084.04</v>
      </c>
    </row>
    <row r="161" spans="2:10" hidden="1" outlineLevel="2" x14ac:dyDescent="0.35">
      <c r="B161" s="492"/>
      <c r="C161" s="485"/>
      <c r="D161" s="223" t="s">
        <v>79</v>
      </c>
      <c r="E161" s="275">
        <v>9</v>
      </c>
      <c r="F161" s="275">
        <v>9</v>
      </c>
      <c r="G161" s="275">
        <v>14872524.02</v>
      </c>
      <c r="H161" s="275">
        <v>1920536.1099999999</v>
      </c>
      <c r="I161" s="219">
        <v>414627</v>
      </c>
      <c r="J161" s="296">
        <v>1505909.1099999999</v>
      </c>
    </row>
    <row r="162" spans="2:10" hidden="1" outlineLevel="2" x14ac:dyDescent="0.35">
      <c r="B162" s="492"/>
      <c r="C162" s="485"/>
      <c r="D162" s="223" t="s">
        <v>78</v>
      </c>
      <c r="E162" s="275">
        <v>0</v>
      </c>
      <c r="F162" s="275">
        <v>0</v>
      </c>
      <c r="G162" s="275">
        <v>0</v>
      </c>
      <c r="H162" s="275">
        <v>0</v>
      </c>
      <c r="I162" s="219">
        <v>0</v>
      </c>
      <c r="J162" s="296">
        <v>0</v>
      </c>
    </row>
    <row r="163" spans="2:10" outlineLevel="1" collapsed="1" x14ac:dyDescent="0.35">
      <c r="B163" s="492"/>
      <c r="C163" s="485"/>
      <c r="D163" s="221" t="s">
        <v>77</v>
      </c>
      <c r="E163" s="275">
        <f t="shared" ref="E163:J163" si="22">SUM(E164:E185)</f>
        <v>95</v>
      </c>
      <c r="F163" s="275">
        <f t="shared" si="22"/>
        <v>83</v>
      </c>
      <c r="G163" s="275">
        <f t="shared" si="22"/>
        <v>153436590.93000004</v>
      </c>
      <c r="H163" s="275">
        <f t="shared" si="22"/>
        <v>42774444.989999995</v>
      </c>
      <c r="I163" s="219">
        <f t="shared" si="22"/>
        <v>29249759.809999999</v>
      </c>
      <c r="J163" s="296">
        <f t="shared" si="22"/>
        <v>12681974.93</v>
      </c>
    </row>
    <row r="164" spans="2:10" hidden="1" outlineLevel="2" x14ac:dyDescent="0.35">
      <c r="B164" s="492"/>
      <c r="C164" s="485"/>
      <c r="D164" s="222" t="s">
        <v>75</v>
      </c>
      <c r="E164" s="275">
        <v>5</v>
      </c>
      <c r="F164" s="275">
        <v>4</v>
      </c>
      <c r="G164" s="275">
        <v>7622398.2799999993</v>
      </c>
      <c r="H164" s="275">
        <v>2483566.14</v>
      </c>
      <c r="I164" s="219">
        <v>2051933.53</v>
      </c>
      <c r="J164" s="296">
        <v>431632.61</v>
      </c>
    </row>
    <row r="165" spans="2:10" hidden="1" outlineLevel="2" x14ac:dyDescent="0.35">
      <c r="B165" s="492"/>
      <c r="C165" s="485"/>
      <c r="D165" s="222" t="s">
        <v>74</v>
      </c>
      <c r="E165" s="275">
        <v>19</v>
      </c>
      <c r="F165" s="275">
        <v>9</v>
      </c>
      <c r="G165" s="275">
        <v>30683165.920000002</v>
      </c>
      <c r="H165" s="275">
        <v>9625898.3499999996</v>
      </c>
      <c r="I165" s="219">
        <v>6755328.9500000002</v>
      </c>
      <c r="J165" s="296">
        <v>2860082.0399999996</v>
      </c>
    </row>
    <row r="166" spans="2:10" hidden="1" outlineLevel="2" x14ac:dyDescent="0.35">
      <c r="B166" s="492"/>
      <c r="C166" s="485"/>
      <c r="D166" s="222" t="s">
        <v>73</v>
      </c>
      <c r="E166" s="275">
        <v>1</v>
      </c>
      <c r="F166" s="275">
        <v>1</v>
      </c>
      <c r="G166" s="275">
        <v>1840324.66</v>
      </c>
      <c r="H166" s="275">
        <v>736129.86</v>
      </c>
      <c r="I166" s="219">
        <v>368540</v>
      </c>
      <c r="J166" s="296">
        <v>367589.86</v>
      </c>
    </row>
    <row r="167" spans="2:10" hidden="1" outlineLevel="2" x14ac:dyDescent="0.35">
      <c r="B167" s="492"/>
      <c r="C167" s="485"/>
      <c r="D167" s="222" t="s">
        <v>72</v>
      </c>
      <c r="E167" s="275">
        <v>0</v>
      </c>
      <c r="F167" s="275">
        <v>0</v>
      </c>
      <c r="G167" s="275">
        <v>0</v>
      </c>
      <c r="H167" s="275">
        <v>0</v>
      </c>
      <c r="I167" s="219">
        <v>0</v>
      </c>
      <c r="J167" s="296">
        <v>0</v>
      </c>
    </row>
    <row r="168" spans="2:10" hidden="1" outlineLevel="2" x14ac:dyDescent="0.35">
      <c r="B168" s="492"/>
      <c r="C168" s="485"/>
      <c r="D168" s="222" t="s">
        <v>70</v>
      </c>
      <c r="E168" s="275">
        <v>8</v>
      </c>
      <c r="F168" s="275">
        <v>7</v>
      </c>
      <c r="G168" s="275">
        <v>12833941.760000002</v>
      </c>
      <c r="H168" s="275">
        <v>4340987.74</v>
      </c>
      <c r="I168" s="219">
        <v>3128907.09</v>
      </c>
      <c r="J168" s="296">
        <v>1209239.72</v>
      </c>
    </row>
    <row r="169" spans="2:10" hidden="1" outlineLevel="2" x14ac:dyDescent="0.35">
      <c r="B169" s="492"/>
      <c r="C169" s="485"/>
      <c r="D169" s="222" t="s">
        <v>69</v>
      </c>
      <c r="E169" s="275">
        <v>7</v>
      </c>
      <c r="F169" s="275">
        <v>7</v>
      </c>
      <c r="G169" s="275">
        <v>11428775.189999999</v>
      </c>
      <c r="H169" s="275">
        <v>3909220.6900000004</v>
      </c>
      <c r="I169" s="219">
        <v>2896567.1500000004</v>
      </c>
      <c r="J169" s="296">
        <v>862219.52</v>
      </c>
    </row>
    <row r="170" spans="2:10" hidden="1" outlineLevel="2" x14ac:dyDescent="0.35">
      <c r="B170" s="492"/>
      <c r="C170" s="485"/>
      <c r="D170" s="222" t="s">
        <v>68</v>
      </c>
      <c r="E170" s="275">
        <v>8</v>
      </c>
      <c r="F170" s="275">
        <v>8</v>
      </c>
      <c r="G170" s="275">
        <v>13298147.760000002</v>
      </c>
      <c r="H170" s="275">
        <v>5031775.33</v>
      </c>
      <c r="I170" s="219">
        <v>3753027.92</v>
      </c>
      <c r="J170" s="296">
        <v>1135832.29</v>
      </c>
    </row>
    <row r="171" spans="2:10" hidden="1" outlineLevel="2" x14ac:dyDescent="0.35">
      <c r="B171" s="492"/>
      <c r="C171" s="485"/>
      <c r="D171" s="222" t="s">
        <v>67</v>
      </c>
      <c r="E171" s="275">
        <v>0</v>
      </c>
      <c r="F171" s="275">
        <v>0</v>
      </c>
      <c r="G171" s="275">
        <v>0</v>
      </c>
      <c r="H171" s="275">
        <v>0</v>
      </c>
      <c r="I171" s="219">
        <v>0</v>
      </c>
      <c r="J171" s="296">
        <v>0</v>
      </c>
    </row>
    <row r="172" spans="2:10" hidden="1" outlineLevel="2" x14ac:dyDescent="0.35">
      <c r="B172" s="492"/>
      <c r="C172" s="485"/>
      <c r="D172" s="222" t="s">
        <v>65</v>
      </c>
      <c r="E172" s="275">
        <v>1</v>
      </c>
      <c r="F172" s="275">
        <v>1</v>
      </c>
      <c r="G172" s="275">
        <v>1553858.67</v>
      </c>
      <c r="H172" s="275">
        <v>310771.73</v>
      </c>
      <c r="I172" s="219">
        <v>260772</v>
      </c>
      <c r="J172" s="296">
        <v>49999.73</v>
      </c>
    </row>
    <row r="173" spans="2:10" hidden="1" outlineLevel="2" x14ac:dyDescent="0.35">
      <c r="B173" s="492"/>
      <c r="C173" s="485"/>
      <c r="D173" s="222" t="s">
        <v>64</v>
      </c>
      <c r="E173" s="275">
        <v>1</v>
      </c>
      <c r="F173" s="275">
        <v>1</v>
      </c>
      <c r="G173" s="275">
        <v>1308993.71</v>
      </c>
      <c r="H173" s="275">
        <v>392698.11</v>
      </c>
      <c r="I173" s="219">
        <v>261805.33</v>
      </c>
      <c r="J173" s="296">
        <v>130892.78</v>
      </c>
    </row>
    <row r="174" spans="2:10" hidden="1" outlineLevel="2" x14ac:dyDescent="0.35">
      <c r="B174" s="492"/>
      <c r="C174" s="485"/>
      <c r="D174" s="222" t="s">
        <v>63</v>
      </c>
      <c r="E174" s="275">
        <v>4</v>
      </c>
      <c r="F174" s="275">
        <v>4</v>
      </c>
      <c r="G174" s="275">
        <v>8262444.5899999999</v>
      </c>
      <c r="H174" s="275">
        <v>1864714.21</v>
      </c>
      <c r="I174" s="219">
        <v>1432594.0699999998</v>
      </c>
      <c r="J174" s="296">
        <v>359796.62</v>
      </c>
    </row>
    <row r="175" spans="2:10" hidden="1" outlineLevel="2" x14ac:dyDescent="0.35">
      <c r="B175" s="492"/>
      <c r="C175" s="485"/>
      <c r="D175" s="222" t="s">
        <v>62</v>
      </c>
      <c r="E175" s="275">
        <v>0</v>
      </c>
      <c r="F175" s="275">
        <v>0</v>
      </c>
      <c r="G175" s="275">
        <v>0</v>
      </c>
      <c r="H175" s="275">
        <v>0</v>
      </c>
      <c r="I175" s="219">
        <v>0</v>
      </c>
      <c r="J175" s="296">
        <v>0</v>
      </c>
    </row>
    <row r="176" spans="2:10" hidden="1" outlineLevel="2" x14ac:dyDescent="0.35">
      <c r="B176" s="492"/>
      <c r="C176" s="485"/>
      <c r="D176" s="222" t="s">
        <v>60</v>
      </c>
      <c r="E176" s="275">
        <v>2</v>
      </c>
      <c r="F176" s="275">
        <v>2</v>
      </c>
      <c r="G176" s="275">
        <v>2859626.71</v>
      </c>
      <c r="H176" s="275">
        <v>715682.77</v>
      </c>
      <c r="I176" s="219">
        <v>501274.25</v>
      </c>
      <c r="J176" s="296">
        <v>214408.52000000002</v>
      </c>
    </row>
    <row r="177" spans="2:10" hidden="1" outlineLevel="2" x14ac:dyDescent="0.35">
      <c r="B177" s="492"/>
      <c r="C177" s="485"/>
      <c r="D177" s="222" t="s">
        <v>59</v>
      </c>
      <c r="E177" s="275">
        <v>19</v>
      </c>
      <c r="F177" s="275">
        <v>19</v>
      </c>
      <c r="G177" s="275">
        <v>27936951</v>
      </c>
      <c r="H177" s="275">
        <v>6392846.54</v>
      </c>
      <c r="I177" s="219">
        <v>4001645.24</v>
      </c>
      <c r="J177" s="296">
        <v>2175389.54</v>
      </c>
    </row>
    <row r="178" spans="2:10" hidden="1" outlineLevel="2" x14ac:dyDescent="0.35">
      <c r="B178" s="492"/>
      <c r="C178" s="485"/>
      <c r="D178" s="222" t="s">
        <v>58</v>
      </c>
      <c r="E178" s="275">
        <v>4</v>
      </c>
      <c r="F178" s="275">
        <v>4</v>
      </c>
      <c r="G178" s="275">
        <v>5862804.5</v>
      </c>
      <c r="H178" s="275">
        <v>1172560.92</v>
      </c>
      <c r="I178" s="219">
        <v>586366.5</v>
      </c>
      <c r="J178" s="296">
        <v>586194.42000000004</v>
      </c>
    </row>
    <row r="179" spans="2:10" hidden="1" outlineLevel="2" x14ac:dyDescent="0.35">
      <c r="B179" s="492"/>
      <c r="C179" s="485"/>
      <c r="D179" s="222" t="s">
        <v>57</v>
      </c>
      <c r="E179" s="275">
        <v>0</v>
      </c>
      <c r="F179" s="275">
        <v>0</v>
      </c>
      <c r="G179" s="275">
        <v>0</v>
      </c>
      <c r="H179" s="275">
        <v>0</v>
      </c>
      <c r="I179" s="219">
        <v>0</v>
      </c>
      <c r="J179" s="296">
        <v>0</v>
      </c>
    </row>
    <row r="180" spans="2:10" hidden="1" outlineLevel="2" x14ac:dyDescent="0.35">
      <c r="B180" s="492"/>
      <c r="C180" s="485"/>
      <c r="D180" s="222" t="s">
        <v>55</v>
      </c>
      <c r="E180" s="275">
        <v>3</v>
      </c>
      <c r="F180" s="275">
        <v>3</v>
      </c>
      <c r="G180" s="275">
        <v>7502789.7100000009</v>
      </c>
      <c r="H180" s="275">
        <v>1500557.94</v>
      </c>
      <c r="I180" s="219">
        <v>750280</v>
      </c>
      <c r="J180" s="296">
        <v>750277.94</v>
      </c>
    </row>
    <row r="181" spans="2:10" hidden="1" outlineLevel="2" x14ac:dyDescent="0.35">
      <c r="B181" s="492"/>
      <c r="C181" s="485"/>
      <c r="D181" s="222" t="s">
        <v>54</v>
      </c>
      <c r="E181" s="275">
        <v>7</v>
      </c>
      <c r="F181" s="275">
        <v>7</v>
      </c>
      <c r="G181" s="275">
        <v>10800612.239999998</v>
      </c>
      <c r="H181" s="275">
        <v>2473063.7599999998</v>
      </c>
      <c r="I181" s="219">
        <v>1391441.29</v>
      </c>
      <c r="J181" s="296">
        <v>855233.37000000011</v>
      </c>
    </row>
    <row r="182" spans="2:10" hidden="1" outlineLevel="2" x14ac:dyDescent="0.35">
      <c r="B182" s="492"/>
      <c r="C182" s="485"/>
      <c r="D182" s="222" t="s">
        <v>53</v>
      </c>
      <c r="E182" s="275">
        <v>0</v>
      </c>
      <c r="F182" s="275">
        <v>0</v>
      </c>
      <c r="G182" s="275">
        <v>0</v>
      </c>
      <c r="H182" s="275">
        <v>0</v>
      </c>
      <c r="I182" s="219">
        <v>0</v>
      </c>
      <c r="J182" s="296">
        <v>0</v>
      </c>
    </row>
    <row r="183" spans="2:10" hidden="1" outlineLevel="2" x14ac:dyDescent="0.35">
      <c r="B183" s="492"/>
      <c r="C183" s="485"/>
      <c r="D183" s="222" t="s">
        <v>52</v>
      </c>
      <c r="E183" s="275">
        <v>0</v>
      </c>
      <c r="F183" s="275">
        <v>0</v>
      </c>
      <c r="G183" s="275">
        <v>0</v>
      </c>
      <c r="H183" s="275">
        <v>0</v>
      </c>
      <c r="I183" s="219">
        <v>0</v>
      </c>
      <c r="J183" s="296">
        <v>0</v>
      </c>
    </row>
    <row r="184" spans="2:10" hidden="1" outlineLevel="2" x14ac:dyDescent="0.35">
      <c r="B184" s="492"/>
      <c r="C184" s="485"/>
      <c r="D184" s="222" t="s">
        <v>50</v>
      </c>
      <c r="E184" s="275">
        <v>3</v>
      </c>
      <c r="F184" s="275">
        <v>3</v>
      </c>
      <c r="G184" s="275">
        <v>4633782.5199999996</v>
      </c>
      <c r="H184" s="275">
        <v>642877.21</v>
      </c>
      <c r="I184" s="219">
        <v>376572</v>
      </c>
      <c r="J184" s="296">
        <v>244796.77000000002</v>
      </c>
    </row>
    <row r="185" spans="2:10" hidden="1" outlineLevel="2" x14ac:dyDescent="0.35">
      <c r="B185" s="492"/>
      <c r="C185" s="485"/>
      <c r="D185" s="222" t="s">
        <v>49</v>
      </c>
      <c r="E185" s="275">
        <v>3</v>
      </c>
      <c r="F185" s="275">
        <v>3</v>
      </c>
      <c r="G185" s="275">
        <v>5007973.71</v>
      </c>
      <c r="H185" s="275">
        <v>1181093.69</v>
      </c>
      <c r="I185" s="219">
        <v>732704.49</v>
      </c>
      <c r="J185" s="296">
        <v>448389.2</v>
      </c>
    </row>
    <row r="186" spans="2:10" x14ac:dyDescent="0.35">
      <c r="B186" s="492"/>
      <c r="C186" s="485"/>
      <c r="D186" s="213" t="s">
        <v>243</v>
      </c>
      <c r="E186" s="295">
        <f t="shared" ref="E186:J186" si="23">SUM(E163,E128,E123)</f>
        <v>350</v>
      </c>
      <c r="F186" s="295">
        <f t="shared" si="23"/>
        <v>328</v>
      </c>
      <c r="G186" s="295">
        <f t="shared" si="23"/>
        <v>776501443.32999992</v>
      </c>
      <c r="H186" s="295">
        <f t="shared" si="23"/>
        <v>276054961.97000003</v>
      </c>
      <c r="I186" s="294">
        <f t="shared" si="23"/>
        <v>199327631.91</v>
      </c>
      <c r="J186" s="293">
        <f t="shared" si="23"/>
        <v>66386386.710000001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75">
        <f t="shared" ref="E187:J187" si="24">SUM(E188:E190)</f>
        <v>69</v>
      </c>
      <c r="F187" s="275">
        <f t="shared" si="24"/>
        <v>66</v>
      </c>
      <c r="G187" s="275">
        <f t="shared" si="24"/>
        <v>100174614.21000001</v>
      </c>
      <c r="H187" s="275">
        <f t="shared" si="24"/>
        <v>36005274.979999997</v>
      </c>
      <c r="I187" s="219">
        <f t="shared" si="24"/>
        <v>26912083.149999999</v>
      </c>
      <c r="J187" s="296">
        <f t="shared" si="24"/>
        <v>8826265.8999999985</v>
      </c>
    </row>
    <row r="188" spans="2:10" ht="15" hidden="1" customHeight="1" outlineLevel="2" x14ac:dyDescent="0.35">
      <c r="B188" s="492"/>
      <c r="C188" s="485"/>
      <c r="D188" s="222" t="s">
        <v>126</v>
      </c>
      <c r="E188" s="275">
        <v>24</v>
      </c>
      <c r="F188" s="275">
        <v>22</v>
      </c>
      <c r="G188" s="275">
        <v>32002568.210000001</v>
      </c>
      <c r="H188" s="275">
        <v>11315309.529999999</v>
      </c>
      <c r="I188" s="219">
        <v>8048527.8900000006</v>
      </c>
      <c r="J188" s="296">
        <v>2999855.7099999995</v>
      </c>
    </row>
    <row r="189" spans="2:10" ht="15" hidden="1" customHeight="1" outlineLevel="2" x14ac:dyDescent="0.35">
      <c r="B189" s="492"/>
      <c r="C189" s="485"/>
      <c r="D189" s="222" t="s">
        <v>125</v>
      </c>
      <c r="E189" s="275">
        <v>14</v>
      </c>
      <c r="F189" s="275">
        <v>14</v>
      </c>
      <c r="G189" s="275">
        <v>26533460.189999998</v>
      </c>
      <c r="H189" s="275">
        <v>8650722.6900000013</v>
      </c>
      <c r="I189" s="219">
        <v>6660000.6500000004</v>
      </c>
      <c r="J189" s="296">
        <v>1990722.04</v>
      </c>
    </row>
    <row r="190" spans="2:10" ht="15" hidden="1" customHeight="1" outlineLevel="2" x14ac:dyDescent="0.35">
      <c r="B190" s="492"/>
      <c r="C190" s="485"/>
      <c r="D190" s="222" t="s">
        <v>124</v>
      </c>
      <c r="E190" s="275">
        <v>31</v>
      </c>
      <c r="F190" s="275">
        <v>30</v>
      </c>
      <c r="G190" s="275">
        <v>41638585.81000001</v>
      </c>
      <c r="H190" s="275">
        <v>16039242.76</v>
      </c>
      <c r="I190" s="219">
        <v>12203554.609999999</v>
      </c>
      <c r="J190" s="296">
        <v>3835688.1499999994</v>
      </c>
    </row>
    <row r="191" spans="2:10" outlineLevel="1" collapsed="1" x14ac:dyDescent="0.35">
      <c r="B191" s="492"/>
      <c r="C191" s="485"/>
      <c r="D191" s="221" t="s">
        <v>46</v>
      </c>
      <c r="E191" s="275">
        <f t="shared" ref="E191:J191" si="25">SUM(E192:E195)</f>
        <v>8</v>
      </c>
      <c r="F191" s="275">
        <f t="shared" si="25"/>
        <v>8</v>
      </c>
      <c r="G191" s="275">
        <f t="shared" si="25"/>
        <v>10235880.48</v>
      </c>
      <c r="H191" s="275">
        <f t="shared" si="25"/>
        <v>2813903.44</v>
      </c>
      <c r="I191" s="219">
        <f t="shared" si="25"/>
        <v>1958534.15</v>
      </c>
      <c r="J191" s="296">
        <f t="shared" si="25"/>
        <v>855369.29</v>
      </c>
    </row>
    <row r="192" spans="2:10" ht="15" hidden="1" customHeight="1" outlineLevel="2" x14ac:dyDescent="0.35">
      <c r="B192" s="492"/>
      <c r="C192" s="485"/>
      <c r="D192" s="222" t="s">
        <v>45</v>
      </c>
      <c r="E192" s="275">
        <v>2</v>
      </c>
      <c r="F192" s="275">
        <v>2</v>
      </c>
      <c r="G192" s="275">
        <v>2477820.87</v>
      </c>
      <c r="H192" s="275">
        <v>681831.91999999993</v>
      </c>
      <c r="I192" s="219">
        <v>536583.15</v>
      </c>
      <c r="J192" s="296">
        <v>145248.76999999999</v>
      </c>
    </row>
    <row r="193" spans="2:10" ht="15" hidden="1" customHeight="1" outlineLevel="2" x14ac:dyDescent="0.35">
      <c r="B193" s="492"/>
      <c r="C193" s="485"/>
      <c r="D193" s="222" t="s">
        <v>44</v>
      </c>
      <c r="E193" s="275">
        <v>0</v>
      </c>
      <c r="F193" s="275">
        <v>0</v>
      </c>
      <c r="G193" s="275">
        <v>0</v>
      </c>
      <c r="H193" s="275">
        <v>0</v>
      </c>
      <c r="I193" s="219">
        <v>0</v>
      </c>
      <c r="J193" s="296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75">
        <v>4</v>
      </c>
      <c r="F194" s="275">
        <v>4</v>
      </c>
      <c r="G194" s="275">
        <v>5147775.38</v>
      </c>
      <c r="H194" s="275">
        <v>1544332.63</v>
      </c>
      <c r="I194" s="219">
        <v>1029556</v>
      </c>
      <c r="J194" s="296">
        <v>514776.63</v>
      </c>
    </row>
    <row r="195" spans="2:10" ht="15" hidden="1" customHeight="1" outlineLevel="2" x14ac:dyDescent="0.35">
      <c r="B195" s="492"/>
      <c r="C195" s="485"/>
      <c r="D195" s="222" t="s">
        <v>42</v>
      </c>
      <c r="E195" s="275">
        <v>2</v>
      </c>
      <c r="F195" s="275">
        <v>2</v>
      </c>
      <c r="G195" s="275">
        <v>2610284.23</v>
      </c>
      <c r="H195" s="275">
        <v>587738.89</v>
      </c>
      <c r="I195" s="219">
        <v>392395</v>
      </c>
      <c r="J195" s="296">
        <v>195343.89</v>
      </c>
    </row>
    <row r="196" spans="2:10" x14ac:dyDescent="0.35">
      <c r="B196" s="493"/>
      <c r="C196" s="494"/>
      <c r="D196" s="213" t="s">
        <v>239</v>
      </c>
      <c r="E196" s="295">
        <f t="shared" ref="E196:J196" si="26">SUM(E191,E187)</f>
        <v>77</v>
      </c>
      <c r="F196" s="295">
        <f t="shared" si="26"/>
        <v>74</v>
      </c>
      <c r="G196" s="295">
        <f t="shared" si="26"/>
        <v>110410494.69000001</v>
      </c>
      <c r="H196" s="295">
        <f t="shared" si="26"/>
        <v>38819178.419999994</v>
      </c>
      <c r="I196" s="294">
        <f t="shared" si="26"/>
        <v>28870617.299999997</v>
      </c>
      <c r="J196" s="293">
        <f t="shared" si="26"/>
        <v>9681635.1899999976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75">
        <f t="shared" ref="E197:J197" si="27">SUM(E198:E200)</f>
        <v>249</v>
      </c>
      <c r="F197" s="275">
        <f t="shared" si="27"/>
        <v>234</v>
      </c>
      <c r="G197" s="275">
        <f t="shared" si="27"/>
        <v>450073227.15999997</v>
      </c>
      <c r="H197" s="275">
        <f t="shared" si="27"/>
        <v>64834558.479999989</v>
      </c>
      <c r="I197" s="219">
        <f t="shared" si="27"/>
        <v>12609616.600000001</v>
      </c>
      <c r="J197" s="296">
        <f t="shared" si="27"/>
        <v>52224941.87999998</v>
      </c>
    </row>
    <row r="198" spans="2:10" ht="15" hidden="1" customHeight="1" outlineLevel="2" x14ac:dyDescent="0.35">
      <c r="B198" s="492"/>
      <c r="C198" s="485"/>
      <c r="D198" s="222" t="s">
        <v>31</v>
      </c>
      <c r="E198" s="275">
        <v>107</v>
      </c>
      <c r="F198" s="275">
        <v>104</v>
      </c>
      <c r="G198" s="275">
        <v>186325039.53000003</v>
      </c>
      <c r="H198" s="275">
        <v>28028580.019999996</v>
      </c>
      <c r="I198" s="219">
        <v>5368811.0499999998</v>
      </c>
      <c r="J198" s="296">
        <v>22659768.969999988</v>
      </c>
    </row>
    <row r="199" spans="2:10" ht="15" hidden="1" customHeight="1" outlineLevel="2" x14ac:dyDescent="0.35">
      <c r="B199" s="492"/>
      <c r="C199" s="485"/>
      <c r="D199" s="222" t="s">
        <v>30</v>
      </c>
      <c r="E199" s="275">
        <v>80</v>
      </c>
      <c r="F199" s="275">
        <v>76</v>
      </c>
      <c r="G199" s="275">
        <v>143743569.69999993</v>
      </c>
      <c r="H199" s="275">
        <v>21488440.449999996</v>
      </c>
      <c r="I199" s="219">
        <v>5041363.25</v>
      </c>
      <c r="J199" s="296">
        <v>16447077.199999992</v>
      </c>
    </row>
    <row r="200" spans="2:10" ht="15" hidden="1" customHeight="1" outlineLevel="2" x14ac:dyDescent="0.35">
      <c r="B200" s="492"/>
      <c r="C200" s="485"/>
      <c r="D200" s="222" t="s">
        <v>29</v>
      </c>
      <c r="E200" s="275">
        <v>62</v>
      </c>
      <c r="F200" s="275">
        <v>54</v>
      </c>
      <c r="G200" s="275">
        <v>120004617.92999998</v>
      </c>
      <c r="H200" s="275">
        <v>15317538.010000002</v>
      </c>
      <c r="I200" s="219">
        <v>2199442.2999999998</v>
      </c>
      <c r="J200" s="296">
        <v>13118095.710000001</v>
      </c>
    </row>
    <row r="201" spans="2:10" outlineLevel="1" collapsed="1" x14ac:dyDescent="0.35">
      <c r="B201" s="492"/>
      <c r="C201" s="485"/>
      <c r="D201" s="221" t="s">
        <v>28</v>
      </c>
      <c r="E201" s="275">
        <v>28</v>
      </c>
      <c r="F201" s="275">
        <v>26</v>
      </c>
      <c r="G201" s="275">
        <v>166079482.38000003</v>
      </c>
      <c r="H201" s="275">
        <v>23283216.669999998</v>
      </c>
      <c r="I201" s="219">
        <v>7123312.4000000004</v>
      </c>
      <c r="J201" s="296">
        <v>16159904.270000001</v>
      </c>
    </row>
    <row r="202" spans="2:10" outlineLevel="1" x14ac:dyDescent="0.35">
      <c r="B202" s="492"/>
      <c r="C202" s="485"/>
      <c r="D202" s="221" t="s">
        <v>27</v>
      </c>
      <c r="E202" s="275">
        <v>11</v>
      </c>
      <c r="F202" s="275">
        <v>11</v>
      </c>
      <c r="G202" s="275">
        <v>118164406.41000001</v>
      </c>
      <c r="H202" s="275">
        <v>14103095.559999999</v>
      </c>
      <c r="I202" s="219">
        <v>2482951</v>
      </c>
      <c r="J202" s="296">
        <v>11620144.559999999</v>
      </c>
    </row>
    <row r="203" spans="2:10" x14ac:dyDescent="0.35">
      <c r="B203" s="493"/>
      <c r="C203" s="494"/>
      <c r="D203" s="213" t="s">
        <v>236</v>
      </c>
      <c r="E203" s="295">
        <f t="shared" ref="E203:J203" si="28">SUM(E202,E201,E197)</f>
        <v>288</v>
      </c>
      <c r="F203" s="295">
        <f t="shared" si="28"/>
        <v>271</v>
      </c>
      <c r="G203" s="295">
        <f t="shared" si="28"/>
        <v>734317115.95000005</v>
      </c>
      <c r="H203" s="295">
        <f t="shared" si="28"/>
        <v>102220870.70999998</v>
      </c>
      <c r="I203" s="294">
        <f t="shared" si="28"/>
        <v>22215880</v>
      </c>
      <c r="J203" s="293">
        <f t="shared" si="28"/>
        <v>80004990.709999979</v>
      </c>
    </row>
    <row r="204" spans="2:10" ht="15" thickBot="1" x14ac:dyDescent="0.4">
      <c r="B204" s="495" t="s">
        <v>235</v>
      </c>
      <c r="C204" s="496"/>
      <c r="D204" s="206" t="s">
        <v>15</v>
      </c>
      <c r="E204" s="292">
        <f t="shared" ref="E204:J204" si="29">SUM(E203,E186,E121,E108,E75,E41,E116,E196)</f>
        <v>1891</v>
      </c>
      <c r="F204" s="292">
        <f t="shared" si="29"/>
        <v>1763</v>
      </c>
      <c r="G204" s="292">
        <f t="shared" si="29"/>
        <v>5389208216.8899994</v>
      </c>
      <c r="H204" s="292">
        <f t="shared" si="29"/>
        <v>2011162234.6500003</v>
      </c>
      <c r="I204" s="292">
        <f t="shared" si="29"/>
        <v>1433578540.6099999</v>
      </c>
      <c r="J204" s="291">
        <f t="shared" si="29"/>
        <v>489141609.78999996</v>
      </c>
    </row>
    <row r="205" spans="2:10" x14ac:dyDescent="0.35">
      <c r="J205" s="290"/>
    </row>
    <row r="206" spans="2:10" x14ac:dyDescent="0.35">
      <c r="J206" s="289"/>
    </row>
    <row r="221" spans="10:10" x14ac:dyDescent="0.35">
      <c r="J221" s="289"/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J5:J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80" orientation="landscape" r:id="rId1"/>
  <headerFooter alignWithMargins="0">
    <oddHeader>&amp;LSOBHA LLC&amp;C&amp;"Tahoma,Regular"&amp;14
OVERDUE AGEING_ overdue broken up into respective age buckets_0-30 Days&amp;R&amp;D</oddHeader>
    <oddFooter>&amp;LCOLLECTIONS&amp;R&amp;P/&amp;N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8C54-6A2D-4164-A3D6-A36A91DA04FE}">
  <sheetPr>
    <pageSetUpPr fitToPage="1"/>
  </sheetPr>
  <dimension ref="A1:BC205"/>
  <sheetViews>
    <sheetView view="pageBreakPreview" topLeftCell="A48" zoomScale="60" zoomScaleNormal="100" workbookViewId="0"/>
  </sheetViews>
  <sheetFormatPr defaultRowHeight="14.5" outlineLevelRow="2" x14ac:dyDescent="0.35"/>
  <cols>
    <col min="2" max="2" width="28.26953125" bestFit="1" customWidth="1"/>
    <col min="3" max="3" width="3.26953125" bestFit="1" customWidth="1"/>
    <col min="4" max="4" width="41.26953125" bestFit="1" customWidth="1"/>
    <col min="5" max="5" width="16.26953125" customWidth="1"/>
    <col min="6" max="6" width="23.7265625" bestFit="1" customWidth="1"/>
    <col min="7" max="8" width="20" bestFit="1" customWidth="1"/>
    <col min="9" max="9" width="20.81640625" bestFit="1" customWidth="1"/>
    <col min="10" max="10" width="28.7265625" style="6" bestFit="1" customWidth="1"/>
    <col min="11" max="11" width="6.453125" bestFit="1" customWidth="1"/>
    <col min="12" max="12" width="5.7265625" bestFit="1" customWidth="1"/>
    <col min="13" max="13" width="16" bestFit="1" customWidth="1"/>
  </cols>
  <sheetData>
    <row r="1" spans="1:13" x14ac:dyDescent="0.35">
      <c r="A1" s="319"/>
      <c r="B1" s="318"/>
      <c r="C1" s="318"/>
      <c r="D1" s="318"/>
      <c r="E1" s="318"/>
      <c r="F1" s="318"/>
      <c r="G1" s="318"/>
      <c r="H1" s="318"/>
      <c r="I1" s="318"/>
      <c r="J1" s="317"/>
      <c r="M1" s="290">
        <v>433015178.84000003</v>
      </c>
    </row>
    <row r="2" spans="1:13" x14ac:dyDescent="0.35">
      <c r="A2" s="302"/>
      <c r="J2" s="316"/>
    </row>
    <row r="3" spans="1:13" x14ac:dyDescent="0.35">
      <c r="A3" s="302"/>
      <c r="B3" s="288">
        <v>46143</v>
      </c>
      <c r="J3" s="316"/>
    </row>
    <row r="4" spans="1:13" ht="15" thickBot="1" x14ac:dyDescent="0.4">
      <c r="A4" s="302"/>
      <c r="J4" s="316"/>
    </row>
    <row r="5" spans="1:13" x14ac:dyDescent="0.35">
      <c r="A5" s="302"/>
      <c r="B5" s="466" t="s">
        <v>276</v>
      </c>
      <c r="C5" s="467"/>
      <c r="D5" s="470" t="s">
        <v>275</v>
      </c>
      <c r="E5" s="472" t="s">
        <v>281</v>
      </c>
      <c r="F5" s="498" t="s">
        <v>280</v>
      </c>
      <c r="G5" s="472" t="s">
        <v>274</v>
      </c>
      <c r="H5" s="474" t="s">
        <v>273</v>
      </c>
      <c r="I5" s="307" t="s">
        <v>272</v>
      </c>
      <c r="J5" s="508" t="s">
        <v>282</v>
      </c>
    </row>
    <row r="6" spans="1:13" ht="28" x14ac:dyDescent="0.35">
      <c r="A6" s="302"/>
      <c r="B6" s="468"/>
      <c r="C6" s="469"/>
      <c r="D6" s="471"/>
      <c r="E6" s="473"/>
      <c r="F6" s="499"/>
      <c r="G6" s="473"/>
      <c r="H6" s="475"/>
      <c r="I6" s="306" t="s">
        <v>278</v>
      </c>
      <c r="J6" s="509"/>
    </row>
    <row r="7" spans="1:13" x14ac:dyDescent="0.35">
      <c r="A7" s="302"/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15"/>
    </row>
    <row r="8" spans="1:13" outlineLevel="1" x14ac:dyDescent="0.35">
      <c r="A8" s="302"/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15">
        <f t="shared" si="0"/>
        <v>0</v>
      </c>
      <c r="K8" t="s">
        <v>277</v>
      </c>
      <c r="L8">
        <v>1500</v>
      </c>
    </row>
    <row r="9" spans="1:13" hidden="1" outlineLevel="2" x14ac:dyDescent="0.35">
      <c r="A9" s="302"/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15">
        <v>0</v>
      </c>
    </row>
    <row r="10" spans="1:13" hidden="1" outlineLevel="2" x14ac:dyDescent="0.35">
      <c r="A10" s="302"/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15">
        <v>0</v>
      </c>
    </row>
    <row r="11" spans="1:13" hidden="1" outlineLevel="2" x14ac:dyDescent="0.35">
      <c r="A11" s="302"/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15">
        <v>0</v>
      </c>
    </row>
    <row r="12" spans="1:13" hidden="1" outlineLevel="2" x14ac:dyDescent="0.35">
      <c r="A12" s="302"/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15">
        <v>0</v>
      </c>
    </row>
    <row r="13" spans="1:13" hidden="1" outlineLevel="2" x14ac:dyDescent="0.35">
      <c r="A13" s="302"/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15">
        <v>0</v>
      </c>
    </row>
    <row r="14" spans="1:13" hidden="1" outlineLevel="2" x14ac:dyDescent="0.35">
      <c r="A14" s="302"/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15">
        <v>0</v>
      </c>
    </row>
    <row r="15" spans="1:13" outlineLevel="1" collapsed="1" x14ac:dyDescent="0.35">
      <c r="A15" s="302"/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15">
        <v>0</v>
      </c>
    </row>
    <row r="16" spans="1:13" outlineLevel="1" x14ac:dyDescent="0.35">
      <c r="A16" s="302"/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15">
        <f t="shared" si="1"/>
        <v>0</v>
      </c>
    </row>
    <row r="17" spans="1:10" hidden="1" outlineLevel="2" x14ac:dyDescent="0.35">
      <c r="A17" s="302"/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15">
        <v>0</v>
      </c>
    </row>
    <row r="18" spans="1:10" hidden="1" outlineLevel="2" x14ac:dyDescent="0.35">
      <c r="A18" s="302"/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15">
        <v>0</v>
      </c>
    </row>
    <row r="19" spans="1:10" hidden="1" outlineLevel="2" x14ac:dyDescent="0.35">
      <c r="A19" s="302"/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15">
        <v>0</v>
      </c>
    </row>
    <row r="20" spans="1:10" hidden="1" outlineLevel="2" x14ac:dyDescent="0.35">
      <c r="A20" s="302"/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15">
        <v>0</v>
      </c>
    </row>
    <row r="21" spans="1:10" hidden="1" outlineLevel="2" x14ac:dyDescent="0.35">
      <c r="A21" s="302"/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15">
        <v>0</v>
      </c>
    </row>
    <row r="22" spans="1:10" outlineLevel="1" collapsed="1" x14ac:dyDescent="0.35">
      <c r="A22" s="302"/>
      <c r="B22" s="503"/>
      <c r="C22" s="506"/>
      <c r="D22" s="236" t="s">
        <v>205</v>
      </c>
      <c r="E22" s="219">
        <f t="shared" ref="E22:J22" si="2">SUM(E23:E26)</f>
        <v>1</v>
      </c>
      <c r="F22" s="219">
        <f t="shared" si="2"/>
        <v>1</v>
      </c>
      <c r="G22" s="219">
        <f t="shared" si="2"/>
        <v>913490</v>
      </c>
      <c r="H22" s="219">
        <f t="shared" si="2"/>
        <v>274047</v>
      </c>
      <c r="I22" s="219">
        <f t="shared" si="2"/>
        <v>94507.4</v>
      </c>
      <c r="J22" s="315">
        <f t="shared" si="2"/>
        <v>91349</v>
      </c>
    </row>
    <row r="23" spans="1:10" hidden="1" outlineLevel="2" x14ac:dyDescent="0.35">
      <c r="A23" s="302"/>
      <c r="B23" s="503"/>
      <c r="C23" s="506"/>
      <c r="D23" s="242" t="s">
        <v>9</v>
      </c>
      <c r="E23" s="219">
        <v>1</v>
      </c>
      <c r="F23" s="219">
        <v>1</v>
      </c>
      <c r="G23" s="219">
        <v>913490</v>
      </c>
      <c r="H23" s="219">
        <v>274047</v>
      </c>
      <c r="I23" s="219">
        <v>94507.4</v>
      </c>
      <c r="J23" s="311">
        <v>91349</v>
      </c>
    </row>
    <row r="24" spans="1:10" hidden="1" outlineLevel="2" x14ac:dyDescent="0.35">
      <c r="A24" s="302"/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11">
        <v>0</v>
      </c>
    </row>
    <row r="25" spans="1:10" hidden="1" outlineLevel="2" x14ac:dyDescent="0.35">
      <c r="A25" s="302"/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11">
        <v>0</v>
      </c>
    </row>
    <row r="26" spans="1:10" hidden="1" outlineLevel="2" x14ac:dyDescent="0.35">
      <c r="A26" s="302"/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11">
        <v>0</v>
      </c>
    </row>
    <row r="27" spans="1:10" outlineLevel="1" collapsed="1" x14ac:dyDescent="0.35">
      <c r="A27" s="302"/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11">
        <v>0</v>
      </c>
    </row>
    <row r="28" spans="1:10" outlineLevel="1" x14ac:dyDescent="0.35">
      <c r="A28" s="302"/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11">
        <v>0</v>
      </c>
    </row>
    <row r="29" spans="1:10" outlineLevel="1" x14ac:dyDescent="0.35">
      <c r="A29" s="302"/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11">
        <f t="shared" si="3"/>
        <v>0</v>
      </c>
    </row>
    <row r="30" spans="1:10" hidden="1" outlineLevel="2" x14ac:dyDescent="0.35">
      <c r="A30" s="302"/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11">
        <v>0</v>
      </c>
    </row>
    <row r="31" spans="1:10" hidden="1" outlineLevel="2" x14ac:dyDescent="0.35">
      <c r="A31" s="302"/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11">
        <v>0</v>
      </c>
    </row>
    <row r="32" spans="1:10" hidden="1" outlineLevel="2" x14ac:dyDescent="0.35">
      <c r="A32" s="302"/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11">
        <v>0</v>
      </c>
    </row>
    <row r="33" spans="1:10" outlineLevel="1" collapsed="1" x14ac:dyDescent="0.35">
      <c r="A33" s="302"/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11">
        <v>0</v>
      </c>
    </row>
    <row r="34" spans="1:10" outlineLevel="1" x14ac:dyDescent="0.35">
      <c r="A34" s="302"/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11">
        <f t="shared" si="4"/>
        <v>0</v>
      </c>
    </row>
    <row r="35" spans="1:10" hidden="1" outlineLevel="2" x14ac:dyDescent="0.35">
      <c r="A35" s="302"/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11">
        <v>0</v>
      </c>
    </row>
    <row r="36" spans="1:10" hidden="1" outlineLevel="2" x14ac:dyDescent="0.35">
      <c r="A36" s="302"/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11">
        <v>0</v>
      </c>
    </row>
    <row r="37" spans="1:10" hidden="1" outlineLevel="2" x14ac:dyDescent="0.35">
      <c r="A37" s="302"/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11">
        <v>0</v>
      </c>
    </row>
    <row r="38" spans="1:10" hidden="1" outlineLevel="2" x14ac:dyDescent="0.35">
      <c r="A38" s="302"/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11">
        <v>0</v>
      </c>
    </row>
    <row r="39" spans="1:10" hidden="1" outlineLevel="2" x14ac:dyDescent="0.35">
      <c r="A39" s="302"/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11">
        <v>0</v>
      </c>
    </row>
    <row r="40" spans="1:10" outlineLevel="1" collapsed="1" x14ac:dyDescent="0.35">
      <c r="A40" s="302"/>
      <c r="B40" s="503"/>
      <c r="C40" s="506"/>
      <c r="D40" s="263" t="s">
        <v>17</v>
      </c>
      <c r="E40" s="219">
        <v>1</v>
      </c>
      <c r="F40" s="219">
        <v>1</v>
      </c>
      <c r="G40" s="219">
        <v>99865419.079999998</v>
      </c>
      <c r="H40" s="219">
        <v>99865419.090000004</v>
      </c>
      <c r="I40" s="219">
        <v>10000115.82</v>
      </c>
      <c r="J40" s="311">
        <v>34952896.68</v>
      </c>
    </row>
    <row r="41" spans="1:10" x14ac:dyDescent="0.35">
      <c r="A41" s="302"/>
      <c r="B41" s="504"/>
      <c r="C41" s="507"/>
      <c r="D41" s="213" t="s">
        <v>259</v>
      </c>
      <c r="E41" s="295">
        <f t="shared" ref="E41:J41" si="5">SUM(E8,E15:E16,E27:E29,E22,E33:E34,E40)</f>
        <v>2</v>
      </c>
      <c r="F41" s="295">
        <f t="shared" si="5"/>
        <v>2</v>
      </c>
      <c r="G41" s="295">
        <f t="shared" si="5"/>
        <v>100778909.08</v>
      </c>
      <c r="H41" s="295">
        <f t="shared" si="5"/>
        <v>100139466.09</v>
      </c>
      <c r="I41" s="294">
        <f t="shared" si="5"/>
        <v>10094623.220000001</v>
      </c>
      <c r="J41" s="310">
        <f t="shared" si="5"/>
        <v>35044245.68</v>
      </c>
    </row>
    <row r="42" spans="1:10" outlineLevel="1" x14ac:dyDescent="0.35">
      <c r="A42" s="302"/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14"/>
    </row>
    <row r="43" spans="1:10" outlineLevel="1" x14ac:dyDescent="0.35">
      <c r="A43" s="302"/>
      <c r="B43" s="487"/>
      <c r="C43" s="490"/>
      <c r="D43" s="236" t="s">
        <v>203</v>
      </c>
      <c r="E43" s="219">
        <f t="shared" ref="E43:J43" si="6">SUM(E44:E47)</f>
        <v>183</v>
      </c>
      <c r="F43" s="219">
        <f t="shared" si="6"/>
        <v>164</v>
      </c>
      <c r="G43" s="219">
        <f t="shared" si="6"/>
        <v>516917061.12</v>
      </c>
      <c r="H43" s="219">
        <f t="shared" si="6"/>
        <v>411083763.66999996</v>
      </c>
      <c r="I43" s="219">
        <f t="shared" si="6"/>
        <v>300159667.96999997</v>
      </c>
      <c r="J43" s="311">
        <f t="shared" si="6"/>
        <v>104722916.73000002</v>
      </c>
    </row>
    <row r="44" spans="1:10" hidden="1" outlineLevel="2" x14ac:dyDescent="0.35">
      <c r="A44" s="302"/>
      <c r="B44" s="487"/>
      <c r="C44" s="490"/>
      <c r="D44" s="262" t="s">
        <v>202</v>
      </c>
      <c r="E44" s="219">
        <v>65</v>
      </c>
      <c r="F44" s="219">
        <v>53</v>
      </c>
      <c r="G44" s="219">
        <v>200263022.28000003</v>
      </c>
      <c r="H44" s="219">
        <v>157035059.58999994</v>
      </c>
      <c r="I44" s="219">
        <v>112323651.72000001</v>
      </c>
      <c r="J44" s="311">
        <v>40345469.990000024</v>
      </c>
    </row>
    <row r="45" spans="1:10" hidden="1" outlineLevel="2" x14ac:dyDescent="0.35">
      <c r="A45" s="302"/>
      <c r="B45" s="487"/>
      <c r="C45" s="490"/>
      <c r="D45" s="242" t="s">
        <v>201</v>
      </c>
      <c r="E45" s="219">
        <v>61</v>
      </c>
      <c r="F45" s="219">
        <v>57</v>
      </c>
      <c r="G45" s="219">
        <v>132500298.72</v>
      </c>
      <c r="H45" s="219">
        <v>99417759.679999992</v>
      </c>
      <c r="I45" s="219">
        <v>78210791.979999989</v>
      </c>
      <c r="J45" s="311">
        <v>21007525.649999999</v>
      </c>
    </row>
    <row r="46" spans="1:10" hidden="1" outlineLevel="2" x14ac:dyDescent="0.35">
      <c r="A46" s="302"/>
      <c r="B46" s="487"/>
      <c r="C46" s="490"/>
      <c r="D46" s="242" t="s">
        <v>200</v>
      </c>
      <c r="E46" s="219">
        <v>55</v>
      </c>
      <c r="F46" s="219">
        <v>52</v>
      </c>
      <c r="G46" s="219">
        <v>180221422.12</v>
      </c>
      <c r="H46" s="219">
        <v>150502010.50000003</v>
      </c>
      <c r="I46" s="219">
        <v>106487483.75999999</v>
      </c>
      <c r="J46" s="311">
        <v>42378727.699999996</v>
      </c>
    </row>
    <row r="47" spans="1:10" hidden="1" outlineLevel="2" x14ac:dyDescent="0.35">
      <c r="A47" s="302"/>
      <c r="B47" s="487"/>
      <c r="C47" s="490"/>
      <c r="D47" s="242" t="s">
        <v>199</v>
      </c>
      <c r="E47" s="219">
        <v>2</v>
      </c>
      <c r="F47" s="219">
        <v>2</v>
      </c>
      <c r="G47" s="219">
        <v>3932318</v>
      </c>
      <c r="H47" s="219">
        <v>4128933.9000000004</v>
      </c>
      <c r="I47" s="219">
        <v>3137740.51</v>
      </c>
      <c r="J47" s="311">
        <v>991193.39</v>
      </c>
    </row>
    <row r="48" spans="1:10" outlineLevel="1" collapsed="1" x14ac:dyDescent="0.35">
      <c r="A48" s="302"/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11">
        <v>0</v>
      </c>
    </row>
    <row r="49" spans="1:10" outlineLevel="1" x14ac:dyDescent="0.35">
      <c r="A49" s="302"/>
      <c r="B49" s="487"/>
      <c r="C49" s="490"/>
      <c r="D49" s="236" t="s">
        <v>189</v>
      </c>
      <c r="E49" s="219">
        <v>24</v>
      </c>
      <c r="F49" s="219">
        <v>24</v>
      </c>
      <c r="G49" s="219">
        <v>64712752.589999996</v>
      </c>
      <c r="H49" s="219">
        <v>32008141.189999998</v>
      </c>
      <c r="I49" s="219">
        <v>24822662.48</v>
      </c>
      <c r="J49" s="311">
        <v>5746872.7399999984</v>
      </c>
    </row>
    <row r="50" spans="1:10" outlineLevel="1" x14ac:dyDescent="0.35">
      <c r="A50" s="302"/>
      <c r="B50" s="487"/>
      <c r="C50" s="490"/>
      <c r="D50" s="263" t="s">
        <v>179</v>
      </c>
      <c r="E50" s="219">
        <v>22</v>
      </c>
      <c r="F50" s="219">
        <v>22</v>
      </c>
      <c r="G50" s="219">
        <v>201978758.69</v>
      </c>
      <c r="H50" s="219">
        <v>126612377.13000001</v>
      </c>
      <c r="I50" s="219">
        <v>87666599.479999989</v>
      </c>
      <c r="J50" s="311">
        <v>19094257.779999997</v>
      </c>
    </row>
    <row r="51" spans="1:10" outlineLevel="1" x14ac:dyDescent="0.35">
      <c r="A51" s="302"/>
      <c r="B51" s="487"/>
      <c r="C51" s="490"/>
      <c r="D51" s="263" t="s">
        <v>188</v>
      </c>
      <c r="E51" s="219">
        <f t="shared" ref="E51:J51" si="7">SUM(E52:E55)</f>
        <v>7</v>
      </c>
      <c r="F51" s="219">
        <f t="shared" si="7"/>
        <v>3</v>
      </c>
      <c r="G51" s="219">
        <f t="shared" si="7"/>
        <v>185588610</v>
      </c>
      <c r="H51" s="219">
        <f t="shared" si="7"/>
        <v>61074876.600000001</v>
      </c>
      <c r="I51" s="219">
        <f t="shared" si="7"/>
        <v>0</v>
      </c>
      <c r="J51" s="311">
        <f t="shared" si="7"/>
        <v>15591911.4</v>
      </c>
    </row>
    <row r="52" spans="1:10" hidden="1" outlineLevel="2" x14ac:dyDescent="0.35">
      <c r="A52" s="302"/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11">
        <v>0</v>
      </c>
    </row>
    <row r="53" spans="1:10" hidden="1" outlineLevel="2" x14ac:dyDescent="0.35">
      <c r="A53" s="302"/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11">
        <v>0</v>
      </c>
    </row>
    <row r="54" spans="1:10" hidden="1" outlineLevel="2" x14ac:dyDescent="0.35">
      <c r="A54" s="302"/>
      <c r="B54" s="487"/>
      <c r="C54" s="490"/>
      <c r="D54" s="262" t="s">
        <v>182</v>
      </c>
      <c r="E54" s="219">
        <v>7</v>
      </c>
      <c r="F54" s="219">
        <v>3</v>
      </c>
      <c r="G54" s="219">
        <v>185588610</v>
      </c>
      <c r="H54" s="219">
        <v>61074876.600000001</v>
      </c>
      <c r="I54" s="219">
        <v>0</v>
      </c>
      <c r="J54" s="311">
        <v>15591911.4</v>
      </c>
    </row>
    <row r="55" spans="1:10" hidden="1" outlineLevel="2" x14ac:dyDescent="0.35">
      <c r="A55" s="302"/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11">
        <v>0</v>
      </c>
    </row>
    <row r="56" spans="1:10" outlineLevel="1" collapsed="1" x14ac:dyDescent="0.35">
      <c r="A56" s="302"/>
      <c r="B56" s="487"/>
      <c r="C56" s="490"/>
      <c r="D56" s="246" t="s">
        <v>170</v>
      </c>
      <c r="E56" s="219">
        <f t="shared" ref="E56:J56" si="8">SUM(E57:E62)</f>
        <v>233</v>
      </c>
      <c r="F56" s="219">
        <f t="shared" si="8"/>
        <v>215</v>
      </c>
      <c r="G56" s="219">
        <f t="shared" si="8"/>
        <v>520581587.02999997</v>
      </c>
      <c r="H56" s="219">
        <f t="shared" si="8"/>
        <v>272200734.01999998</v>
      </c>
      <c r="I56" s="219">
        <f t="shared" si="8"/>
        <v>217306601.59</v>
      </c>
      <c r="J56" s="311">
        <f t="shared" si="8"/>
        <v>37167085.310000002</v>
      </c>
    </row>
    <row r="57" spans="1:10" hidden="1" outlineLevel="2" x14ac:dyDescent="0.35">
      <c r="A57" s="302"/>
      <c r="B57" s="487"/>
      <c r="C57" s="490"/>
      <c r="D57" s="242" t="s">
        <v>169</v>
      </c>
      <c r="E57" s="219">
        <v>49</v>
      </c>
      <c r="F57" s="219">
        <v>49</v>
      </c>
      <c r="G57" s="219">
        <v>109097238.12000003</v>
      </c>
      <c r="H57" s="219">
        <v>63251978.280000024</v>
      </c>
      <c r="I57" s="219">
        <v>52341992.11999999</v>
      </c>
      <c r="J57" s="311">
        <v>8197763.0799999982</v>
      </c>
    </row>
    <row r="58" spans="1:10" hidden="1" outlineLevel="2" x14ac:dyDescent="0.35">
      <c r="A58" s="302"/>
      <c r="B58" s="487"/>
      <c r="C58" s="490"/>
      <c r="D58" s="242" t="s">
        <v>168</v>
      </c>
      <c r="E58" s="219">
        <v>31</v>
      </c>
      <c r="F58" s="219">
        <v>28</v>
      </c>
      <c r="G58" s="219">
        <v>75762783</v>
      </c>
      <c r="H58" s="219">
        <v>43538603.059999995</v>
      </c>
      <c r="I58" s="219">
        <v>39482592.719999999</v>
      </c>
      <c r="J58" s="311">
        <v>3160011.72</v>
      </c>
    </row>
    <row r="59" spans="1:10" hidden="1" outlineLevel="2" x14ac:dyDescent="0.35">
      <c r="A59" s="302"/>
      <c r="B59" s="487"/>
      <c r="C59" s="490"/>
      <c r="D59" s="242" t="s">
        <v>167</v>
      </c>
      <c r="E59" s="219">
        <v>13</v>
      </c>
      <c r="F59" s="219">
        <v>13</v>
      </c>
      <c r="G59" s="219">
        <v>21920377.75</v>
      </c>
      <c r="H59" s="219">
        <v>10421205.589999998</v>
      </c>
      <c r="I59" s="219">
        <v>8561368.8800000008</v>
      </c>
      <c r="J59" s="311">
        <v>1542397.76</v>
      </c>
    </row>
    <row r="60" spans="1:10" hidden="1" outlineLevel="2" x14ac:dyDescent="0.35">
      <c r="A60" s="302"/>
      <c r="B60" s="487"/>
      <c r="C60" s="490"/>
      <c r="D60" s="242" t="s">
        <v>166</v>
      </c>
      <c r="E60" s="219">
        <v>68</v>
      </c>
      <c r="F60" s="219">
        <v>54</v>
      </c>
      <c r="G60" s="219">
        <v>132751366.00999999</v>
      </c>
      <c r="H60" s="219">
        <v>72822709.379999995</v>
      </c>
      <c r="I60" s="219">
        <v>51459797.139999993</v>
      </c>
      <c r="J60" s="311">
        <v>12052193.690000003</v>
      </c>
    </row>
    <row r="61" spans="1:10" hidden="1" outlineLevel="2" x14ac:dyDescent="0.35">
      <c r="A61" s="302"/>
      <c r="B61" s="487"/>
      <c r="C61" s="490"/>
      <c r="D61" s="261" t="s">
        <v>165</v>
      </c>
      <c r="E61" s="219">
        <v>32</v>
      </c>
      <c r="F61" s="219">
        <v>32</v>
      </c>
      <c r="G61" s="219">
        <v>72470122.459999993</v>
      </c>
      <c r="H61" s="219">
        <v>38261597.690000013</v>
      </c>
      <c r="I61" s="219">
        <v>32949293.810000002</v>
      </c>
      <c r="J61" s="311">
        <v>4061897.1400000006</v>
      </c>
    </row>
    <row r="62" spans="1:10" hidden="1" outlineLevel="2" x14ac:dyDescent="0.35">
      <c r="A62" s="302"/>
      <c r="B62" s="487"/>
      <c r="C62" s="490"/>
      <c r="D62" s="261" t="s">
        <v>164</v>
      </c>
      <c r="E62" s="219">
        <v>40</v>
      </c>
      <c r="F62" s="219">
        <v>39</v>
      </c>
      <c r="G62" s="219">
        <v>108579699.69</v>
      </c>
      <c r="H62" s="219">
        <v>43904640.019999996</v>
      </c>
      <c r="I62" s="219">
        <v>32511556.920000006</v>
      </c>
      <c r="J62" s="311">
        <v>8152821.919999999</v>
      </c>
    </row>
    <row r="63" spans="1:10" outlineLevel="1" collapsed="1" x14ac:dyDescent="0.35">
      <c r="A63" s="302"/>
      <c r="B63" s="487"/>
      <c r="C63" s="490"/>
      <c r="D63" s="246" t="s">
        <v>256</v>
      </c>
      <c r="E63" s="219">
        <f t="shared" ref="E63:J63" si="9">SUM(E64:E66)</f>
        <v>5</v>
      </c>
      <c r="F63" s="219">
        <f t="shared" si="9"/>
        <v>5</v>
      </c>
      <c r="G63" s="219">
        <f t="shared" si="9"/>
        <v>10153388.779999999</v>
      </c>
      <c r="H63" s="219">
        <f t="shared" si="9"/>
        <v>5538101.2799999993</v>
      </c>
      <c r="I63" s="219">
        <f t="shared" si="9"/>
        <v>2163629</v>
      </c>
      <c r="J63" s="311">
        <f t="shared" si="9"/>
        <v>2475460.48</v>
      </c>
    </row>
    <row r="64" spans="1:10" hidden="1" outlineLevel="2" x14ac:dyDescent="0.35">
      <c r="A64" s="302"/>
      <c r="B64" s="487"/>
      <c r="C64" s="490"/>
      <c r="D64" s="260" t="s">
        <v>196</v>
      </c>
      <c r="E64" s="219">
        <v>1</v>
      </c>
      <c r="F64" s="219">
        <v>1</v>
      </c>
      <c r="G64" s="219">
        <v>1524030.78</v>
      </c>
      <c r="H64" s="219">
        <v>914418.48</v>
      </c>
      <c r="I64" s="219">
        <v>762014</v>
      </c>
      <c r="J64" s="311">
        <v>152403.07999999999</v>
      </c>
    </row>
    <row r="65" spans="1:55" hidden="1" outlineLevel="2" x14ac:dyDescent="0.35">
      <c r="A65" s="302"/>
      <c r="B65" s="487"/>
      <c r="C65" s="490"/>
      <c r="D65" s="260" t="s">
        <v>195</v>
      </c>
      <c r="E65" s="219">
        <v>4</v>
      </c>
      <c r="F65" s="219">
        <v>4</v>
      </c>
      <c r="G65" s="219">
        <v>8629358</v>
      </c>
      <c r="H65" s="219">
        <v>4623682.8</v>
      </c>
      <c r="I65" s="219">
        <v>1401615</v>
      </c>
      <c r="J65" s="311">
        <v>2323057.4</v>
      </c>
    </row>
    <row r="66" spans="1:55" hidden="1" outlineLevel="2" x14ac:dyDescent="0.35">
      <c r="A66" s="302"/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11">
        <v>0</v>
      </c>
    </row>
    <row r="67" spans="1:55" outlineLevel="1" collapsed="1" x14ac:dyDescent="0.35">
      <c r="A67" s="302"/>
      <c r="B67" s="487"/>
      <c r="C67" s="490"/>
      <c r="D67" s="246" t="s">
        <v>178</v>
      </c>
      <c r="E67" s="219">
        <f t="shared" ref="E67:J67" si="10">SUM(E68:E74)</f>
        <v>65</v>
      </c>
      <c r="F67" s="219">
        <f t="shared" si="10"/>
        <v>64</v>
      </c>
      <c r="G67" s="219">
        <f t="shared" si="10"/>
        <v>199222608.55000001</v>
      </c>
      <c r="H67" s="219">
        <f t="shared" si="10"/>
        <v>95531549.859999999</v>
      </c>
      <c r="I67" s="219">
        <f t="shared" si="10"/>
        <v>73450411.200000003</v>
      </c>
      <c r="J67" s="311">
        <f t="shared" si="10"/>
        <v>17698478.48</v>
      </c>
      <c r="AZ67">
        <f>SUM(AZ68:AZ74)</f>
        <v>0</v>
      </c>
      <c r="BA67">
        <f>SUM(BA68:BA74)</f>
        <v>0</v>
      </c>
      <c r="BB67">
        <f>SUM(BB68:BB74)</f>
        <v>0</v>
      </c>
      <c r="BC67">
        <f>SUM(BC68:BC74)</f>
        <v>0</v>
      </c>
    </row>
    <row r="68" spans="1:55" hidden="1" outlineLevel="2" x14ac:dyDescent="0.35">
      <c r="A68" s="302"/>
      <c r="B68" s="487"/>
      <c r="C68" s="490"/>
      <c r="D68" s="260" t="s">
        <v>177</v>
      </c>
      <c r="E68" s="219">
        <v>16</v>
      </c>
      <c r="F68" s="219">
        <v>16</v>
      </c>
      <c r="G68" s="219">
        <v>39230020.900000006</v>
      </c>
      <c r="H68" s="219">
        <v>19744013.960000001</v>
      </c>
      <c r="I68" s="219">
        <v>16057696.470000001</v>
      </c>
      <c r="J68" s="311">
        <v>2980085.08</v>
      </c>
    </row>
    <row r="69" spans="1:55" hidden="1" outlineLevel="2" x14ac:dyDescent="0.35">
      <c r="A69" s="302"/>
      <c r="B69" s="487"/>
      <c r="C69" s="490"/>
      <c r="D69" s="260" t="s">
        <v>176</v>
      </c>
      <c r="E69" s="219">
        <v>13</v>
      </c>
      <c r="F69" s="219">
        <v>13</v>
      </c>
      <c r="G69" s="219">
        <v>30909551.950000003</v>
      </c>
      <c r="H69" s="219">
        <v>14608040.670000002</v>
      </c>
      <c r="I69" s="219">
        <v>12093487.77</v>
      </c>
      <c r="J69" s="311">
        <v>2486388.64</v>
      </c>
    </row>
    <row r="70" spans="1:55" hidden="1" outlineLevel="2" x14ac:dyDescent="0.35">
      <c r="A70" s="302"/>
      <c r="B70" s="487"/>
      <c r="C70" s="490"/>
      <c r="D70" s="260" t="s">
        <v>175</v>
      </c>
      <c r="E70" s="219">
        <v>9</v>
      </c>
      <c r="F70" s="219">
        <v>8</v>
      </c>
      <c r="G70" s="219">
        <v>23323609.350000001</v>
      </c>
      <c r="H70" s="219">
        <v>13492987.82</v>
      </c>
      <c r="I70" s="219">
        <v>10690749.18</v>
      </c>
      <c r="J70" s="311">
        <v>1947423.6500000001</v>
      </c>
    </row>
    <row r="71" spans="1:55" hidden="1" outlineLevel="2" x14ac:dyDescent="0.35">
      <c r="A71" s="302"/>
      <c r="B71" s="487"/>
      <c r="C71" s="490"/>
      <c r="D71" s="260" t="s">
        <v>174</v>
      </c>
      <c r="E71" s="219">
        <v>5</v>
      </c>
      <c r="F71" s="219">
        <v>5</v>
      </c>
      <c r="G71" s="219">
        <v>13994212.35</v>
      </c>
      <c r="H71" s="219">
        <v>5632741.0700000003</v>
      </c>
      <c r="I71" s="219">
        <v>4458137.0200000005</v>
      </c>
      <c r="J71" s="311">
        <v>1174538.3799999999</v>
      </c>
    </row>
    <row r="72" spans="1:55" hidden="1" outlineLevel="2" x14ac:dyDescent="0.35">
      <c r="A72" s="302"/>
      <c r="B72" s="487"/>
      <c r="C72" s="490"/>
      <c r="D72" s="260" t="s">
        <v>173</v>
      </c>
      <c r="E72" s="219">
        <v>13</v>
      </c>
      <c r="F72" s="219">
        <v>13</v>
      </c>
      <c r="G72" s="219">
        <v>35316104.75</v>
      </c>
      <c r="H72" s="219">
        <v>16688046.210000001</v>
      </c>
      <c r="I72" s="219">
        <v>12653360.58</v>
      </c>
      <c r="J72" s="311">
        <v>3204014.71</v>
      </c>
    </row>
    <row r="73" spans="1:55" hidden="1" outlineLevel="2" x14ac:dyDescent="0.35">
      <c r="A73" s="302"/>
      <c r="B73" s="487"/>
      <c r="C73" s="490"/>
      <c r="D73" s="260" t="s">
        <v>172</v>
      </c>
      <c r="E73" s="219">
        <v>8</v>
      </c>
      <c r="F73" s="219">
        <v>8</v>
      </c>
      <c r="G73" s="219">
        <v>46941494.25</v>
      </c>
      <c r="H73" s="219">
        <v>21372522.129999999</v>
      </c>
      <c r="I73" s="219">
        <v>15595457.18</v>
      </c>
      <c r="J73" s="311">
        <v>3909429.0200000005</v>
      </c>
    </row>
    <row r="74" spans="1:55" hidden="1" outlineLevel="2" x14ac:dyDescent="0.35">
      <c r="A74" s="302"/>
      <c r="B74" s="487"/>
      <c r="C74" s="490"/>
      <c r="D74" s="260" t="s">
        <v>171</v>
      </c>
      <c r="E74" s="219">
        <v>1</v>
      </c>
      <c r="F74" s="219">
        <v>1</v>
      </c>
      <c r="G74" s="219">
        <v>9507615</v>
      </c>
      <c r="H74" s="219">
        <v>3993198</v>
      </c>
      <c r="I74" s="219">
        <v>1901523</v>
      </c>
      <c r="J74" s="311">
        <v>1996599</v>
      </c>
    </row>
    <row r="75" spans="1:55" x14ac:dyDescent="0.35">
      <c r="A75" s="302"/>
      <c r="B75" s="488"/>
      <c r="C75" s="491"/>
      <c r="D75" s="213" t="s">
        <v>255</v>
      </c>
      <c r="E75" s="295">
        <f t="shared" ref="E75:J75" si="11">SUM(E43,E48:E51,E56,E63,E67)</f>
        <v>539</v>
      </c>
      <c r="F75" s="295">
        <f t="shared" si="11"/>
        <v>497</v>
      </c>
      <c r="G75" s="295">
        <f t="shared" si="11"/>
        <v>1699154766.76</v>
      </c>
      <c r="H75" s="304">
        <f t="shared" si="11"/>
        <v>1004049543.75</v>
      </c>
      <c r="I75" s="294">
        <f t="shared" si="11"/>
        <v>705569571.72000003</v>
      </c>
      <c r="J75" s="310">
        <f t="shared" si="11"/>
        <v>202496982.91999999</v>
      </c>
      <c r="AZ75" t="e">
        <f>SUM(#REF!,AZ43,AZ48:AZ51,AZ56,AZ63,AZ67)</f>
        <v>#REF!</v>
      </c>
      <c r="BA75" t="e">
        <f>SUM(#REF!,BA43,BA48:BA51,BA56,BA63,BA67)</f>
        <v>#REF!</v>
      </c>
      <c r="BB75" t="e">
        <f>SUM(#REF!,BB43,BB48:BB51,BB56,BB63,BB67)</f>
        <v>#REF!</v>
      </c>
      <c r="BC75" t="e">
        <f>SUM(#REF!,BC43,BC48:BC51,BC56,BC63,BC67)</f>
        <v>#REF!</v>
      </c>
    </row>
    <row r="76" spans="1:55" outlineLevel="1" x14ac:dyDescent="0.35">
      <c r="A76" s="302"/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14"/>
    </row>
    <row r="77" spans="1:55" outlineLevel="1" x14ac:dyDescent="0.35">
      <c r="A77" s="302"/>
      <c r="B77" s="487"/>
      <c r="C77" s="490"/>
      <c r="D77" s="251" t="s">
        <v>252</v>
      </c>
      <c r="E77" s="219">
        <f t="shared" ref="E77:J77" si="12">SUM(E78:E80)</f>
        <v>68</v>
      </c>
      <c r="F77" s="219">
        <f t="shared" si="12"/>
        <v>54</v>
      </c>
      <c r="G77" s="219">
        <f t="shared" si="12"/>
        <v>578648911.10000002</v>
      </c>
      <c r="H77" s="219">
        <f t="shared" si="12"/>
        <v>357710103.09000003</v>
      </c>
      <c r="I77" s="219">
        <f t="shared" si="12"/>
        <v>273039775.44999999</v>
      </c>
      <c r="J77" s="311">
        <f t="shared" si="12"/>
        <v>53009470.860000007</v>
      </c>
    </row>
    <row r="78" spans="1:55" hidden="1" outlineLevel="2" x14ac:dyDescent="0.35">
      <c r="A78" s="302"/>
      <c r="B78" s="487"/>
      <c r="C78" s="490"/>
      <c r="D78" s="250" t="s">
        <v>192</v>
      </c>
      <c r="E78" s="219">
        <v>48</v>
      </c>
      <c r="F78" s="219">
        <v>36</v>
      </c>
      <c r="G78" s="219">
        <v>338762700.5</v>
      </c>
      <c r="H78" s="219">
        <v>255683788.80000001</v>
      </c>
      <c r="I78" s="219">
        <v>196604864.32999998</v>
      </c>
      <c r="J78" s="311">
        <v>31466705.850000005</v>
      </c>
    </row>
    <row r="79" spans="1:55" hidden="1" outlineLevel="2" x14ac:dyDescent="0.35">
      <c r="A79" s="302"/>
      <c r="B79" s="487"/>
      <c r="C79" s="490"/>
      <c r="D79" s="250" t="s">
        <v>191</v>
      </c>
      <c r="E79" s="219">
        <v>13</v>
      </c>
      <c r="F79" s="219">
        <v>12</v>
      </c>
      <c r="G79" s="219">
        <v>136323484.59999999</v>
      </c>
      <c r="H79" s="219">
        <v>62612480.689999998</v>
      </c>
      <c r="I79" s="219">
        <v>47114192.949999996</v>
      </c>
      <c r="J79" s="311">
        <v>12093407.969999999</v>
      </c>
    </row>
    <row r="80" spans="1:55" hidden="1" outlineLevel="2" x14ac:dyDescent="0.35">
      <c r="A80" s="302"/>
      <c r="B80" s="487"/>
      <c r="C80" s="490"/>
      <c r="D80" s="250" t="s">
        <v>190</v>
      </c>
      <c r="E80" s="219">
        <v>7</v>
      </c>
      <c r="F80" s="219">
        <v>6</v>
      </c>
      <c r="G80" s="219">
        <v>103562726</v>
      </c>
      <c r="H80" s="219">
        <v>39413833.600000001</v>
      </c>
      <c r="I80" s="219">
        <v>29320718.170000002</v>
      </c>
      <c r="J80" s="311">
        <v>9449357.0399999991</v>
      </c>
    </row>
    <row r="81" spans="1:10" outlineLevel="1" collapsed="1" x14ac:dyDescent="0.35">
      <c r="A81" s="302"/>
      <c r="B81" s="487"/>
      <c r="C81" s="490"/>
      <c r="D81" s="251" t="s">
        <v>158</v>
      </c>
      <c r="E81" s="219">
        <f t="shared" ref="E81:J81" si="13">SUM(E82:E89)</f>
        <v>216</v>
      </c>
      <c r="F81" s="219">
        <f t="shared" si="13"/>
        <v>186</v>
      </c>
      <c r="G81" s="219">
        <f t="shared" si="13"/>
        <v>279334466.31</v>
      </c>
      <c r="H81" s="219">
        <f t="shared" si="13"/>
        <v>148803779.70999995</v>
      </c>
      <c r="I81" s="219">
        <f t="shared" si="13"/>
        <v>121814612.69000003</v>
      </c>
      <c r="J81" s="311">
        <f t="shared" si="13"/>
        <v>20204321.969999995</v>
      </c>
    </row>
    <row r="82" spans="1:10" hidden="1" outlineLevel="2" x14ac:dyDescent="0.35">
      <c r="A82" s="302"/>
      <c r="B82" s="487"/>
      <c r="C82" s="490"/>
      <c r="D82" s="250" t="s">
        <v>157</v>
      </c>
      <c r="E82" s="219">
        <v>133</v>
      </c>
      <c r="F82" s="219">
        <v>108</v>
      </c>
      <c r="G82" s="219">
        <v>166304381.81</v>
      </c>
      <c r="H82" s="219">
        <v>97996715.079999954</v>
      </c>
      <c r="I82" s="219">
        <v>82961403.660000041</v>
      </c>
      <c r="J82" s="311">
        <v>11480189.629999997</v>
      </c>
    </row>
    <row r="83" spans="1:10" hidden="1" outlineLevel="2" x14ac:dyDescent="0.35">
      <c r="A83" s="302"/>
      <c r="B83" s="487"/>
      <c r="C83" s="490"/>
      <c r="D83" s="250" t="s">
        <v>156</v>
      </c>
      <c r="E83" s="219">
        <v>9</v>
      </c>
      <c r="F83" s="219">
        <v>8</v>
      </c>
      <c r="G83" s="219">
        <v>10051604.350000001</v>
      </c>
      <c r="H83" s="219">
        <v>4207690.5200000005</v>
      </c>
      <c r="I83" s="219">
        <v>3288357.52</v>
      </c>
      <c r="J83" s="311">
        <v>801011.16</v>
      </c>
    </row>
    <row r="84" spans="1:10" hidden="1" outlineLevel="2" x14ac:dyDescent="0.35">
      <c r="A84" s="302"/>
      <c r="B84" s="487"/>
      <c r="C84" s="490"/>
      <c r="D84" s="250" t="s">
        <v>155</v>
      </c>
      <c r="E84" s="219">
        <v>4</v>
      </c>
      <c r="F84" s="219">
        <v>4</v>
      </c>
      <c r="G84" s="219">
        <v>5520122.8499999996</v>
      </c>
      <c r="H84" s="219">
        <v>2292086.7800000003</v>
      </c>
      <c r="I84" s="219">
        <v>1924615.3399999999</v>
      </c>
      <c r="J84" s="311">
        <v>340194.18</v>
      </c>
    </row>
    <row r="85" spans="1:10" hidden="1" outlineLevel="2" x14ac:dyDescent="0.35">
      <c r="A85" s="302"/>
      <c r="B85" s="487"/>
      <c r="C85" s="490"/>
      <c r="D85" s="250" t="s">
        <v>154</v>
      </c>
      <c r="E85" s="219">
        <v>8</v>
      </c>
      <c r="F85" s="219">
        <v>8</v>
      </c>
      <c r="G85" s="219">
        <v>12474138.449999999</v>
      </c>
      <c r="H85" s="219">
        <v>3742241.54</v>
      </c>
      <c r="I85" s="219">
        <v>2687046.2300000004</v>
      </c>
      <c r="J85" s="311">
        <v>1015250.5900000002</v>
      </c>
    </row>
    <row r="86" spans="1:10" hidden="1" outlineLevel="2" x14ac:dyDescent="0.35">
      <c r="A86" s="302"/>
      <c r="B86" s="487"/>
      <c r="C86" s="490"/>
      <c r="D86" s="250" t="s">
        <v>153</v>
      </c>
      <c r="E86" s="219">
        <v>43</v>
      </c>
      <c r="F86" s="219">
        <v>41</v>
      </c>
      <c r="G86" s="219">
        <v>51235097.749999985</v>
      </c>
      <c r="H86" s="219">
        <v>28959424.500000004</v>
      </c>
      <c r="I86" s="219">
        <v>22289032.209999997</v>
      </c>
      <c r="J86" s="311">
        <v>4146754.8800000004</v>
      </c>
    </row>
    <row r="87" spans="1:10" hidden="1" outlineLevel="2" x14ac:dyDescent="0.35">
      <c r="A87" s="302"/>
      <c r="B87" s="487"/>
      <c r="C87" s="490"/>
      <c r="D87" s="250" t="s">
        <v>152</v>
      </c>
      <c r="E87" s="219">
        <v>15</v>
      </c>
      <c r="F87" s="219">
        <v>13</v>
      </c>
      <c r="G87" s="219">
        <v>27373723.299999997</v>
      </c>
      <c r="H87" s="219">
        <v>9430039.4500000011</v>
      </c>
      <c r="I87" s="219">
        <v>7022920.3499999996</v>
      </c>
      <c r="J87" s="311">
        <v>2038601.59</v>
      </c>
    </row>
    <row r="88" spans="1:10" hidden="1" outlineLevel="2" x14ac:dyDescent="0.35">
      <c r="A88" s="302"/>
      <c r="B88" s="487"/>
      <c r="C88" s="490"/>
      <c r="D88" s="250" t="s">
        <v>151</v>
      </c>
      <c r="E88" s="219">
        <v>3</v>
      </c>
      <c r="F88" s="219">
        <v>3</v>
      </c>
      <c r="G88" s="219">
        <v>3773747.8</v>
      </c>
      <c r="H88" s="219">
        <v>1629235.34</v>
      </c>
      <c r="I88" s="219">
        <v>1100995.46</v>
      </c>
      <c r="J88" s="311">
        <v>376215.36</v>
      </c>
    </row>
    <row r="89" spans="1:10" hidden="1" outlineLevel="2" x14ac:dyDescent="0.35">
      <c r="A89" s="302"/>
      <c r="B89" s="487"/>
      <c r="C89" s="490"/>
      <c r="D89" s="250" t="s">
        <v>150</v>
      </c>
      <c r="E89" s="219">
        <v>1</v>
      </c>
      <c r="F89" s="219">
        <v>1</v>
      </c>
      <c r="G89" s="219">
        <v>2601650</v>
      </c>
      <c r="H89" s="219">
        <v>546346.5</v>
      </c>
      <c r="I89" s="219">
        <v>540241.92000000004</v>
      </c>
      <c r="J89" s="311">
        <v>6104.58</v>
      </c>
    </row>
    <row r="90" spans="1:10" outlineLevel="1" collapsed="1" x14ac:dyDescent="0.35">
      <c r="A90" s="302"/>
      <c r="B90" s="487"/>
      <c r="C90" s="490"/>
      <c r="D90" s="251" t="s">
        <v>149</v>
      </c>
      <c r="E90" s="219">
        <f t="shared" ref="E90:J90" si="14">SUM(E91:E93)</f>
        <v>36</v>
      </c>
      <c r="F90" s="219">
        <f t="shared" si="14"/>
        <v>36</v>
      </c>
      <c r="G90" s="219">
        <f t="shared" si="14"/>
        <v>92648676.75</v>
      </c>
      <c r="H90" s="219">
        <f t="shared" si="14"/>
        <v>27141476.07</v>
      </c>
      <c r="I90" s="219">
        <f t="shared" si="14"/>
        <v>17679939.649999999</v>
      </c>
      <c r="J90" s="311">
        <f t="shared" si="14"/>
        <v>7786998.7400000002</v>
      </c>
    </row>
    <row r="91" spans="1:10" hidden="1" outlineLevel="2" x14ac:dyDescent="0.35">
      <c r="A91" s="302"/>
      <c r="B91" s="487"/>
      <c r="C91" s="490"/>
      <c r="D91" s="250" t="s">
        <v>148</v>
      </c>
      <c r="E91" s="219">
        <v>12</v>
      </c>
      <c r="F91" s="219">
        <v>12</v>
      </c>
      <c r="G91" s="219">
        <v>26693804.539999999</v>
      </c>
      <c r="H91" s="219">
        <v>7355014.3699999992</v>
      </c>
      <c r="I91" s="219">
        <v>4983972.17</v>
      </c>
      <c r="J91" s="311">
        <v>2212335.5700000003</v>
      </c>
    </row>
    <row r="92" spans="1:10" hidden="1" outlineLevel="2" x14ac:dyDescent="0.35">
      <c r="A92" s="302"/>
      <c r="B92" s="487"/>
      <c r="C92" s="490"/>
      <c r="D92" s="250" t="s">
        <v>147</v>
      </c>
      <c r="E92" s="219">
        <v>8</v>
      </c>
      <c r="F92" s="219">
        <v>8</v>
      </c>
      <c r="G92" s="219">
        <v>17585029.009999998</v>
      </c>
      <c r="H92" s="219">
        <v>5275508.7100000009</v>
      </c>
      <c r="I92" s="219">
        <v>3776590.8600000003</v>
      </c>
      <c r="J92" s="311">
        <v>1498917.6600000001</v>
      </c>
    </row>
    <row r="93" spans="1:10" hidden="1" outlineLevel="2" x14ac:dyDescent="0.35">
      <c r="A93" s="302"/>
      <c r="B93" s="487"/>
      <c r="C93" s="490"/>
      <c r="D93" s="250" t="s">
        <v>146</v>
      </c>
      <c r="E93" s="219">
        <v>16</v>
      </c>
      <c r="F93" s="219">
        <v>16</v>
      </c>
      <c r="G93" s="219">
        <v>48369843.20000001</v>
      </c>
      <c r="H93" s="219">
        <v>14510952.990000002</v>
      </c>
      <c r="I93" s="219">
        <v>8919376.6199999992</v>
      </c>
      <c r="J93" s="311">
        <v>4075745.5100000002</v>
      </c>
    </row>
    <row r="94" spans="1:10" outlineLevel="1" collapsed="1" x14ac:dyDescent="0.35">
      <c r="A94" s="302"/>
      <c r="B94" s="487"/>
      <c r="C94" s="490"/>
      <c r="D94" s="246" t="s">
        <v>133</v>
      </c>
      <c r="E94" s="219">
        <v>15</v>
      </c>
      <c r="F94" s="219">
        <v>15</v>
      </c>
      <c r="G94" s="219">
        <v>56710804.800000004</v>
      </c>
      <c r="H94" s="219">
        <v>16173671.170000002</v>
      </c>
      <c r="I94" s="219">
        <v>0</v>
      </c>
      <c r="J94" s="311">
        <v>5335637.6899999995</v>
      </c>
    </row>
    <row r="95" spans="1:10" outlineLevel="1" x14ac:dyDescent="0.35">
      <c r="A95" s="302"/>
      <c r="B95" s="487"/>
      <c r="C95" s="490"/>
      <c r="D95" s="236" t="s">
        <v>140</v>
      </c>
      <c r="E95" s="275">
        <v>11</v>
      </c>
      <c r="F95" s="275">
        <v>11</v>
      </c>
      <c r="G95" s="275">
        <v>96778490.099999994</v>
      </c>
      <c r="H95" s="275">
        <v>43068244.640000008</v>
      </c>
      <c r="I95" s="275">
        <v>10415603.390000001</v>
      </c>
      <c r="J95" s="313">
        <v>6585659.5399999991</v>
      </c>
    </row>
    <row r="96" spans="1:10" outlineLevel="1" x14ac:dyDescent="0.35">
      <c r="A96" s="302"/>
      <c r="B96" s="487"/>
      <c r="C96" s="490"/>
      <c r="D96" s="236" t="s">
        <v>139</v>
      </c>
      <c r="E96" s="275">
        <v>6</v>
      </c>
      <c r="F96" s="275">
        <v>6</v>
      </c>
      <c r="G96" s="275">
        <v>63041200</v>
      </c>
      <c r="H96" s="275">
        <v>12608240</v>
      </c>
      <c r="I96" s="275">
        <v>8010750</v>
      </c>
      <c r="J96" s="313">
        <v>4597490</v>
      </c>
    </row>
    <row r="97" spans="1:10" outlineLevel="1" x14ac:dyDescent="0.35">
      <c r="A97" s="302"/>
      <c r="B97" s="487"/>
      <c r="C97" s="490"/>
      <c r="D97" s="236" t="s">
        <v>138</v>
      </c>
      <c r="E97" s="275">
        <f t="shared" ref="E97:J97" si="15">SUM(E98:E101)</f>
        <v>97</v>
      </c>
      <c r="F97" s="275">
        <f t="shared" si="15"/>
        <v>95</v>
      </c>
      <c r="G97" s="275">
        <f t="shared" si="15"/>
        <v>122556936.85000001</v>
      </c>
      <c r="H97" s="275">
        <f t="shared" si="15"/>
        <v>43519140.5</v>
      </c>
      <c r="I97" s="275">
        <f t="shared" si="15"/>
        <v>32280943.160000004</v>
      </c>
      <c r="J97" s="313">
        <f t="shared" si="15"/>
        <v>9942884.6599999983</v>
      </c>
    </row>
    <row r="98" spans="1:10" hidden="1" outlineLevel="2" x14ac:dyDescent="0.35">
      <c r="A98" s="302"/>
      <c r="B98" s="487"/>
      <c r="C98" s="490"/>
      <c r="D98" s="242" t="s">
        <v>137</v>
      </c>
      <c r="E98" s="275">
        <v>29</v>
      </c>
      <c r="F98" s="275">
        <v>29</v>
      </c>
      <c r="G98" s="275">
        <v>38185066.300000004</v>
      </c>
      <c r="H98" s="275">
        <v>17206185.460000001</v>
      </c>
      <c r="I98" s="275">
        <v>14032778.260000002</v>
      </c>
      <c r="J98" s="313">
        <v>2753429.5100000002</v>
      </c>
    </row>
    <row r="99" spans="1:10" hidden="1" outlineLevel="2" x14ac:dyDescent="0.35">
      <c r="A99" s="302"/>
      <c r="B99" s="487"/>
      <c r="C99" s="490"/>
      <c r="D99" s="242" t="s">
        <v>136</v>
      </c>
      <c r="E99" s="275">
        <v>27</v>
      </c>
      <c r="F99" s="275">
        <v>27</v>
      </c>
      <c r="G99" s="275">
        <v>30361212.749999996</v>
      </c>
      <c r="H99" s="275">
        <v>9483022.3399999999</v>
      </c>
      <c r="I99" s="275">
        <v>7081711.0899999999</v>
      </c>
      <c r="J99" s="313">
        <v>2261210.85</v>
      </c>
    </row>
    <row r="100" spans="1:10" hidden="1" outlineLevel="2" x14ac:dyDescent="0.35">
      <c r="A100" s="302"/>
      <c r="B100" s="487"/>
      <c r="C100" s="490"/>
      <c r="D100" s="242" t="s">
        <v>135</v>
      </c>
      <c r="E100" s="275">
        <v>23</v>
      </c>
      <c r="F100" s="275">
        <v>23</v>
      </c>
      <c r="G100" s="275">
        <v>26809941.900000002</v>
      </c>
      <c r="H100" s="275">
        <v>8151748.0399999991</v>
      </c>
      <c r="I100" s="275">
        <v>5644182.7799999993</v>
      </c>
      <c r="J100" s="313">
        <v>2327781.7599999993</v>
      </c>
    </row>
    <row r="101" spans="1:10" hidden="1" outlineLevel="2" x14ac:dyDescent="0.35">
      <c r="A101" s="302"/>
      <c r="B101" s="487"/>
      <c r="C101" s="490"/>
      <c r="D101" s="242" t="s">
        <v>134</v>
      </c>
      <c r="E101" s="275">
        <v>18</v>
      </c>
      <c r="F101" s="275">
        <v>16</v>
      </c>
      <c r="G101" s="275">
        <v>27200715.900000002</v>
      </c>
      <c r="H101" s="275">
        <v>8678184.6600000001</v>
      </c>
      <c r="I101" s="275">
        <v>5522271.0300000003</v>
      </c>
      <c r="J101" s="313">
        <v>2600462.5399999996</v>
      </c>
    </row>
    <row r="102" spans="1:10" outlineLevel="1" collapsed="1" x14ac:dyDescent="0.35">
      <c r="A102" s="302"/>
      <c r="B102" s="487"/>
      <c r="C102" s="490"/>
      <c r="D102" s="236" t="s">
        <v>132</v>
      </c>
      <c r="E102" s="275">
        <f t="shared" ref="E102:J102" si="16">SUM(E103:E106)</f>
        <v>154</v>
      </c>
      <c r="F102" s="275">
        <f t="shared" si="16"/>
        <v>146</v>
      </c>
      <c r="G102" s="275">
        <f t="shared" si="16"/>
        <v>361103871.51999998</v>
      </c>
      <c r="H102" s="275">
        <f t="shared" si="16"/>
        <v>101731214.31000002</v>
      </c>
      <c r="I102" s="275">
        <f t="shared" si="16"/>
        <v>72142413.049999997</v>
      </c>
      <c r="J102" s="313">
        <f t="shared" si="16"/>
        <v>28940736.620000001</v>
      </c>
    </row>
    <row r="103" spans="1:10" hidden="1" outlineLevel="2" x14ac:dyDescent="0.35">
      <c r="A103" s="302"/>
      <c r="B103" s="487"/>
      <c r="C103" s="490"/>
      <c r="D103" s="241" t="s">
        <v>131</v>
      </c>
      <c r="E103" s="275">
        <v>15</v>
      </c>
      <c r="F103" s="275">
        <v>15</v>
      </c>
      <c r="G103" s="275">
        <v>36942941.850000001</v>
      </c>
      <c r="H103" s="275">
        <v>10714380.130000001</v>
      </c>
      <c r="I103" s="275">
        <v>7480939.7599999998</v>
      </c>
      <c r="J103" s="313">
        <v>3119399.54</v>
      </c>
    </row>
    <row r="104" spans="1:10" hidden="1" outlineLevel="2" x14ac:dyDescent="0.35">
      <c r="A104" s="302"/>
      <c r="B104" s="487"/>
      <c r="C104" s="490"/>
      <c r="D104" s="241" t="s">
        <v>130</v>
      </c>
      <c r="E104" s="275">
        <v>71</v>
      </c>
      <c r="F104" s="275">
        <v>64</v>
      </c>
      <c r="G104" s="275">
        <v>147125799.71999994</v>
      </c>
      <c r="H104" s="275">
        <v>44137740.150000013</v>
      </c>
      <c r="I104" s="275">
        <v>32009095.129999999</v>
      </c>
      <c r="J104" s="313">
        <v>11860923.43</v>
      </c>
    </row>
    <row r="105" spans="1:10" hidden="1" outlineLevel="2" x14ac:dyDescent="0.35">
      <c r="A105" s="302"/>
      <c r="B105" s="487"/>
      <c r="C105" s="490"/>
      <c r="D105" s="241" t="s">
        <v>129</v>
      </c>
      <c r="E105" s="275">
        <v>50</v>
      </c>
      <c r="F105" s="275">
        <v>49</v>
      </c>
      <c r="G105" s="275">
        <v>132579006.75000006</v>
      </c>
      <c r="H105" s="275">
        <v>39106366.939999998</v>
      </c>
      <c r="I105" s="275">
        <v>27780602.220000003</v>
      </c>
      <c r="J105" s="313">
        <v>11059647.300000001</v>
      </c>
    </row>
    <row r="106" spans="1:10" hidden="1" outlineLevel="2" x14ac:dyDescent="0.35">
      <c r="A106" s="302"/>
      <c r="B106" s="487"/>
      <c r="C106" s="490"/>
      <c r="D106" s="241" t="s">
        <v>128</v>
      </c>
      <c r="E106" s="275">
        <v>18</v>
      </c>
      <c r="F106" s="275">
        <v>18</v>
      </c>
      <c r="G106" s="275">
        <v>44456123.200000003</v>
      </c>
      <c r="H106" s="275">
        <v>7772727.0899999999</v>
      </c>
      <c r="I106" s="275">
        <v>4871775.9399999995</v>
      </c>
      <c r="J106" s="313">
        <v>2900766.35</v>
      </c>
    </row>
    <row r="107" spans="1:10" outlineLevel="1" collapsed="1" x14ac:dyDescent="0.35">
      <c r="A107" s="302"/>
      <c r="B107" s="487"/>
      <c r="C107" s="490"/>
      <c r="D107" s="236" t="s">
        <v>41</v>
      </c>
      <c r="E107" s="275">
        <v>1</v>
      </c>
      <c r="F107" s="275">
        <v>1</v>
      </c>
      <c r="G107" s="275">
        <v>2933919</v>
      </c>
      <c r="H107" s="275">
        <v>586783.80000000005</v>
      </c>
      <c r="I107" s="275">
        <v>329892.52</v>
      </c>
      <c r="J107" s="313">
        <v>256891.28</v>
      </c>
    </row>
    <row r="108" spans="1:10" x14ac:dyDescent="0.35">
      <c r="A108" s="302"/>
      <c r="B108" s="488"/>
      <c r="C108" s="491"/>
      <c r="D108" s="213" t="s">
        <v>251</v>
      </c>
      <c r="E108" s="295">
        <f t="shared" ref="E108:J108" si="17">SUM(E102,E107,E97,E96,E94,E90,E81,E77,E95)</f>
        <v>604</v>
      </c>
      <c r="F108" s="295">
        <f t="shared" si="17"/>
        <v>550</v>
      </c>
      <c r="G108" s="295">
        <f t="shared" si="17"/>
        <v>1653757276.4299998</v>
      </c>
      <c r="H108" s="295">
        <f t="shared" si="17"/>
        <v>751342653.28999996</v>
      </c>
      <c r="I108" s="295">
        <f t="shared" si="17"/>
        <v>535713929.90999997</v>
      </c>
      <c r="J108" s="310">
        <f t="shared" si="17"/>
        <v>136660091.35999998</v>
      </c>
    </row>
    <row r="109" spans="1:10" outlineLevel="1" x14ac:dyDescent="0.35">
      <c r="A109" s="302"/>
      <c r="B109" s="487" t="s">
        <v>250</v>
      </c>
      <c r="C109" s="490" t="s">
        <v>249</v>
      </c>
      <c r="D109" s="236" t="s">
        <v>123</v>
      </c>
      <c r="E109" s="275">
        <v>4</v>
      </c>
      <c r="F109" s="275">
        <v>4</v>
      </c>
      <c r="G109" s="275">
        <v>11304263.5</v>
      </c>
      <c r="H109" s="275">
        <v>2260852.7200000002</v>
      </c>
      <c r="I109" s="275">
        <v>5522271.0300000003</v>
      </c>
      <c r="J109" s="313">
        <v>1039051.72</v>
      </c>
    </row>
    <row r="110" spans="1:10" outlineLevel="1" x14ac:dyDescent="0.35">
      <c r="A110" s="302"/>
      <c r="B110" s="487"/>
      <c r="C110" s="490"/>
      <c r="D110" s="236" t="s">
        <v>122</v>
      </c>
      <c r="E110" s="275">
        <v>1</v>
      </c>
      <c r="F110" s="275">
        <v>1</v>
      </c>
      <c r="G110" s="275">
        <v>3491519.5</v>
      </c>
      <c r="H110" s="275">
        <v>698303.9</v>
      </c>
      <c r="I110" s="275">
        <v>0</v>
      </c>
      <c r="J110" s="313">
        <v>6865.1</v>
      </c>
    </row>
    <row r="111" spans="1:10" outlineLevel="1" x14ac:dyDescent="0.35">
      <c r="A111" s="302"/>
      <c r="B111" s="487"/>
      <c r="C111" s="490"/>
      <c r="D111" s="236" t="s">
        <v>48</v>
      </c>
      <c r="E111" s="275">
        <v>2</v>
      </c>
      <c r="F111" s="275">
        <v>2</v>
      </c>
      <c r="G111" s="275">
        <v>4389434.55</v>
      </c>
      <c r="H111" s="275">
        <v>620825</v>
      </c>
      <c r="I111" s="275">
        <v>0</v>
      </c>
      <c r="J111" s="313">
        <v>198850.58000000002</v>
      </c>
    </row>
    <row r="112" spans="1:10" outlineLevel="1" x14ac:dyDescent="0.35">
      <c r="A112" s="302"/>
      <c r="B112" s="487"/>
      <c r="C112" s="490"/>
      <c r="D112" s="236" t="s">
        <v>47</v>
      </c>
      <c r="E112" s="275">
        <v>3</v>
      </c>
      <c r="F112" s="275">
        <v>3</v>
      </c>
      <c r="G112" s="275">
        <v>6521040.2000000002</v>
      </c>
      <c r="H112" s="275">
        <v>1207656.74</v>
      </c>
      <c r="I112" s="275">
        <v>5522271.0300000003</v>
      </c>
      <c r="J112" s="313">
        <v>554906.89</v>
      </c>
    </row>
    <row r="113" spans="1:11" outlineLevel="1" x14ac:dyDescent="0.35">
      <c r="A113" s="302"/>
      <c r="B113" s="487"/>
      <c r="C113" s="490"/>
      <c r="D113" s="236" t="s">
        <v>40</v>
      </c>
      <c r="E113" s="275">
        <v>8</v>
      </c>
      <c r="F113" s="275">
        <v>8</v>
      </c>
      <c r="G113" s="275">
        <v>30936419</v>
      </c>
      <c r="H113" s="275">
        <v>5610184.7000000002</v>
      </c>
      <c r="I113" s="275">
        <v>32009095.129999999</v>
      </c>
      <c r="J113" s="313">
        <v>2304771.14</v>
      </c>
    </row>
    <row r="114" spans="1:11" outlineLevel="1" x14ac:dyDescent="0.35">
      <c r="A114" s="302"/>
      <c r="B114" s="487"/>
      <c r="C114" s="490"/>
      <c r="D114" s="236" t="s">
        <v>39</v>
      </c>
      <c r="E114" s="275">
        <v>29</v>
      </c>
      <c r="F114" s="275">
        <v>29</v>
      </c>
      <c r="G114" s="275">
        <v>67127005.040000007</v>
      </c>
      <c r="H114" s="275">
        <v>11897126.300000001</v>
      </c>
      <c r="I114" s="275">
        <v>4871775.9399999995</v>
      </c>
      <c r="J114" s="313">
        <v>4221090.5200000005</v>
      </c>
    </row>
    <row r="115" spans="1:11" outlineLevel="1" x14ac:dyDescent="0.35">
      <c r="A115" s="302"/>
      <c r="B115" s="487"/>
      <c r="C115" s="490"/>
      <c r="D115" s="236" t="s">
        <v>38</v>
      </c>
      <c r="E115" s="275">
        <v>0</v>
      </c>
      <c r="F115" s="275">
        <v>0</v>
      </c>
      <c r="G115" s="275">
        <v>0</v>
      </c>
      <c r="H115" s="275">
        <v>0</v>
      </c>
      <c r="I115" s="275">
        <v>329892.52</v>
      </c>
      <c r="J115" s="313">
        <v>0</v>
      </c>
    </row>
    <row r="116" spans="1:11" x14ac:dyDescent="0.35">
      <c r="A116" s="302"/>
      <c r="B116" s="488"/>
      <c r="C116" s="491"/>
      <c r="D116" s="213" t="s">
        <v>248</v>
      </c>
      <c r="E116" s="295">
        <f t="shared" ref="E116:J116" si="18">SUM(E109:E115)</f>
        <v>47</v>
      </c>
      <c r="F116" s="295">
        <f t="shared" si="18"/>
        <v>47</v>
      </c>
      <c r="G116" s="295">
        <f t="shared" si="18"/>
        <v>123769681.79000001</v>
      </c>
      <c r="H116" s="295">
        <f t="shared" si="18"/>
        <v>22294949.359999999</v>
      </c>
      <c r="I116" s="294">
        <f t="shared" si="18"/>
        <v>48255305.649999999</v>
      </c>
      <c r="J116" s="310">
        <f t="shared" si="18"/>
        <v>8325535.9500000011</v>
      </c>
    </row>
    <row r="117" spans="1:11" outlineLevel="1" x14ac:dyDescent="0.35">
      <c r="A117" s="302"/>
      <c r="B117" s="487" t="s">
        <v>247</v>
      </c>
      <c r="C117" s="490" t="s">
        <v>246</v>
      </c>
      <c r="D117" s="236" t="s">
        <v>36</v>
      </c>
      <c r="E117" s="275">
        <v>4</v>
      </c>
      <c r="F117" s="275">
        <v>4</v>
      </c>
      <c r="G117" s="275">
        <v>16535887.5</v>
      </c>
      <c r="H117" s="275">
        <v>2901439.2</v>
      </c>
      <c r="I117" s="275">
        <v>1328967.04</v>
      </c>
      <c r="J117" s="313">
        <v>1572387.82</v>
      </c>
    </row>
    <row r="118" spans="1:11" outlineLevel="1" x14ac:dyDescent="0.35">
      <c r="A118" s="302"/>
      <c r="B118" s="487"/>
      <c r="C118" s="490"/>
      <c r="D118" s="236" t="s">
        <v>35</v>
      </c>
      <c r="E118" s="275">
        <v>4</v>
      </c>
      <c r="F118" s="275">
        <v>4</v>
      </c>
      <c r="G118" s="275">
        <v>21276298.25</v>
      </c>
      <c r="H118" s="275">
        <v>3839309.5</v>
      </c>
      <c r="I118" s="275">
        <v>0</v>
      </c>
      <c r="J118" s="313">
        <v>1651188.75</v>
      </c>
    </row>
    <row r="119" spans="1:11" outlineLevel="1" x14ac:dyDescent="0.35">
      <c r="A119" s="302"/>
      <c r="B119" s="487"/>
      <c r="C119" s="490"/>
      <c r="D119" s="236" t="s">
        <v>34</v>
      </c>
      <c r="E119" s="275">
        <v>0</v>
      </c>
      <c r="F119" s="275">
        <v>0</v>
      </c>
      <c r="G119" s="275">
        <v>0</v>
      </c>
      <c r="H119" s="275">
        <v>0</v>
      </c>
      <c r="I119" s="275">
        <v>0</v>
      </c>
      <c r="J119" s="313">
        <v>0</v>
      </c>
    </row>
    <row r="120" spans="1:11" outlineLevel="1" x14ac:dyDescent="0.35">
      <c r="A120" s="302"/>
      <c r="B120" s="487"/>
      <c r="C120" s="490"/>
      <c r="D120" s="236" t="s">
        <v>33</v>
      </c>
      <c r="E120" s="275">
        <v>6</v>
      </c>
      <c r="F120" s="275">
        <v>6</v>
      </c>
      <c r="G120" s="275">
        <v>26322560</v>
      </c>
      <c r="H120" s="275">
        <v>3037994.3</v>
      </c>
      <c r="I120" s="275">
        <v>0</v>
      </c>
      <c r="J120" s="313">
        <v>1798516.0000000002</v>
      </c>
    </row>
    <row r="121" spans="1:11" x14ac:dyDescent="0.35">
      <c r="A121" s="302"/>
      <c r="B121" s="488"/>
      <c r="C121" s="491"/>
      <c r="D121" s="213" t="s">
        <v>245</v>
      </c>
      <c r="E121" s="295">
        <f t="shared" ref="E121:J121" si="19">SUM(E117:E120)</f>
        <v>14</v>
      </c>
      <c r="F121" s="295">
        <f t="shared" si="19"/>
        <v>14</v>
      </c>
      <c r="G121" s="295">
        <f t="shared" si="19"/>
        <v>64134745.75</v>
      </c>
      <c r="H121" s="295">
        <f t="shared" si="19"/>
        <v>9778743</v>
      </c>
      <c r="I121" s="294">
        <f t="shared" si="19"/>
        <v>1328967.04</v>
      </c>
      <c r="J121" s="310">
        <f t="shared" si="19"/>
        <v>5022092.57</v>
      </c>
    </row>
    <row r="122" spans="1:11" outlineLevel="1" x14ac:dyDescent="0.35">
      <c r="A122" s="302"/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12"/>
      <c r="K122" s="297"/>
    </row>
    <row r="123" spans="1:11" outlineLevel="1" x14ac:dyDescent="0.35">
      <c r="A123" s="302"/>
      <c r="B123" s="492"/>
      <c r="C123" s="485"/>
      <c r="D123" s="225" t="s">
        <v>145</v>
      </c>
      <c r="E123" s="275">
        <f t="shared" ref="E123:J123" si="20">SUM(E124:E127)</f>
        <v>11</v>
      </c>
      <c r="F123" s="275">
        <f t="shared" si="20"/>
        <v>11</v>
      </c>
      <c r="G123" s="275">
        <f t="shared" si="20"/>
        <v>162990898.22</v>
      </c>
      <c r="H123" s="275">
        <f t="shared" si="20"/>
        <v>50788629.050000004</v>
      </c>
      <c r="I123" s="219">
        <f t="shared" si="20"/>
        <v>36775186.090000004</v>
      </c>
      <c r="J123" s="311">
        <f t="shared" si="20"/>
        <v>14013441.040000001</v>
      </c>
    </row>
    <row r="124" spans="1:11" hidden="1" outlineLevel="2" x14ac:dyDescent="0.35">
      <c r="A124" s="302"/>
      <c r="B124" s="492"/>
      <c r="C124" s="485"/>
      <c r="D124" s="222" t="s">
        <v>144</v>
      </c>
      <c r="E124" s="275">
        <v>10</v>
      </c>
      <c r="F124" s="275">
        <v>10</v>
      </c>
      <c r="G124" s="275">
        <v>145648162.22</v>
      </c>
      <c r="H124" s="275">
        <v>45585808.250000007</v>
      </c>
      <c r="I124" s="219">
        <v>33293274.18</v>
      </c>
      <c r="J124" s="311">
        <v>12292532.15</v>
      </c>
    </row>
    <row r="125" spans="1:11" hidden="1" outlineLevel="2" x14ac:dyDescent="0.35">
      <c r="A125" s="302"/>
      <c r="B125" s="492"/>
      <c r="C125" s="485"/>
      <c r="D125" s="223" t="s">
        <v>143</v>
      </c>
      <c r="E125" s="275">
        <v>1</v>
      </c>
      <c r="F125" s="275">
        <v>1</v>
      </c>
      <c r="G125" s="275">
        <v>17342736</v>
      </c>
      <c r="H125" s="275">
        <v>5202820.8</v>
      </c>
      <c r="I125" s="219">
        <v>3481911.91</v>
      </c>
      <c r="J125" s="311">
        <v>1720908.89</v>
      </c>
    </row>
    <row r="126" spans="1:11" hidden="1" outlineLevel="2" x14ac:dyDescent="0.35">
      <c r="A126" s="302"/>
      <c r="B126" s="492"/>
      <c r="C126" s="485"/>
      <c r="D126" s="223" t="s">
        <v>142</v>
      </c>
      <c r="E126" s="275">
        <v>0</v>
      </c>
      <c r="F126" s="275">
        <v>0</v>
      </c>
      <c r="G126" s="275">
        <v>0</v>
      </c>
      <c r="H126" s="275">
        <v>0</v>
      </c>
      <c r="I126" s="219">
        <v>0</v>
      </c>
      <c r="J126" s="311">
        <v>0</v>
      </c>
    </row>
    <row r="127" spans="1:11" hidden="1" outlineLevel="2" x14ac:dyDescent="0.35">
      <c r="A127" s="302"/>
      <c r="B127" s="492"/>
      <c r="C127" s="485"/>
      <c r="D127" s="223" t="s">
        <v>141</v>
      </c>
      <c r="E127" s="275">
        <v>0</v>
      </c>
      <c r="F127" s="275">
        <v>0</v>
      </c>
      <c r="G127" s="275">
        <v>0</v>
      </c>
      <c r="H127" s="275">
        <v>0</v>
      </c>
      <c r="I127" s="219">
        <v>0</v>
      </c>
      <c r="J127" s="311">
        <v>0</v>
      </c>
    </row>
    <row r="128" spans="1:11" outlineLevel="1" collapsed="1" x14ac:dyDescent="0.35">
      <c r="A128" s="302"/>
      <c r="B128" s="492"/>
      <c r="C128" s="485"/>
      <c r="D128" s="221" t="s">
        <v>121</v>
      </c>
      <c r="E128" s="275">
        <f t="shared" ref="E128:J128" si="21">SUM(E129:E162)</f>
        <v>155</v>
      </c>
      <c r="F128" s="275">
        <f t="shared" si="21"/>
        <v>149</v>
      </c>
      <c r="G128" s="275">
        <f t="shared" si="21"/>
        <v>262640787.81999999</v>
      </c>
      <c r="H128" s="275">
        <f t="shared" si="21"/>
        <v>109215446.77000001</v>
      </c>
      <c r="I128" s="219">
        <f t="shared" si="21"/>
        <v>82513386.219999999</v>
      </c>
      <c r="J128" s="311">
        <f t="shared" si="21"/>
        <v>22219974.860000003</v>
      </c>
    </row>
    <row r="129" spans="1:10" hidden="1" outlineLevel="2" x14ac:dyDescent="0.35">
      <c r="A129" s="302"/>
      <c r="B129" s="492"/>
      <c r="C129" s="485"/>
      <c r="D129" s="224" t="s">
        <v>119</v>
      </c>
      <c r="E129" s="275">
        <v>5</v>
      </c>
      <c r="F129" s="275">
        <v>5</v>
      </c>
      <c r="G129" s="275">
        <v>9054251.6400000006</v>
      </c>
      <c r="H129" s="275">
        <v>3827097.54</v>
      </c>
      <c r="I129" s="219">
        <v>2705701.3</v>
      </c>
      <c r="J129" s="311">
        <v>905424.80999999982</v>
      </c>
    </row>
    <row r="130" spans="1:10" hidden="1" outlineLevel="2" x14ac:dyDescent="0.35">
      <c r="A130" s="302"/>
      <c r="B130" s="492"/>
      <c r="C130" s="485"/>
      <c r="D130" s="223" t="s">
        <v>118</v>
      </c>
      <c r="E130" s="275">
        <v>8</v>
      </c>
      <c r="F130" s="275">
        <v>8</v>
      </c>
      <c r="G130" s="275">
        <v>10327612.239999998</v>
      </c>
      <c r="H130" s="275">
        <v>4468024.18</v>
      </c>
      <c r="I130" s="219">
        <v>3528327.1100000003</v>
      </c>
      <c r="J130" s="311">
        <v>797966.74</v>
      </c>
    </row>
    <row r="131" spans="1:10" hidden="1" outlineLevel="2" x14ac:dyDescent="0.35">
      <c r="A131" s="302"/>
      <c r="B131" s="492"/>
      <c r="C131" s="485"/>
      <c r="D131" s="223" t="s">
        <v>117</v>
      </c>
      <c r="E131" s="275">
        <v>4</v>
      </c>
      <c r="F131" s="275">
        <v>4</v>
      </c>
      <c r="G131" s="275">
        <v>6321024.6100000003</v>
      </c>
      <c r="H131" s="275">
        <v>2922508.04</v>
      </c>
      <c r="I131" s="219">
        <v>2444465.75</v>
      </c>
      <c r="J131" s="311">
        <v>478042.29000000004</v>
      </c>
    </row>
    <row r="132" spans="1:10" hidden="1" outlineLevel="2" x14ac:dyDescent="0.35">
      <c r="A132" s="302"/>
      <c r="B132" s="492"/>
      <c r="C132" s="485"/>
      <c r="D132" s="223" t="s">
        <v>116</v>
      </c>
      <c r="E132" s="275">
        <v>2</v>
      </c>
      <c r="F132" s="275">
        <v>2</v>
      </c>
      <c r="G132" s="275">
        <v>9063949.5399999991</v>
      </c>
      <c r="H132" s="275">
        <v>4531974.8</v>
      </c>
      <c r="I132" s="219">
        <v>3601091</v>
      </c>
      <c r="J132" s="311">
        <v>930883.8</v>
      </c>
    </row>
    <row r="133" spans="1:10" hidden="1" outlineLevel="2" x14ac:dyDescent="0.35">
      <c r="A133" s="302"/>
      <c r="B133" s="492"/>
      <c r="C133" s="485"/>
      <c r="D133" s="224" t="s">
        <v>114</v>
      </c>
      <c r="E133" s="275">
        <v>8</v>
      </c>
      <c r="F133" s="275">
        <v>8</v>
      </c>
      <c r="G133" s="275">
        <v>10340371.279999999</v>
      </c>
      <c r="H133" s="275">
        <v>4790515.21</v>
      </c>
      <c r="I133" s="219">
        <v>3867601.58</v>
      </c>
      <c r="J133" s="311">
        <v>817520.35000000009</v>
      </c>
    </row>
    <row r="134" spans="1:10" hidden="1" outlineLevel="2" x14ac:dyDescent="0.35">
      <c r="A134" s="302"/>
      <c r="B134" s="492"/>
      <c r="C134" s="485"/>
      <c r="D134" s="223" t="s">
        <v>113</v>
      </c>
      <c r="E134" s="275">
        <v>37</v>
      </c>
      <c r="F134" s="275">
        <v>37</v>
      </c>
      <c r="G134" s="275">
        <v>49816989.029999994</v>
      </c>
      <c r="H134" s="275">
        <v>24048693.56000001</v>
      </c>
      <c r="I134" s="219">
        <v>17807446.879999999</v>
      </c>
      <c r="J134" s="311">
        <v>4409613.709999999</v>
      </c>
    </row>
    <row r="135" spans="1:10" hidden="1" outlineLevel="2" x14ac:dyDescent="0.35">
      <c r="A135" s="302"/>
      <c r="B135" s="492"/>
      <c r="C135" s="485"/>
      <c r="D135" s="223" t="s">
        <v>112</v>
      </c>
      <c r="E135" s="275">
        <v>19</v>
      </c>
      <c r="F135" s="275">
        <v>18</v>
      </c>
      <c r="G135" s="275">
        <v>29754047.260000005</v>
      </c>
      <c r="H135" s="275">
        <v>14035285.749999998</v>
      </c>
      <c r="I135" s="219">
        <v>10879605.560000001</v>
      </c>
      <c r="J135" s="311">
        <v>2484148.5299999998</v>
      </c>
    </row>
    <row r="136" spans="1:10" hidden="1" outlineLevel="2" x14ac:dyDescent="0.35">
      <c r="A136" s="302"/>
      <c r="B136" s="492"/>
      <c r="C136" s="485"/>
      <c r="D136" s="223" t="s">
        <v>111</v>
      </c>
      <c r="E136" s="275">
        <v>0</v>
      </c>
      <c r="F136" s="275">
        <v>0</v>
      </c>
      <c r="G136" s="275">
        <v>0</v>
      </c>
      <c r="H136" s="275">
        <v>0</v>
      </c>
      <c r="I136" s="219">
        <v>0</v>
      </c>
      <c r="J136" s="311">
        <v>0</v>
      </c>
    </row>
    <row r="137" spans="1:10" hidden="1" outlineLevel="2" x14ac:dyDescent="0.35">
      <c r="A137" s="302"/>
      <c r="B137" s="492"/>
      <c r="C137" s="485"/>
      <c r="D137" s="222" t="s">
        <v>109</v>
      </c>
      <c r="E137" s="275">
        <v>2</v>
      </c>
      <c r="F137" s="275">
        <v>2</v>
      </c>
      <c r="G137" s="275">
        <v>3526253.5</v>
      </c>
      <c r="H137" s="275">
        <v>1410501.4</v>
      </c>
      <c r="I137" s="219">
        <v>913880</v>
      </c>
      <c r="J137" s="311">
        <v>292287.40000000002</v>
      </c>
    </row>
    <row r="138" spans="1:10" hidden="1" outlineLevel="2" x14ac:dyDescent="0.35">
      <c r="A138" s="302"/>
      <c r="B138" s="492"/>
      <c r="C138" s="485"/>
      <c r="D138" s="222" t="s">
        <v>108</v>
      </c>
      <c r="E138" s="275">
        <v>2</v>
      </c>
      <c r="F138" s="275">
        <v>2</v>
      </c>
      <c r="G138" s="275">
        <v>3930831</v>
      </c>
      <c r="H138" s="275">
        <v>1331332.2</v>
      </c>
      <c r="I138" s="219">
        <v>939203</v>
      </c>
      <c r="J138" s="311">
        <v>392129.2</v>
      </c>
    </row>
    <row r="139" spans="1:10" hidden="1" outlineLevel="2" x14ac:dyDescent="0.35">
      <c r="A139" s="302"/>
      <c r="B139" s="492"/>
      <c r="C139" s="485"/>
      <c r="D139" s="222" t="s">
        <v>107</v>
      </c>
      <c r="E139" s="275">
        <v>2</v>
      </c>
      <c r="F139" s="275">
        <v>1</v>
      </c>
      <c r="G139" s="275">
        <v>2515268.7000000002</v>
      </c>
      <c r="H139" s="275">
        <v>1006107.52</v>
      </c>
      <c r="I139" s="219">
        <v>754580.99</v>
      </c>
      <c r="J139" s="311">
        <v>251526.44</v>
      </c>
    </row>
    <row r="140" spans="1:10" hidden="1" outlineLevel="2" x14ac:dyDescent="0.35">
      <c r="A140" s="302"/>
      <c r="B140" s="492"/>
      <c r="C140" s="485"/>
      <c r="D140" s="222" t="s">
        <v>106</v>
      </c>
      <c r="E140" s="275">
        <v>0</v>
      </c>
      <c r="F140" s="275">
        <v>0</v>
      </c>
      <c r="G140" s="275">
        <v>0</v>
      </c>
      <c r="H140" s="275">
        <v>0</v>
      </c>
      <c r="I140" s="219">
        <v>0</v>
      </c>
      <c r="J140" s="311">
        <v>0</v>
      </c>
    </row>
    <row r="141" spans="1:10" hidden="1" outlineLevel="2" x14ac:dyDescent="0.35">
      <c r="A141" s="302"/>
      <c r="B141" s="492"/>
      <c r="C141" s="485"/>
      <c r="D141" s="222" t="s">
        <v>104</v>
      </c>
      <c r="E141" s="275">
        <v>2</v>
      </c>
      <c r="F141" s="275">
        <v>2</v>
      </c>
      <c r="G141" s="275">
        <v>4795613.07</v>
      </c>
      <c r="H141" s="275">
        <v>1676295.03</v>
      </c>
      <c r="I141" s="219">
        <v>1194751.21</v>
      </c>
      <c r="J141" s="311">
        <v>479561.31</v>
      </c>
    </row>
    <row r="142" spans="1:10" hidden="1" outlineLevel="2" x14ac:dyDescent="0.35">
      <c r="A142" s="302"/>
      <c r="B142" s="492"/>
      <c r="C142" s="485"/>
      <c r="D142" s="222" t="s">
        <v>103</v>
      </c>
      <c r="E142" s="275">
        <v>3</v>
      </c>
      <c r="F142" s="275">
        <v>3</v>
      </c>
      <c r="G142" s="275">
        <v>5527940.6399999997</v>
      </c>
      <c r="H142" s="275">
        <v>2211176.2800000003</v>
      </c>
      <c r="I142" s="219">
        <v>1311386.04</v>
      </c>
      <c r="J142" s="311">
        <v>517794.07</v>
      </c>
    </row>
    <row r="143" spans="1:10" hidden="1" outlineLevel="2" x14ac:dyDescent="0.35">
      <c r="A143" s="302"/>
      <c r="B143" s="492"/>
      <c r="C143" s="485"/>
      <c r="D143" s="222" t="s">
        <v>102</v>
      </c>
      <c r="E143" s="275">
        <v>2</v>
      </c>
      <c r="F143" s="275">
        <v>2</v>
      </c>
      <c r="G143" s="275">
        <v>2887754.86</v>
      </c>
      <c r="H143" s="275">
        <v>889832.74</v>
      </c>
      <c r="I143" s="219">
        <v>601070.01</v>
      </c>
      <c r="J143" s="311">
        <v>288762.73</v>
      </c>
    </row>
    <row r="144" spans="1:10" hidden="1" outlineLevel="2" x14ac:dyDescent="0.35">
      <c r="A144" s="302"/>
      <c r="B144" s="492"/>
      <c r="C144" s="485"/>
      <c r="D144" s="222" t="s">
        <v>101</v>
      </c>
      <c r="E144" s="275">
        <v>0</v>
      </c>
      <c r="F144" s="275">
        <v>0</v>
      </c>
      <c r="G144" s="275">
        <v>0</v>
      </c>
      <c r="H144" s="275">
        <v>0</v>
      </c>
      <c r="I144" s="219">
        <v>0</v>
      </c>
      <c r="J144" s="311">
        <v>0</v>
      </c>
    </row>
    <row r="145" spans="1:10" hidden="1" outlineLevel="2" x14ac:dyDescent="0.35">
      <c r="A145" s="302"/>
      <c r="B145" s="492"/>
      <c r="C145" s="485"/>
      <c r="D145" s="223" t="s">
        <v>99</v>
      </c>
      <c r="E145" s="275">
        <v>3</v>
      </c>
      <c r="F145" s="275">
        <v>3</v>
      </c>
      <c r="G145" s="275">
        <v>6480861.8200000003</v>
      </c>
      <c r="H145" s="275">
        <v>2198323.09</v>
      </c>
      <c r="I145" s="219">
        <v>1551073.19</v>
      </c>
      <c r="J145" s="311">
        <v>647220.93999999994</v>
      </c>
    </row>
    <row r="146" spans="1:10" hidden="1" outlineLevel="2" x14ac:dyDescent="0.35">
      <c r="A146" s="302"/>
      <c r="B146" s="492"/>
      <c r="C146" s="485"/>
      <c r="D146" s="223" t="s">
        <v>98</v>
      </c>
      <c r="E146" s="275">
        <v>2</v>
      </c>
      <c r="F146" s="275">
        <v>2</v>
      </c>
      <c r="G146" s="275">
        <v>4032074.58</v>
      </c>
      <c r="H146" s="275">
        <v>1612829.84</v>
      </c>
      <c r="I146" s="219">
        <v>1210088.3500000001</v>
      </c>
      <c r="J146" s="311">
        <v>402741.49</v>
      </c>
    </row>
    <row r="147" spans="1:10" hidden="1" outlineLevel="2" x14ac:dyDescent="0.35">
      <c r="A147" s="302"/>
      <c r="B147" s="492"/>
      <c r="C147" s="485"/>
      <c r="D147" s="223" t="s">
        <v>97</v>
      </c>
      <c r="E147" s="275">
        <v>1</v>
      </c>
      <c r="F147" s="275">
        <v>1</v>
      </c>
      <c r="G147" s="275">
        <v>1572714.89</v>
      </c>
      <c r="H147" s="275">
        <v>629085.96</v>
      </c>
      <c r="I147" s="219">
        <v>472041</v>
      </c>
      <c r="J147" s="311">
        <v>157044.96</v>
      </c>
    </row>
    <row r="148" spans="1:10" hidden="1" outlineLevel="2" x14ac:dyDescent="0.35">
      <c r="A148" s="302"/>
      <c r="B148" s="492"/>
      <c r="C148" s="485"/>
      <c r="D148" s="223" t="s">
        <v>96</v>
      </c>
      <c r="E148" s="275">
        <v>3</v>
      </c>
      <c r="F148" s="275">
        <v>3</v>
      </c>
      <c r="G148" s="275">
        <v>9305658.0500000007</v>
      </c>
      <c r="H148" s="275">
        <v>3206790.91</v>
      </c>
      <c r="I148" s="219">
        <v>2276249.2999999998</v>
      </c>
      <c r="J148" s="311">
        <v>930541.61</v>
      </c>
    </row>
    <row r="149" spans="1:10" hidden="1" outlineLevel="2" x14ac:dyDescent="0.35">
      <c r="A149" s="302"/>
      <c r="B149" s="492"/>
      <c r="C149" s="485"/>
      <c r="D149" s="223" t="s">
        <v>94</v>
      </c>
      <c r="E149" s="275">
        <v>6</v>
      </c>
      <c r="F149" s="275">
        <v>5</v>
      </c>
      <c r="G149" s="275">
        <v>21444206.699999999</v>
      </c>
      <c r="H149" s="275">
        <v>8379588.04</v>
      </c>
      <c r="I149" s="219">
        <v>6777914.54</v>
      </c>
      <c r="J149" s="311">
        <v>1601017.02</v>
      </c>
    </row>
    <row r="150" spans="1:10" hidden="1" outlineLevel="2" x14ac:dyDescent="0.35">
      <c r="A150" s="302"/>
      <c r="B150" s="492"/>
      <c r="C150" s="485"/>
      <c r="D150" s="223" t="s">
        <v>93</v>
      </c>
      <c r="E150" s="275">
        <v>2</v>
      </c>
      <c r="F150" s="275">
        <v>2</v>
      </c>
      <c r="G150" s="275">
        <v>2688072.5</v>
      </c>
      <c r="H150" s="275">
        <v>1075229</v>
      </c>
      <c r="I150" s="219">
        <v>823173</v>
      </c>
      <c r="J150" s="311">
        <v>130575.25</v>
      </c>
    </row>
    <row r="151" spans="1:10" hidden="1" outlineLevel="2" x14ac:dyDescent="0.35">
      <c r="A151" s="302"/>
      <c r="B151" s="492"/>
      <c r="C151" s="485"/>
      <c r="D151" s="223" t="s">
        <v>92</v>
      </c>
      <c r="E151" s="275">
        <v>2</v>
      </c>
      <c r="F151" s="275">
        <v>2</v>
      </c>
      <c r="G151" s="275">
        <v>2787537.5</v>
      </c>
      <c r="H151" s="275">
        <v>1115015</v>
      </c>
      <c r="I151" s="219">
        <v>864778</v>
      </c>
      <c r="J151" s="311">
        <v>128756.25</v>
      </c>
    </row>
    <row r="152" spans="1:10" hidden="1" outlineLevel="2" x14ac:dyDescent="0.35">
      <c r="A152" s="302"/>
      <c r="B152" s="492"/>
      <c r="C152" s="485"/>
      <c r="D152" s="223" t="s">
        <v>91</v>
      </c>
      <c r="E152" s="275">
        <v>9</v>
      </c>
      <c r="F152" s="275">
        <v>7</v>
      </c>
      <c r="G152" s="275">
        <v>17990148.75</v>
      </c>
      <c r="H152" s="275">
        <v>5954045.6600000001</v>
      </c>
      <c r="I152" s="219">
        <v>4268661.91</v>
      </c>
      <c r="J152" s="311">
        <v>1409075.75</v>
      </c>
    </row>
    <row r="153" spans="1:10" hidden="1" outlineLevel="2" x14ac:dyDescent="0.35">
      <c r="A153" s="302"/>
      <c r="B153" s="492"/>
      <c r="C153" s="485"/>
      <c r="D153" s="223" t="s">
        <v>89</v>
      </c>
      <c r="E153" s="275">
        <v>17</v>
      </c>
      <c r="F153" s="275">
        <v>17</v>
      </c>
      <c r="G153" s="275">
        <v>23978911.510000002</v>
      </c>
      <c r="H153" s="275">
        <v>9317137</v>
      </c>
      <c r="I153" s="219">
        <v>7614511.3599999994</v>
      </c>
      <c r="J153" s="311">
        <v>1700430.76</v>
      </c>
    </row>
    <row r="154" spans="1:10" hidden="1" outlineLevel="2" x14ac:dyDescent="0.35">
      <c r="A154" s="302"/>
      <c r="B154" s="492"/>
      <c r="C154" s="485"/>
      <c r="D154" s="223" t="s">
        <v>88</v>
      </c>
      <c r="E154" s="275">
        <v>3</v>
      </c>
      <c r="F154" s="275">
        <v>2</v>
      </c>
      <c r="G154" s="275">
        <v>9244532.9800000004</v>
      </c>
      <c r="H154" s="275">
        <v>3697813.2</v>
      </c>
      <c r="I154" s="219">
        <v>2773362</v>
      </c>
      <c r="J154" s="311">
        <v>924451.20000000007</v>
      </c>
    </row>
    <row r="155" spans="1:10" hidden="1" outlineLevel="2" x14ac:dyDescent="0.35">
      <c r="A155" s="302"/>
      <c r="B155" s="492"/>
      <c r="C155" s="485"/>
      <c r="D155" s="223" t="s">
        <v>87</v>
      </c>
      <c r="E155" s="275">
        <v>3</v>
      </c>
      <c r="F155" s="275">
        <v>3</v>
      </c>
      <c r="G155" s="275">
        <v>3883589.13</v>
      </c>
      <c r="H155" s="275">
        <v>1553435.64</v>
      </c>
      <c r="I155" s="219">
        <v>1316332.43</v>
      </c>
      <c r="J155" s="311">
        <v>237103.21</v>
      </c>
    </row>
    <row r="156" spans="1:10" hidden="1" outlineLevel="2" x14ac:dyDescent="0.35">
      <c r="A156" s="302"/>
      <c r="B156" s="492"/>
      <c r="C156" s="485"/>
      <c r="D156" s="223" t="s">
        <v>86</v>
      </c>
      <c r="E156" s="275">
        <v>4</v>
      </c>
      <c r="F156" s="275">
        <v>4</v>
      </c>
      <c r="G156" s="275">
        <v>5116019.1500000004</v>
      </c>
      <c r="H156" s="275">
        <v>1924206.5999999999</v>
      </c>
      <c r="I156" s="219">
        <v>1279712.1400000001</v>
      </c>
      <c r="J156" s="311">
        <v>511601.02999999997</v>
      </c>
    </row>
    <row r="157" spans="1:10" hidden="1" outlineLevel="2" x14ac:dyDescent="0.35">
      <c r="A157" s="302"/>
      <c r="B157" s="492"/>
      <c r="C157" s="485"/>
      <c r="D157" s="223" t="s">
        <v>84</v>
      </c>
      <c r="E157" s="275">
        <v>1</v>
      </c>
      <c r="F157" s="275">
        <v>1</v>
      </c>
      <c r="G157" s="275">
        <v>1526179.82</v>
      </c>
      <c r="H157" s="275">
        <v>457853.94</v>
      </c>
      <c r="I157" s="219">
        <v>315688.57</v>
      </c>
      <c r="J157" s="311">
        <v>142165.37</v>
      </c>
    </row>
    <row r="158" spans="1:10" hidden="1" outlineLevel="2" x14ac:dyDescent="0.35">
      <c r="A158" s="302"/>
      <c r="B158" s="492"/>
      <c r="C158" s="485"/>
      <c r="D158" s="223" t="s">
        <v>83</v>
      </c>
      <c r="E158" s="275">
        <v>1</v>
      </c>
      <c r="F158" s="275">
        <v>1</v>
      </c>
      <c r="G158" s="275">
        <v>1429272.33</v>
      </c>
      <c r="H158" s="275">
        <v>428781.69</v>
      </c>
      <c r="I158" s="219">
        <v>420690</v>
      </c>
      <c r="J158" s="311">
        <v>8091.69</v>
      </c>
    </row>
    <row r="159" spans="1:10" hidden="1" outlineLevel="2" x14ac:dyDescent="0.35">
      <c r="A159" s="302"/>
      <c r="B159" s="492"/>
      <c r="C159" s="485"/>
      <c r="D159" s="223" t="s">
        <v>82</v>
      </c>
      <c r="E159" s="275">
        <v>0</v>
      </c>
      <c r="F159" s="275">
        <v>0</v>
      </c>
      <c r="G159" s="275">
        <v>0</v>
      </c>
      <c r="H159" s="275">
        <v>0</v>
      </c>
      <c r="I159" s="219">
        <v>0</v>
      </c>
      <c r="J159" s="311">
        <v>0</v>
      </c>
    </row>
    <row r="160" spans="1:10" hidden="1" outlineLevel="2" x14ac:dyDescent="0.35">
      <c r="A160" s="302"/>
      <c r="B160" s="492"/>
      <c r="C160" s="485"/>
      <c r="D160" s="223" t="s">
        <v>81</v>
      </c>
      <c r="E160" s="275">
        <v>0</v>
      </c>
      <c r="F160" s="275">
        <v>0</v>
      </c>
      <c r="G160" s="275">
        <v>0</v>
      </c>
      <c r="H160" s="275">
        <v>0</v>
      </c>
      <c r="I160" s="219">
        <v>0</v>
      </c>
      <c r="J160" s="311">
        <v>0</v>
      </c>
    </row>
    <row r="161" spans="1:10" hidden="1" outlineLevel="2" x14ac:dyDescent="0.35">
      <c r="A161" s="302"/>
      <c r="B161" s="492"/>
      <c r="C161" s="485"/>
      <c r="D161" s="223" t="s">
        <v>79</v>
      </c>
      <c r="E161" s="275">
        <v>2</v>
      </c>
      <c r="F161" s="275">
        <v>2</v>
      </c>
      <c r="G161" s="275">
        <v>3299100.74</v>
      </c>
      <c r="H161" s="275">
        <v>515966.95</v>
      </c>
      <c r="I161" s="219">
        <v>0</v>
      </c>
      <c r="J161" s="311">
        <v>243496.95</v>
      </c>
    </row>
    <row r="162" spans="1:10" hidden="1" outlineLevel="2" x14ac:dyDescent="0.35">
      <c r="A162" s="302"/>
      <c r="B162" s="492"/>
      <c r="C162" s="485"/>
      <c r="D162" s="223" t="s">
        <v>78</v>
      </c>
      <c r="E162" s="275">
        <v>0</v>
      </c>
      <c r="F162" s="275">
        <v>0</v>
      </c>
      <c r="G162" s="275">
        <v>0</v>
      </c>
      <c r="H162" s="275">
        <v>0</v>
      </c>
      <c r="I162" s="219">
        <v>0</v>
      </c>
      <c r="J162" s="311">
        <v>0</v>
      </c>
    </row>
    <row r="163" spans="1:10" outlineLevel="1" collapsed="1" x14ac:dyDescent="0.35">
      <c r="A163" s="302"/>
      <c r="B163" s="492"/>
      <c r="C163" s="485"/>
      <c r="D163" s="221" t="s">
        <v>77</v>
      </c>
      <c r="E163" s="275">
        <f t="shared" ref="E163:J163" si="22">SUM(E164:E185)</f>
        <v>64</v>
      </c>
      <c r="F163" s="275">
        <f t="shared" si="22"/>
        <v>63</v>
      </c>
      <c r="G163" s="275">
        <f t="shared" si="22"/>
        <v>108789913.92999999</v>
      </c>
      <c r="H163" s="275">
        <f t="shared" si="22"/>
        <v>34642186.149999991</v>
      </c>
      <c r="I163" s="219">
        <f t="shared" si="22"/>
        <v>25884074.760000002</v>
      </c>
      <c r="J163" s="311">
        <f t="shared" si="22"/>
        <v>8089888.8300000001</v>
      </c>
    </row>
    <row r="164" spans="1:10" hidden="1" outlineLevel="2" x14ac:dyDescent="0.35">
      <c r="A164" s="302"/>
      <c r="B164" s="492"/>
      <c r="C164" s="485"/>
      <c r="D164" s="222" t="s">
        <v>75</v>
      </c>
      <c r="E164" s="275">
        <v>3</v>
      </c>
      <c r="F164" s="275">
        <v>3</v>
      </c>
      <c r="G164" s="275">
        <v>5678118.5999999996</v>
      </c>
      <c r="H164" s="275">
        <v>1611233.55</v>
      </c>
      <c r="I164" s="219">
        <v>1077666.3500000001</v>
      </c>
      <c r="J164" s="311">
        <v>533567.19999999995</v>
      </c>
    </row>
    <row r="165" spans="1:10" hidden="1" outlineLevel="2" x14ac:dyDescent="0.35">
      <c r="A165" s="302"/>
      <c r="B165" s="492"/>
      <c r="C165" s="485"/>
      <c r="D165" s="222" t="s">
        <v>74</v>
      </c>
      <c r="E165" s="275">
        <v>2</v>
      </c>
      <c r="F165" s="275">
        <v>2</v>
      </c>
      <c r="G165" s="275">
        <v>2596599.54</v>
      </c>
      <c r="H165" s="275">
        <v>902153.42</v>
      </c>
      <c r="I165" s="219">
        <v>519295.75</v>
      </c>
      <c r="J165" s="311">
        <v>259657.71000000002</v>
      </c>
    </row>
    <row r="166" spans="1:10" hidden="1" outlineLevel="2" x14ac:dyDescent="0.35">
      <c r="A166" s="302"/>
      <c r="B166" s="492"/>
      <c r="C166" s="485"/>
      <c r="D166" s="222" t="s">
        <v>73</v>
      </c>
      <c r="E166" s="275">
        <v>5</v>
      </c>
      <c r="F166" s="275">
        <v>5</v>
      </c>
      <c r="G166" s="275">
        <v>10445696.93</v>
      </c>
      <c r="H166" s="275">
        <v>4178278.7199999997</v>
      </c>
      <c r="I166" s="219">
        <v>3281545.51</v>
      </c>
      <c r="J166" s="311">
        <v>896672.77</v>
      </c>
    </row>
    <row r="167" spans="1:10" hidden="1" outlineLevel="2" x14ac:dyDescent="0.35">
      <c r="A167" s="302"/>
      <c r="B167" s="492"/>
      <c r="C167" s="485"/>
      <c r="D167" s="222" t="s">
        <v>72</v>
      </c>
      <c r="E167" s="275">
        <v>1</v>
      </c>
      <c r="F167" s="275">
        <v>1</v>
      </c>
      <c r="G167" s="275">
        <v>2667334.5699999998</v>
      </c>
      <c r="H167" s="275">
        <v>1066933.8400000001</v>
      </c>
      <c r="I167" s="219">
        <v>996340.7</v>
      </c>
      <c r="J167" s="311">
        <v>70593.14</v>
      </c>
    </row>
    <row r="168" spans="1:10" hidden="1" outlineLevel="2" x14ac:dyDescent="0.35">
      <c r="A168" s="302"/>
      <c r="B168" s="492"/>
      <c r="C168" s="485"/>
      <c r="D168" s="222" t="s">
        <v>70</v>
      </c>
      <c r="E168" s="275">
        <v>6</v>
      </c>
      <c r="F168" s="275">
        <v>6</v>
      </c>
      <c r="G168" s="275">
        <v>9893440.6600000001</v>
      </c>
      <c r="H168" s="275">
        <v>3426254.83</v>
      </c>
      <c r="I168" s="219">
        <v>2371497.2999999998</v>
      </c>
      <c r="J168" s="311">
        <v>777576.74</v>
      </c>
    </row>
    <row r="169" spans="1:10" hidden="1" outlineLevel="2" x14ac:dyDescent="0.35">
      <c r="A169" s="302"/>
      <c r="B169" s="492"/>
      <c r="C169" s="485"/>
      <c r="D169" s="222" t="s">
        <v>69</v>
      </c>
      <c r="E169" s="275">
        <v>12</v>
      </c>
      <c r="F169" s="275">
        <v>12</v>
      </c>
      <c r="G169" s="275">
        <v>20493922.209999997</v>
      </c>
      <c r="H169" s="275">
        <v>7680910.3699999992</v>
      </c>
      <c r="I169" s="219">
        <v>5931809.6300000008</v>
      </c>
      <c r="J169" s="311">
        <v>1715670.19</v>
      </c>
    </row>
    <row r="170" spans="1:10" hidden="1" outlineLevel="2" x14ac:dyDescent="0.35">
      <c r="A170" s="302"/>
      <c r="B170" s="492"/>
      <c r="C170" s="485"/>
      <c r="D170" s="222" t="s">
        <v>68</v>
      </c>
      <c r="E170" s="275">
        <v>3</v>
      </c>
      <c r="F170" s="275">
        <v>3</v>
      </c>
      <c r="G170" s="275">
        <v>4347298.3699999992</v>
      </c>
      <c r="H170" s="275">
        <v>1738919.32</v>
      </c>
      <c r="I170" s="219">
        <v>1525378.5699999998</v>
      </c>
      <c r="J170" s="311">
        <v>163537.70000000001</v>
      </c>
    </row>
    <row r="171" spans="1:10" hidden="1" outlineLevel="2" x14ac:dyDescent="0.35">
      <c r="A171" s="302"/>
      <c r="B171" s="492"/>
      <c r="C171" s="485"/>
      <c r="D171" s="222" t="s">
        <v>67</v>
      </c>
      <c r="E171" s="275">
        <v>0</v>
      </c>
      <c r="F171" s="275">
        <v>0</v>
      </c>
      <c r="G171" s="275">
        <v>0</v>
      </c>
      <c r="H171" s="275">
        <v>0</v>
      </c>
      <c r="I171" s="219">
        <v>0</v>
      </c>
      <c r="J171" s="311">
        <v>0</v>
      </c>
    </row>
    <row r="172" spans="1:10" hidden="1" outlineLevel="2" x14ac:dyDescent="0.35">
      <c r="A172" s="302"/>
      <c r="B172" s="492"/>
      <c r="C172" s="485"/>
      <c r="D172" s="222" t="s">
        <v>65</v>
      </c>
      <c r="E172" s="275">
        <v>1</v>
      </c>
      <c r="F172" s="275">
        <v>1</v>
      </c>
      <c r="G172" s="275">
        <v>2207142.9700000002</v>
      </c>
      <c r="H172" s="275">
        <v>662142.9</v>
      </c>
      <c r="I172" s="219">
        <v>593393.56000000006</v>
      </c>
      <c r="J172" s="311">
        <v>68749.34</v>
      </c>
    </row>
    <row r="173" spans="1:10" hidden="1" outlineLevel="2" x14ac:dyDescent="0.35">
      <c r="A173" s="302"/>
      <c r="B173" s="492"/>
      <c r="C173" s="485"/>
      <c r="D173" s="222" t="s">
        <v>64</v>
      </c>
      <c r="E173" s="275">
        <v>9</v>
      </c>
      <c r="F173" s="275">
        <v>8</v>
      </c>
      <c r="G173" s="275">
        <v>14410313.67</v>
      </c>
      <c r="H173" s="275">
        <v>4323094.1099999994</v>
      </c>
      <c r="I173" s="219">
        <v>3392108.71</v>
      </c>
      <c r="J173" s="311">
        <v>930985.04</v>
      </c>
    </row>
    <row r="174" spans="1:10" hidden="1" outlineLevel="2" x14ac:dyDescent="0.35">
      <c r="A174" s="302"/>
      <c r="B174" s="492"/>
      <c r="C174" s="485"/>
      <c r="D174" s="222" t="s">
        <v>63</v>
      </c>
      <c r="E174" s="275">
        <v>0</v>
      </c>
      <c r="F174" s="275">
        <v>0</v>
      </c>
      <c r="G174" s="275">
        <v>0</v>
      </c>
      <c r="H174" s="275">
        <v>0</v>
      </c>
      <c r="I174" s="219">
        <v>0</v>
      </c>
      <c r="J174" s="311">
        <v>0</v>
      </c>
    </row>
    <row r="175" spans="1:10" hidden="1" outlineLevel="2" x14ac:dyDescent="0.35">
      <c r="A175" s="302"/>
      <c r="B175" s="492"/>
      <c r="C175" s="485"/>
      <c r="D175" s="222" t="s">
        <v>62</v>
      </c>
      <c r="E175" s="275">
        <v>0</v>
      </c>
      <c r="F175" s="275">
        <v>0</v>
      </c>
      <c r="G175" s="275">
        <v>0</v>
      </c>
      <c r="H175" s="275">
        <v>0</v>
      </c>
      <c r="I175" s="219">
        <v>0</v>
      </c>
      <c r="J175" s="311">
        <v>0</v>
      </c>
    </row>
    <row r="176" spans="1:10" hidden="1" outlineLevel="2" x14ac:dyDescent="0.35">
      <c r="A176" s="302"/>
      <c r="B176" s="492"/>
      <c r="C176" s="485"/>
      <c r="D176" s="222" t="s">
        <v>60</v>
      </c>
      <c r="E176" s="275">
        <v>5</v>
      </c>
      <c r="F176" s="275">
        <v>5</v>
      </c>
      <c r="G176" s="275">
        <v>9081867.6499999985</v>
      </c>
      <c r="H176" s="275">
        <v>2534666.33</v>
      </c>
      <c r="I176" s="219">
        <v>2010006.02</v>
      </c>
      <c r="J176" s="311">
        <v>524660.30999999994</v>
      </c>
    </row>
    <row r="177" spans="1:10" hidden="1" outlineLevel="2" x14ac:dyDescent="0.35">
      <c r="A177" s="302"/>
      <c r="B177" s="492"/>
      <c r="C177" s="485"/>
      <c r="D177" s="222" t="s">
        <v>59</v>
      </c>
      <c r="E177" s="275">
        <v>5</v>
      </c>
      <c r="F177" s="275">
        <v>5</v>
      </c>
      <c r="G177" s="275">
        <v>7690869</v>
      </c>
      <c r="H177" s="275">
        <v>2307260.73</v>
      </c>
      <c r="I177" s="219">
        <v>1408792.08</v>
      </c>
      <c r="J177" s="311">
        <v>760696.4</v>
      </c>
    </row>
    <row r="178" spans="1:10" hidden="1" outlineLevel="2" x14ac:dyDescent="0.35">
      <c r="A178" s="302"/>
      <c r="B178" s="492"/>
      <c r="C178" s="485"/>
      <c r="D178" s="222" t="s">
        <v>58</v>
      </c>
      <c r="E178" s="275">
        <v>4</v>
      </c>
      <c r="F178" s="275">
        <v>4</v>
      </c>
      <c r="G178" s="275">
        <v>7646334.5</v>
      </c>
      <c r="H178" s="275">
        <v>1713582.4</v>
      </c>
      <c r="I178" s="219">
        <v>1013171.03</v>
      </c>
      <c r="J178" s="311">
        <v>654335.85</v>
      </c>
    </row>
    <row r="179" spans="1:10" hidden="1" outlineLevel="2" x14ac:dyDescent="0.35">
      <c r="A179" s="302"/>
      <c r="B179" s="492"/>
      <c r="C179" s="485"/>
      <c r="D179" s="222" t="s">
        <v>57</v>
      </c>
      <c r="E179" s="275">
        <v>0</v>
      </c>
      <c r="F179" s="275">
        <v>0</v>
      </c>
      <c r="G179" s="275">
        <v>0</v>
      </c>
      <c r="H179" s="275">
        <v>0</v>
      </c>
      <c r="I179" s="219">
        <v>0</v>
      </c>
      <c r="J179" s="311">
        <v>0</v>
      </c>
    </row>
    <row r="180" spans="1:10" hidden="1" outlineLevel="2" x14ac:dyDescent="0.35">
      <c r="A180" s="302"/>
      <c r="B180" s="492"/>
      <c r="C180" s="485"/>
      <c r="D180" s="222" t="s">
        <v>55</v>
      </c>
      <c r="E180" s="275">
        <v>0</v>
      </c>
      <c r="F180" s="275">
        <v>0</v>
      </c>
      <c r="G180" s="275">
        <v>0</v>
      </c>
      <c r="H180" s="275">
        <v>0</v>
      </c>
      <c r="I180" s="219">
        <v>0</v>
      </c>
      <c r="J180" s="311">
        <v>0</v>
      </c>
    </row>
    <row r="181" spans="1:10" hidden="1" outlineLevel="2" x14ac:dyDescent="0.35">
      <c r="A181" s="302"/>
      <c r="B181" s="492"/>
      <c r="C181" s="485"/>
      <c r="D181" s="222" t="s">
        <v>54</v>
      </c>
      <c r="E181" s="275">
        <v>5</v>
      </c>
      <c r="F181" s="275">
        <v>5</v>
      </c>
      <c r="G181" s="275">
        <v>7385366.2299999995</v>
      </c>
      <c r="H181" s="275">
        <v>1653366.69</v>
      </c>
      <c r="I181" s="219">
        <v>1083350.44</v>
      </c>
      <c r="J181" s="311">
        <v>569516.6100000001</v>
      </c>
    </row>
    <row r="182" spans="1:10" hidden="1" outlineLevel="2" x14ac:dyDescent="0.35">
      <c r="A182" s="302"/>
      <c r="B182" s="492"/>
      <c r="C182" s="485"/>
      <c r="D182" s="222" t="s">
        <v>53</v>
      </c>
      <c r="E182" s="275">
        <v>0</v>
      </c>
      <c r="F182" s="275">
        <v>0</v>
      </c>
      <c r="G182" s="275">
        <v>0</v>
      </c>
      <c r="H182" s="275">
        <v>0</v>
      </c>
      <c r="I182" s="219">
        <v>0</v>
      </c>
      <c r="J182" s="311">
        <v>0</v>
      </c>
    </row>
    <row r="183" spans="1:10" hidden="1" outlineLevel="2" x14ac:dyDescent="0.35">
      <c r="A183" s="302"/>
      <c r="B183" s="492"/>
      <c r="C183" s="485"/>
      <c r="D183" s="222" t="s">
        <v>52</v>
      </c>
      <c r="E183" s="275">
        <v>0</v>
      </c>
      <c r="F183" s="275">
        <v>0</v>
      </c>
      <c r="G183" s="275">
        <v>0</v>
      </c>
      <c r="H183" s="275">
        <v>0</v>
      </c>
      <c r="I183" s="219">
        <v>0</v>
      </c>
      <c r="J183" s="311">
        <v>0</v>
      </c>
    </row>
    <row r="184" spans="1:10" hidden="1" outlineLevel="2" x14ac:dyDescent="0.35">
      <c r="A184" s="302"/>
      <c r="B184" s="492"/>
      <c r="C184" s="485"/>
      <c r="D184" s="222" t="s">
        <v>50</v>
      </c>
      <c r="E184" s="275">
        <v>3</v>
      </c>
      <c r="F184" s="275">
        <v>3</v>
      </c>
      <c r="G184" s="275">
        <v>4245609.03</v>
      </c>
      <c r="H184" s="275">
        <v>843388.94</v>
      </c>
      <c r="I184" s="219">
        <v>679719.11</v>
      </c>
      <c r="J184" s="311">
        <v>163669.83000000002</v>
      </c>
    </row>
    <row r="185" spans="1:10" hidden="1" outlineLevel="2" x14ac:dyDescent="0.35">
      <c r="A185" s="302"/>
      <c r="B185" s="492"/>
      <c r="C185" s="485"/>
      <c r="D185" s="222" t="s">
        <v>49</v>
      </c>
      <c r="E185" s="275">
        <v>0</v>
      </c>
      <c r="F185" s="275">
        <v>0</v>
      </c>
      <c r="G185" s="275">
        <v>0</v>
      </c>
      <c r="H185" s="275">
        <v>0</v>
      </c>
      <c r="I185" s="219">
        <v>0</v>
      </c>
      <c r="J185" s="311">
        <v>0</v>
      </c>
    </row>
    <row r="186" spans="1:10" x14ac:dyDescent="0.35">
      <c r="A186" s="302"/>
      <c r="B186" s="492"/>
      <c r="C186" s="485"/>
      <c r="D186" s="213" t="s">
        <v>243</v>
      </c>
      <c r="E186" s="295">
        <f t="shared" ref="E186:J186" si="23">SUM(E163,E128,E123)</f>
        <v>230</v>
      </c>
      <c r="F186" s="295">
        <f t="shared" si="23"/>
        <v>223</v>
      </c>
      <c r="G186" s="295">
        <f t="shared" si="23"/>
        <v>534421599.97000003</v>
      </c>
      <c r="H186" s="295">
        <f t="shared" si="23"/>
        <v>194646261.97000003</v>
      </c>
      <c r="I186" s="294">
        <f t="shared" si="23"/>
        <v>145172647.06999999</v>
      </c>
      <c r="J186" s="310">
        <f t="shared" si="23"/>
        <v>44323304.730000004</v>
      </c>
    </row>
    <row r="187" spans="1:10" outlineLevel="1" x14ac:dyDescent="0.35">
      <c r="A187" s="302"/>
      <c r="B187" s="492" t="s">
        <v>242</v>
      </c>
      <c r="C187" s="485" t="s">
        <v>241</v>
      </c>
      <c r="D187" s="221" t="s">
        <v>240</v>
      </c>
      <c r="E187" s="275">
        <f t="shared" ref="E187:J187" si="24">SUM(E188:E190)</f>
        <v>9</v>
      </c>
      <c r="F187" s="275">
        <f t="shared" si="24"/>
        <v>9</v>
      </c>
      <c r="G187" s="275">
        <f t="shared" si="24"/>
        <v>12017539.449999999</v>
      </c>
      <c r="H187" s="275">
        <f t="shared" si="24"/>
        <v>3605261.83</v>
      </c>
      <c r="I187" s="219">
        <f t="shared" si="24"/>
        <v>1013171.03</v>
      </c>
      <c r="J187" s="311">
        <f t="shared" si="24"/>
        <v>1010971.23</v>
      </c>
    </row>
    <row r="188" spans="1:10" ht="15" hidden="1" customHeight="1" outlineLevel="2" x14ac:dyDescent="0.35">
      <c r="A188" s="302"/>
      <c r="B188" s="492"/>
      <c r="C188" s="485"/>
      <c r="D188" s="222" t="s">
        <v>126</v>
      </c>
      <c r="E188" s="275">
        <v>4</v>
      </c>
      <c r="F188" s="275">
        <v>4</v>
      </c>
      <c r="G188" s="275">
        <v>5508642.1699999999</v>
      </c>
      <c r="H188" s="275">
        <v>1652592.63</v>
      </c>
      <c r="I188" s="219">
        <v>1013171.03</v>
      </c>
      <c r="J188" s="311">
        <v>426159.34</v>
      </c>
    </row>
    <row r="189" spans="1:10" ht="15" hidden="1" customHeight="1" outlineLevel="2" x14ac:dyDescent="0.35">
      <c r="A189" s="302"/>
      <c r="B189" s="492"/>
      <c r="C189" s="485"/>
      <c r="D189" s="222" t="s">
        <v>125</v>
      </c>
      <c r="E189" s="275">
        <v>3</v>
      </c>
      <c r="F189" s="275">
        <v>3</v>
      </c>
      <c r="G189" s="275">
        <v>3846830.57</v>
      </c>
      <c r="H189" s="275">
        <v>1154049.1800000002</v>
      </c>
      <c r="I189" s="219">
        <v>0</v>
      </c>
      <c r="J189" s="311">
        <v>379214.07999999996</v>
      </c>
    </row>
    <row r="190" spans="1:10" ht="15" hidden="1" customHeight="1" outlineLevel="2" x14ac:dyDescent="0.35">
      <c r="A190" s="302"/>
      <c r="B190" s="492"/>
      <c r="C190" s="485"/>
      <c r="D190" s="222" t="s">
        <v>124</v>
      </c>
      <c r="E190" s="275">
        <v>2</v>
      </c>
      <c r="F190" s="275">
        <v>2</v>
      </c>
      <c r="G190" s="275">
        <v>2662066.71</v>
      </c>
      <c r="H190" s="275">
        <v>798620.02</v>
      </c>
      <c r="I190" s="219">
        <v>0</v>
      </c>
      <c r="J190" s="311">
        <v>205597.81</v>
      </c>
    </row>
    <row r="191" spans="1:10" outlineLevel="1" collapsed="1" x14ac:dyDescent="0.35">
      <c r="A191" s="302"/>
      <c r="B191" s="492"/>
      <c r="C191" s="485"/>
      <c r="D191" s="221" t="s">
        <v>46</v>
      </c>
      <c r="E191" s="275">
        <f t="shared" ref="E191:J191" si="25">SUM(E192:E195)</f>
        <v>1</v>
      </c>
      <c r="F191" s="275">
        <f t="shared" si="25"/>
        <v>1</v>
      </c>
      <c r="G191" s="275">
        <f t="shared" si="25"/>
        <v>1322497.04</v>
      </c>
      <c r="H191" s="275">
        <f t="shared" si="25"/>
        <v>264499.40000000002</v>
      </c>
      <c r="I191" s="219">
        <f t="shared" si="25"/>
        <v>679719.11</v>
      </c>
      <c r="J191" s="311">
        <f t="shared" si="25"/>
        <v>131954.4</v>
      </c>
    </row>
    <row r="192" spans="1:10" ht="15" hidden="1" customHeight="1" outlineLevel="2" x14ac:dyDescent="0.35">
      <c r="A192" s="302"/>
      <c r="B192" s="492"/>
      <c r="C192" s="485"/>
      <c r="D192" s="222" t="s">
        <v>45</v>
      </c>
      <c r="E192" s="275">
        <v>0</v>
      </c>
      <c r="F192" s="275">
        <v>0</v>
      </c>
      <c r="G192" s="275">
        <v>0</v>
      </c>
      <c r="H192" s="275">
        <v>0</v>
      </c>
      <c r="I192" s="219">
        <v>0</v>
      </c>
      <c r="J192" s="311">
        <v>0</v>
      </c>
    </row>
    <row r="193" spans="1:10" ht="15" hidden="1" customHeight="1" outlineLevel="2" x14ac:dyDescent="0.35">
      <c r="A193" s="302"/>
      <c r="B193" s="492"/>
      <c r="C193" s="485"/>
      <c r="D193" s="222" t="s">
        <v>44</v>
      </c>
      <c r="E193" s="275">
        <v>0</v>
      </c>
      <c r="F193" s="275">
        <v>0</v>
      </c>
      <c r="G193" s="275">
        <v>0</v>
      </c>
      <c r="H193" s="275">
        <v>0</v>
      </c>
      <c r="I193" s="219">
        <v>0</v>
      </c>
      <c r="J193" s="311">
        <v>0</v>
      </c>
    </row>
    <row r="194" spans="1:10" ht="15" hidden="1" customHeight="1" outlineLevel="2" x14ac:dyDescent="0.35">
      <c r="A194" s="302"/>
      <c r="B194" s="492"/>
      <c r="C194" s="485"/>
      <c r="D194" s="222" t="s">
        <v>43</v>
      </c>
      <c r="E194" s="275">
        <v>0</v>
      </c>
      <c r="F194" s="275">
        <v>0</v>
      </c>
      <c r="G194" s="275">
        <v>0</v>
      </c>
      <c r="H194" s="275">
        <v>0</v>
      </c>
      <c r="I194" s="219">
        <v>679719.11</v>
      </c>
      <c r="J194" s="311">
        <v>0</v>
      </c>
    </row>
    <row r="195" spans="1:10" ht="15" hidden="1" customHeight="1" outlineLevel="2" x14ac:dyDescent="0.35">
      <c r="A195" s="302"/>
      <c r="B195" s="492"/>
      <c r="C195" s="485"/>
      <c r="D195" s="222" t="s">
        <v>42</v>
      </c>
      <c r="E195" s="275">
        <v>1</v>
      </c>
      <c r="F195" s="275">
        <v>1</v>
      </c>
      <c r="G195" s="275">
        <v>1322497.04</v>
      </c>
      <c r="H195" s="275">
        <v>264499.40000000002</v>
      </c>
      <c r="I195" s="219">
        <v>0</v>
      </c>
      <c r="J195" s="311">
        <v>131954.4</v>
      </c>
    </row>
    <row r="196" spans="1:10" x14ac:dyDescent="0.35">
      <c r="A196" s="302"/>
      <c r="B196" s="493"/>
      <c r="C196" s="494"/>
      <c r="D196" s="213" t="s">
        <v>239</v>
      </c>
      <c r="E196" s="295">
        <f t="shared" ref="E196:J196" si="26">SUM(E191,E187)</f>
        <v>10</v>
      </c>
      <c r="F196" s="295">
        <f t="shared" si="26"/>
        <v>10</v>
      </c>
      <c r="G196" s="295">
        <f t="shared" si="26"/>
        <v>13340036.489999998</v>
      </c>
      <c r="H196" s="295">
        <f t="shared" si="26"/>
        <v>3869761.23</v>
      </c>
      <c r="I196" s="294">
        <f t="shared" si="26"/>
        <v>1692890.1400000001</v>
      </c>
      <c r="J196" s="310">
        <f t="shared" si="26"/>
        <v>1142925.6299999999</v>
      </c>
    </row>
    <row r="197" spans="1:10" outlineLevel="1" x14ac:dyDescent="0.35">
      <c r="A197" s="302"/>
      <c r="B197" s="492" t="s">
        <v>238</v>
      </c>
      <c r="C197" s="485" t="s">
        <v>237</v>
      </c>
      <c r="D197" s="221" t="s">
        <v>32</v>
      </c>
      <c r="E197" s="275">
        <f t="shared" ref="E197:J197" si="27">SUM(E198:E200)</f>
        <v>0</v>
      </c>
      <c r="F197" s="275">
        <f t="shared" si="27"/>
        <v>0</v>
      </c>
      <c r="G197" s="275">
        <f t="shared" si="27"/>
        <v>0</v>
      </c>
      <c r="H197" s="275">
        <f t="shared" si="27"/>
        <v>0</v>
      </c>
      <c r="I197" s="219">
        <f t="shared" si="27"/>
        <v>0</v>
      </c>
      <c r="J197" s="311">
        <f t="shared" si="27"/>
        <v>0</v>
      </c>
    </row>
    <row r="198" spans="1:10" ht="15" hidden="1" customHeight="1" outlineLevel="2" x14ac:dyDescent="0.35">
      <c r="A198" s="302"/>
      <c r="B198" s="492"/>
      <c r="C198" s="485"/>
      <c r="D198" s="222" t="s">
        <v>31</v>
      </c>
      <c r="E198" s="275">
        <v>0</v>
      </c>
      <c r="F198" s="275">
        <v>0</v>
      </c>
      <c r="G198" s="275">
        <v>0</v>
      </c>
      <c r="H198" s="275">
        <v>0</v>
      </c>
      <c r="I198" s="219">
        <v>0</v>
      </c>
      <c r="J198" s="311">
        <v>0</v>
      </c>
    </row>
    <row r="199" spans="1:10" ht="15" hidden="1" customHeight="1" outlineLevel="2" x14ac:dyDescent="0.35">
      <c r="A199" s="302"/>
      <c r="B199" s="492"/>
      <c r="C199" s="485"/>
      <c r="D199" s="222" t="s">
        <v>30</v>
      </c>
      <c r="E199" s="275">
        <v>0</v>
      </c>
      <c r="F199" s="275">
        <v>0</v>
      </c>
      <c r="G199" s="275">
        <v>0</v>
      </c>
      <c r="H199" s="275">
        <v>0</v>
      </c>
      <c r="I199" s="219">
        <v>0</v>
      </c>
      <c r="J199" s="311">
        <v>0</v>
      </c>
    </row>
    <row r="200" spans="1:10" ht="15" hidden="1" customHeight="1" outlineLevel="2" x14ac:dyDescent="0.35">
      <c r="A200" s="302"/>
      <c r="B200" s="492"/>
      <c r="C200" s="485"/>
      <c r="D200" s="222" t="s">
        <v>29</v>
      </c>
      <c r="E200" s="275">
        <v>0</v>
      </c>
      <c r="F200" s="275">
        <v>0</v>
      </c>
      <c r="G200" s="275">
        <v>0</v>
      </c>
      <c r="H200" s="275">
        <v>0</v>
      </c>
      <c r="I200" s="219">
        <v>0</v>
      </c>
      <c r="J200" s="311">
        <v>0</v>
      </c>
    </row>
    <row r="201" spans="1:10" outlineLevel="1" collapsed="1" x14ac:dyDescent="0.35">
      <c r="A201" s="302"/>
      <c r="B201" s="492"/>
      <c r="C201" s="485"/>
      <c r="D201" s="221" t="s">
        <v>28</v>
      </c>
      <c r="E201" s="275">
        <v>0</v>
      </c>
      <c r="F201" s="275">
        <v>0</v>
      </c>
      <c r="G201" s="275">
        <v>0</v>
      </c>
      <c r="H201" s="275">
        <v>0</v>
      </c>
      <c r="I201" s="219">
        <v>0</v>
      </c>
      <c r="J201" s="311">
        <v>0</v>
      </c>
    </row>
    <row r="202" spans="1:10" outlineLevel="1" x14ac:dyDescent="0.35">
      <c r="A202" s="302"/>
      <c r="B202" s="492"/>
      <c r="C202" s="485"/>
      <c r="D202" s="221" t="s">
        <v>27</v>
      </c>
      <c r="E202" s="275">
        <v>0</v>
      </c>
      <c r="F202" s="275">
        <v>0</v>
      </c>
      <c r="G202" s="275">
        <v>0</v>
      </c>
      <c r="H202" s="275">
        <v>0</v>
      </c>
      <c r="I202" s="219">
        <v>0</v>
      </c>
      <c r="J202" s="311">
        <v>0</v>
      </c>
    </row>
    <row r="203" spans="1:10" x14ac:dyDescent="0.35">
      <c r="A203" s="302"/>
      <c r="B203" s="493"/>
      <c r="C203" s="494"/>
      <c r="D203" s="213" t="s">
        <v>236</v>
      </c>
      <c r="E203" s="295">
        <f t="shared" ref="E203:J203" si="28">SUM(E202,E201,E197)</f>
        <v>0</v>
      </c>
      <c r="F203" s="295">
        <f t="shared" si="28"/>
        <v>0</v>
      </c>
      <c r="G203" s="295">
        <f t="shared" si="28"/>
        <v>0</v>
      </c>
      <c r="H203" s="295">
        <f t="shared" si="28"/>
        <v>0</v>
      </c>
      <c r="I203" s="294">
        <f t="shared" si="28"/>
        <v>0</v>
      </c>
      <c r="J203" s="310">
        <f t="shared" si="28"/>
        <v>0</v>
      </c>
    </row>
    <row r="204" spans="1:10" ht="15" thickBot="1" x14ac:dyDescent="0.4">
      <c r="A204" s="309"/>
      <c r="B204" s="495" t="s">
        <v>235</v>
      </c>
      <c r="C204" s="496"/>
      <c r="D204" s="206" t="s">
        <v>15</v>
      </c>
      <c r="E204" s="292">
        <f t="shared" ref="E204:J204" si="29">SUM(E203,E186,E121,E108,E75,E41,E116,E196)</f>
        <v>1446</v>
      </c>
      <c r="F204" s="292">
        <f t="shared" si="29"/>
        <v>1343</v>
      </c>
      <c r="G204" s="292">
        <f t="shared" si="29"/>
        <v>4189357016.2699995</v>
      </c>
      <c r="H204" s="292">
        <f t="shared" si="29"/>
        <v>2086121378.6899998</v>
      </c>
      <c r="I204" s="292">
        <f t="shared" si="29"/>
        <v>1447827934.7500002</v>
      </c>
      <c r="J204" s="308">
        <f t="shared" si="29"/>
        <v>433015178.83999997</v>
      </c>
    </row>
    <row r="205" spans="1:10" x14ac:dyDescent="0.35">
      <c r="J205" s="290"/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J5:J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76" orientation="landscape" r:id="rId1"/>
  <headerFooter alignWithMargins="0">
    <oddHeader>&amp;LSOBHA LLC&amp;C&amp;"Tahoma,Regular"&amp;14
OVERDUE AGEING_ overdue broken up into respective age buckets_31-60 Days&amp;R&amp;D</oddHeader>
    <oddFooter>&amp;LCOLLECTIONS&amp;R&amp;P/&amp;N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58A0-CE7B-48AA-BDCF-FBFD4AAB1A05}">
  <sheetPr>
    <pageSetUpPr fitToPage="1"/>
  </sheetPr>
  <dimension ref="B1:M205"/>
  <sheetViews>
    <sheetView view="pageBreakPreview" topLeftCell="A48" zoomScale="60" zoomScaleNormal="100" workbookViewId="0"/>
  </sheetViews>
  <sheetFormatPr defaultRowHeight="14.5" outlineLevelRow="2" x14ac:dyDescent="0.35"/>
  <cols>
    <col min="1" max="1" width="8" customWidth="1"/>
    <col min="2" max="2" width="28.26953125" customWidth="1"/>
    <col min="3" max="3" width="3.26953125" customWidth="1"/>
    <col min="4" max="4" width="41.26953125" bestFit="1" customWidth="1"/>
    <col min="5" max="5" width="16.26953125" customWidth="1"/>
    <col min="6" max="6" width="23.7265625" bestFit="1" customWidth="1"/>
    <col min="7" max="8" width="20.1796875" bestFit="1" customWidth="1"/>
    <col min="9" max="9" width="20.81640625" bestFit="1" customWidth="1"/>
    <col min="10" max="10" width="28.7265625" bestFit="1" customWidth="1"/>
    <col min="11" max="11" width="6.453125" bestFit="1" customWidth="1"/>
    <col min="12" max="12" width="5.7265625" bestFit="1" customWidth="1"/>
    <col min="13" max="13" width="12.7265625" bestFit="1" customWidth="1"/>
  </cols>
  <sheetData>
    <row r="1" spans="2:13" x14ac:dyDescent="0.35">
      <c r="M1" s="196">
        <v>154111444.89000002</v>
      </c>
    </row>
    <row r="3" spans="2:13" x14ac:dyDescent="0.35">
      <c r="B3" s="288">
        <v>46143</v>
      </c>
    </row>
    <row r="4" spans="2:13" ht="15" thickBot="1" x14ac:dyDescent="0.4"/>
    <row r="5" spans="2:13" x14ac:dyDescent="0.35">
      <c r="B5" s="466" t="s">
        <v>276</v>
      </c>
      <c r="C5" s="467"/>
      <c r="D5" s="470" t="s">
        <v>275</v>
      </c>
      <c r="E5" s="472" t="s">
        <v>281</v>
      </c>
      <c r="F5" s="498" t="s">
        <v>280</v>
      </c>
      <c r="G5" s="472" t="s">
        <v>274</v>
      </c>
      <c r="H5" s="474" t="s">
        <v>273</v>
      </c>
      <c r="I5" s="307" t="s">
        <v>272</v>
      </c>
      <c r="J5" s="500" t="s">
        <v>283</v>
      </c>
    </row>
    <row r="6" spans="2:13" ht="28" x14ac:dyDescent="0.35">
      <c r="B6" s="468"/>
      <c r="C6" s="469"/>
      <c r="D6" s="471"/>
      <c r="E6" s="473"/>
      <c r="F6" s="499"/>
      <c r="G6" s="473"/>
      <c r="H6" s="475"/>
      <c r="I6" s="306" t="s">
        <v>278</v>
      </c>
      <c r="J6" s="501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6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1</v>
      </c>
      <c r="F8" s="219">
        <f t="shared" si="0"/>
        <v>1</v>
      </c>
      <c r="G8" s="219">
        <f t="shared" si="0"/>
        <v>1690087.14</v>
      </c>
      <c r="H8" s="219">
        <f t="shared" si="0"/>
        <v>1300000</v>
      </c>
      <c r="I8" s="219">
        <f t="shared" si="0"/>
        <v>507693</v>
      </c>
      <c r="J8" s="326">
        <f t="shared" si="0"/>
        <v>200000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6">
        <v>0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6">
        <v>0</v>
      </c>
    </row>
    <row r="11" spans="2:13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6">
        <v>0</v>
      </c>
    </row>
    <row r="12" spans="2:13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6">
        <v>0</v>
      </c>
    </row>
    <row r="13" spans="2:13" hidden="1" outlineLevel="2" x14ac:dyDescent="0.35">
      <c r="B13" s="503"/>
      <c r="C13" s="506"/>
      <c r="D13" s="242" t="s">
        <v>213</v>
      </c>
      <c r="E13" s="219">
        <v>1</v>
      </c>
      <c r="F13" s="219">
        <v>1</v>
      </c>
      <c r="G13" s="219">
        <v>1690087.14</v>
      </c>
      <c r="H13" s="219">
        <v>1300000</v>
      </c>
      <c r="I13" s="219">
        <v>507693</v>
      </c>
      <c r="J13" s="326">
        <v>200000</v>
      </c>
    </row>
    <row r="14" spans="2:13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6">
        <v>0</v>
      </c>
    </row>
    <row r="15" spans="2:13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6">
        <v>0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1</v>
      </c>
      <c r="F16" s="219">
        <f t="shared" si="1"/>
        <v>1</v>
      </c>
      <c r="G16" s="219">
        <f t="shared" si="1"/>
        <v>17911975.199999999</v>
      </c>
      <c r="H16" s="219">
        <f t="shared" si="1"/>
        <v>17911975.199999999</v>
      </c>
      <c r="I16" s="219">
        <f t="shared" si="1"/>
        <v>17887179</v>
      </c>
      <c r="J16" s="326">
        <f t="shared" si="1"/>
        <v>24796.2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6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6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6">
        <v>0</v>
      </c>
    </row>
    <row r="20" spans="2:10" hidden="1" outlineLevel="2" x14ac:dyDescent="0.35">
      <c r="B20" s="503"/>
      <c r="C20" s="506"/>
      <c r="D20" s="242" t="s">
        <v>208</v>
      </c>
      <c r="E20" s="219">
        <v>1</v>
      </c>
      <c r="F20" s="219">
        <v>1</v>
      </c>
      <c r="G20" s="219">
        <v>17911975.199999999</v>
      </c>
      <c r="H20" s="219">
        <v>17911975.199999999</v>
      </c>
      <c r="I20" s="219">
        <v>17887179</v>
      </c>
      <c r="J20" s="326">
        <v>24796.2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6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26">
        <f t="shared" si="2"/>
        <v>0</v>
      </c>
    </row>
    <row r="23" spans="2:10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21">
        <v>0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21">
        <v>0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21">
        <f t="shared" si="4"/>
        <v>0</v>
      </c>
    </row>
    <row r="35" spans="2:10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21">
        <v>0</v>
      </c>
    </row>
    <row r="36" spans="2:10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21">
        <v>0</v>
      </c>
    </row>
    <row r="37" spans="2:10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21">
        <v>0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2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</row>
    <row r="41" spans="2:10" x14ac:dyDescent="0.35">
      <c r="B41" s="504"/>
      <c r="C41" s="507"/>
      <c r="D41" s="213" t="s">
        <v>259</v>
      </c>
      <c r="E41" s="295">
        <f t="shared" ref="E41:J41" si="5">SUM(E8,E15:E16,E27:E29,E22,E33:E34,E40)</f>
        <v>2</v>
      </c>
      <c r="F41" s="295">
        <f t="shared" si="5"/>
        <v>2</v>
      </c>
      <c r="G41" s="295">
        <f t="shared" si="5"/>
        <v>19602062.34</v>
      </c>
      <c r="H41" s="295">
        <f t="shared" si="5"/>
        <v>19211975.199999999</v>
      </c>
      <c r="I41" s="294">
        <f t="shared" si="5"/>
        <v>18394872</v>
      </c>
      <c r="J41" s="293">
        <f t="shared" si="5"/>
        <v>224796.2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25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2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2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2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2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21">
        <v>0</v>
      </c>
    </row>
    <row r="49" spans="2:10" outlineLevel="1" x14ac:dyDescent="0.35">
      <c r="B49" s="487"/>
      <c r="C49" s="490"/>
      <c r="D49" s="236" t="s">
        <v>189</v>
      </c>
      <c r="E49" s="219">
        <v>14</v>
      </c>
      <c r="F49" s="219">
        <v>14</v>
      </c>
      <c r="G49" s="219">
        <v>40262738.199999996</v>
      </c>
      <c r="H49" s="219">
        <v>20827756.639999997</v>
      </c>
      <c r="I49" s="219">
        <v>16735572.670000002</v>
      </c>
      <c r="J49" s="321">
        <v>2796695.13</v>
      </c>
    </row>
    <row r="50" spans="2:10" outlineLevel="1" x14ac:dyDescent="0.35">
      <c r="B50" s="487"/>
      <c r="C50" s="490"/>
      <c r="D50" s="263" t="s">
        <v>179</v>
      </c>
      <c r="E50" s="219">
        <v>19</v>
      </c>
      <c r="F50" s="219">
        <v>18</v>
      </c>
      <c r="G50" s="219">
        <v>197707895.66999999</v>
      </c>
      <c r="H50" s="219">
        <v>126667938.56999999</v>
      </c>
      <c r="I50" s="219">
        <v>105655178.84999999</v>
      </c>
      <c r="J50" s="321">
        <v>12383224.110000003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1</v>
      </c>
      <c r="F51" s="219">
        <f t="shared" si="7"/>
        <v>1</v>
      </c>
      <c r="G51" s="219">
        <f t="shared" si="7"/>
        <v>27431616</v>
      </c>
      <c r="H51" s="219">
        <f t="shared" si="7"/>
        <v>8229484.7999999998</v>
      </c>
      <c r="I51" s="219">
        <f t="shared" si="7"/>
        <v>2743712</v>
      </c>
      <c r="J51" s="321">
        <f t="shared" si="7"/>
        <v>2743161.6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1</v>
      </c>
      <c r="F54" s="219">
        <v>1</v>
      </c>
      <c r="G54" s="219">
        <v>27431616</v>
      </c>
      <c r="H54" s="219">
        <v>8229484.7999999998</v>
      </c>
      <c r="I54" s="219">
        <v>2743712</v>
      </c>
      <c r="J54" s="321">
        <v>2743161.6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218</v>
      </c>
      <c r="F56" s="219">
        <f t="shared" si="8"/>
        <v>209</v>
      </c>
      <c r="G56" s="219">
        <f t="shared" si="8"/>
        <v>445338495.36999995</v>
      </c>
      <c r="H56" s="219">
        <f t="shared" si="8"/>
        <v>241679643.16999993</v>
      </c>
      <c r="I56" s="219">
        <f t="shared" si="8"/>
        <v>193016460.13999999</v>
      </c>
      <c r="J56" s="321">
        <f t="shared" si="8"/>
        <v>31091406.939999998</v>
      </c>
    </row>
    <row r="57" spans="2:10" hidden="1" outlineLevel="2" x14ac:dyDescent="0.35">
      <c r="B57" s="487"/>
      <c r="C57" s="490"/>
      <c r="D57" s="242" t="s">
        <v>169</v>
      </c>
      <c r="E57" s="219">
        <v>22</v>
      </c>
      <c r="F57" s="219">
        <v>19</v>
      </c>
      <c r="G57" s="219">
        <v>63161949.049999997</v>
      </c>
      <c r="H57" s="219">
        <v>33324055.609999992</v>
      </c>
      <c r="I57" s="219">
        <v>24087674.379999999</v>
      </c>
      <c r="J57" s="321">
        <v>5684051.8700000001</v>
      </c>
    </row>
    <row r="58" spans="2:10" hidden="1" outlineLevel="2" x14ac:dyDescent="0.35">
      <c r="B58" s="487"/>
      <c r="C58" s="490"/>
      <c r="D58" s="242" t="s">
        <v>168</v>
      </c>
      <c r="E58" s="219">
        <v>44</v>
      </c>
      <c r="F58" s="219">
        <v>43</v>
      </c>
      <c r="G58" s="219">
        <v>77074479.049999997</v>
      </c>
      <c r="H58" s="219">
        <v>52322928.929999977</v>
      </c>
      <c r="I58" s="219">
        <v>45184546.200000003</v>
      </c>
      <c r="J58" s="321">
        <v>4626143.97</v>
      </c>
    </row>
    <row r="59" spans="2:10" hidden="1" outlineLevel="2" x14ac:dyDescent="0.35">
      <c r="B59" s="487"/>
      <c r="C59" s="490"/>
      <c r="D59" s="242" t="s">
        <v>167</v>
      </c>
      <c r="E59" s="219">
        <v>32</v>
      </c>
      <c r="F59" s="219">
        <v>31</v>
      </c>
      <c r="G59" s="219">
        <v>57670369.07</v>
      </c>
      <c r="H59" s="219">
        <v>31167734.52</v>
      </c>
      <c r="I59" s="219">
        <v>23933996.099999998</v>
      </c>
      <c r="J59" s="321">
        <v>3821452.9000000004</v>
      </c>
    </row>
    <row r="60" spans="2:10" hidden="1" outlineLevel="2" x14ac:dyDescent="0.35">
      <c r="B60" s="487"/>
      <c r="C60" s="490"/>
      <c r="D60" s="242" t="s">
        <v>166</v>
      </c>
      <c r="E60" s="219">
        <v>49</v>
      </c>
      <c r="F60" s="219">
        <v>48</v>
      </c>
      <c r="G60" s="219">
        <v>103344727.69999999</v>
      </c>
      <c r="H60" s="219">
        <v>50216761.749999993</v>
      </c>
      <c r="I60" s="219">
        <v>38492293.519999996</v>
      </c>
      <c r="J60" s="321">
        <v>8345986.6100000013</v>
      </c>
    </row>
    <row r="61" spans="2:10" hidden="1" outlineLevel="2" x14ac:dyDescent="0.35">
      <c r="B61" s="487"/>
      <c r="C61" s="490"/>
      <c r="D61" s="261" t="s">
        <v>165</v>
      </c>
      <c r="E61" s="219">
        <v>28</v>
      </c>
      <c r="F61" s="219">
        <v>28</v>
      </c>
      <c r="G61" s="219">
        <v>60523578.200000003</v>
      </c>
      <c r="H61" s="219">
        <v>32848681.699999999</v>
      </c>
      <c r="I61" s="219">
        <v>29763699.310000002</v>
      </c>
      <c r="J61" s="321">
        <v>2194655.08</v>
      </c>
    </row>
    <row r="62" spans="2:10" hidden="1" outlineLevel="2" x14ac:dyDescent="0.35">
      <c r="B62" s="487"/>
      <c r="C62" s="490"/>
      <c r="D62" s="261" t="s">
        <v>164</v>
      </c>
      <c r="E62" s="219">
        <v>43</v>
      </c>
      <c r="F62" s="219">
        <v>40</v>
      </c>
      <c r="G62" s="219">
        <v>83563392.299999967</v>
      </c>
      <c r="H62" s="219">
        <v>41799480.660000004</v>
      </c>
      <c r="I62" s="219">
        <v>31554250.629999992</v>
      </c>
      <c r="J62" s="321">
        <v>6419116.5099999998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3</v>
      </c>
      <c r="F63" s="219">
        <f t="shared" si="9"/>
        <v>3</v>
      </c>
      <c r="G63" s="219">
        <f t="shared" si="9"/>
        <v>6973336.8300000001</v>
      </c>
      <c r="H63" s="219">
        <f t="shared" si="9"/>
        <v>4184002.09</v>
      </c>
      <c r="I63" s="219">
        <f t="shared" si="9"/>
        <v>2501986.9300000002</v>
      </c>
      <c r="J63" s="321">
        <f t="shared" si="9"/>
        <v>883250.35000000009</v>
      </c>
    </row>
    <row r="64" spans="2:10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21">
        <v>0</v>
      </c>
    </row>
    <row r="65" spans="2:10" hidden="1" outlineLevel="2" x14ac:dyDescent="0.35">
      <c r="B65" s="487"/>
      <c r="C65" s="490"/>
      <c r="D65" s="260" t="s">
        <v>195</v>
      </c>
      <c r="E65" s="219">
        <v>3</v>
      </c>
      <c r="F65" s="219">
        <v>3</v>
      </c>
      <c r="G65" s="219">
        <v>6973336.8300000001</v>
      </c>
      <c r="H65" s="219">
        <v>4184002.09</v>
      </c>
      <c r="I65" s="219">
        <v>2501986.9300000002</v>
      </c>
      <c r="J65" s="321">
        <v>883250.35000000009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60</v>
      </c>
      <c r="F67" s="219">
        <f t="shared" si="10"/>
        <v>56</v>
      </c>
      <c r="G67" s="219">
        <f t="shared" si="10"/>
        <v>194817439.65000001</v>
      </c>
      <c r="H67" s="219">
        <f t="shared" si="10"/>
        <v>94930912.570000008</v>
      </c>
      <c r="I67" s="219">
        <f t="shared" si="10"/>
        <v>75310256.810000002</v>
      </c>
      <c r="J67" s="321">
        <f t="shared" si="10"/>
        <v>13460738.1</v>
      </c>
    </row>
    <row r="68" spans="2:10" hidden="1" outlineLevel="2" x14ac:dyDescent="0.35">
      <c r="B68" s="487"/>
      <c r="C68" s="490"/>
      <c r="D68" s="260" t="s">
        <v>177</v>
      </c>
      <c r="E68" s="219">
        <v>15</v>
      </c>
      <c r="F68" s="219">
        <v>15</v>
      </c>
      <c r="G68" s="219">
        <v>44696248.420000002</v>
      </c>
      <c r="H68" s="219">
        <v>23057334.999999996</v>
      </c>
      <c r="I68" s="219">
        <v>18752628.489999998</v>
      </c>
      <c r="J68" s="321">
        <v>3363831.6400000006</v>
      </c>
    </row>
    <row r="69" spans="2:10" hidden="1" outlineLevel="2" x14ac:dyDescent="0.35">
      <c r="B69" s="487"/>
      <c r="C69" s="490"/>
      <c r="D69" s="260" t="s">
        <v>176</v>
      </c>
      <c r="E69" s="219">
        <v>10</v>
      </c>
      <c r="F69" s="219">
        <v>9</v>
      </c>
      <c r="G69" s="219">
        <v>25988129.630000003</v>
      </c>
      <c r="H69" s="219">
        <v>13308197.170000002</v>
      </c>
      <c r="I69" s="219">
        <v>9845166.4699999988</v>
      </c>
      <c r="J69" s="321">
        <v>1911840.69</v>
      </c>
    </row>
    <row r="70" spans="2:10" hidden="1" outlineLevel="2" x14ac:dyDescent="0.35">
      <c r="B70" s="487"/>
      <c r="C70" s="490"/>
      <c r="D70" s="260" t="s">
        <v>175</v>
      </c>
      <c r="E70" s="219">
        <v>5</v>
      </c>
      <c r="F70" s="219">
        <v>5</v>
      </c>
      <c r="G70" s="219">
        <v>21953231.100000001</v>
      </c>
      <c r="H70" s="219">
        <v>11423818.26</v>
      </c>
      <c r="I70" s="219">
        <v>8301579.0699999994</v>
      </c>
      <c r="J70" s="321">
        <v>1717884.01</v>
      </c>
    </row>
    <row r="71" spans="2:10" hidden="1" outlineLevel="2" x14ac:dyDescent="0.35">
      <c r="B71" s="487"/>
      <c r="C71" s="490"/>
      <c r="D71" s="260" t="s">
        <v>174</v>
      </c>
      <c r="E71" s="219">
        <v>5</v>
      </c>
      <c r="F71" s="219">
        <v>5</v>
      </c>
      <c r="G71" s="219">
        <v>14926600.800000001</v>
      </c>
      <c r="H71" s="219">
        <v>7061671.5099999998</v>
      </c>
      <c r="I71" s="219">
        <v>5930148.6099999994</v>
      </c>
      <c r="J71" s="321">
        <v>950253.82000000007</v>
      </c>
    </row>
    <row r="72" spans="2:10" hidden="1" outlineLevel="2" x14ac:dyDescent="0.35">
      <c r="B72" s="487"/>
      <c r="C72" s="490"/>
      <c r="D72" s="260" t="s">
        <v>173</v>
      </c>
      <c r="E72" s="219">
        <v>19</v>
      </c>
      <c r="F72" s="219">
        <v>16</v>
      </c>
      <c r="G72" s="219">
        <v>57302174.699999996</v>
      </c>
      <c r="H72" s="219">
        <v>28355516.430000003</v>
      </c>
      <c r="I72" s="219">
        <v>22134572.140000001</v>
      </c>
      <c r="J72" s="321">
        <v>4368165.45</v>
      </c>
    </row>
    <row r="73" spans="2:10" hidden="1" outlineLevel="2" x14ac:dyDescent="0.35">
      <c r="B73" s="487"/>
      <c r="C73" s="490"/>
      <c r="D73" s="260" t="s">
        <v>172</v>
      </c>
      <c r="E73" s="219">
        <v>6</v>
      </c>
      <c r="F73" s="219">
        <v>6</v>
      </c>
      <c r="G73" s="219">
        <v>29951055</v>
      </c>
      <c r="H73" s="219">
        <v>11724374.199999999</v>
      </c>
      <c r="I73" s="219">
        <v>10346162.030000001</v>
      </c>
      <c r="J73" s="321">
        <v>1148762.49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21">
        <v>0</v>
      </c>
    </row>
    <row r="75" spans="2:10" x14ac:dyDescent="0.35">
      <c r="B75" s="488"/>
      <c r="C75" s="491"/>
      <c r="D75" s="213" t="s">
        <v>255</v>
      </c>
      <c r="E75" s="295">
        <f t="shared" ref="E75:J75" si="11">SUM(E43,E48:E51,E56,E63,E67)</f>
        <v>315</v>
      </c>
      <c r="F75" s="295">
        <f t="shared" si="11"/>
        <v>301</v>
      </c>
      <c r="G75" s="295">
        <f t="shared" si="11"/>
        <v>912531521.71999991</v>
      </c>
      <c r="H75" s="304">
        <f t="shared" si="11"/>
        <v>496519737.83999991</v>
      </c>
      <c r="I75" s="294">
        <f t="shared" si="11"/>
        <v>395963167.39999998</v>
      </c>
      <c r="J75" s="293">
        <f t="shared" si="11"/>
        <v>63358476.230000004</v>
      </c>
    </row>
    <row r="76" spans="2:10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25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13</v>
      </c>
      <c r="F77" s="219">
        <f t="shared" si="12"/>
        <v>12</v>
      </c>
      <c r="G77" s="219">
        <f t="shared" si="12"/>
        <v>170874742.40000001</v>
      </c>
      <c r="H77" s="219">
        <f t="shared" si="12"/>
        <v>84616782.879999995</v>
      </c>
      <c r="I77" s="219">
        <f t="shared" si="12"/>
        <v>48991856.339999996</v>
      </c>
      <c r="J77" s="321">
        <f t="shared" si="12"/>
        <v>15075023.35</v>
      </c>
    </row>
    <row r="78" spans="2:10" hidden="1" outlineLevel="2" x14ac:dyDescent="0.35">
      <c r="B78" s="487"/>
      <c r="C78" s="490"/>
      <c r="D78" s="250" t="s">
        <v>192</v>
      </c>
      <c r="E78" s="219">
        <v>6</v>
      </c>
      <c r="F78" s="219">
        <v>5</v>
      </c>
      <c r="G78" s="219">
        <v>106707177.40000001</v>
      </c>
      <c r="H78" s="219">
        <v>56779704.380000003</v>
      </c>
      <c r="I78" s="219">
        <v>25689641.350000001</v>
      </c>
      <c r="J78" s="321">
        <v>10670712.84</v>
      </c>
    </row>
    <row r="79" spans="2:10" hidden="1" outlineLevel="2" x14ac:dyDescent="0.35">
      <c r="B79" s="487"/>
      <c r="C79" s="490"/>
      <c r="D79" s="250" t="s">
        <v>191</v>
      </c>
      <c r="E79" s="219">
        <v>4</v>
      </c>
      <c r="F79" s="219">
        <v>4</v>
      </c>
      <c r="G79" s="219">
        <v>38579881</v>
      </c>
      <c r="H79" s="219">
        <v>15251740.700000001</v>
      </c>
      <c r="I79" s="219">
        <v>13406114.59</v>
      </c>
      <c r="J79" s="321">
        <v>1845626.1099999999</v>
      </c>
    </row>
    <row r="80" spans="2:10" hidden="1" outlineLevel="2" x14ac:dyDescent="0.35">
      <c r="B80" s="487"/>
      <c r="C80" s="490"/>
      <c r="D80" s="250" t="s">
        <v>190</v>
      </c>
      <c r="E80" s="219">
        <v>3</v>
      </c>
      <c r="F80" s="219">
        <v>3</v>
      </c>
      <c r="G80" s="219">
        <v>25587684</v>
      </c>
      <c r="H80" s="219">
        <v>12585337.800000001</v>
      </c>
      <c r="I80" s="219">
        <v>9896100.4000000004</v>
      </c>
      <c r="J80" s="321">
        <v>2558684.4</v>
      </c>
    </row>
    <row r="81" spans="2:11" outlineLevel="1" collapsed="1" x14ac:dyDescent="0.35">
      <c r="B81" s="487"/>
      <c r="C81" s="490"/>
      <c r="D81" s="251" t="s">
        <v>158</v>
      </c>
      <c r="E81" s="219">
        <f t="shared" ref="E81:J81" si="13">SUM(E82:E89)</f>
        <v>42</v>
      </c>
      <c r="F81" s="219">
        <f t="shared" si="13"/>
        <v>41</v>
      </c>
      <c r="G81" s="219">
        <f t="shared" si="13"/>
        <v>54488511.269999996</v>
      </c>
      <c r="H81" s="219">
        <f t="shared" si="13"/>
        <v>20567188.560000002</v>
      </c>
      <c r="I81" s="219">
        <f t="shared" si="13"/>
        <v>16165079.629999999</v>
      </c>
      <c r="J81" s="321">
        <f t="shared" si="13"/>
        <v>3618064.7399999998</v>
      </c>
    </row>
    <row r="82" spans="2:11" hidden="1" outlineLevel="2" x14ac:dyDescent="0.35">
      <c r="B82" s="487"/>
      <c r="C82" s="490"/>
      <c r="D82" s="250" t="s">
        <v>157</v>
      </c>
      <c r="E82" s="219">
        <v>6</v>
      </c>
      <c r="F82" s="219">
        <v>6</v>
      </c>
      <c r="G82" s="219">
        <v>8023010.0499999998</v>
      </c>
      <c r="H82" s="219">
        <v>2829570.79</v>
      </c>
      <c r="I82" s="219">
        <v>2398049.1</v>
      </c>
      <c r="J82" s="321">
        <v>431521.69</v>
      </c>
    </row>
    <row r="83" spans="2:11" hidden="1" outlineLevel="2" x14ac:dyDescent="0.35">
      <c r="B83" s="487"/>
      <c r="C83" s="490"/>
      <c r="D83" s="250" t="s">
        <v>156</v>
      </c>
      <c r="E83" s="219">
        <v>8</v>
      </c>
      <c r="F83" s="219">
        <v>7</v>
      </c>
      <c r="G83" s="219">
        <v>9343811.1199999992</v>
      </c>
      <c r="H83" s="219">
        <v>4264300</v>
      </c>
      <c r="I83" s="219">
        <v>3209708.28</v>
      </c>
      <c r="J83" s="321">
        <v>837578.18</v>
      </c>
    </row>
    <row r="84" spans="2:11" hidden="1" outlineLevel="2" x14ac:dyDescent="0.35">
      <c r="B84" s="487"/>
      <c r="C84" s="490"/>
      <c r="D84" s="250" t="s">
        <v>155</v>
      </c>
      <c r="E84" s="219">
        <v>3</v>
      </c>
      <c r="F84" s="219">
        <v>3</v>
      </c>
      <c r="G84" s="219">
        <v>4900826.8499999996</v>
      </c>
      <c r="H84" s="219">
        <v>1292142.2799999998</v>
      </c>
      <c r="I84" s="219">
        <v>635796.12</v>
      </c>
      <c r="J84" s="321">
        <v>490082.69</v>
      </c>
    </row>
    <row r="85" spans="2:11" hidden="1" outlineLevel="2" x14ac:dyDescent="0.35">
      <c r="B85" s="487"/>
      <c r="C85" s="490"/>
      <c r="D85" s="250" t="s">
        <v>154</v>
      </c>
      <c r="E85" s="219">
        <v>2</v>
      </c>
      <c r="F85" s="219">
        <v>2</v>
      </c>
      <c r="G85" s="219">
        <v>2474987.2000000002</v>
      </c>
      <c r="H85" s="219">
        <v>494997.44</v>
      </c>
      <c r="I85" s="219">
        <v>310778</v>
      </c>
      <c r="J85" s="321">
        <v>184219.44</v>
      </c>
    </row>
    <row r="86" spans="2:11" hidden="1" outlineLevel="2" x14ac:dyDescent="0.35">
      <c r="B86" s="487"/>
      <c r="C86" s="490"/>
      <c r="D86" s="250" t="s">
        <v>153</v>
      </c>
      <c r="E86" s="219">
        <v>14</v>
      </c>
      <c r="F86" s="219">
        <v>14</v>
      </c>
      <c r="G86" s="219">
        <v>16148306.9</v>
      </c>
      <c r="H86" s="219">
        <v>7411161.9100000011</v>
      </c>
      <c r="I86" s="219">
        <v>6000846.3499999996</v>
      </c>
      <c r="J86" s="321">
        <v>1016652.1300000001</v>
      </c>
    </row>
    <row r="87" spans="2:11" hidden="1" outlineLevel="2" x14ac:dyDescent="0.35">
      <c r="B87" s="487"/>
      <c r="C87" s="490"/>
      <c r="D87" s="250" t="s">
        <v>152</v>
      </c>
      <c r="E87" s="219">
        <v>2</v>
      </c>
      <c r="F87" s="219">
        <v>2</v>
      </c>
      <c r="G87" s="219">
        <v>2505108.2999999998</v>
      </c>
      <c r="H87" s="219">
        <v>1013907.29</v>
      </c>
      <c r="I87" s="219">
        <v>1009201.5800000001</v>
      </c>
      <c r="J87" s="321">
        <v>4705.71</v>
      </c>
    </row>
    <row r="88" spans="2:11" hidden="1" outlineLevel="2" x14ac:dyDescent="0.35">
      <c r="B88" s="487"/>
      <c r="C88" s="490"/>
      <c r="D88" s="250" t="s">
        <v>151</v>
      </c>
      <c r="E88" s="219">
        <v>5</v>
      </c>
      <c r="F88" s="219">
        <v>5</v>
      </c>
      <c r="G88" s="219">
        <v>6262160.8499999996</v>
      </c>
      <c r="H88" s="219">
        <v>2246745.85</v>
      </c>
      <c r="I88" s="219">
        <v>1850871.2</v>
      </c>
      <c r="J88" s="321">
        <v>395044.65</v>
      </c>
    </row>
    <row r="89" spans="2:11" hidden="1" outlineLevel="2" x14ac:dyDescent="0.35">
      <c r="B89" s="487"/>
      <c r="C89" s="490"/>
      <c r="D89" s="250" t="s">
        <v>150</v>
      </c>
      <c r="E89" s="219">
        <v>2</v>
      </c>
      <c r="F89" s="219">
        <v>2</v>
      </c>
      <c r="G89" s="219">
        <v>4830300</v>
      </c>
      <c r="H89" s="219">
        <v>1014363</v>
      </c>
      <c r="I89" s="219">
        <v>749829</v>
      </c>
      <c r="J89" s="321">
        <v>258260.25</v>
      </c>
    </row>
    <row r="90" spans="2:11" outlineLevel="1" collapsed="1" x14ac:dyDescent="0.35">
      <c r="B90" s="487"/>
      <c r="C90" s="490"/>
      <c r="D90" s="251" t="s">
        <v>149</v>
      </c>
      <c r="E90" s="219">
        <f t="shared" ref="E90:J90" si="14">SUM(E91:E93)</f>
        <v>22</v>
      </c>
      <c r="F90" s="219">
        <f t="shared" si="14"/>
        <v>22</v>
      </c>
      <c r="G90" s="219">
        <f t="shared" si="14"/>
        <v>62900365.699999996</v>
      </c>
      <c r="H90" s="219">
        <f t="shared" si="14"/>
        <v>17656967.359999999</v>
      </c>
      <c r="I90" s="219">
        <f t="shared" si="14"/>
        <v>13654761.82</v>
      </c>
      <c r="J90" s="321">
        <f t="shared" si="14"/>
        <v>3998975.5</v>
      </c>
    </row>
    <row r="91" spans="2:11" hidden="1" outlineLevel="2" x14ac:dyDescent="0.35">
      <c r="B91" s="487"/>
      <c r="C91" s="490"/>
      <c r="D91" s="250" t="s">
        <v>148</v>
      </c>
      <c r="E91" s="219">
        <v>6</v>
      </c>
      <c r="F91" s="219">
        <v>6</v>
      </c>
      <c r="G91" s="219">
        <v>17574841.800000001</v>
      </c>
      <c r="H91" s="219">
        <v>4456208.0199999996</v>
      </c>
      <c r="I91" s="219">
        <v>3376533.0300000003</v>
      </c>
      <c r="J91" s="321">
        <v>1079674.99</v>
      </c>
    </row>
    <row r="92" spans="2:11" hidden="1" outlineLevel="2" x14ac:dyDescent="0.35">
      <c r="B92" s="487"/>
      <c r="C92" s="490"/>
      <c r="D92" s="250" t="s">
        <v>147</v>
      </c>
      <c r="E92" s="219">
        <v>9</v>
      </c>
      <c r="F92" s="219">
        <v>9</v>
      </c>
      <c r="G92" s="219">
        <v>23941051.5</v>
      </c>
      <c r="H92" s="219">
        <v>6785417.5899999999</v>
      </c>
      <c r="I92" s="219">
        <v>5533216.1500000004</v>
      </c>
      <c r="J92" s="321">
        <v>1248979.2</v>
      </c>
    </row>
    <row r="93" spans="2:11" hidden="1" outlineLevel="2" x14ac:dyDescent="0.35">
      <c r="B93" s="487"/>
      <c r="C93" s="490"/>
      <c r="D93" s="250" t="s">
        <v>146</v>
      </c>
      <c r="E93" s="219">
        <v>7</v>
      </c>
      <c r="F93" s="219">
        <v>7</v>
      </c>
      <c r="G93" s="219">
        <v>21384472.399999999</v>
      </c>
      <c r="H93" s="219">
        <v>6415341.75</v>
      </c>
      <c r="I93" s="219">
        <v>4745012.6399999997</v>
      </c>
      <c r="J93" s="321">
        <v>1670321.3099999998</v>
      </c>
      <c r="K93" s="302"/>
    </row>
    <row r="94" spans="2:11" outlineLevel="1" collapsed="1" x14ac:dyDescent="0.35">
      <c r="B94" s="487"/>
      <c r="C94" s="490"/>
      <c r="D94" s="324" t="s">
        <v>133</v>
      </c>
      <c r="E94" s="219">
        <v>17</v>
      </c>
      <c r="F94" s="219">
        <v>12</v>
      </c>
      <c r="G94" s="219">
        <v>57742588.079999991</v>
      </c>
      <c r="H94" s="219">
        <v>17024751.480000004</v>
      </c>
      <c r="I94" s="219">
        <v>12275328.35</v>
      </c>
      <c r="J94" s="321">
        <v>4391436.2800000012</v>
      </c>
    </row>
    <row r="95" spans="2:11" outlineLevel="1" x14ac:dyDescent="0.35">
      <c r="B95" s="487"/>
      <c r="C95" s="490"/>
      <c r="D95" s="236" t="s">
        <v>140</v>
      </c>
      <c r="E95" s="275">
        <v>20</v>
      </c>
      <c r="F95" s="275">
        <v>19</v>
      </c>
      <c r="G95" s="275">
        <v>179346371</v>
      </c>
      <c r="H95" s="275">
        <v>75193706.850000009</v>
      </c>
      <c r="I95" s="275">
        <v>57781117.57</v>
      </c>
      <c r="J95" s="323">
        <v>11130719.130000001</v>
      </c>
    </row>
    <row r="96" spans="2:11" outlineLevel="1" x14ac:dyDescent="0.35">
      <c r="B96" s="487"/>
      <c r="C96" s="490"/>
      <c r="D96" s="236" t="s">
        <v>139</v>
      </c>
      <c r="E96" s="275">
        <v>0</v>
      </c>
      <c r="F96" s="275">
        <v>0</v>
      </c>
      <c r="G96" s="275">
        <v>0</v>
      </c>
      <c r="H96" s="275">
        <v>0</v>
      </c>
      <c r="I96" s="275">
        <v>0</v>
      </c>
      <c r="J96" s="323">
        <v>0</v>
      </c>
    </row>
    <row r="97" spans="2:10" outlineLevel="1" x14ac:dyDescent="0.35">
      <c r="B97" s="487"/>
      <c r="C97" s="490"/>
      <c r="D97" s="236" t="s">
        <v>138</v>
      </c>
      <c r="E97" s="275">
        <f t="shared" ref="E97:J97" si="15">SUM(E98:E101)</f>
        <v>38</v>
      </c>
      <c r="F97" s="275">
        <f t="shared" si="15"/>
        <v>35</v>
      </c>
      <c r="G97" s="275">
        <f t="shared" si="15"/>
        <v>46720271.299999997</v>
      </c>
      <c r="H97" s="275">
        <f t="shared" si="15"/>
        <v>15606501.519999998</v>
      </c>
      <c r="I97" s="275">
        <f t="shared" si="15"/>
        <v>11535570.1</v>
      </c>
      <c r="J97" s="323">
        <f t="shared" si="15"/>
        <v>3422355.83</v>
      </c>
    </row>
    <row r="98" spans="2:10" hidden="1" outlineLevel="2" x14ac:dyDescent="0.35">
      <c r="B98" s="487"/>
      <c r="C98" s="490"/>
      <c r="D98" s="242" t="s">
        <v>137</v>
      </c>
      <c r="E98" s="275">
        <v>14</v>
      </c>
      <c r="F98" s="275">
        <v>13</v>
      </c>
      <c r="G98" s="275">
        <v>17540737.699999999</v>
      </c>
      <c r="H98" s="275">
        <v>6813045.7499999991</v>
      </c>
      <c r="I98" s="275">
        <v>5529272.9100000001</v>
      </c>
      <c r="J98" s="323">
        <v>1171153.8899999999</v>
      </c>
    </row>
    <row r="99" spans="2:10" hidden="1" outlineLevel="2" x14ac:dyDescent="0.35">
      <c r="B99" s="487"/>
      <c r="C99" s="490"/>
      <c r="D99" s="242" t="s">
        <v>136</v>
      </c>
      <c r="E99" s="275">
        <v>13</v>
      </c>
      <c r="F99" s="275">
        <v>12</v>
      </c>
      <c r="G99" s="275">
        <v>16339249</v>
      </c>
      <c r="H99" s="275">
        <v>5111169.17</v>
      </c>
      <c r="I99" s="275">
        <v>3913827.5200000005</v>
      </c>
      <c r="J99" s="323">
        <v>964094.23</v>
      </c>
    </row>
    <row r="100" spans="2:10" hidden="1" outlineLevel="2" x14ac:dyDescent="0.35">
      <c r="B100" s="487"/>
      <c r="C100" s="490"/>
      <c r="D100" s="242" t="s">
        <v>135</v>
      </c>
      <c r="E100" s="275">
        <v>7</v>
      </c>
      <c r="F100" s="275">
        <v>6</v>
      </c>
      <c r="G100" s="275">
        <v>7899354.7999999998</v>
      </c>
      <c r="H100" s="275">
        <v>1934212.44</v>
      </c>
      <c r="I100" s="275">
        <v>1112912.23</v>
      </c>
      <c r="J100" s="323">
        <v>710326.88</v>
      </c>
    </row>
    <row r="101" spans="2:10" hidden="1" outlineLevel="2" x14ac:dyDescent="0.35">
      <c r="B101" s="487"/>
      <c r="C101" s="490"/>
      <c r="D101" s="242" t="s">
        <v>134</v>
      </c>
      <c r="E101" s="275">
        <v>4</v>
      </c>
      <c r="F101" s="275">
        <v>4</v>
      </c>
      <c r="G101" s="275">
        <v>4940929.8</v>
      </c>
      <c r="H101" s="275">
        <v>1748074.16</v>
      </c>
      <c r="I101" s="275">
        <v>979557.44</v>
      </c>
      <c r="J101" s="323">
        <v>576780.82999999996</v>
      </c>
    </row>
    <row r="102" spans="2:10" outlineLevel="1" collapsed="1" x14ac:dyDescent="0.35">
      <c r="B102" s="487"/>
      <c r="C102" s="490"/>
      <c r="D102" s="236" t="s">
        <v>132</v>
      </c>
      <c r="E102" s="275">
        <f t="shared" ref="E102:J102" si="16">SUM(E103:E106)</f>
        <v>72</v>
      </c>
      <c r="F102" s="275">
        <f t="shared" si="16"/>
        <v>71</v>
      </c>
      <c r="G102" s="275">
        <f t="shared" si="16"/>
        <v>142299693.56</v>
      </c>
      <c r="H102" s="275">
        <f t="shared" si="16"/>
        <v>38191410.38000001</v>
      </c>
      <c r="I102" s="275">
        <f t="shared" si="16"/>
        <v>31350850.309999999</v>
      </c>
      <c r="J102" s="323">
        <f t="shared" si="16"/>
        <v>6648405.3599999994</v>
      </c>
    </row>
    <row r="103" spans="2:10" hidden="1" outlineLevel="2" x14ac:dyDescent="0.35">
      <c r="B103" s="487"/>
      <c r="C103" s="490"/>
      <c r="D103" s="242" t="s">
        <v>131</v>
      </c>
      <c r="E103" s="275">
        <v>21</v>
      </c>
      <c r="F103" s="275">
        <v>21</v>
      </c>
      <c r="G103" s="275">
        <v>44066762.25</v>
      </c>
      <c r="H103" s="275">
        <v>13220028.720000003</v>
      </c>
      <c r="I103" s="275">
        <v>11010218.890000001</v>
      </c>
      <c r="J103" s="323">
        <v>2018210.3599999999</v>
      </c>
    </row>
    <row r="104" spans="2:10" hidden="1" outlineLevel="2" x14ac:dyDescent="0.35">
      <c r="B104" s="487"/>
      <c r="C104" s="490"/>
      <c r="D104" s="242" t="s">
        <v>130</v>
      </c>
      <c r="E104" s="275">
        <v>35</v>
      </c>
      <c r="F104" s="275">
        <v>35</v>
      </c>
      <c r="G104" s="275">
        <v>57705272.100000001</v>
      </c>
      <c r="H104" s="275">
        <v>17311581.730000004</v>
      </c>
      <c r="I104" s="275">
        <v>13851692.169999998</v>
      </c>
      <c r="J104" s="323">
        <v>3459373.8399999994</v>
      </c>
    </row>
    <row r="105" spans="2:10" hidden="1" outlineLevel="2" x14ac:dyDescent="0.35">
      <c r="B105" s="487"/>
      <c r="C105" s="490"/>
      <c r="D105" s="242" t="s">
        <v>129</v>
      </c>
      <c r="E105" s="275">
        <v>1</v>
      </c>
      <c r="F105" s="275">
        <v>1</v>
      </c>
      <c r="G105" s="275">
        <v>8803196.0999999996</v>
      </c>
      <c r="H105" s="275">
        <v>1760639.22</v>
      </c>
      <c r="I105" s="275">
        <v>1750647.93</v>
      </c>
      <c r="J105" s="323">
        <v>9991.2900000000009</v>
      </c>
    </row>
    <row r="106" spans="2:10" hidden="1" outlineLevel="2" x14ac:dyDescent="0.35">
      <c r="B106" s="487"/>
      <c r="C106" s="490"/>
      <c r="D106" s="242" t="s">
        <v>128</v>
      </c>
      <c r="E106" s="275">
        <v>15</v>
      </c>
      <c r="F106" s="275">
        <v>14</v>
      </c>
      <c r="G106" s="275">
        <v>31724463.109999999</v>
      </c>
      <c r="H106" s="275">
        <v>5899160.7100000009</v>
      </c>
      <c r="I106" s="275">
        <v>4738291.32</v>
      </c>
      <c r="J106" s="323">
        <v>1160829.8700000001</v>
      </c>
    </row>
    <row r="107" spans="2:10" outlineLevel="1" collapsed="1" x14ac:dyDescent="0.35">
      <c r="B107" s="487"/>
      <c r="C107" s="490"/>
      <c r="D107" s="236" t="s">
        <v>41</v>
      </c>
      <c r="E107" s="275">
        <v>3</v>
      </c>
      <c r="F107" s="275">
        <v>3</v>
      </c>
      <c r="G107" s="275">
        <v>13404360.25</v>
      </c>
      <c r="H107" s="275">
        <v>2680872.06</v>
      </c>
      <c r="I107" s="275">
        <v>1893222.85</v>
      </c>
      <c r="J107" s="323">
        <v>787649.21</v>
      </c>
    </row>
    <row r="108" spans="2:10" x14ac:dyDescent="0.35">
      <c r="B108" s="488"/>
      <c r="C108" s="491"/>
      <c r="D108" s="213" t="s">
        <v>251</v>
      </c>
      <c r="E108" s="295">
        <f t="shared" ref="E108:J108" si="17">SUM(E102,E107,E97,E96,E94,E90,E81,E77,E95)</f>
        <v>227</v>
      </c>
      <c r="F108" s="295">
        <f t="shared" si="17"/>
        <v>215</v>
      </c>
      <c r="G108" s="295">
        <f t="shared" si="17"/>
        <v>727776903.55999994</v>
      </c>
      <c r="H108" s="295">
        <f t="shared" si="17"/>
        <v>271538181.09000003</v>
      </c>
      <c r="I108" s="294">
        <f t="shared" si="17"/>
        <v>193647786.97</v>
      </c>
      <c r="J108" s="293">
        <f t="shared" si="17"/>
        <v>49072629.399999999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75">
        <v>1</v>
      </c>
      <c r="F109" s="275">
        <v>1</v>
      </c>
      <c r="G109" s="275">
        <v>2687708.8</v>
      </c>
      <c r="H109" s="275">
        <v>537541.76</v>
      </c>
      <c r="I109" s="275">
        <v>334669.59999999998</v>
      </c>
      <c r="J109" s="323">
        <v>202872.16</v>
      </c>
    </row>
    <row r="110" spans="2:10" outlineLevel="1" x14ac:dyDescent="0.35">
      <c r="B110" s="487"/>
      <c r="C110" s="490"/>
      <c r="D110" s="236" t="s">
        <v>122</v>
      </c>
      <c r="E110" s="275">
        <v>4</v>
      </c>
      <c r="F110" s="275">
        <v>4</v>
      </c>
      <c r="G110" s="275">
        <v>10739920.699999999</v>
      </c>
      <c r="H110" s="275">
        <v>2147984.16</v>
      </c>
      <c r="I110" s="275">
        <v>1668879.12</v>
      </c>
      <c r="J110" s="323">
        <v>479105.03</v>
      </c>
    </row>
    <row r="111" spans="2:10" outlineLevel="1" x14ac:dyDescent="0.35">
      <c r="B111" s="487"/>
      <c r="C111" s="490"/>
      <c r="D111" s="236" t="s">
        <v>48</v>
      </c>
      <c r="E111" s="275">
        <v>1</v>
      </c>
      <c r="F111" s="275">
        <v>1</v>
      </c>
      <c r="G111" s="275">
        <v>2493884.25</v>
      </c>
      <c r="H111" s="275">
        <v>498776.85</v>
      </c>
      <c r="I111" s="275">
        <v>294800</v>
      </c>
      <c r="J111" s="323">
        <v>203976.85</v>
      </c>
    </row>
    <row r="112" spans="2:10" outlineLevel="1" x14ac:dyDescent="0.35">
      <c r="B112" s="487"/>
      <c r="C112" s="490"/>
      <c r="D112" s="236" t="s">
        <v>47</v>
      </c>
      <c r="E112" s="275">
        <v>5</v>
      </c>
      <c r="F112" s="275">
        <v>5</v>
      </c>
      <c r="G112" s="275">
        <v>12200307.949999999</v>
      </c>
      <c r="H112" s="275">
        <v>2440061.62</v>
      </c>
      <c r="I112" s="275">
        <v>1613980.38</v>
      </c>
      <c r="J112" s="323">
        <v>826081.24</v>
      </c>
    </row>
    <row r="113" spans="2:11" outlineLevel="1" x14ac:dyDescent="0.35">
      <c r="B113" s="487"/>
      <c r="C113" s="490"/>
      <c r="D113" s="236" t="s">
        <v>40</v>
      </c>
      <c r="E113" s="275">
        <v>34</v>
      </c>
      <c r="F113" s="275">
        <v>34</v>
      </c>
      <c r="G113" s="275">
        <v>73459001.5</v>
      </c>
      <c r="H113" s="275">
        <v>14691800.320000002</v>
      </c>
      <c r="I113" s="275">
        <v>12022601.710000001</v>
      </c>
      <c r="J113" s="323">
        <v>2664851.75</v>
      </c>
    </row>
    <row r="114" spans="2:11" outlineLevel="1" x14ac:dyDescent="0.35">
      <c r="B114" s="487"/>
      <c r="C114" s="490"/>
      <c r="D114" s="236" t="s">
        <v>39</v>
      </c>
      <c r="E114" s="275">
        <v>14</v>
      </c>
      <c r="F114" s="275">
        <v>14</v>
      </c>
      <c r="G114" s="275">
        <v>39464068.049999997</v>
      </c>
      <c r="H114" s="275">
        <v>5484884.3499999996</v>
      </c>
      <c r="I114" s="275">
        <v>4669340.1500000004</v>
      </c>
      <c r="J114" s="323">
        <v>652437.39</v>
      </c>
    </row>
    <row r="115" spans="2:11" outlineLevel="1" x14ac:dyDescent="0.35">
      <c r="B115" s="487"/>
      <c r="C115" s="490"/>
      <c r="D115" s="236" t="s">
        <v>38</v>
      </c>
      <c r="E115" s="275">
        <v>3</v>
      </c>
      <c r="F115" s="275">
        <v>3</v>
      </c>
      <c r="G115" s="275">
        <v>26796375</v>
      </c>
      <c r="H115" s="275">
        <v>3516477.95</v>
      </c>
      <c r="I115" s="275">
        <v>2749179</v>
      </c>
      <c r="J115" s="323">
        <v>719445.5</v>
      </c>
    </row>
    <row r="116" spans="2:11" x14ac:dyDescent="0.35">
      <c r="B116" s="488"/>
      <c r="C116" s="491"/>
      <c r="D116" s="213" t="s">
        <v>248</v>
      </c>
      <c r="E116" s="295">
        <f t="shared" ref="E116:J116" si="18">SUM(E109:E115)</f>
        <v>62</v>
      </c>
      <c r="F116" s="295">
        <f t="shared" si="18"/>
        <v>62</v>
      </c>
      <c r="G116" s="295">
        <f t="shared" si="18"/>
        <v>167841266.25</v>
      </c>
      <c r="H116" s="295">
        <f t="shared" si="18"/>
        <v>29317527.010000002</v>
      </c>
      <c r="I116" s="294">
        <f t="shared" si="18"/>
        <v>23353449.960000001</v>
      </c>
      <c r="J116" s="293">
        <f t="shared" si="18"/>
        <v>5748769.9199999999</v>
      </c>
    </row>
    <row r="117" spans="2:11" outlineLevel="1" x14ac:dyDescent="0.35">
      <c r="B117" s="487" t="s">
        <v>247</v>
      </c>
      <c r="C117" s="490" t="s">
        <v>246</v>
      </c>
      <c r="D117" s="236" t="s">
        <v>36</v>
      </c>
      <c r="E117" s="275">
        <v>1</v>
      </c>
      <c r="F117" s="275">
        <v>1</v>
      </c>
      <c r="G117" s="275">
        <v>5658858</v>
      </c>
      <c r="H117" s="275">
        <v>1131771.6000000001</v>
      </c>
      <c r="I117" s="275">
        <v>574775</v>
      </c>
      <c r="J117" s="323">
        <v>556996.6</v>
      </c>
    </row>
    <row r="118" spans="2:11" outlineLevel="1" x14ac:dyDescent="0.35">
      <c r="B118" s="487"/>
      <c r="C118" s="490"/>
      <c r="D118" s="236" t="s">
        <v>35</v>
      </c>
      <c r="E118" s="275">
        <v>4</v>
      </c>
      <c r="F118" s="275">
        <v>4</v>
      </c>
      <c r="G118" s="275">
        <v>24417322.5</v>
      </c>
      <c r="H118" s="275">
        <v>3405034.51</v>
      </c>
      <c r="I118" s="275">
        <v>2012784.32</v>
      </c>
      <c r="J118" s="323">
        <v>1392250.19</v>
      </c>
    </row>
    <row r="119" spans="2:11" outlineLevel="1" x14ac:dyDescent="0.35">
      <c r="B119" s="487"/>
      <c r="C119" s="490"/>
      <c r="D119" s="236" t="s">
        <v>34</v>
      </c>
      <c r="E119" s="275">
        <v>0</v>
      </c>
      <c r="F119" s="275">
        <v>0</v>
      </c>
      <c r="G119" s="275">
        <v>0</v>
      </c>
      <c r="H119" s="275">
        <v>0</v>
      </c>
      <c r="I119" s="275">
        <v>0</v>
      </c>
      <c r="J119" s="323">
        <v>0</v>
      </c>
    </row>
    <row r="120" spans="2:11" outlineLevel="1" x14ac:dyDescent="0.35">
      <c r="B120" s="487"/>
      <c r="C120" s="490"/>
      <c r="D120" s="236" t="s">
        <v>33</v>
      </c>
      <c r="E120" s="275">
        <v>0</v>
      </c>
      <c r="F120" s="275">
        <v>0</v>
      </c>
      <c r="G120" s="275">
        <v>0</v>
      </c>
      <c r="H120" s="275">
        <v>0</v>
      </c>
      <c r="I120" s="275">
        <v>0</v>
      </c>
      <c r="J120" s="323">
        <v>0</v>
      </c>
    </row>
    <row r="121" spans="2:11" x14ac:dyDescent="0.35">
      <c r="B121" s="488"/>
      <c r="C121" s="491"/>
      <c r="D121" s="213" t="s">
        <v>245</v>
      </c>
      <c r="E121" s="295">
        <f t="shared" ref="E121:J121" si="19">SUM(E117:E120)</f>
        <v>5</v>
      </c>
      <c r="F121" s="295">
        <f t="shared" si="19"/>
        <v>5</v>
      </c>
      <c r="G121" s="295">
        <f t="shared" si="19"/>
        <v>30076180.5</v>
      </c>
      <c r="H121" s="295">
        <f t="shared" si="19"/>
        <v>4536806.1099999994</v>
      </c>
      <c r="I121" s="294">
        <f t="shared" si="19"/>
        <v>2587559.3200000003</v>
      </c>
      <c r="J121" s="293">
        <f t="shared" si="19"/>
        <v>1949246.79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22"/>
      <c r="K122" s="297"/>
    </row>
    <row r="123" spans="2:11" outlineLevel="1" x14ac:dyDescent="0.35">
      <c r="B123" s="492"/>
      <c r="C123" s="485"/>
      <c r="D123" s="225" t="s">
        <v>145</v>
      </c>
      <c r="E123" s="275">
        <f t="shared" ref="E123:J123" si="20">SUM(E124:E127)</f>
        <v>12</v>
      </c>
      <c r="F123" s="275">
        <f t="shared" si="20"/>
        <v>10</v>
      </c>
      <c r="G123" s="275">
        <f t="shared" si="20"/>
        <v>178582866</v>
      </c>
      <c r="H123" s="275">
        <f t="shared" si="20"/>
        <v>52298124.100000001</v>
      </c>
      <c r="I123" s="219">
        <f t="shared" si="20"/>
        <v>28995608.689999998</v>
      </c>
      <c r="J123" s="321">
        <f t="shared" si="20"/>
        <v>17099759.309999999</v>
      </c>
    </row>
    <row r="124" spans="2:11" hidden="1" outlineLevel="2" x14ac:dyDescent="0.35">
      <c r="B124" s="492"/>
      <c r="C124" s="485"/>
      <c r="D124" s="222" t="s">
        <v>144</v>
      </c>
      <c r="E124" s="275">
        <v>5</v>
      </c>
      <c r="F124" s="275">
        <v>4</v>
      </c>
      <c r="G124" s="275">
        <v>54240912</v>
      </c>
      <c r="H124" s="275">
        <v>18500215.800000001</v>
      </c>
      <c r="I124" s="219">
        <v>9940467.9600000009</v>
      </c>
      <c r="J124" s="321">
        <v>5424040.3999999994</v>
      </c>
    </row>
    <row r="125" spans="2:11" hidden="1" outlineLevel="2" x14ac:dyDescent="0.35">
      <c r="B125" s="492"/>
      <c r="C125" s="485"/>
      <c r="D125" s="223" t="s">
        <v>143</v>
      </c>
      <c r="E125" s="275">
        <v>4</v>
      </c>
      <c r="F125" s="275">
        <v>3</v>
      </c>
      <c r="G125" s="275">
        <v>70507211</v>
      </c>
      <c r="H125" s="275">
        <v>17647485.399999999</v>
      </c>
      <c r="I125" s="219">
        <v>9019276.1999999993</v>
      </c>
      <c r="J125" s="321">
        <v>6855293.120000001</v>
      </c>
    </row>
    <row r="126" spans="2:11" hidden="1" outlineLevel="2" x14ac:dyDescent="0.35">
      <c r="B126" s="492"/>
      <c r="C126" s="485"/>
      <c r="D126" s="223" t="s">
        <v>142</v>
      </c>
      <c r="E126" s="275">
        <v>3</v>
      </c>
      <c r="F126" s="275">
        <v>3</v>
      </c>
      <c r="G126" s="275">
        <v>53834743</v>
      </c>
      <c r="H126" s="275">
        <v>16150422.899999999</v>
      </c>
      <c r="I126" s="219">
        <v>10035864.529999999</v>
      </c>
      <c r="J126" s="321">
        <v>4820425.79</v>
      </c>
    </row>
    <row r="127" spans="2:11" hidden="1" outlineLevel="2" x14ac:dyDescent="0.35">
      <c r="B127" s="492"/>
      <c r="C127" s="485"/>
      <c r="D127" s="223" t="s">
        <v>141</v>
      </c>
      <c r="E127" s="275">
        <v>0</v>
      </c>
      <c r="F127" s="275">
        <v>0</v>
      </c>
      <c r="G127" s="275">
        <v>0</v>
      </c>
      <c r="H127" s="275">
        <v>0</v>
      </c>
      <c r="I127" s="219">
        <v>0</v>
      </c>
      <c r="J127" s="321">
        <v>0</v>
      </c>
    </row>
    <row r="128" spans="2:11" outlineLevel="1" collapsed="1" x14ac:dyDescent="0.35">
      <c r="B128" s="492"/>
      <c r="C128" s="485"/>
      <c r="D128" s="221" t="s">
        <v>121</v>
      </c>
      <c r="E128" s="275">
        <f t="shared" ref="E128:J128" si="21">SUM(E129:E162)</f>
        <v>77</v>
      </c>
      <c r="F128" s="275">
        <f t="shared" si="21"/>
        <v>72</v>
      </c>
      <c r="G128" s="275">
        <f t="shared" si="21"/>
        <v>128116523.06</v>
      </c>
      <c r="H128" s="275">
        <f t="shared" si="21"/>
        <v>56001793.919999994</v>
      </c>
      <c r="I128" s="219">
        <f t="shared" si="21"/>
        <v>43829402.599999994</v>
      </c>
      <c r="J128" s="321">
        <f t="shared" si="21"/>
        <v>10290269.99</v>
      </c>
    </row>
    <row r="129" spans="2:11" hidden="1" outlineLevel="2" x14ac:dyDescent="0.35">
      <c r="B129" s="492"/>
      <c r="C129" s="485"/>
      <c r="D129" s="224" t="s">
        <v>119</v>
      </c>
      <c r="E129" s="275">
        <v>5</v>
      </c>
      <c r="F129" s="275">
        <v>5</v>
      </c>
      <c r="G129" s="275">
        <v>6963983.3699999992</v>
      </c>
      <c r="H129" s="275">
        <v>3236476.59</v>
      </c>
      <c r="I129" s="219">
        <v>2626696</v>
      </c>
      <c r="J129" s="321">
        <v>449671.50999999995</v>
      </c>
    </row>
    <row r="130" spans="2:11" hidden="1" outlineLevel="2" x14ac:dyDescent="0.35">
      <c r="B130" s="492"/>
      <c r="C130" s="485"/>
      <c r="D130" s="223" t="s">
        <v>118</v>
      </c>
      <c r="E130" s="275">
        <v>21</v>
      </c>
      <c r="F130" s="275">
        <v>20</v>
      </c>
      <c r="G130" s="275">
        <v>32214115.629999999</v>
      </c>
      <c r="H130" s="275">
        <v>15995587.120000001</v>
      </c>
      <c r="I130" s="219">
        <v>12373637.029999999</v>
      </c>
      <c r="J130" s="321">
        <v>2820592.8399999989</v>
      </c>
    </row>
    <row r="131" spans="2:11" hidden="1" outlineLevel="2" x14ac:dyDescent="0.35">
      <c r="B131" s="492"/>
      <c r="C131" s="485"/>
      <c r="D131" s="223" t="s">
        <v>117</v>
      </c>
      <c r="E131" s="275">
        <v>12</v>
      </c>
      <c r="F131" s="275">
        <v>11</v>
      </c>
      <c r="G131" s="275">
        <v>15982649.25</v>
      </c>
      <c r="H131" s="275">
        <v>7991324.6500000004</v>
      </c>
      <c r="I131" s="219">
        <v>6472290.0600000005</v>
      </c>
      <c r="J131" s="321">
        <v>1176268.71</v>
      </c>
    </row>
    <row r="132" spans="2:11" hidden="1" outlineLevel="2" x14ac:dyDescent="0.35">
      <c r="B132" s="492"/>
      <c r="C132" s="485"/>
      <c r="D132" s="223" t="s">
        <v>116</v>
      </c>
      <c r="E132" s="275">
        <v>0</v>
      </c>
      <c r="F132" s="275">
        <v>0</v>
      </c>
      <c r="G132" s="275">
        <v>0</v>
      </c>
      <c r="H132" s="275">
        <v>0</v>
      </c>
      <c r="I132" s="219">
        <v>0</v>
      </c>
      <c r="J132" s="321">
        <v>0</v>
      </c>
    </row>
    <row r="133" spans="2:11" hidden="1" outlineLevel="2" x14ac:dyDescent="0.35">
      <c r="B133" s="492"/>
      <c r="C133" s="485"/>
      <c r="D133" s="224" t="s">
        <v>114</v>
      </c>
      <c r="E133" s="275">
        <v>0</v>
      </c>
      <c r="F133" s="275">
        <v>0</v>
      </c>
      <c r="G133" s="275">
        <v>0</v>
      </c>
      <c r="H133" s="275">
        <v>0</v>
      </c>
      <c r="I133" s="219">
        <v>0</v>
      </c>
      <c r="J133" s="321">
        <v>0</v>
      </c>
    </row>
    <row r="134" spans="2:11" hidden="1" outlineLevel="2" x14ac:dyDescent="0.35">
      <c r="B134" s="492"/>
      <c r="C134" s="485"/>
      <c r="D134" s="223" t="s">
        <v>113</v>
      </c>
      <c r="E134" s="275">
        <v>15</v>
      </c>
      <c r="F134" s="275">
        <v>14</v>
      </c>
      <c r="G134" s="275">
        <v>19922797.229999997</v>
      </c>
      <c r="H134" s="275">
        <v>9815076.2699999996</v>
      </c>
      <c r="I134" s="219">
        <v>7872214.0700000003</v>
      </c>
      <c r="J134" s="321">
        <v>1622183.3800000004</v>
      </c>
      <c r="K134" s="302"/>
    </row>
    <row r="135" spans="2:11" hidden="1" outlineLevel="2" x14ac:dyDescent="0.35">
      <c r="B135" s="492"/>
      <c r="C135" s="485"/>
      <c r="D135" s="223" t="s">
        <v>112</v>
      </c>
      <c r="E135" s="275">
        <v>1</v>
      </c>
      <c r="F135" s="275">
        <v>1</v>
      </c>
      <c r="G135" s="275">
        <v>1202286.8999999999</v>
      </c>
      <c r="H135" s="275">
        <v>480914.76</v>
      </c>
      <c r="I135" s="219">
        <v>372689.29</v>
      </c>
      <c r="J135" s="321">
        <v>108225.47</v>
      </c>
    </row>
    <row r="136" spans="2:11" hidden="1" outlineLevel="2" x14ac:dyDescent="0.35">
      <c r="B136" s="492"/>
      <c r="C136" s="485"/>
      <c r="D136" s="223" t="s">
        <v>111</v>
      </c>
      <c r="E136" s="275">
        <v>0</v>
      </c>
      <c r="F136" s="275">
        <v>0</v>
      </c>
      <c r="G136" s="275">
        <v>0</v>
      </c>
      <c r="H136" s="275">
        <v>0</v>
      </c>
      <c r="I136" s="219">
        <v>0</v>
      </c>
      <c r="J136" s="321">
        <v>0</v>
      </c>
    </row>
    <row r="137" spans="2:11" hidden="1" outlineLevel="2" x14ac:dyDescent="0.35">
      <c r="B137" s="492"/>
      <c r="C137" s="485"/>
      <c r="D137" s="222" t="s">
        <v>109</v>
      </c>
      <c r="E137" s="275">
        <v>1</v>
      </c>
      <c r="F137" s="275">
        <v>1</v>
      </c>
      <c r="G137" s="275">
        <v>2409258</v>
      </c>
      <c r="H137" s="275">
        <v>481851.6</v>
      </c>
      <c r="I137" s="219">
        <v>240926</v>
      </c>
      <c r="J137" s="321">
        <v>240925.6</v>
      </c>
    </row>
    <row r="138" spans="2:11" hidden="1" outlineLevel="2" x14ac:dyDescent="0.35">
      <c r="B138" s="492"/>
      <c r="C138" s="485"/>
      <c r="D138" s="222" t="s">
        <v>108</v>
      </c>
      <c r="E138" s="275">
        <v>1</v>
      </c>
      <c r="F138" s="275">
        <v>1</v>
      </c>
      <c r="G138" s="275">
        <v>2513924.75</v>
      </c>
      <c r="H138" s="275">
        <v>1005569.91</v>
      </c>
      <c r="I138" s="219">
        <v>1001458.74</v>
      </c>
      <c r="J138" s="321">
        <v>4111.17</v>
      </c>
    </row>
    <row r="139" spans="2:11" hidden="1" outlineLevel="2" x14ac:dyDescent="0.35">
      <c r="B139" s="492"/>
      <c r="C139" s="485"/>
      <c r="D139" s="222" t="s">
        <v>107</v>
      </c>
      <c r="E139" s="275">
        <v>1</v>
      </c>
      <c r="F139" s="275">
        <v>1</v>
      </c>
      <c r="G139" s="275">
        <v>1283882.25</v>
      </c>
      <c r="H139" s="275">
        <v>513552.92</v>
      </c>
      <c r="I139" s="219">
        <v>385787.25</v>
      </c>
      <c r="J139" s="321">
        <v>127765.67</v>
      </c>
    </row>
    <row r="140" spans="2:11" hidden="1" outlineLevel="2" x14ac:dyDescent="0.35">
      <c r="B140" s="492"/>
      <c r="C140" s="485"/>
      <c r="D140" s="222" t="s">
        <v>106</v>
      </c>
      <c r="E140" s="275">
        <v>0</v>
      </c>
      <c r="F140" s="275">
        <v>0</v>
      </c>
      <c r="G140" s="275">
        <v>0</v>
      </c>
      <c r="H140" s="275">
        <v>0</v>
      </c>
      <c r="I140" s="219">
        <v>0</v>
      </c>
      <c r="J140" s="321">
        <v>0</v>
      </c>
    </row>
    <row r="141" spans="2:11" hidden="1" outlineLevel="2" x14ac:dyDescent="0.35">
      <c r="B141" s="492"/>
      <c r="C141" s="485"/>
      <c r="D141" s="222" t="s">
        <v>104</v>
      </c>
      <c r="E141" s="275">
        <v>0</v>
      </c>
      <c r="F141" s="275">
        <v>0</v>
      </c>
      <c r="G141" s="275">
        <v>0</v>
      </c>
      <c r="H141" s="275">
        <v>0</v>
      </c>
      <c r="I141" s="219">
        <v>0</v>
      </c>
      <c r="J141" s="321">
        <v>0</v>
      </c>
    </row>
    <row r="142" spans="2:11" hidden="1" outlineLevel="2" x14ac:dyDescent="0.35">
      <c r="B142" s="492"/>
      <c r="C142" s="485"/>
      <c r="D142" s="222" t="s">
        <v>103</v>
      </c>
      <c r="E142" s="275">
        <v>4</v>
      </c>
      <c r="F142" s="275">
        <v>4</v>
      </c>
      <c r="G142" s="275">
        <v>5807814.2599999998</v>
      </c>
      <c r="H142" s="275">
        <v>2323125.71</v>
      </c>
      <c r="I142" s="219">
        <v>1872815.33</v>
      </c>
      <c r="J142" s="321">
        <v>336124.23000000004</v>
      </c>
    </row>
    <row r="143" spans="2:11" hidden="1" outlineLevel="2" x14ac:dyDescent="0.35">
      <c r="B143" s="492"/>
      <c r="C143" s="485"/>
      <c r="D143" s="222" t="s">
        <v>102</v>
      </c>
      <c r="E143" s="275">
        <v>1</v>
      </c>
      <c r="F143" s="275">
        <v>1</v>
      </c>
      <c r="G143" s="275">
        <v>1299017.33</v>
      </c>
      <c r="H143" s="275">
        <v>519606.92</v>
      </c>
      <c r="I143" s="219">
        <v>390344.22</v>
      </c>
      <c r="J143" s="321">
        <v>129262.7</v>
      </c>
    </row>
    <row r="144" spans="2:11" hidden="1" outlineLevel="2" x14ac:dyDescent="0.35">
      <c r="B144" s="492"/>
      <c r="C144" s="485"/>
      <c r="D144" s="222" t="s">
        <v>101</v>
      </c>
      <c r="E144" s="275">
        <v>0</v>
      </c>
      <c r="F144" s="275">
        <v>0</v>
      </c>
      <c r="G144" s="275">
        <v>0</v>
      </c>
      <c r="H144" s="275">
        <v>0</v>
      </c>
      <c r="I144" s="219">
        <v>0</v>
      </c>
      <c r="J144" s="321">
        <v>0</v>
      </c>
    </row>
    <row r="145" spans="2:10" hidden="1" outlineLevel="2" x14ac:dyDescent="0.35">
      <c r="B145" s="492"/>
      <c r="C145" s="485"/>
      <c r="D145" s="223" t="s">
        <v>99</v>
      </c>
      <c r="E145" s="275">
        <v>0</v>
      </c>
      <c r="F145" s="275">
        <v>0</v>
      </c>
      <c r="G145" s="275">
        <v>0</v>
      </c>
      <c r="H145" s="275">
        <v>0</v>
      </c>
      <c r="I145" s="219">
        <v>0</v>
      </c>
      <c r="J145" s="321">
        <v>0</v>
      </c>
    </row>
    <row r="146" spans="2:10" hidden="1" outlineLevel="2" x14ac:dyDescent="0.35">
      <c r="B146" s="492"/>
      <c r="C146" s="485"/>
      <c r="D146" s="223" t="s">
        <v>98</v>
      </c>
      <c r="E146" s="275">
        <v>0</v>
      </c>
      <c r="F146" s="275">
        <v>0</v>
      </c>
      <c r="G146" s="275">
        <v>0</v>
      </c>
      <c r="H146" s="275">
        <v>0</v>
      </c>
      <c r="I146" s="219">
        <v>0</v>
      </c>
      <c r="J146" s="321">
        <v>0</v>
      </c>
    </row>
    <row r="147" spans="2:10" hidden="1" outlineLevel="2" x14ac:dyDescent="0.35">
      <c r="B147" s="492"/>
      <c r="C147" s="485"/>
      <c r="D147" s="223" t="s">
        <v>97</v>
      </c>
      <c r="E147" s="275">
        <v>0</v>
      </c>
      <c r="F147" s="275">
        <v>0</v>
      </c>
      <c r="G147" s="275">
        <v>0</v>
      </c>
      <c r="H147" s="275">
        <v>0</v>
      </c>
      <c r="I147" s="219">
        <v>0</v>
      </c>
      <c r="J147" s="321">
        <v>0</v>
      </c>
    </row>
    <row r="148" spans="2:10" hidden="1" outlineLevel="2" x14ac:dyDescent="0.35">
      <c r="B148" s="492"/>
      <c r="C148" s="485"/>
      <c r="D148" s="223" t="s">
        <v>96</v>
      </c>
      <c r="E148" s="275">
        <v>1</v>
      </c>
      <c r="F148" s="275">
        <v>1</v>
      </c>
      <c r="G148" s="275">
        <v>4954428.6399999997</v>
      </c>
      <c r="H148" s="275">
        <v>1981771.44</v>
      </c>
      <c r="I148" s="219">
        <v>1709544.75</v>
      </c>
      <c r="J148" s="321">
        <v>272226.69</v>
      </c>
    </row>
    <row r="149" spans="2:10" hidden="1" outlineLevel="2" x14ac:dyDescent="0.35">
      <c r="B149" s="492"/>
      <c r="C149" s="485"/>
      <c r="D149" s="223" t="s">
        <v>94</v>
      </c>
      <c r="E149" s="275">
        <v>0</v>
      </c>
      <c r="F149" s="275">
        <v>0</v>
      </c>
      <c r="G149" s="275">
        <v>0</v>
      </c>
      <c r="H149" s="275">
        <v>0</v>
      </c>
      <c r="I149" s="219">
        <v>0</v>
      </c>
      <c r="J149" s="321">
        <v>0</v>
      </c>
    </row>
    <row r="150" spans="2:10" hidden="1" outlineLevel="2" x14ac:dyDescent="0.35">
      <c r="B150" s="492"/>
      <c r="C150" s="485"/>
      <c r="D150" s="223" t="s">
        <v>93</v>
      </c>
      <c r="E150" s="275">
        <v>3</v>
      </c>
      <c r="F150" s="275">
        <v>3</v>
      </c>
      <c r="G150" s="275">
        <v>4967175.5</v>
      </c>
      <c r="H150" s="275">
        <v>1986870.24</v>
      </c>
      <c r="I150" s="219">
        <v>1603447.8599999999</v>
      </c>
      <c r="J150" s="321">
        <v>383422.38</v>
      </c>
    </row>
    <row r="151" spans="2:10" hidden="1" outlineLevel="2" x14ac:dyDescent="0.35">
      <c r="B151" s="492"/>
      <c r="C151" s="485"/>
      <c r="D151" s="223" t="s">
        <v>92</v>
      </c>
      <c r="E151" s="275">
        <v>2</v>
      </c>
      <c r="F151" s="275">
        <v>2</v>
      </c>
      <c r="G151" s="275">
        <v>2951127.5</v>
      </c>
      <c r="H151" s="275">
        <v>1180451.03</v>
      </c>
      <c r="I151" s="219">
        <v>938582</v>
      </c>
      <c r="J151" s="321">
        <v>241869.03000000003</v>
      </c>
    </row>
    <row r="152" spans="2:10" hidden="1" outlineLevel="2" x14ac:dyDescent="0.35">
      <c r="B152" s="492"/>
      <c r="C152" s="485"/>
      <c r="D152" s="223" t="s">
        <v>91</v>
      </c>
      <c r="E152" s="275">
        <v>3</v>
      </c>
      <c r="F152" s="275">
        <v>2</v>
      </c>
      <c r="G152" s="275">
        <v>12073221</v>
      </c>
      <c r="H152" s="275">
        <v>4643132.4000000004</v>
      </c>
      <c r="I152" s="219">
        <v>3621715.2</v>
      </c>
      <c r="J152" s="321">
        <v>1020917.2</v>
      </c>
    </row>
    <row r="153" spans="2:10" hidden="1" outlineLevel="2" x14ac:dyDescent="0.35">
      <c r="B153" s="492"/>
      <c r="C153" s="485"/>
      <c r="D153" s="223" t="s">
        <v>89</v>
      </c>
      <c r="E153" s="275">
        <v>1</v>
      </c>
      <c r="F153" s="275">
        <v>1</v>
      </c>
      <c r="G153" s="275">
        <v>2247700.58</v>
      </c>
      <c r="H153" s="275">
        <v>449540.12</v>
      </c>
      <c r="I153" s="219">
        <v>224754.03</v>
      </c>
      <c r="J153" s="321">
        <v>224770.06</v>
      </c>
    </row>
    <row r="154" spans="2:10" hidden="1" outlineLevel="2" x14ac:dyDescent="0.35">
      <c r="B154" s="492"/>
      <c r="C154" s="485"/>
      <c r="D154" s="223" t="s">
        <v>88</v>
      </c>
      <c r="E154" s="275">
        <v>0</v>
      </c>
      <c r="F154" s="275">
        <v>0</v>
      </c>
      <c r="G154" s="275">
        <v>0</v>
      </c>
      <c r="H154" s="275">
        <v>0</v>
      </c>
      <c r="I154" s="219">
        <v>0</v>
      </c>
      <c r="J154" s="321">
        <v>0</v>
      </c>
    </row>
    <row r="155" spans="2:10" hidden="1" outlineLevel="2" x14ac:dyDescent="0.35">
      <c r="B155" s="492"/>
      <c r="C155" s="485"/>
      <c r="D155" s="223" t="s">
        <v>87</v>
      </c>
      <c r="E155" s="275">
        <v>0</v>
      </c>
      <c r="F155" s="275">
        <v>0</v>
      </c>
      <c r="G155" s="275">
        <v>0</v>
      </c>
      <c r="H155" s="275">
        <v>0</v>
      </c>
      <c r="I155" s="219">
        <v>0</v>
      </c>
      <c r="J155" s="321">
        <v>0</v>
      </c>
    </row>
    <row r="156" spans="2:10" hidden="1" outlineLevel="2" x14ac:dyDescent="0.35">
      <c r="B156" s="492"/>
      <c r="C156" s="485"/>
      <c r="D156" s="223" t="s">
        <v>86</v>
      </c>
      <c r="E156" s="275">
        <v>0</v>
      </c>
      <c r="F156" s="275">
        <v>0</v>
      </c>
      <c r="G156" s="275">
        <v>0</v>
      </c>
      <c r="H156" s="275">
        <v>0</v>
      </c>
      <c r="I156" s="219">
        <v>0</v>
      </c>
      <c r="J156" s="321">
        <v>0</v>
      </c>
    </row>
    <row r="157" spans="2:10" hidden="1" outlineLevel="2" x14ac:dyDescent="0.35">
      <c r="B157" s="492"/>
      <c r="C157" s="485"/>
      <c r="D157" s="223" t="s">
        <v>84</v>
      </c>
      <c r="E157" s="275">
        <v>0</v>
      </c>
      <c r="F157" s="275">
        <v>0</v>
      </c>
      <c r="G157" s="275">
        <v>0</v>
      </c>
      <c r="H157" s="275">
        <v>0</v>
      </c>
      <c r="I157" s="219">
        <v>0</v>
      </c>
      <c r="J157" s="321">
        <v>0</v>
      </c>
    </row>
    <row r="158" spans="2:10" hidden="1" outlineLevel="2" x14ac:dyDescent="0.35">
      <c r="B158" s="492"/>
      <c r="C158" s="485"/>
      <c r="D158" s="223" t="s">
        <v>83</v>
      </c>
      <c r="E158" s="275">
        <v>2</v>
      </c>
      <c r="F158" s="275">
        <v>2</v>
      </c>
      <c r="G158" s="275">
        <v>2855557.68</v>
      </c>
      <c r="H158" s="275">
        <v>856667.28</v>
      </c>
      <c r="I158" s="219">
        <v>571490.51</v>
      </c>
      <c r="J158" s="321">
        <v>285176.77</v>
      </c>
    </row>
    <row r="159" spans="2:10" hidden="1" outlineLevel="2" x14ac:dyDescent="0.35">
      <c r="B159" s="492"/>
      <c r="C159" s="485"/>
      <c r="D159" s="223" t="s">
        <v>82</v>
      </c>
      <c r="E159" s="275">
        <v>1</v>
      </c>
      <c r="F159" s="275">
        <v>1</v>
      </c>
      <c r="G159" s="275">
        <v>1425090.5600000001</v>
      </c>
      <c r="H159" s="275">
        <v>427527.18</v>
      </c>
      <c r="I159" s="219">
        <v>142510</v>
      </c>
      <c r="J159" s="321">
        <v>142509.06</v>
      </c>
    </row>
    <row r="160" spans="2:10" hidden="1" outlineLevel="2" x14ac:dyDescent="0.35">
      <c r="B160" s="492"/>
      <c r="C160" s="485"/>
      <c r="D160" s="223" t="s">
        <v>81</v>
      </c>
      <c r="E160" s="275">
        <v>2</v>
      </c>
      <c r="F160" s="275">
        <v>1</v>
      </c>
      <c r="G160" s="275">
        <v>7042492.6300000008</v>
      </c>
      <c r="H160" s="275">
        <v>2112747.7800000003</v>
      </c>
      <c r="I160" s="219">
        <v>1408500.26</v>
      </c>
      <c r="J160" s="321">
        <v>704247.52</v>
      </c>
    </row>
    <row r="161" spans="2:11" hidden="1" outlineLevel="2" x14ac:dyDescent="0.35">
      <c r="B161" s="492"/>
      <c r="C161" s="485"/>
      <c r="D161" s="223" t="s">
        <v>79</v>
      </c>
      <c r="E161" s="275">
        <v>0</v>
      </c>
      <c r="F161" s="275">
        <v>0</v>
      </c>
      <c r="G161" s="275">
        <v>0</v>
      </c>
      <c r="H161" s="275">
        <v>0</v>
      </c>
      <c r="I161" s="219">
        <v>0</v>
      </c>
      <c r="J161" s="321">
        <v>0</v>
      </c>
    </row>
    <row r="162" spans="2:11" hidden="1" outlineLevel="2" x14ac:dyDescent="0.35">
      <c r="B162" s="492"/>
      <c r="C162" s="485"/>
      <c r="D162" s="223" t="s">
        <v>78</v>
      </c>
      <c r="E162" s="275">
        <v>0</v>
      </c>
      <c r="F162" s="275">
        <v>0</v>
      </c>
      <c r="G162" s="275">
        <v>0</v>
      </c>
      <c r="H162" s="275">
        <v>0</v>
      </c>
      <c r="I162" s="219">
        <v>0</v>
      </c>
      <c r="J162" s="321">
        <v>0</v>
      </c>
    </row>
    <row r="163" spans="2:11" outlineLevel="1" collapsed="1" x14ac:dyDescent="0.35">
      <c r="B163" s="492"/>
      <c r="C163" s="485"/>
      <c r="D163" s="221" t="s">
        <v>77</v>
      </c>
      <c r="E163" s="275">
        <f t="shared" ref="E163:J163" si="22">SUM(E164:E185)</f>
        <v>46</v>
      </c>
      <c r="F163" s="275">
        <f t="shared" si="22"/>
        <v>42</v>
      </c>
      <c r="G163" s="275">
        <f t="shared" si="22"/>
        <v>71936781.030000016</v>
      </c>
      <c r="H163" s="275">
        <f t="shared" si="22"/>
        <v>23116406.84</v>
      </c>
      <c r="I163" s="219">
        <f t="shared" si="22"/>
        <v>17642744.449999999</v>
      </c>
      <c r="J163" s="321">
        <f t="shared" si="22"/>
        <v>5111929.9499999993</v>
      </c>
    </row>
    <row r="164" spans="2:11" hidden="1" outlineLevel="2" x14ac:dyDescent="0.35">
      <c r="B164" s="492"/>
      <c r="C164" s="485"/>
      <c r="D164" s="222" t="s">
        <v>75</v>
      </c>
      <c r="E164" s="275">
        <v>5</v>
      </c>
      <c r="F164" s="275">
        <v>5</v>
      </c>
      <c r="G164" s="275">
        <v>7145955.3399999999</v>
      </c>
      <c r="H164" s="275">
        <v>2718644.53</v>
      </c>
      <c r="I164" s="219">
        <v>2222196.96</v>
      </c>
      <c r="J164" s="321">
        <v>359989.16</v>
      </c>
    </row>
    <row r="165" spans="2:11" hidden="1" outlineLevel="2" x14ac:dyDescent="0.35">
      <c r="B165" s="492"/>
      <c r="C165" s="485"/>
      <c r="D165" s="222" t="s">
        <v>74</v>
      </c>
      <c r="E165" s="275">
        <v>10</v>
      </c>
      <c r="F165" s="275">
        <v>10</v>
      </c>
      <c r="G165" s="275">
        <v>14027096.970000001</v>
      </c>
      <c r="H165" s="275">
        <v>5364233.25</v>
      </c>
      <c r="I165" s="219">
        <v>4403367.34</v>
      </c>
      <c r="J165" s="321">
        <v>960864.98</v>
      </c>
    </row>
    <row r="166" spans="2:11" hidden="1" outlineLevel="2" x14ac:dyDescent="0.35">
      <c r="B166" s="492"/>
      <c r="C166" s="485"/>
      <c r="D166" s="222" t="s">
        <v>73</v>
      </c>
      <c r="E166" s="275">
        <v>4</v>
      </c>
      <c r="F166" s="275">
        <v>2</v>
      </c>
      <c r="G166" s="275">
        <v>6358022.0599999996</v>
      </c>
      <c r="H166" s="275">
        <v>2543208.8099999996</v>
      </c>
      <c r="I166" s="219">
        <v>1845430</v>
      </c>
      <c r="J166" s="321">
        <v>625172.37</v>
      </c>
    </row>
    <row r="167" spans="2:11" hidden="1" outlineLevel="2" x14ac:dyDescent="0.35">
      <c r="B167" s="492"/>
      <c r="C167" s="485"/>
      <c r="D167" s="222" t="s">
        <v>72</v>
      </c>
      <c r="E167" s="275">
        <v>0</v>
      </c>
      <c r="F167" s="275">
        <v>0</v>
      </c>
      <c r="G167" s="275">
        <v>0</v>
      </c>
      <c r="H167" s="275">
        <v>0</v>
      </c>
      <c r="I167" s="219">
        <v>0</v>
      </c>
      <c r="J167" s="321">
        <v>0</v>
      </c>
      <c r="K167" s="302"/>
    </row>
    <row r="168" spans="2:11" hidden="1" outlineLevel="2" x14ac:dyDescent="0.35">
      <c r="B168" s="492"/>
      <c r="C168" s="485"/>
      <c r="D168" s="222" t="s">
        <v>70</v>
      </c>
      <c r="E168" s="275">
        <v>0</v>
      </c>
      <c r="F168" s="275">
        <v>0</v>
      </c>
      <c r="G168" s="275">
        <v>0</v>
      </c>
      <c r="H168" s="275">
        <v>0</v>
      </c>
      <c r="I168" s="219">
        <v>0</v>
      </c>
      <c r="J168" s="321">
        <v>0</v>
      </c>
    </row>
    <row r="169" spans="2:11" hidden="1" outlineLevel="2" x14ac:dyDescent="0.35">
      <c r="B169" s="492"/>
      <c r="C169" s="485"/>
      <c r="D169" s="222" t="s">
        <v>69</v>
      </c>
      <c r="E169" s="275">
        <v>6</v>
      </c>
      <c r="F169" s="275">
        <v>6</v>
      </c>
      <c r="G169" s="275">
        <v>9812305</v>
      </c>
      <c r="H169" s="275">
        <v>3576928.01</v>
      </c>
      <c r="I169" s="219">
        <v>2951714.4699999997</v>
      </c>
      <c r="J169" s="321">
        <v>625183.72</v>
      </c>
    </row>
    <row r="170" spans="2:11" hidden="1" outlineLevel="2" x14ac:dyDescent="0.35">
      <c r="B170" s="492"/>
      <c r="C170" s="485"/>
      <c r="D170" s="222" t="s">
        <v>68</v>
      </c>
      <c r="E170" s="275">
        <v>0</v>
      </c>
      <c r="F170" s="275">
        <v>0</v>
      </c>
      <c r="G170" s="275">
        <v>0</v>
      </c>
      <c r="H170" s="275">
        <v>0</v>
      </c>
      <c r="I170" s="219">
        <v>0</v>
      </c>
      <c r="J170" s="321">
        <v>0</v>
      </c>
    </row>
    <row r="171" spans="2:11" hidden="1" outlineLevel="2" x14ac:dyDescent="0.35">
      <c r="B171" s="492"/>
      <c r="C171" s="485"/>
      <c r="D171" s="222" t="s">
        <v>67</v>
      </c>
      <c r="E171" s="275">
        <v>0</v>
      </c>
      <c r="F171" s="275">
        <v>0</v>
      </c>
      <c r="G171" s="275">
        <v>0</v>
      </c>
      <c r="H171" s="275">
        <v>0</v>
      </c>
      <c r="I171" s="219">
        <v>0</v>
      </c>
      <c r="J171" s="321">
        <v>0</v>
      </c>
    </row>
    <row r="172" spans="2:11" hidden="1" outlineLevel="2" x14ac:dyDescent="0.35">
      <c r="B172" s="492"/>
      <c r="C172" s="485"/>
      <c r="D172" s="222" t="s">
        <v>65</v>
      </c>
      <c r="E172" s="275">
        <v>0</v>
      </c>
      <c r="F172" s="275">
        <v>0</v>
      </c>
      <c r="G172" s="275">
        <v>0</v>
      </c>
      <c r="H172" s="275">
        <v>0</v>
      </c>
      <c r="I172" s="219">
        <v>0</v>
      </c>
      <c r="J172" s="321">
        <v>0</v>
      </c>
    </row>
    <row r="173" spans="2:11" hidden="1" outlineLevel="2" x14ac:dyDescent="0.35">
      <c r="B173" s="492"/>
      <c r="C173" s="485"/>
      <c r="D173" s="222" t="s">
        <v>64</v>
      </c>
      <c r="E173" s="275">
        <v>4</v>
      </c>
      <c r="F173" s="275">
        <v>4</v>
      </c>
      <c r="G173" s="275">
        <v>6833481.7199999997</v>
      </c>
      <c r="H173" s="275">
        <v>1866483.22</v>
      </c>
      <c r="I173" s="219">
        <v>1522839.94</v>
      </c>
      <c r="J173" s="321">
        <v>343643.28</v>
      </c>
    </row>
    <row r="174" spans="2:11" hidden="1" outlineLevel="2" x14ac:dyDescent="0.35">
      <c r="B174" s="492"/>
      <c r="C174" s="485"/>
      <c r="D174" s="222" t="s">
        <v>63</v>
      </c>
      <c r="E174" s="275">
        <v>1</v>
      </c>
      <c r="F174" s="275">
        <v>1</v>
      </c>
      <c r="G174" s="275">
        <v>1782998.64</v>
      </c>
      <c r="H174" s="275">
        <v>356599.73</v>
      </c>
      <c r="I174" s="219">
        <v>178300</v>
      </c>
      <c r="J174" s="321">
        <v>178299.73</v>
      </c>
    </row>
    <row r="175" spans="2:11" hidden="1" outlineLevel="2" x14ac:dyDescent="0.35">
      <c r="B175" s="492"/>
      <c r="C175" s="485"/>
      <c r="D175" s="222" t="s">
        <v>62</v>
      </c>
      <c r="E175" s="275">
        <v>0</v>
      </c>
      <c r="F175" s="275">
        <v>0</v>
      </c>
      <c r="G175" s="275">
        <v>0</v>
      </c>
      <c r="H175" s="275">
        <v>0</v>
      </c>
      <c r="I175" s="219">
        <v>0</v>
      </c>
      <c r="J175" s="321">
        <v>0</v>
      </c>
    </row>
    <row r="176" spans="2:11" hidden="1" outlineLevel="2" x14ac:dyDescent="0.35">
      <c r="B176" s="492"/>
      <c r="C176" s="485"/>
      <c r="D176" s="222" t="s">
        <v>60</v>
      </c>
      <c r="E176" s="275">
        <v>0</v>
      </c>
      <c r="F176" s="275">
        <v>0</v>
      </c>
      <c r="G176" s="275">
        <v>0</v>
      </c>
      <c r="H176" s="275">
        <v>0</v>
      </c>
      <c r="I176" s="219">
        <v>0</v>
      </c>
      <c r="J176" s="321">
        <v>0</v>
      </c>
    </row>
    <row r="177" spans="2:10" hidden="1" outlineLevel="2" x14ac:dyDescent="0.35">
      <c r="B177" s="492"/>
      <c r="C177" s="485"/>
      <c r="D177" s="222" t="s">
        <v>59</v>
      </c>
      <c r="E177" s="275">
        <v>2</v>
      </c>
      <c r="F177" s="275">
        <v>2</v>
      </c>
      <c r="G177" s="275">
        <v>2764378.75</v>
      </c>
      <c r="H177" s="275">
        <v>691912.26</v>
      </c>
      <c r="I177" s="219">
        <v>467135.2</v>
      </c>
      <c r="J177" s="321">
        <v>224777.06</v>
      </c>
    </row>
    <row r="178" spans="2:10" hidden="1" outlineLevel="2" x14ac:dyDescent="0.35">
      <c r="B178" s="492"/>
      <c r="C178" s="485"/>
      <c r="D178" s="222" t="s">
        <v>58</v>
      </c>
      <c r="E178" s="275">
        <v>1</v>
      </c>
      <c r="F178" s="275">
        <v>1</v>
      </c>
      <c r="G178" s="275">
        <v>1700452</v>
      </c>
      <c r="H178" s="275">
        <v>340090.4</v>
      </c>
      <c r="I178" s="219">
        <v>170046</v>
      </c>
      <c r="J178" s="321">
        <v>170044.4</v>
      </c>
    </row>
    <row r="179" spans="2:10" hidden="1" outlineLevel="2" x14ac:dyDescent="0.35">
      <c r="B179" s="492"/>
      <c r="C179" s="485"/>
      <c r="D179" s="222" t="s">
        <v>57</v>
      </c>
      <c r="E179" s="275">
        <v>0</v>
      </c>
      <c r="F179" s="275">
        <v>0</v>
      </c>
      <c r="G179" s="275">
        <v>0</v>
      </c>
      <c r="H179" s="275">
        <v>0</v>
      </c>
      <c r="I179" s="219">
        <v>0</v>
      </c>
      <c r="J179" s="321">
        <v>0</v>
      </c>
    </row>
    <row r="180" spans="2:10" hidden="1" outlineLevel="2" x14ac:dyDescent="0.35">
      <c r="B180" s="492"/>
      <c r="C180" s="485"/>
      <c r="D180" s="222" t="s">
        <v>55</v>
      </c>
      <c r="E180" s="275">
        <v>2</v>
      </c>
      <c r="F180" s="275">
        <v>2</v>
      </c>
      <c r="G180" s="275">
        <v>3349421.34</v>
      </c>
      <c r="H180" s="275">
        <v>1004826.39</v>
      </c>
      <c r="I180" s="219">
        <v>844531.84</v>
      </c>
      <c r="J180" s="321">
        <v>145342.13</v>
      </c>
    </row>
    <row r="181" spans="2:10" hidden="1" outlineLevel="2" x14ac:dyDescent="0.35">
      <c r="B181" s="492"/>
      <c r="C181" s="485"/>
      <c r="D181" s="222" t="s">
        <v>54</v>
      </c>
      <c r="E181" s="275">
        <v>7</v>
      </c>
      <c r="F181" s="275">
        <v>5</v>
      </c>
      <c r="G181" s="275">
        <v>12019608.9</v>
      </c>
      <c r="H181" s="275">
        <v>3144164.23</v>
      </c>
      <c r="I181" s="219">
        <v>1864038.74</v>
      </c>
      <c r="J181" s="321">
        <v>1142441.07</v>
      </c>
    </row>
    <row r="182" spans="2:10" hidden="1" outlineLevel="2" x14ac:dyDescent="0.35">
      <c r="B182" s="492"/>
      <c r="C182" s="485"/>
      <c r="D182" s="222" t="s">
        <v>53</v>
      </c>
      <c r="E182" s="275">
        <v>0</v>
      </c>
      <c r="F182" s="275">
        <v>0</v>
      </c>
      <c r="G182" s="275">
        <v>0</v>
      </c>
      <c r="H182" s="275">
        <v>0</v>
      </c>
      <c r="I182" s="219">
        <v>0</v>
      </c>
      <c r="J182" s="321">
        <v>0</v>
      </c>
    </row>
    <row r="183" spans="2:10" hidden="1" outlineLevel="2" x14ac:dyDescent="0.35">
      <c r="B183" s="492"/>
      <c r="C183" s="485"/>
      <c r="D183" s="222" t="s">
        <v>52</v>
      </c>
      <c r="E183" s="275">
        <v>0</v>
      </c>
      <c r="F183" s="275">
        <v>0</v>
      </c>
      <c r="G183" s="275">
        <v>0</v>
      </c>
      <c r="H183" s="275">
        <v>0</v>
      </c>
      <c r="I183" s="219">
        <v>0</v>
      </c>
      <c r="J183" s="321">
        <v>0</v>
      </c>
    </row>
    <row r="184" spans="2:10" hidden="1" outlineLevel="2" x14ac:dyDescent="0.35">
      <c r="B184" s="492"/>
      <c r="C184" s="485"/>
      <c r="D184" s="222" t="s">
        <v>50</v>
      </c>
      <c r="E184" s="275">
        <v>3</v>
      </c>
      <c r="F184" s="275">
        <v>3</v>
      </c>
      <c r="G184" s="275">
        <v>4683135.05</v>
      </c>
      <c r="H184" s="275">
        <v>1217330.9500000002</v>
      </c>
      <c r="I184" s="219">
        <v>1027050.96</v>
      </c>
      <c r="J184" s="321">
        <v>190279.99</v>
      </c>
    </row>
    <row r="185" spans="2:10" hidden="1" outlineLevel="2" x14ac:dyDescent="0.35">
      <c r="B185" s="492"/>
      <c r="C185" s="485"/>
      <c r="D185" s="222" t="s">
        <v>49</v>
      </c>
      <c r="E185" s="275">
        <v>1</v>
      </c>
      <c r="F185" s="275">
        <v>1</v>
      </c>
      <c r="G185" s="275">
        <v>1459925.26</v>
      </c>
      <c r="H185" s="275">
        <v>291985.06</v>
      </c>
      <c r="I185" s="219">
        <v>146093</v>
      </c>
      <c r="J185" s="321">
        <v>145892.06</v>
      </c>
    </row>
    <row r="186" spans="2:10" x14ac:dyDescent="0.35">
      <c r="B186" s="492"/>
      <c r="C186" s="485"/>
      <c r="D186" s="213" t="s">
        <v>243</v>
      </c>
      <c r="E186" s="295">
        <f t="shared" ref="E186:J186" si="23">SUM(E163,E128,E123)</f>
        <v>135</v>
      </c>
      <c r="F186" s="295">
        <f t="shared" si="23"/>
        <v>124</v>
      </c>
      <c r="G186" s="295">
        <f t="shared" si="23"/>
        <v>378636170.09000003</v>
      </c>
      <c r="H186" s="295">
        <f t="shared" si="23"/>
        <v>131416324.85999998</v>
      </c>
      <c r="I186" s="294">
        <f t="shared" si="23"/>
        <v>90467755.739999995</v>
      </c>
      <c r="J186" s="293">
        <f t="shared" si="23"/>
        <v>32501959.25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75">
        <f t="shared" ref="E187:J187" si="24">SUM(E188:E190)</f>
        <v>12</v>
      </c>
      <c r="F187" s="275">
        <f t="shared" si="24"/>
        <v>12</v>
      </c>
      <c r="G187" s="275">
        <f t="shared" si="24"/>
        <v>15970149.34</v>
      </c>
      <c r="H187" s="275">
        <f t="shared" si="24"/>
        <v>4678023.8000000007</v>
      </c>
      <c r="I187" s="219">
        <f t="shared" si="24"/>
        <v>3418113.7199999997</v>
      </c>
      <c r="J187" s="321">
        <f t="shared" si="24"/>
        <v>1030510.59</v>
      </c>
    </row>
    <row r="188" spans="2:10" ht="15" hidden="1" customHeight="1" outlineLevel="2" x14ac:dyDescent="0.35">
      <c r="B188" s="492"/>
      <c r="C188" s="485"/>
      <c r="D188" s="222" t="s">
        <v>126</v>
      </c>
      <c r="E188" s="275">
        <v>3</v>
      </c>
      <c r="F188" s="275">
        <v>3</v>
      </c>
      <c r="G188" s="275">
        <v>3910471.0500000003</v>
      </c>
      <c r="H188" s="275">
        <v>1060120.3500000001</v>
      </c>
      <c r="I188" s="219">
        <v>799377.73</v>
      </c>
      <c r="J188" s="321">
        <v>180244.98</v>
      </c>
    </row>
    <row r="189" spans="2:10" ht="15" hidden="1" customHeight="1" outlineLevel="2" x14ac:dyDescent="0.35">
      <c r="B189" s="492"/>
      <c r="C189" s="485"/>
      <c r="D189" s="222" t="s">
        <v>125</v>
      </c>
      <c r="E189" s="275">
        <v>5</v>
      </c>
      <c r="F189" s="275">
        <v>5</v>
      </c>
      <c r="G189" s="275">
        <v>6744197.4300000006</v>
      </c>
      <c r="H189" s="275">
        <v>2023259.2100000002</v>
      </c>
      <c r="I189" s="219">
        <v>1516230.4</v>
      </c>
      <c r="J189" s="321">
        <v>507028.80999999994</v>
      </c>
    </row>
    <row r="190" spans="2:10" ht="15" hidden="1" customHeight="1" outlineLevel="2" x14ac:dyDescent="0.35">
      <c r="B190" s="492"/>
      <c r="C190" s="485"/>
      <c r="D190" s="222" t="s">
        <v>124</v>
      </c>
      <c r="E190" s="275">
        <v>4</v>
      </c>
      <c r="F190" s="275">
        <v>4</v>
      </c>
      <c r="G190" s="275">
        <v>5315480.8600000003</v>
      </c>
      <c r="H190" s="275">
        <v>1594644.24</v>
      </c>
      <c r="I190" s="219">
        <v>1102505.5899999999</v>
      </c>
      <c r="J190" s="321">
        <v>343236.80000000005</v>
      </c>
    </row>
    <row r="191" spans="2:10" outlineLevel="1" collapsed="1" x14ac:dyDescent="0.35">
      <c r="B191" s="492"/>
      <c r="C191" s="485"/>
      <c r="D191" s="221" t="s">
        <v>46</v>
      </c>
      <c r="E191" s="275">
        <f t="shared" ref="E191:J191" si="25">SUM(E192:E195)</f>
        <v>2</v>
      </c>
      <c r="F191" s="275">
        <f t="shared" si="25"/>
        <v>2</v>
      </c>
      <c r="G191" s="275">
        <f t="shared" si="25"/>
        <v>2494123.3499999996</v>
      </c>
      <c r="H191" s="275">
        <f t="shared" si="25"/>
        <v>377233.22</v>
      </c>
      <c r="I191" s="219">
        <f t="shared" si="25"/>
        <v>152176.71000000002</v>
      </c>
      <c r="J191" s="321">
        <f t="shared" si="25"/>
        <v>225056.51</v>
      </c>
    </row>
    <row r="192" spans="2:10" ht="15" hidden="1" customHeight="1" outlineLevel="2" x14ac:dyDescent="0.35">
      <c r="B192" s="492"/>
      <c r="C192" s="485"/>
      <c r="D192" s="222" t="s">
        <v>45</v>
      </c>
      <c r="E192" s="275">
        <v>1</v>
      </c>
      <c r="F192" s="275">
        <v>1</v>
      </c>
      <c r="G192" s="275">
        <v>1215914.42</v>
      </c>
      <c r="H192" s="275">
        <v>121591.44</v>
      </c>
      <c r="I192" s="219">
        <v>24350</v>
      </c>
      <c r="J192" s="321">
        <v>97241.44</v>
      </c>
    </row>
    <row r="193" spans="2:10" ht="15" hidden="1" customHeight="1" outlineLevel="2" x14ac:dyDescent="0.35">
      <c r="B193" s="492"/>
      <c r="C193" s="485"/>
      <c r="D193" s="222" t="s">
        <v>44</v>
      </c>
      <c r="E193" s="275">
        <v>0</v>
      </c>
      <c r="F193" s="275">
        <v>0</v>
      </c>
      <c r="G193" s="275">
        <v>0</v>
      </c>
      <c r="H193" s="275">
        <v>0</v>
      </c>
      <c r="I193" s="219">
        <v>0</v>
      </c>
      <c r="J193" s="321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75">
        <v>1</v>
      </c>
      <c r="F194" s="275">
        <v>1</v>
      </c>
      <c r="G194" s="275">
        <v>1278208.93</v>
      </c>
      <c r="H194" s="275">
        <v>255641.78</v>
      </c>
      <c r="I194" s="219">
        <v>127826.71</v>
      </c>
      <c r="J194" s="321">
        <v>127815.07</v>
      </c>
    </row>
    <row r="195" spans="2:10" ht="15" hidden="1" customHeight="1" outlineLevel="2" x14ac:dyDescent="0.35">
      <c r="B195" s="492"/>
      <c r="C195" s="485"/>
      <c r="D195" s="222" t="s">
        <v>42</v>
      </c>
      <c r="E195" s="275">
        <v>0</v>
      </c>
      <c r="F195" s="275">
        <v>0</v>
      </c>
      <c r="G195" s="275">
        <v>0</v>
      </c>
      <c r="H195" s="275">
        <v>0</v>
      </c>
      <c r="I195" s="219">
        <v>0</v>
      </c>
      <c r="J195" s="321">
        <v>0</v>
      </c>
    </row>
    <row r="196" spans="2:10" x14ac:dyDescent="0.35">
      <c r="B196" s="493"/>
      <c r="C196" s="494"/>
      <c r="D196" s="213" t="s">
        <v>239</v>
      </c>
      <c r="E196" s="295">
        <f t="shared" ref="E196:J196" si="26">SUM(E191,E187)</f>
        <v>14</v>
      </c>
      <c r="F196" s="295">
        <f t="shared" si="26"/>
        <v>14</v>
      </c>
      <c r="G196" s="295">
        <f t="shared" si="26"/>
        <v>18464272.689999998</v>
      </c>
      <c r="H196" s="295">
        <f t="shared" si="26"/>
        <v>5055257.0200000005</v>
      </c>
      <c r="I196" s="294">
        <f t="shared" si="26"/>
        <v>3570290.4299999997</v>
      </c>
      <c r="J196" s="293">
        <f t="shared" si="26"/>
        <v>1255567.1000000001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75">
        <f t="shared" ref="E197:J197" si="27">SUM(E198:E200)</f>
        <v>0</v>
      </c>
      <c r="F197" s="275">
        <f t="shared" si="27"/>
        <v>0</v>
      </c>
      <c r="G197" s="275">
        <f t="shared" si="27"/>
        <v>0</v>
      </c>
      <c r="H197" s="275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5" hidden="1" customHeight="1" outlineLevel="2" x14ac:dyDescent="0.35">
      <c r="B198" s="492"/>
      <c r="C198" s="485"/>
      <c r="D198" s="222" t="s">
        <v>31</v>
      </c>
      <c r="E198" s="275">
        <v>0</v>
      </c>
      <c r="F198" s="275">
        <v>0</v>
      </c>
      <c r="G198" s="275">
        <v>0</v>
      </c>
      <c r="H198" s="275">
        <v>0</v>
      </c>
      <c r="I198" s="219">
        <v>0</v>
      </c>
      <c r="J198" s="321">
        <v>0</v>
      </c>
    </row>
    <row r="199" spans="2:10" ht="15" hidden="1" customHeight="1" outlineLevel="2" x14ac:dyDescent="0.35">
      <c r="B199" s="492"/>
      <c r="C199" s="485"/>
      <c r="D199" s="222" t="s">
        <v>30</v>
      </c>
      <c r="E199" s="275">
        <v>0</v>
      </c>
      <c r="F199" s="275">
        <v>0</v>
      </c>
      <c r="G199" s="275">
        <v>0</v>
      </c>
      <c r="H199" s="275">
        <v>0</v>
      </c>
      <c r="I199" s="219">
        <v>0</v>
      </c>
      <c r="J199" s="321">
        <v>0</v>
      </c>
    </row>
    <row r="200" spans="2:10" ht="15" hidden="1" customHeight="1" outlineLevel="2" x14ac:dyDescent="0.35">
      <c r="B200" s="492"/>
      <c r="C200" s="485"/>
      <c r="D200" s="222" t="s">
        <v>29</v>
      </c>
      <c r="E200" s="275">
        <v>0</v>
      </c>
      <c r="F200" s="275">
        <v>0</v>
      </c>
      <c r="G200" s="275">
        <v>0</v>
      </c>
      <c r="H200" s="275">
        <v>0</v>
      </c>
      <c r="I200" s="219">
        <v>0</v>
      </c>
      <c r="J200" s="321">
        <v>0</v>
      </c>
    </row>
    <row r="201" spans="2:10" outlineLevel="1" collapsed="1" x14ac:dyDescent="0.35">
      <c r="B201" s="492"/>
      <c r="C201" s="485"/>
      <c r="D201" s="221" t="s">
        <v>28</v>
      </c>
      <c r="E201" s="275">
        <v>0</v>
      </c>
      <c r="F201" s="275">
        <v>0</v>
      </c>
      <c r="G201" s="275">
        <v>0</v>
      </c>
      <c r="H201" s="275">
        <v>0</v>
      </c>
      <c r="I201" s="219">
        <v>0</v>
      </c>
      <c r="J201" s="321">
        <v>0</v>
      </c>
    </row>
    <row r="202" spans="2:10" outlineLevel="1" x14ac:dyDescent="0.35">
      <c r="B202" s="492"/>
      <c r="C202" s="485"/>
      <c r="D202" s="221" t="s">
        <v>27</v>
      </c>
      <c r="E202" s="275">
        <v>0</v>
      </c>
      <c r="F202" s="275">
        <v>0</v>
      </c>
      <c r="G202" s="275">
        <v>0</v>
      </c>
      <c r="H202" s="275">
        <v>0</v>
      </c>
      <c r="I202" s="219">
        <v>0</v>
      </c>
      <c r="J202" s="321">
        <v>0</v>
      </c>
    </row>
    <row r="203" spans="2:10" x14ac:dyDescent="0.35">
      <c r="B203" s="493"/>
      <c r="C203" s="494"/>
      <c r="D203" s="213" t="s">
        <v>236</v>
      </c>
      <c r="E203" s="295">
        <f t="shared" ref="E203:J203" si="28">SUM(E202,E201,E197)</f>
        <v>0</v>
      </c>
      <c r="F203" s="295">
        <f t="shared" si="28"/>
        <v>0</v>
      </c>
      <c r="G203" s="295">
        <f t="shared" si="28"/>
        <v>0</v>
      </c>
      <c r="H203" s="295">
        <f t="shared" si="28"/>
        <v>0</v>
      </c>
      <c r="I203" s="294">
        <f t="shared" si="28"/>
        <v>0</v>
      </c>
      <c r="J203" s="293">
        <f t="shared" si="28"/>
        <v>0</v>
      </c>
    </row>
    <row r="204" spans="2:10" ht="15" thickBot="1" x14ac:dyDescent="0.4">
      <c r="B204" s="495" t="s">
        <v>235</v>
      </c>
      <c r="C204" s="496"/>
      <c r="D204" s="206" t="s">
        <v>15</v>
      </c>
      <c r="E204" s="292">
        <f t="shared" ref="E204:J204" si="29">SUM(E203,E186,E121,E108,E75,E41,E116,E196)</f>
        <v>760</v>
      </c>
      <c r="F204" s="292">
        <f t="shared" si="29"/>
        <v>723</v>
      </c>
      <c r="G204" s="292">
        <f t="shared" si="29"/>
        <v>2254928377.1500001</v>
      </c>
      <c r="H204" s="292">
        <f t="shared" si="29"/>
        <v>957595809.12999988</v>
      </c>
      <c r="I204" s="292">
        <f t="shared" si="29"/>
        <v>727984881.81999993</v>
      </c>
      <c r="J204" s="320">
        <f t="shared" si="29"/>
        <v>154111444.88999999</v>
      </c>
    </row>
    <row r="205" spans="2:10" x14ac:dyDescent="0.35">
      <c r="J205" s="196"/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J5:J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80" orientation="landscape" r:id="rId1"/>
  <headerFooter alignWithMargins="0">
    <oddHeader>&amp;LSOBHA LLC&amp;C&amp;"Tahoma,Regular"&amp;14
OVERDUE AGEING_ overdue broken up into respective age buckets_61-90 Days&amp;R&amp;D</oddHeader>
    <oddFooter>&amp;LCOLLECTIONS&amp;R&amp;P/&amp;N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C122-19D1-4062-9130-DF957C219FDA}">
  <sheetPr>
    <pageSetUpPr fitToPage="1"/>
  </sheetPr>
  <dimension ref="B1:M205"/>
  <sheetViews>
    <sheetView view="pageBreakPreview" topLeftCell="A41" zoomScale="60" zoomScaleNormal="100" workbookViewId="0"/>
  </sheetViews>
  <sheetFormatPr defaultRowHeight="14.5" outlineLevelRow="2" x14ac:dyDescent="0.35"/>
  <cols>
    <col min="2" max="2" width="28.26953125" bestFit="1" customWidth="1"/>
    <col min="3" max="3" width="3.26953125" bestFit="1" customWidth="1"/>
    <col min="4" max="4" width="41.26953125" bestFit="1" customWidth="1"/>
    <col min="5" max="5" width="16.26953125" customWidth="1"/>
    <col min="6" max="6" width="23.7265625" bestFit="1" customWidth="1"/>
    <col min="7" max="7" width="20.1796875" bestFit="1" customWidth="1"/>
    <col min="8" max="8" width="18.453125" bestFit="1" customWidth="1"/>
    <col min="9" max="9" width="20.81640625" bestFit="1" customWidth="1"/>
    <col min="10" max="10" width="29.7265625" bestFit="1" customWidth="1"/>
    <col min="11" max="11" width="6.453125" bestFit="1" customWidth="1"/>
    <col min="12" max="12" width="5.7265625" bestFit="1" customWidth="1"/>
    <col min="13" max="13" width="15.1796875" bestFit="1" customWidth="1"/>
  </cols>
  <sheetData>
    <row r="1" spans="2:13" x14ac:dyDescent="0.35">
      <c r="M1" s="321">
        <v>121634938.66000009</v>
      </c>
    </row>
    <row r="3" spans="2:13" x14ac:dyDescent="0.35">
      <c r="B3" s="288">
        <v>46143</v>
      </c>
    </row>
    <row r="4" spans="2:13" ht="15" thickBot="1" x14ac:dyDescent="0.4"/>
    <row r="5" spans="2:13" x14ac:dyDescent="0.35">
      <c r="B5" s="466" t="s">
        <v>276</v>
      </c>
      <c r="C5" s="467"/>
      <c r="D5" s="470" t="s">
        <v>275</v>
      </c>
      <c r="E5" s="472" t="s">
        <v>281</v>
      </c>
      <c r="F5" s="498" t="s">
        <v>280</v>
      </c>
      <c r="G5" s="472" t="s">
        <v>274</v>
      </c>
      <c r="H5" s="474" t="s">
        <v>273</v>
      </c>
      <c r="I5" s="307" t="s">
        <v>272</v>
      </c>
      <c r="J5" s="500" t="s">
        <v>284</v>
      </c>
    </row>
    <row r="6" spans="2:13" ht="28" x14ac:dyDescent="0.35">
      <c r="B6" s="468"/>
      <c r="C6" s="469"/>
      <c r="D6" s="471"/>
      <c r="E6" s="473"/>
      <c r="F6" s="499"/>
      <c r="G6" s="473"/>
      <c r="H6" s="475"/>
      <c r="I6" s="306" t="s">
        <v>278</v>
      </c>
      <c r="J6" s="501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6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507693</v>
      </c>
      <c r="J8" s="326">
        <f t="shared" si="0"/>
        <v>0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6">
        <v>0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6">
        <v>0</v>
      </c>
    </row>
    <row r="11" spans="2:13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6">
        <v>0</v>
      </c>
    </row>
    <row r="12" spans="2:13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6">
        <v>0</v>
      </c>
    </row>
    <row r="13" spans="2:13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507693</v>
      </c>
      <c r="J13" s="326">
        <v>0</v>
      </c>
    </row>
    <row r="14" spans="2:13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6">
        <v>0</v>
      </c>
    </row>
    <row r="15" spans="2:13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6">
        <v>0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17887179</v>
      </c>
      <c r="J16" s="326">
        <f t="shared" si="1"/>
        <v>0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6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6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6">
        <v>0</v>
      </c>
    </row>
    <row r="20" spans="2:10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17887179</v>
      </c>
      <c r="J20" s="326">
        <v>0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6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26">
        <f t="shared" si="2"/>
        <v>0</v>
      </c>
    </row>
    <row r="23" spans="2:10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21">
        <v>0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21">
        <v>0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21">
        <f t="shared" si="4"/>
        <v>0</v>
      </c>
    </row>
    <row r="35" spans="2:10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21">
        <v>0</v>
      </c>
    </row>
    <row r="36" spans="2:10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21">
        <v>0</v>
      </c>
    </row>
    <row r="37" spans="2:10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21">
        <v>0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2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</row>
    <row r="41" spans="2:10" x14ac:dyDescent="0.35">
      <c r="B41" s="504"/>
      <c r="C41" s="507"/>
      <c r="D41" s="213" t="s">
        <v>259</v>
      </c>
      <c r="E41" s="295">
        <f t="shared" ref="E41:J41" si="5">SUM(E8,E15:E16,E27:E29,E22,E33:E34,E40)</f>
        <v>0</v>
      </c>
      <c r="F41" s="295">
        <f t="shared" si="5"/>
        <v>0</v>
      </c>
      <c r="G41" s="295">
        <f t="shared" si="5"/>
        <v>0</v>
      </c>
      <c r="H41" s="295">
        <f t="shared" si="5"/>
        <v>0</v>
      </c>
      <c r="I41" s="294">
        <f t="shared" si="5"/>
        <v>18394872</v>
      </c>
      <c r="J41" s="293">
        <f t="shared" si="5"/>
        <v>0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25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2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2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2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2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2</v>
      </c>
      <c r="F48" s="219">
        <v>2</v>
      </c>
      <c r="G48" s="219">
        <v>12669949.199999999</v>
      </c>
      <c r="H48" s="219">
        <v>5321378.66</v>
      </c>
      <c r="I48" s="219">
        <v>0</v>
      </c>
      <c r="J48" s="321">
        <v>173266.22999999998</v>
      </c>
    </row>
    <row r="49" spans="2:10" outlineLevel="1" x14ac:dyDescent="0.35">
      <c r="B49" s="487"/>
      <c r="C49" s="490"/>
      <c r="D49" s="236" t="s">
        <v>189</v>
      </c>
      <c r="E49" s="219">
        <v>5</v>
      </c>
      <c r="F49" s="219">
        <v>5</v>
      </c>
      <c r="G49" s="219">
        <v>11817345.25</v>
      </c>
      <c r="H49" s="219">
        <v>6427584.9500000002</v>
      </c>
      <c r="I49" s="219">
        <v>16735572.670000002</v>
      </c>
      <c r="J49" s="321">
        <v>636388.06999999995</v>
      </c>
    </row>
    <row r="50" spans="2:10" outlineLevel="1" x14ac:dyDescent="0.35">
      <c r="B50" s="487"/>
      <c r="C50" s="490"/>
      <c r="D50" s="263" t="s">
        <v>179</v>
      </c>
      <c r="E50" s="219">
        <v>9</v>
      </c>
      <c r="F50" s="219">
        <v>9</v>
      </c>
      <c r="G50" s="219">
        <v>91581523.719999999</v>
      </c>
      <c r="H50" s="219">
        <v>64521472.900000006</v>
      </c>
      <c r="I50" s="219">
        <v>105655178.84999999</v>
      </c>
      <c r="J50" s="321">
        <v>5491574.8699999992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6</v>
      </c>
      <c r="F51" s="219">
        <f t="shared" si="7"/>
        <v>2</v>
      </c>
      <c r="G51" s="219">
        <f t="shared" si="7"/>
        <v>155675559</v>
      </c>
      <c r="H51" s="219">
        <f t="shared" si="7"/>
        <v>72424907.700000003</v>
      </c>
      <c r="I51" s="219">
        <f t="shared" si="7"/>
        <v>2743712</v>
      </c>
      <c r="J51" s="321">
        <f t="shared" si="7"/>
        <v>15567555.060000001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6</v>
      </c>
      <c r="F54" s="219">
        <v>2</v>
      </c>
      <c r="G54" s="219">
        <v>155675559</v>
      </c>
      <c r="H54" s="219">
        <v>72424907.700000003</v>
      </c>
      <c r="I54" s="219">
        <v>2743712</v>
      </c>
      <c r="J54" s="321">
        <v>15567555.060000001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208</v>
      </c>
      <c r="F56" s="219">
        <f t="shared" si="8"/>
        <v>180</v>
      </c>
      <c r="G56" s="219">
        <f t="shared" si="8"/>
        <v>431774370.20999998</v>
      </c>
      <c r="H56" s="219">
        <f t="shared" si="8"/>
        <v>229209733.24000001</v>
      </c>
      <c r="I56" s="219">
        <f t="shared" si="8"/>
        <v>193016460.13999999</v>
      </c>
      <c r="J56" s="321">
        <f t="shared" si="8"/>
        <v>29121873.859999999</v>
      </c>
    </row>
    <row r="57" spans="2:10" hidden="1" outlineLevel="2" x14ac:dyDescent="0.35">
      <c r="B57" s="487"/>
      <c r="C57" s="490"/>
      <c r="D57" s="242" t="s">
        <v>169</v>
      </c>
      <c r="E57" s="219">
        <v>18</v>
      </c>
      <c r="F57" s="219">
        <v>18</v>
      </c>
      <c r="G57" s="219">
        <v>54941468.049999997</v>
      </c>
      <c r="H57" s="219">
        <v>26299770.719999999</v>
      </c>
      <c r="I57" s="219">
        <v>24087674.379999999</v>
      </c>
      <c r="J57" s="321">
        <v>2857043.88</v>
      </c>
    </row>
    <row r="58" spans="2:10" hidden="1" outlineLevel="2" x14ac:dyDescent="0.35">
      <c r="B58" s="487"/>
      <c r="C58" s="490"/>
      <c r="D58" s="242" t="s">
        <v>168</v>
      </c>
      <c r="E58" s="219">
        <v>36</v>
      </c>
      <c r="F58" s="219">
        <v>19</v>
      </c>
      <c r="G58" s="219">
        <v>56718386.249999993</v>
      </c>
      <c r="H58" s="219">
        <v>38918144.580000006</v>
      </c>
      <c r="I58" s="219">
        <v>45184546.200000003</v>
      </c>
      <c r="J58" s="321">
        <v>5149605.47</v>
      </c>
    </row>
    <row r="59" spans="2:10" hidden="1" outlineLevel="2" x14ac:dyDescent="0.35">
      <c r="B59" s="487"/>
      <c r="C59" s="490"/>
      <c r="D59" s="242" t="s">
        <v>167</v>
      </c>
      <c r="E59" s="219">
        <v>27</v>
      </c>
      <c r="F59" s="219">
        <v>27</v>
      </c>
      <c r="G59" s="219">
        <v>54836768.700000003</v>
      </c>
      <c r="H59" s="219">
        <v>31289547.539999995</v>
      </c>
      <c r="I59" s="219">
        <v>23933996.099999998</v>
      </c>
      <c r="J59" s="321">
        <v>3280078.95</v>
      </c>
    </row>
    <row r="60" spans="2:10" hidden="1" outlineLevel="2" x14ac:dyDescent="0.35">
      <c r="B60" s="487"/>
      <c r="C60" s="490"/>
      <c r="D60" s="242" t="s">
        <v>166</v>
      </c>
      <c r="E60" s="219">
        <v>28</v>
      </c>
      <c r="F60" s="219">
        <v>26</v>
      </c>
      <c r="G60" s="219">
        <v>55973184.400000006</v>
      </c>
      <c r="H60" s="219">
        <v>27610893.59</v>
      </c>
      <c r="I60" s="219">
        <v>38492293.519999996</v>
      </c>
      <c r="J60" s="321">
        <v>4279988.830000001</v>
      </c>
    </row>
    <row r="61" spans="2:10" hidden="1" outlineLevel="2" x14ac:dyDescent="0.35">
      <c r="B61" s="487"/>
      <c r="C61" s="490"/>
      <c r="D61" s="261" t="s">
        <v>165</v>
      </c>
      <c r="E61" s="219">
        <v>45</v>
      </c>
      <c r="F61" s="219">
        <v>44</v>
      </c>
      <c r="G61" s="219">
        <v>99268818.00999999</v>
      </c>
      <c r="H61" s="219">
        <v>51096297.649999991</v>
      </c>
      <c r="I61" s="219">
        <v>29763699.310000002</v>
      </c>
      <c r="J61" s="321">
        <v>4727842.8399999989</v>
      </c>
    </row>
    <row r="62" spans="2:10" hidden="1" outlineLevel="2" x14ac:dyDescent="0.35">
      <c r="B62" s="487"/>
      <c r="C62" s="490"/>
      <c r="D62" s="261" t="s">
        <v>164</v>
      </c>
      <c r="E62" s="219">
        <v>54</v>
      </c>
      <c r="F62" s="219">
        <v>46</v>
      </c>
      <c r="G62" s="219">
        <v>110035744.80000001</v>
      </c>
      <c r="H62" s="219">
        <v>53995079.160000011</v>
      </c>
      <c r="I62" s="219">
        <v>31554250.629999992</v>
      </c>
      <c r="J62" s="321">
        <v>8827313.8899999969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6</v>
      </c>
      <c r="F63" s="219">
        <f t="shared" si="9"/>
        <v>6</v>
      </c>
      <c r="G63" s="219">
        <f t="shared" si="9"/>
        <v>10249783.789999999</v>
      </c>
      <c r="H63" s="219">
        <f t="shared" si="9"/>
        <v>6570183.2800000003</v>
      </c>
      <c r="I63" s="219">
        <f t="shared" si="9"/>
        <v>2501986.9300000002</v>
      </c>
      <c r="J63" s="321">
        <f t="shared" si="9"/>
        <v>584231.19999999995</v>
      </c>
    </row>
    <row r="64" spans="2:10" hidden="1" outlineLevel="2" x14ac:dyDescent="0.35">
      <c r="B64" s="487"/>
      <c r="C64" s="490"/>
      <c r="D64" s="260" t="s">
        <v>196</v>
      </c>
      <c r="E64" s="219">
        <v>3</v>
      </c>
      <c r="F64" s="219">
        <v>3</v>
      </c>
      <c r="G64" s="219">
        <v>4289468.79</v>
      </c>
      <c r="H64" s="219">
        <v>2573681.2800000003</v>
      </c>
      <c r="I64" s="219">
        <v>0</v>
      </c>
      <c r="J64" s="321">
        <v>177647.61</v>
      </c>
    </row>
    <row r="65" spans="2:10" hidden="1" outlineLevel="2" x14ac:dyDescent="0.35">
      <c r="B65" s="487"/>
      <c r="C65" s="490"/>
      <c r="D65" s="260" t="s">
        <v>195</v>
      </c>
      <c r="E65" s="219">
        <v>3</v>
      </c>
      <c r="F65" s="219">
        <v>3</v>
      </c>
      <c r="G65" s="219">
        <v>5960315</v>
      </c>
      <c r="H65" s="219">
        <v>3996502</v>
      </c>
      <c r="I65" s="219">
        <v>2501986.9300000002</v>
      </c>
      <c r="J65" s="321">
        <v>406583.59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46</v>
      </c>
      <c r="F67" s="219">
        <f t="shared" si="10"/>
        <v>39</v>
      </c>
      <c r="G67" s="219">
        <f t="shared" si="10"/>
        <v>126377355.12999998</v>
      </c>
      <c r="H67" s="219">
        <f t="shared" si="10"/>
        <v>64259533.809999995</v>
      </c>
      <c r="I67" s="219">
        <f t="shared" si="10"/>
        <v>75310256.810000002</v>
      </c>
      <c r="J67" s="321">
        <f t="shared" si="10"/>
        <v>12704600.880000001</v>
      </c>
    </row>
    <row r="68" spans="2:10" hidden="1" outlineLevel="2" x14ac:dyDescent="0.35">
      <c r="B68" s="487"/>
      <c r="C68" s="490"/>
      <c r="D68" s="260" t="s">
        <v>177</v>
      </c>
      <c r="E68" s="219">
        <v>20</v>
      </c>
      <c r="F68" s="219">
        <v>13</v>
      </c>
      <c r="G68" s="219">
        <v>57893255.329999998</v>
      </c>
      <c r="H68" s="219">
        <v>28547531.57</v>
      </c>
      <c r="I68" s="219">
        <v>18752628.489999998</v>
      </c>
      <c r="J68" s="321">
        <v>4909235.0900000008</v>
      </c>
    </row>
    <row r="69" spans="2:10" hidden="1" outlineLevel="2" x14ac:dyDescent="0.35">
      <c r="B69" s="487"/>
      <c r="C69" s="490"/>
      <c r="D69" s="260" t="s">
        <v>176</v>
      </c>
      <c r="E69" s="219">
        <v>8</v>
      </c>
      <c r="F69" s="219">
        <v>8</v>
      </c>
      <c r="G69" s="219">
        <v>16522698.750000002</v>
      </c>
      <c r="H69" s="219">
        <v>8084028.0499999998</v>
      </c>
      <c r="I69" s="219">
        <v>9845166.4699999988</v>
      </c>
      <c r="J69" s="321">
        <v>1278815.9800000002</v>
      </c>
    </row>
    <row r="70" spans="2:10" hidden="1" outlineLevel="2" x14ac:dyDescent="0.35">
      <c r="B70" s="487"/>
      <c r="C70" s="490"/>
      <c r="D70" s="260" t="s">
        <v>175</v>
      </c>
      <c r="E70" s="219">
        <v>3</v>
      </c>
      <c r="F70" s="219">
        <v>3</v>
      </c>
      <c r="G70" s="219">
        <v>10617770.35</v>
      </c>
      <c r="H70" s="219">
        <v>5896338.3700000001</v>
      </c>
      <c r="I70" s="219">
        <v>8301579.0699999994</v>
      </c>
      <c r="J70" s="321">
        <v>654578.54</v>
      </c>
    </row>
    <row r="71" spans="2:10" hidden="1" outlineLevel="2" x14ac:dyDescent="0.35">
      <c r="B71" s="487"/>
      <c r="C71" s="490"/>
      <c r="D71" s="260" t="s">
        <v>174</v>
      </c>
      <c r="E71" s="219">
        <v>7</v>
      </c>
      <c r="F71" s="219">
        <v>7</v>
      </c>
      <c r="G71" s="219">
        <v>12481345.5</v>
      </c>
      <c r="H71" s="219">
        <v>5692414.0700000003</v>
      </c>
      <c r="I71" s="219">
        <v>5930148.6099999994</v>
      </c>
      <c r="J71" s="321">
        <v>677917.21</v>
      </c>
    </row>
    <row r="72" spans="2:10" hidden="1" outlineLevel="2" x14ac:dyDescent="0.35">
      <c r="B72" s="487"/>
      <c r="C72" s="490"/>
      <c r="D72" s="260" t="s">
        <v>173</v>
      </c>
      <c r="E72" s="219">
        <v>5</v>
      </c>
      <c r="F72" s="219">
        <v>5</v>
      </c>
      <c r="G72" s="219">
        <v>11500313.6</v>
      </c>
      <c r="H72" s="219">
        <v>6011091.9500000002</v>
      </c>
      <c r="I72" s="219">
        <v>22134572.140000001</v>
      </c>
      <c r="J72" s="321">
        <v>733759.84000000008</v>
      </c>
    </row>
    <row r="73" spans="2:10" hidden="1" outlineLevel="2" x14ac:dyDescent="0.35">
      <c r="B73" s="487"/>
      <c r="C73" s="490"/>
      <c r="D73" s="260" t="s">
        <v>172</v>
      </c>
      <c r="E73" s="219">
        <v>1</v>
      </c>
      <c r="F73" s="219">
        <v>1</v>
      </c>
      <c r="G73" s="219">
        <v>6999321.5999999996</v>
      </c>
      <c r="H73" s="219">
        <v>3499660.8</v>
      </c>
      <c r="I73" s="219">
        <v>10346162.030000001</v>
      </c>
      <c r="J73" s="321">
        <v>159865.22</v>
      </c>
    </row>
    <row r="74" spans="2:10" hidden="1" outlineLevel="2" x14ac:dyDescent="0.35">
      <c r="B74" s="487"/>
      <c r="C74" s="490"/>
      <c r="D74" s="260" t="s">
        <v>171</v>
      </c>
      <c r="E74" s="219">
        <v>2</v>
      </c>
      <c r="F74" s="219">
        <v>2</v>
      </c>
      <c r="G74" s="219">
        <v>10362650</v>
      </c>
      <c r="H74" s="219">
        <v>6528469</v>
      </c>
      <c r="I74" s="219">
        <v>0</v>
      </c>
      <c r="J74" s="321">
        <v>4290429</v>
      </c>
    </row>
    <row r="75" spans="2:10" x14ac:dyDescent="0.35">
      <c r="B75" s="488"/>
      <c r="C75" s="491"/>
      <c r="D75" s="213" t="s">
        <v>255</v>
      </c>
      <c r="E75" s="295">
        <f t="shared" ref="E75:J75" si="11">SUM(E43,E48:E51,E56,E63,E67)</f>
        <v>282</v>
      </c>
      <c r="F75" s="295">
        <f t="shared" si="11"/>
        <v>243</v>
      </c>
      <c r="G75" s="295">
        <f t="shared" si="11"/>
        <v>840145886.29999995</v>
      </c>
      <c r="H75" s="304">
        <f t="shared" si="11"/>
        <v>448734794.54000002</v>
      </c>
      <c r="I75" s="294">
        <f t="shared" si="11"/>
        <v>395963167.39999998</v>
      </c>
      <c r="J75" s="293">
        <f t="shared" si="11"/>
        <v>64279490.170000009</v>
      </c>
    </row>
    <row r="76" spans="2:10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25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17</v>
      </c>
      <c r="F77" s="219">
        <f t="shared" si="12"/>
        <v>16</v>
      </c>
      <c r="G77" s="219">
        <f t="shared" si="12"/>
        <v>111652828.68000001</v>
      </c>
      <c r="H77" s="219">
        <f t="shared" si="12"/>
        <v>49461957.75</v>
      </c>
      <c r="I77" s="219">
        <f t="shared" si="12"/>
        <v>48991856.339999996</v>
      </c>
      <c r="J77" s="321">
        <f t="shared" si="12"/>
        <v>8230393.2400000002</v>
      </c>
    </row>
    <row r="78" spans="2:10" hidden="1" outlineLevel="2" x14ac:dyDescent="0.35">
      <c r="B78" s="487"/>
      <c r="C78" s="490"/>
      <c r="D78" s="250" t="s">
        <v>192</v>
      </c>
      <c r="E78" s="219">
        <v>3</v>
      </c>
      <c r="F78" s="219">
        <v>2</v>
      </c>
      <c r="G78" s="219">
        <v>13114463</v>
      </c>
      <c r="H78" s="219">
        <v>6201140</v>
      </c>
      <c r="I78" s="219">
        <v>25689641.350000001</v>
      </c>
      <c r="J78" s="321">
        <v>1289326.6200000001</v>
      </c>
    </row>
    <row r="79" spans="2:10" hidden="1" outlineLevel="2" x14ac:dyDescent="0.35">
      <c r="B79" s="487"/>
      <c r="C79" s="490"/>
      <c r="D79" s="250" t="s">
        <v>191</v>
      </c>
      <c r="E79" s="219">
        <v>10</v>
      </c>
      <c r="F79" s="219">
        <v>10</v>
      </c>
      <c r="G79" s="219">
        <v>67330919</v>
      </c>
      <c r="H79" s="219">
        <v>29551431.199999999</v>
      </c>
      <c r="I79" s="219">
        <v>13406114.59</v>
      </c>
      <c r="J79" s="321">
        <v>4626319.47</v>
      </c>
    </row>
    <row r="80" spans="2:10" hidden="1" outlineLevel="2" x14ac:dyDescent="0.35">
      <c r="B80" s="487"/>
      <c r="C80" s="490"/>
      <c r="D80" s="250" t="s">
        <v>190</v>
      </c>
      <c r="E80" s="219">
        <v>4</v>
      </c>
      <c r="F80" s="219">
        <v>4</v>
      </c>
      <c r="G80" s="219">
        <v>31207446.68</v>
      </c>
      <c r="H80" s="219">
        <v>13709386.549999999</v>
      </c>
      <c r="I80" s="219">
        <v>9896100.4000000004</v>
      </c>
      <c r="J80" s="321">
        <v>2314747.1500000004</v>
      </c>
    </row>
    <row r="81" spans="2:11" outlineLevel="1" collapsed="1" x14ac:dyDescent="0.35">
      <c r="B81" s="487"/>
      <c r="C81" s="490"/>
      <c r="D81" s="251" t="s">
        <v>158</v>
      </c>
      <c r="E81" s="219">
        <f t="shared" ref="E81:J81" si="13">SUM(E82:E89)</f>
        <v>50</v>
      </c>
      <c r="F81" s="219">
        <f t="shared" si="13"/>
        <v>50</v>
      </c>
      <c r="G81" s="219">
        <f t="shared" si="13"/>
        <v>59446736.890000001</v>
      </c>
      <c r="H81" s="219">
        <f t="shared" si="13"/>
        <v>24633776.779999994</v>
      </c>
      <c r="I81" s="219">
        <f t="shared" si="13"/>
        <v>16165079.629999999</v>
      </c>
      <c r="J81" s="321">
        <f t="shared" si="13"/>
        <v>3821112.76</v>
      </c>
    </row>
    <row r="82" spans="2:11" hidden="1" outlineLevel="2" x14ac:dyDescent="0.35">
      <c r="B82" s="487"/>
      <c r="C82" s="490"/>
      <c r="D82" s="250" t="s">
        <v>157</v>
      </c>
      <c r="E82" s="219">
        <v>10</v>
      </c>
      <c r="F82" s="219">
        <v>10</v>
      </c>
      <c r="G82" s="219">
        <v>10183875.800000001</v>
      </c>
      <c r="H82" s="219">
        <v>4682309.84</v>
      </c>
      <c r="I82" s="219">
        <v>2398049.1</v>
      </c>
      <c r="J82" s="321">
        <v>542809.59999999998</v>
      </c>
    </row>
    <row r="83" spans="2:11" hidden="1" outlineLevel="2" x14ac:dyDescent="0.35">
      <c r="B83" s="487"/>
      <c r="C83" s="490"/>
      <c r="D83" s="250" t="s">
        <v>156</v>
      </c>
      <c r="E83" s="219">
        <v>10</v>
      </c>
      <c r="F83" s="219">
        <v>10</v>
      </c>
      <c r="G83" s="219">
        <v>11618279</v>
      </c>
      <c r="H83" s="219">
        <v>4635026.74</v>
      </c>
      <c r="I83" s="219">
        <v>3209708.28</v>
      </c>
      <c r="J83" s="321">
        <v>818201.45000000007</v>
      </c>
    </row>
    <row r="84" spans="2:11" hidden="1" outlineLevel="2" x14ac:dyDescent="0.35">
      <c r="B84" s="487"/>
      <c r="C84" s="490"/>
      <c r="D84" s="250" t="s">
        <v>155</v>
      </c>
      <c r="E84" s="219">
        <v>3</v>
      </c>
      <c r="F84" s="219">
        <v>3</v>
      </c>
      <c r="G84" s="219">
        <v>5078641.5999999996</v>
      </c>
      <c r="H84" s="219">
        <v>1642600.2399999998</v>
      </c>
      <c r="I84" s="219">
        <v>635796.12</v>
      </c>
      <c r="J84" s="321">
        <v>501022.24</v>
      </c>
    </row>
    <row r="85" spans="2:11" hidden="1" outlineLevel="2" x14ac:dyDescent="0.35">
      <c r="B85" s="487"/>
      <c r="C85" s="490"/>
      <c r="D85" s="250" t="s">
        <v>154</v>
      </c>
      <c r="E85" s="219">
        <v>3</v>
      </c>
      <c r="F85" s="219">
        <v>3</v>
      </c>
      <c r="G85" s="219">
        <v>3694020</v>
      </c>
      <c r="H85" s="219">
        <v>1350003.15</v>
      </c>
      <c r="I85" s="219">
        <v>310778</v>
      </c>
      <c r="J85" s="321">
        <v>293398.53999999998</v>
      </c>
    </row>
    <row r="86" spans="2:11" hidden="1" outlineLevel="2" x14ac:dyDescent="0.35">
      <c r="B86" s="487"/>
      <c r="C86" s="490"/>
      <c r="D86" s="250" t="s">
        <v>153</v>
      </c>
      <c r="E86" s="219">
        <v>17</v>
      </c>
      <c r="F86" s="219">
        <v>17</v>
      </c>
      <c r="G86" s="219">
        <v>20394342.099999998</v>
      </c>
      <c r="H86" s="219">
        <v>9178858.7599999979</v>
      </c>
      <c r="I86" s="219">
        <v>6000846.3499999996</v>
      </c>
      <c r="J86" s="321">
        <v>1099128.3400000001</v>
      </c>
    </row>
    <row r="87" spans="2:11" hidden="1" outlineLevel="2" x14ac:dyDescent="0.35">
      <c r="B87" s="487"/>
      <c r="C87" s="490"/>
      <c r="D87" s="250" t="s">
        <v>152</v>
      </c>
      <c r="E87" s="219">
        <v>1</v>
      </c>
      <c r="F87" s="219">
        <v>1</v>
      </c>
      <c r="G87" s="219">
        <v>1209867.8</v>
      </c>
      <c r="H87" s="219">
        <v>604933.9</v>
      </c>
      <c r="I87" s="219">
        <v>1009201.5800000001</v>
      </c>
      <c r="J87" s="321">
        <v>115790.9</v>
      </c>
    </row>
    <row r="88" spans="2:11" hidden="1" outlineLevel="2" x14ac:dyDescent="0.35">
      <c r="B88" s="487"/>
      <c r="C88" s="490"/>
      <c r="D88" s="250" t="s">
        <v>151</v>
      </c>
      <c r="E88" s="219">
        <v>6</v>
      </c>
      <c r="F88" s="219">
        <v>6</v>
      </c>
      <c r="G88" s="219">
        <v>7267710.5899999999</v>
      </c>
      <c r="H88" s="219">
        <v>2540044.1499999994</v>
      </c>
      <c r="I88" s="219">
        <v>1850871.2</v>
      </c>
      <c r="J88" s="321">
        <v>450761.69</v>
      </c>
    </row>
    <row r="89" spans="2:11" hidden="1" outlineLevel="2" x14ac:dyDescent="0.35">
      <c r="B89" s="487"/>
      <c r="C89" s="490"/>
      <c r="D89" s="250" t="s">
        <v>150</v>
      </c>
      <c r="E89" s="219">
        <v>0</v>
      </c>
      <c r="F89" s="219">
        <v>0</v>
      </c>
      <c r="G89" s="219">
        <v>0</v>
      </c>
      <c r="H89" s="219">
        <v>0</v>
      </c>
      <c r="I89" s="219">
        <v>749829</v>
      </c>
      <c r="J89" s="321">
        <v>0</v>
      </c>
    </row>
    <row r="90" spans="2:11" outlineLevel="1" collapsed="1" x14ac:dyDescent="0.35">
      <c r="B90" s="487"/>
      <c r="C90" s="490"/>
      <c r="D90" s="251" t="s">
        <v>149</v>
      </c>
      <c r="E90" s="219">
        <f t="shared" ref="E90:J90" si="14">SUM(E91:E93)</f>
        <v>26</v>
      </c>
      <c r="F90" s="219">
        <f t="shared" si="14"/>
        <v>25</v>
      </c>
      <c r="G90" s="219">
        <f t="shared" si="14"/>
        <v>80724641.450000003</v>
      </c>
      <c r="H90" s="219">
        <f t="shared" si="14"/>
        <v>22616862.469999999</v>
      </c>
      <c r="I90" s="219">
        <f t="shared" si="14"/>
        <v>13654761.82</v>
      </c>
      <c r="J90" s="321">
        <f t="shared" si="14"/>
        <v>5410717.8600000003</v>
      </c>
    </row>
    <row r="91" spans="2:11" hidden="1" outlineLevel="2" x14ac:dyDescent="0.35">
      <c r="B91" s="487"/>
      <c r="C91" s="490"/>
      <c r="D91" s="250" t="s">
        <v>148</v>
      </c>
      <c r="E91" s="219">
        <v>7</v>
      </c>
      <c r="F91" s="219">
        <v>7</v>
      </c>
      <c r="G91" s="219">
        <v>16363477.600000001</v>
      </c>
      <c r="H91" s="219">
        <v>4284968.62</v>
      </c>
      <c r="I91" s="219">
        <v>3376533.0300000003</v>
      </c>
      <c r="J91" s="321">
        <v>697079.66999999993</v>
      </c>
    </row>
    <row r="92" spans="2:11" hidden="1" outlineLevel="2" x14ac:dyDescent="0.35">
      <c r="B92" s="487"/>
      <c r="C92" s="490"/>
      <c r="D92" s="250" t="s">
        <v>147</v>
      </c>
      <c r="E92" s="219">
        <v>7</v>
      </c>
      <c r="F92" s="219">
        <v>7</v>
      </c>
      <c r="G92" s="219">
        <v>20944536.800000001</v>
      </c>
      <c r="H92" s="219">
        <v>5854259.3399999999</v>
      </c>
      <c r="I92" s="219">
        <v>5533216.1500000004</v>
      </c>
      <c r="J92" s="321">
        <v>1339251.4100000001</v>
      </c>
    </row>
    <row r="93" spans="2:11" hidden="1" outlineLevel="2" x14ac:dyDescent="0.35">
      <c r="B93" s="487"/>
      <c r="C93" s="490"/>
      <c r="D93" s="250" t="s">
        <v>146</v>
      </c>
      <c r="E93" s="219">
        <v>12</v>
      </c>
      <c r="F93" s="219">
        <v>11</v>
      </c>
      <c r="G93" s="219">
        <v>43416627.049999997</v>
      </c>
      <c r="H93" s="219">
        <v>12477634.51</v>
      </c>
      <c r="I93" s="219">
        <v>4745012.6399999997</v>
      </c>
      <c r="J93" s="321">
        <v>3374386.7800000003</v>
      </c>
      <c r="K93" s="302"/>
    </row>
    <row r="94" spans="2:11" outlineLevel="1" collapsed="1" x14ac:dyDescent="0.35">
      <c r="B94" s="487"/>
      <c r="C94" s="490"/>
      <c r="D94" s="324" t="s">
        <v>133</v>
      </c>
      <c r="E94" s="219">
        <v>1</v>
      </c>
      <c r="F94" s="219">
        <v>1</v>
      </c>
      <c r="G94" s="219">
        <v>5099912.7</v>
      </c>
      <c r="H94" s="219">
        <v>1529973.81</v>
      </c>
      <c r="I94" s="219">
        <v>12275328.35</v>
      </c>
      <c r="J94" s="321">
        <v>509983.81</v>
      </c>
    </row>
    <row r="95" spans="2:11" outlineLevel="1" x14ac:dyDescent="0.35">
      <c r="B95" s="487"/>
      <c r="C95" s="490"/>
      <c r="D95" s="236" t="s">
        <v>140</v>
      </c>
      <c r="E95" s="275">
        <v>6</v>
      </c>
      <c r="F95" s="275">
        <v>6</v>
      </c>
      <c r="G95" s="275">
        <v>57855332.5</v>
      </c>
      <c r="H95" s="275">
        <v>21991238.600000001</v>
      </c>
      <c r="I95" s="275">
        <v>57781117.57</v>
      </c>
      <c r="J95" s="323">
        <v>1999629.0299999998</v>
      </c>
    </row>
    <row r="96" spans="2:11" outlineLevel="1" x14ac:dyDescent="0.35">
      <c r="B96" s="487"/>
      <c r="C96" s="490"/>
      <c r="D96" s="236" t="s">
        <v>139</v>
      </c>
      <c r="E96" s="275">
        <v>0</v>
      </c>
      <c r="F96" s="275">
        <v>0</v>
      </c>
      <c r="G96" s="275">
        <v>0</v>
      </c>
      <c r="H96" s="275">
        <v>0</v>
      </c>
      <c r="I96" s="275">
        <v>0</v>
      </c>
      <c r="J96" s="323">
        <v>0</v>
      </c>
    </row>
    <row r="97" spans="2:10" outlineLevel="1" x14ac:dyDescent="0.35">
      <c r="B97" s="487"/>
      <c r="C97" s="490"/>
      <c r="D97" s="236" t="s">
        <v>138</v>
      </c>
      <c r="E97" s="275">
        <f t="shared" ref="E97:J97" si="15">SUM(E98:E101)</f>
        <v>45</v>
      </c>
      <c r="F97" s="275">
        <f t="shared" si="15"/>
        <v>44</v>
      </c>
      <c r="G97" s="275">
        <f t="shared" si="15"/>
        <v>54849281.899999999</v>
      </c>
      <c r="H97" s="275">
        <f t="shared" si="15"/>
        <v>17864403</v>
      </c>
      <c r="I97" s="275">
        <f t="shared" si="15"/>
        <v>11535570.1</v>
      </c>
      <c r="J97" s="323">
        <f t="shared" si="15"/>
        <v>3806695.9699999997</v>
      </c>
    </row>
    <row r="98" spans="2:10" hidden="1" outlineLevel="2" x14ac:dyDescent="0.35">
      <c r="B98" s="487"/>
      <c r="C98" s="490"/>
      <c r="D98" s="242" t="s">
        <v>137</v>
      </c>
      <c r="E98" s="275">
        <v>13</v>
      </c>
      <c r="F98" s="275">
        <v>13</v>
      </c>
      <c r="G98" s="275">
        <v>15843052.199999999</v>
      </c>
      <c r="H98" s="275">
        <v>5322753.2299999995</v>
      </c>
      <c r="I98" s="275">
        <v>5529272.9100000001</v>
      </c>
      <c r="J98" s="323">
        <v>985655.7</v>
      </c>
    </row>
    <row r="99" spans="2:10" hidden="1" outlineLevel="2" x14ac:dyDescent="0.35">
      <c r="B99" s="487"/>
      <c r="C99" s="490"/>
      <c r="D99" s="242" t="s">
        <v>136</v>
      </c>
      <c r="E99" s="275">
        <v>12</v>
      </c>
      <c r="F99" s="275">
        <v>12</v>
      </c>
      <c r="G99" s="275">
        <v>15137382.15</v>
      </c>
      <c r="H99" s="275">
        <v>4750697.7299999995</v>
      </c>
      <c r="I99" s="275">
        <v>3913827.5200000005</v>
      </c>
      <c r="J99" s="323">
        <v>971722.62000000011</v>
      </c>
    </row>
    <row r="100" spans="2:10" hidden="1" outlineLevel="2" x14ac:dyDescent="0.35">
      <c r="B100" s="487"/>
      <c r="C100" s="490"/>
      <c r="D100" s="242" t="s">
        <v>135</v>
      </c>
      <c r="E100" s="275">
        <v>6</v>
      </c>
      <c r="F100" s="275">
        <v>6</v>
      </c>
      <c r="G100" s="275">
        <v>6864939.3999999994</v>
      </c>
      <c r="H100" s="275">
        <v>2059481.8199999998</v>
      </c>
      <c r="I100" s="275">
        <v>1112912.23</v>
      </c>
      <c r="J100" s="323">
        <v>508390.16</v>
      </c>
    </row>
    <row r="101" spans="2:10" hidden="1" outlineLevel="2" x14ac:dyDescent="0.35">
      <c r="B101" s="487"/>
      <c r="C101" s="490"/>
      <c r="D101" s="242" t="s">
        <v>134</v>
      </c>
      <c r="E101" s="275">
        <v>14</v>
      </c>
      <c r="F101" s="275">
        <v>13</v>
      </c>
      <c r="G101" s="275">
        <v>17003908.149999999</v>
      </c>
      <c r="H101" s="275">
        <v>5731470.2200000007</v>
      </c>
      <c r="I101" s="275">
        <v>979557.44</v>
      </c>
      <c r="J101" s="323">
        <v>1340927.49</v>
      </c>
    </row>
    <row r="102" spans="2:10" outlineLevel="1" collapsed="1" x14ac:dyDescent="0.35">
      <c r="B102" s="487"/>
      <c r="C102" s="490"/>
      <c r="D102" s="236" t="s">
        <v>132</v>
      </c>
      <c r="E102" s="275">
        <f t="shared" ref="E102:J102" si="16">SUM(E103:E106)</f>
        <v>66</v>
      </c>
      <c r="F102" s="275">
        <f t="shared" si="16"/>
        <v>63</v>
      </c>
      <c r="G102" s="275">
        <f t="shared" si="16"/>
        <v>157567787.38000003</v>
      </c>
      <c r="H102" s="275">
        <f t="shared" si="16"/>
        <v>42133594.310000002</v>
      </c>
      <c r="I102" s="275">
        <f t="shared" si="16"/>
        <v>31350850.309999999</v>
      </c>
      <c r="J102" s="323">
        <f t="shared" si="16"/>
        <v>8559565.879999999</v>
      </c>
    </row>
    <row r="103" spans="2:10" hidden="1" outlineLevel="2" x14ac:dyDescent="0.35">
      <c r="B103" s="487"/>
      <c r="C103" s="490"/>
      <c r="D103" s="242" t="s">
        <v>131</v>
      </c>
      <c r="E103" s="275">
        <v>29</v>
      </c>
      <c r="F103" s="275">
        <v>29</v>
      </c>
      <c r="G103" s="275">
        <v>69222455.600000009</v>
      </c>
      <c r="H103" s="275">
        <v>20530064.000000004</v>
      </c>
      <c r="I103" s="275">
        <v>11010218.890000001</v>
      </c>
      <c r="J103" s="323">
        <v>2931250.67</v>
      </c>
    </row>
    <row r="104" spans="2:10" hidden="1" outlineLevel="2" x14ac:dyDescent="0.35">
      <c r="B104" s="487"/>
      <c r="C104" s="490"/>
      <c r="D104" s="242" t="s">
        <v>130</v>
      </c>
      <c r="E104" s="275">
        <v>3</v>
      </c>
      <c r="F104" s="275">
        <v>3</v>
      </c>
      <c r="G104" s="275">
        <v>6982502</v>
      </c>
      <c r="H104" s="275">
        <v>2094750.6</v>
      </c>
      <c r="I104" s="275">
        <v>13851692.169999998</v>
      </c>
      <c r="J104" s="323">
        <v>296928.25</v>
      </c>
    </row>
    <row r="105" spans="2:10" hidden="1" outlineLevel="2" x14ac:dyDescent="0.35">
      <c r="B105" s="487"/>
      <c r="C105" s="490"/>
      <c r="D105" s="242" t="s">
        <v>129</v>
      </c>
      <c r="E105" s="275">
        <v>14</v>
      </c>
      <c r="F105" s="275">
        <v>14</v>
      </c>
      <c r="G105" s="275">
        <v>37750651.750000007</v>
      </c>
      <c r="H105" s="275">
        <v>10786344.010000002</v>
      </c>
      <c r="I105" s="275">
        <v>1750647.93</v>
      </c>
      <c r="J105" s="323">
        <v>3062255.7599999993</v>
      </c>
    </row>
    <row r="106" spans="2:10" hidden="1" outlineLevel="2" x14ac:dyDescent="0.35">
      <c r="B106" s="487"/>
      <c r="C106" s="490"/>
      <c r="D106" s="242" t="s">
        <v>128</v>
      </c>
      <c r="E106" s="275">
        <v>20</v>
      </c>
      <c r="F106" s="275">
        <v>17</v>
      </c>
      <c r="G106" s="275">
        <v>43612178.029999994</v>
      </c>
      <c r="H106" s="275">
        <v>8722435.6999999993</v>
      </c>
      <c r="I106" s="275">
        <v>4738291.32</v>
      </c>
      <c r="J106" s="323">
        <v>2269131.2000000002</v>
      </c>
    </row>
    <row r="107" spans="2:10" outlineLevel="1" collapsed="1" x14ac:dyDescent="0.35">
      <c r="B107" s="487"/>
      <c r="C107" s="490"/>
      <c r="D107" s="236" t="s">
        <v>41</v>
      </c>
      <c r="E107" s="275">
        <v>7</v>
      </c>
      <c r="F107" s="275">
        <v>7</v>
      </c>
      <c r="G107" s="275">
        <v>28414679.75</v>
      </c>
      <c r="H107" s="275">
        <v>5682936</v>
      </c>
      <c r="I107" s="275">
        <v>1893222.85</v>
      </c>
      <c r="J107" s="323">
        <v>1911551.3199999998</v>
      </c>
    </row>
    <row r="108" spans="2:10" x14ac:dyDescent="0.35">
      <c r="B108" s="488"/>
      <c r="C108" s="491"/>
      <c r="D108" s="213" t="s">
        <v>251</v>
      </c>
      <c r="E108" s="295">
        <f t="shared" ref="E108:J108" si="17">SUM(E102,E107,E97,E96,E94,E90,E81,E77,E95)</f>
        <v>218</v>
      </c>
      <c r="F108" s="295">
        <f t="shared" si="17"/>
        <v>212</v>
      </c>
      <c r="G108" s="295">
        <f t="shared" si="17"/>
        <v>555611201.25</v>
      </c>
      <c r="H108" s="295">
        <f t="shared" si="17"/>
        <v>185914742.72</v>
      </c>
      <c r="I108" s="294">
        <f t="shared" si="17"/>
        <v>193647786.97</v>
      </c>
      <c r="J108" s="293">
        <f t="shared" si="17"/>
        <v>34249649.870000005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75">
        <v>3</v>
      </c>
      <c r="F109" s="275">
        <v>3</v>
      </c>
      <c r="G109" s="275">
        <v>10066044.550000001</v>
      </c>
      <c r="H109" s="275">
        <v>2013208.92</v>
      </c>
      <c r="I109" s="275">
        <v>334669.59999999998</v>
      </c>
      <c r="J109" s="323">
        <v>353659.83999999997</v>
      </c>
    </row>
    <row r="110" spans="2:10" outlineLevel="1" x14ac:dyDescent="0.35">
      <c r="B110" s="487"/>
      <c r="C110" s="490"/>
      <c r="D110" s="236" t="s">
        <v>122</v>
      </c>
      <c r="E110" s="275">
        <v>3</v>
      </c>
      <c r="F110" s="275">
        <v>3</v>
      </c>
      <c r="G110" s="275">
        <v>5352455.95</v>
      </c>
      <c r="H110" s="275">
        <v>1070491.22</v>
      </c>
      <c r="I110" s="275">
        <v>1668879.12</v>
      </c>
      <c r="J110" s="323">
        <v>269833.8</v>
      </c>
    </row>
    <row r="111" spans="2:10" outlineLevel="1" x14ac:dyDescent="0.35">
      <c r="B111" s="487"/>
      <c r="C111" s="490"/>
      <c r="D111" s="236" t="s">
        <v>48</v>
      </c>
      <c r="E111" s="275">
        <v>0</v>
      </c>
      <c r="F111" s="275">
        <v>0</v>
      </c>
      <c r="G111" s="275">
        <v>0</v>
      </c>
      <c r="H111" s="275">
        <v>0</v>
      </c>
      <c r="I111" s="275">
        <v>294800</v>
      </c>
      <c r="J111" s="323">
        <v>0</v>
      </c>
    </row>
    <row r="112" spans="2:10" outlineLevel="1" x14ac:dyDescent="0.35">
      <c r="B112" s="487"/>
      <c r="C112" s="490"/>
      <c r="D112" s="236" t="s">
        <v>47</v>
      </c>
      <c r="E112" s="275">
        <v>7</v>
      </c>
      <c r="F112" s="275">
        <v>7</v>
      </c>
      <c r="G112" s="275">
        <v>15742514</v>
      </c>
      <c r="H112" s="275">
        <v>3148502.82</v>
      </c>
      <c r="I112" s="275">
        <v>1613980.38</v>
      </c>
      <c r="J112" s="323">
        <v>1054097.02</v>
      </c>
    </row>
    <row r="113" spans="2:11" outlineLevel="1" x14ac:dyDescent="0.35">
      <c r="B113" s="487"/>
      <c r="C113" s="490"/>
      <c r="D113" s="236" t="s">
        <v>40</v>
      </c>
      <c r="E113" s="275">
        <v>12</v>
      </c>
      <c r="F113" s="275">
        <v>12</v>
      </c>
      <c r="G113" s="275">
        <v>24756595.099999998</v>
      </c>
      <c r="H113" s="275">
        <v>4951319.08</v>
      </c>
      <c r="I113" s="275">
        <v>12022601.710000001</v>
      </c>
      <c r="J113" s="323">
        <v>29010.349999999995</v>
      </c>
    </row>
    <row r="114" spans="2:11" outlineLevel="1" x14ac:dyDescent="0.35">
      <c r="B114" s="487"/>
      <c r="C114" s="490"/>
      <c r="D114" s="236" t="s">
        <v>39</v>
      </c>
      <c r="E114" s="275">
        <v>11</v>
      </c>
      <c r="F114" s="275">
        <v>11</v>
      </c>
      <c r="G114" s="275">
        <v>24241969.949999999</v>
      </c>
      <c r="H114" s="275">
        <v>4848393.99</v>
      </c>
      <c r="I114" s="275">
        <v>4669340.1500000004</v>
      </c>
      <c r="J114" s="323">
        <v>176132.18000000005</v>
      </c>
    </row>
    <row r="115" spans="2:11" outlineLevel="1" x14ac:dyDescent="0.35">
      <c r="B115" s="487"/>
      <c r="C115" s="490"/>
      <c r="D115" s="236" t="s">
        <v>38</v>
      </c>
      <c r="E115" s="275">
        <v>5</v>
      </c>
      <c r="F115" s="275">
        <v>5</v>
      </c>
      <c r="G115" s="275">
        <v>36492990</v>
      </c>
      <c r="H115" s="275">
        <v>7042320.5</v>
      </c>
      <c r="I115" s="275">
        <v>2749179</v>
      </c>
      <c r="J115" s="323">
        <v>697481.84000000008</v>
      </c>
    </row>
    <row r="116" spans="2:11" x14ac:dyDescent="0.35">
      <c r="B116" s="488"/>
      <c r="C116" s="491"/>
      <c r="D116" s="213" t="s">
        <v>248</v>
      </c>
      <c r="E116" s="295">
        <f t="shared" ref="E116:J116" si="18">SUM(E109:E115)</f>
        <v>41</v>
      </c>
      <c r="F116" s="295">
        <f t="shared" si="18"/>
        <v>41</v>
      </c>
      <c r="G116" s="295">
        <f t="shared" si="18"/>
        <v>116652569.55</v>
      </c>
      <c r="H116" s="295">
        <f t="shared" si="18"/>
        <v>23074236.530000001</v>
      </c>
      <c r="I116" s="294">
        <f t="shared" si="18"/>
        <v>23353449.960000001</v>
      </c>
      <c r="J116" s="293">
        <f t="shared" si="18"/>
        <v>2580215.0300000003</v>
      </c>
    </row>
    <row r="117" spans="2:11" outlineLevel="1" x14ac:dyDescent="0.35">
      <c r="B117" s="487" t="s">
        <v>247</v>
      </c>
      <c r="C117" s="490" t="s">
        <v>246</v>
      </c>
      <c r="D117" s="236" t="s">
        <v>36</v>
      </c>
      <c r="E117" s="275">
        <v>3</v>
      </c>
      <c r="F117" s="275">
        <v>3</v>
      </c>
      <c r="G117" s="275">
        <v>13798722.41</v>
      </c>
      <c r="H117" s="275">
        <v>2759744.4800000004</v>
      </c>
      <c r="I117" s="275">
        <v>574775</v>
      </c>
      <c r="J117" s="323">
        <v>1365450.68</v>
      </c>
    </row>
    <row r="118" spans="2:11" outlineLevel="1" x14ac:dyDescent="0.35">
      <c r="B118" s="487"/>
      <c r="C118" s="490"/>
      <c r="D118" s="236" t="s">
        <v>35</v>
      </c>
      <c r="E118" s="275">
        <v>3</v>
      </c>
      <c r="F118" s="275">
        <v>3</v>
      </c>
      <c r="G118" s="275">
        <v>13884698.5</v>
      </c>
      <c r="H118" s="275">
        <v>2776939.7</v>
      </c>
      <c r="I118" s="275">
        <v>2012784.32</v>
      </c>
      <c r="J118" s="323">
        <v>886063.26</v>
      </c>
    </row>
    <row r="119" spans="2:11" outlineLevel="1" x14ac:dyDescent="0.35">
      <c r="B119" s="487"/>
      <c r="C119" s="490"/>
      <c r="D119" s="236" t="s">
        <v>34</v>
      </c>
      <c r="E119" s="275">
        <v>0</v>
      </c>
      <c r="F119" s="275">
        <v>0</v>
      </c>
      <c r="G119" s="275">
        <v>0</v>
      </c>
      <c r="H119" s="275">
        <v>0</v>
      </c>
      <c r="I119" s="275">
        <v>0</v>
      </c>
      <c r="J119" s="323">
        <v>0</v>
      </c>
    </row>
    <row r="120" spans="2:11" outlineLevel="1" x14ac:dyDescent="0.35">
      <c r="B120" s="487"/>
      <c r="C120" s="490"/>
      <c r="D120" s="236" t="s">
        <v>33</v>
      </c>
      <c r="E120" s="275">
        <v>0</v>
      </c>
      <c r="F120" s="275">
        <v>0</v>
      </c>
      <c r="G120" s="275">
        <v>0</v>
      </c>
      <c r="H120" s="275">
        <v>0</v>
      </c>
      <c r="I120" s="275">
        <v>0</v>
      </c>
      <c r="J120" s="323">
        <v>0</v>
      </c>
    </row>
    <row r="121" spans="2:11" x14ac:dyDescent="0.35">
      <c r="B121" s="488"/>
      <c r="C121" s="491"/>
      <c r="D121" s="213" t="s">
        <v>245</v>
      </c>
      <c r="E121" s="295">
        <f t="shared" ref="E121:J121" si="19">SUM(E117:E120)</f>
        <v>6</v>
      </c>
      <c r="F121" s="295">
        <f t="shared" si="19"/>
        <v>6</v>
      </c>
      <c r="G121" s="295">
        <f t="shared" si="19"/>
        <v>27683420.91</v>
      </c>
      <c r="H121" s="295">
        <f t="shared" si="19"/>
        <v>5536684.1800000006</v>
      </c>
      <c r="I121" s="294">
        <f t="shared" si="19"/>
        <v>2587559.3200000003</v>
      </c>
      <c r="J121" s="293">
        <f t="shared" si="19"/>
        <v>2251513.94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27"/>
      <c r="K122" s="297"/>
    </row>
    <row r="123" spans="2:11" outlineLevel="1" x14ac:dyDescent="0.35">
      <c r="B123" s="492"/>
      <c r="C123" s="485"/>
      <c r="D123" s="225" t="s">
        <v>145</v>
      </c>
      <c r="E123" s="275">
        <f t="shared" ref="E123:J123" si="20">SUM(E124:E127)</f>
        <v>8</v>
      </c>
      <c r="F123" s="275">
        <f t="shared" si="20"/>
        <v>8</v>
      </c>
      <c r="G123" s="275">
        <f t="shared" si="20"/>
        <v>134974401</v>
      </c>
      <c r="H123" s="275">
        <f t="shared" si="20"/>
        <v>52929010.600000001</v>
      </c>
      <c r="I123" s="219">
        <f t="shared" si="20"/>
        <v>28995608.689999998</v>
      </c>
      <c r="J123" s="321">
        <f t="shared" si="20"/>
        <v>7638010.8600000003</v>
      </c>
    </row>
    <row r="124" spans="2:11" hidden="1" outlineLevel="2" x14ac:dyDescent="0.35">
      <c r="B124" s="492"/>
      <c r="C124" s="485"/>
      <c r="D124" s="222" t="s">
        <v>144</v>
      </c>
      <c r="E124" s="275">
        <v>5</v>
      </c>
      <c r="F124" s="275">
        <v>5</v>
      </c>
      <c r="G124" s="275">
        <v>71818032</v>
      </c>
      <c r="H124" s="275">
        <v>27666463</v>
      </c>
      <c r="I124" s="219">
        <v>9940467.9600000009</v>
      </c>
      <c r="J124" s="321">
        <v>7141718.4000000004</v>
      </c>
    </row>
    <row r="125" spans="2:11" hidden="1" outlineLevel="2" x14ac:dyDescent="0.35">
      <c r="B125" s="492"/>
      <c r="C125" s="485"/>
      <c r="D125" s="223" t="s">
        <v>143</v>
      </c>
      <c r="E125" s="275">
        <v>2</v>
      </c>
      <c r="F125" s="275">
        <v>2</v>
      </c>
      <c r="G125" s="275">
        <v>36156873</v>
      </c>
      <c r="H125" s="275">
        <v>14462749.199999999</v>
      </c>
      <c r="I125" s="219">
        <v>9019276.1999999993</v>
      </c>
      <c r="J125" s="321">
        <v>470457.66000000003</v>
      </c>
    </row>
    <row r="126" spans="2:11" hidden="1" outlineLevel="2" x14ac:dyDescent="0.35">
      <c r="B126" s="492"/>
      <c r="C126" s="485"/>
      <c r="D126" s="223" t="s">
        <v>142</v>
      </c>
      <c r="E126" s="275">
        <v>1</v>
      </c>
      <c r="F126" s="275">
        <v>1</v>
      </c>
      <c r="G126" s="275">
        <v>26999496</v>
      </c>
      <c r="H126" s="275">
        <v>10799798.4</v>
      </c>
      <c r="I126" s="219">
        <v>10035864.529999999</v>
      </c>
      <c r="J126" s="321">
        <v>25834.799999999999</v>
      </c>
    </row>
    <row r="127" spans="2:11" hidden="1" outlineLevel="2" x14ac:dyDescent="0.35">
      <c r="B127" s="492"/>
      <c r="C127" s="485"/>
      <c r="D127" s="223" t="s">
        <v>141</v>
      </c>
      <c r="E127" s="275">
        <v>0</v>
      </c>
      <c r="F127" s="275">
        <v>0</v>
      </c>
      <c r="G127" s="275">
        <v>0</v>
      </c>
      <c r="H127" s="275">
        <v>0</v>
      </c>
      <c r="I127" s="219">
        <v>0</v>
      </c>
      <c r="J127" s="321">
        <v>0</v>
      </c>
    </row>
    <row r="128" spans="2:11" outlineLevel="1" collapsed="1" x14ac:dyDescent="0.35">
      <c r="B128" s="492"/>
      <c r="C128" s="485"/>
      <c r="D128" s="221" t="s">
        <v>121</v>
      </c>
      <c r="E128" s="275">
        <f t="shared" ref="E128:J128" si="21">SUM(E129:E162)</f>
        <v>49</v>
      </c>
      <c r="F128" s="275">
        <f t="shared" si="21"/>
        <v>49</v>
      </c>
      <c r="G128" s="275">
        <f t="shared" si="21"/>
        <v>83283760.390000001</v>
      </c>
      <c r="H128" s="275">
        <f t="shared" si="21"/>
        <v>33153671.140000004</v>
      </c>
      <c r="I128" s="219">
        <f t="shared" si="21"/>
        <v>43829402.599999994</v>
      </c>
      <c r="J128" s="321">
        <f t="shared" si="21"/>
        <v>5707039.1800000016</v>
      </c>
    </row>
    <row r="129" spans="2:10" hidden="1" outlineLevel="2" x14ac:dyDescent="0.35">
      <c r="B129" s="492"/>
      <c r="C129" s="485"/>
      <c r="D129" s="224" t="s">
        <v>119</v>
      </c>
      <c r="E129" s="275">
        <v>0</v>
      </c>
      <c r="F129" s="275">
        <v>0</v>
      </c>
      <c r="G129" s="275">
        <v>0</v>
      </c>
      <c r="H129" s="275">
        <v>0</v>
      </c>
      <c r="I129" s="219">
        <v>2626696</v>
      </c>
      <c r="J129" s="321">
        <v>0</v>
      </c>
    </row>
    <row r="130" spans="2:10" hidden="1" outlineLevel="2" x14ac:dyDescent="0.35">
      <c r="B130" s="492"/>
      <c r="C130" s="485"/>
      <c r="D130" s="223" t="s">
        <v>118</v>
      </c>
      <c r="E130" s="275">
        <v>10</v>
      </c>
      <c r="F130" s="275">
        <v>10</v>
      </c>
      <c r="G130" s="275">
        <v>13096113.98</v>
      </c>
      <c r="H130" s="275">
        <v>6320193.7100000009</v>
      </c>
      <c r="I130" s="219">
        <v>12373637.029999999</v>
      </c>
      <c r="J130" s="321">
        <v>1237804.2</v>
      </c>
    </row>
    <row r="131" spans="2:10" hidden="1" outlineLevel="2" x14ac:dyDescent="0.35">
      <c r="B131" s="492"/>
      <c r="C131" s="485"/>
      <c r="D131" s="223" t="s">
        <v>117</v>
      </c>
      <c r="E131" s="275">
        <v>4</v>
      </c>
      <c r="F131" s="275">
        <v>4</v>
      </c>
      <c r="G131" s="275">
        <v>5386227.4700000007</v>
      </c>
      <c r="H131" s="275">
        <v>2574136.48</v>
      </c>
      <c r="I131" s="219">
        <v>6472290.0600000005</v>
      </c>
      <c r="J131" s="321">
        <v>453312.06000000006</v>
      </c>
    </row>
    <row r="132" spans="2:10" hidden="1" outlineLevel="2" x14ac:dyDescent="0.35">
      <c r="B132" s="492"/>
      <c r="C132" s="485"/>
      <c r="D132" s="223" t="s">
        <v>116</v>
      </c>
      <c r="E132" s="275">
        <v>0</v>
      </c>
      <c r="F132" s="275">
        <v>0</v>
      </c>
      <c r="G132" s="275">
        <v>0</v>
      </c>
      <c r="H132" s="275">
        <v>0</v>
      </c>
      <c r="I132" s="219">
        <v>0</v>
      </c>
      <c r="J132" s="321">
        <v>0</v>
      </c>
    </row>
    <row r="133" spans="2:10" hidden="1" outlineLevel="2" x14ac:dyDescent="0.35">
      <c r="B133" s="492"/>
      <c r="C133" s="485"/>
      <c r="D133" s="224" t="s">
        <v>114</v>
      </c>
      <c r="E133" s="275">
        <v>0</v>
      </c>
      <c r="F133" s="275">
        <v>0</v>
      </c>
      <c r="G133" s="275">
        <v>0</v>
      </c>
      <c r="H133" s="275">
        <v>0</v>
      </c>
      <c r="I133" s="219">
        <v>0</v>
      </c>
      <c r="J133" s="321">
        <v>0</v>
      </c>
    </row>
    <row r="134" spans="2:10" hidden="1" outlineLevel="2" x14ac:dyDescent="0.35">
      <c r="B134" s="492"/>
      <c r="C134" s="485"/>
      <c r="D134" s="223" t="s">
        <v>113</v>
      </c>
      <c r="E134" s="275">
        <v>0</v>
      </c>
      <c r="F134" s="275">
        <v>0</v>
      </c>
      <c r="G134" s="275">
        <v>0</v>
      </c>
      <c r="H134" s="275">
        <v>0</v>
      </c>
      <c r="I134" s="219">
        <v>7872214.0700000003</v>
      </c>
      <c r="J134" s="321">
        <v>0</v>
      </c>
    </row>
    <row r="135" spans="2:10" hidden="1" outlineLevel="2" x14ac:dyDescent="0.35">
      <c r="B135" s="492"/>
      <c r="C135" s="485"/>
      <c r="D135" s="223" t="s">
        <v>112</v>
      </c>
      <c r="E135" s="275">
        <v>0</v>
      </c>
      <c r="F135" s="275">
        <v>0</v>
      </c>
      <c r="G135" s="275">
        <v>0</v>
      </c>
      <c r="H135" s="275">
        <v>0</v>
      </c>
      <c r="I135" s="219">
        <v>372689.29</v>
      </c>
      <c r="J135" s="321">
        <v>0</v>
      </c>
    </row>
    <row r="136" spans="2:10" hidden="1" outlineLevel="2" x14ac:dyDescent="0.35">
      <c r="B136" s="492"/>
      <c r="C136" s="485"/>
      <c r="D136" s="223" t="s">
        <v>111</v>
      </c>
      <c r="E136" s="275">
        <v>0</v>
      </c>
      <c r="F136" s="275">
        <v>0</v>
      </c>
      <c r="G136" s="275">
        <v>0</v>
      </c>
      <c r="H136" s="275">
        <v>0</v>
      </c>
      <c r="I136" s="219">
        <v>0</v>
      </c>
      <c r="J136" s="321">
        <v>0</v>
      </c>
    </row>
    <row r="137" spans="2:10" hidden="1" outlineLevel="2" x14ac:dyDescent="0.35">
      <c r="B137" s="492"/>
      <c r="C137" s="485"/>
      <c r="D137" s="222" t="s">
        <v>109</v>
      </c>
      <c r="E137" s="275">
        <v>1</v>
      </c>
      <c r="F137" s="275">
        <v>1</v>
      </c>
      <c r="G137" s="275">
        <v>5121806.25</v>
      </c>
      <c r="H137" s="275">
        <v>2048722.52</v>
      </c>
      <c r="I137" s="219">
        <v>240926</v>
      </c>
      <c r="J137" s="321">
        <v>365356.99</v>
      </c>
    </row>
    <row r="138" spans="2:10" hidden="1" outlineLevel="2" x14ac:dyDescent="0.35">
      <c r="B138" s="492"/>
      <c r="C138" s="485"/>
      <c r="D138" s="222" t="s">
        <v>108</v>
      </c>
      <c r="E138" s="275">
        <v>4</v>
      </c>
      <c r="F138" s="275">
        <v>4</v>
      </c>
      <c r="G138" s="275">
        <v>6203219.75</v>
      </c>
      <c r="H138" s="275">
        <v>2245942.0300000003</v>
      </c>
      <c r="I138" s="219">
        <v>1001458.74</v>
      </c>
      <c r="J138" s="321">
        <v>247135.89</v>
      </c>
    </row>
    <row r="139" spans="2:10" hidden="1" outlineLevel="2" x14ac:dyDescent="0.35">
      <c r="B139" s="492"/>
      <c r="C139" s="485"/>
      <c r="D139" s="222" t="s">
        <v>107</v>
      </c>
      <c r="E139" s="275">
        <v>2</v>
      </c>
      <c r="F139" s="275">
        <v>2</v>
      </c>
      <c r="G139" s="275">
        <v>2863375.99</v>
      </c>
      <c r="H139" s="275">
        <v>1145350.3999999999</v>
      </c>
      <c r="I139" s="219">
        <v>385787.25</v>
      </c>
      <c r="J139" s="321">
        <v>158104.31</v>
      </c>
    </row>
    <row r="140" spans="2:10" hidden="1" outlineLevel="2" x14ac:dyDescent="0.35">
      <c r="B140" s="492"/>
      <c r="C140" s="485"/>
      <c r="D140" s="222" t="s">
        <v>106</v>
      </c>
      <c r="E140" s="275">
        <v>1</v>
      </c>
      <c r="F140" s="275">
        <v>1</v>
      </c>
      <c r="G140" s="275">
        <v>4227310</v>
      </c>
      <c r="H140" s="275">
        <v>1690924</v>
      </c>
      <c r="I140" s="219">
        <v>0</v>
      </c>
      <c r="J140" s="321">
        <v>388612</v>
      </c>
    </row>
    <row r="141" spans="2:10" hidden="1" outlineLevel="2" x14ac:dyDescent="0.35">
      <c r="B141" s="492"/>
      <c r="C141" s="485"/>
      <c r="D141" s="222" t="s">
        <v>104</v>
      </c>
      <c r="E141" s="275">
        <v>1</v>
      </c>
      <c r="F141" s="275">
        <v>1</v>
      </c>
      <c r="G141" s="275">
        <v>1212914.3</v>
      </c>
      <c r="H141" s="275">
        <v>485165.72</v>
      </c>
      <c r="I141" s="219">
        <v>0</v>
      </c>
      <c r="J141" s="321">
        <v>2580.7199999999998</v>
      </c>
    </row>
    <row r="142" spans="2:10" hidden="1" outlineLevel="2" x14ac:dyDescent="0.35">
      <c r="B142" s="492"/>
      <c r="C142" s="485"/>
      <c r="D142" s="222" t="s">
        <v>103</v>
      </c>
      <c r="E142" s="275">
        <v>4</v>
      </c>
      <c r="F142" s="275">
        <v>4</v>
      </c>
      <c r="G142" s="275">
        <v>4804747.21</v>
      </c>
      <c r="H142" s="275">
        <v>1921898.89</v>
      </c>
      <c r="I142" s="219">
        <v>1872815.33</v>
      </c>
      <c r="J142" s="321">
        <v>366928.01</v>
      </c>
    </row>
    <row r="143" spans="2:10" hidden="1" outlineLevel="2" x14ac:dyDescent="0.35">
      <c r="B143" s="492"/>
      <c r="C143" s="485"/>
      <c r="D143" s="222" t="s">
        <v>102</v>
      </c>
      <c r="E143" s="275">
        <v>0</v>
      </c>
      <c r="F143" s="275">
        <v>0</v>
      </c>
      <c r="G143" s="275">
        <v>0</v>
      </c>
      <c r="H143" s="275">
        <v>0</v>
      </c>
      <c r="I143" s="219">
        <v>390344.22</v>
      </c>
      <c r="J143" s="321">
        <v>0</v>
      </c>
    </row>
    <row r="144" spans="2:10" hidden="1" outlineLevel="2" x14ac:dyDescent="0.35">
      <c r="B144" s="492"/>
      <c r="C144" s="485"/>
      <c r="D144" s="222" t="s">
        <v>101</v>
      </c>
      <c r="E144" s="275">
        <v>0</v>
      </c>
      <c r="F144" s="275">
        <v>0</v>
      </c>
      <c r="G144" s="275">
        <v>0</v>
      </c>
      <c r="H144" s="275">
        <v>0</v>
      </c>
      <c r="I144" s="219">
        <v>0</v>
      </c>
      <c r="J144" s="321">
        <v>0</v>
      </c>
    </row>
    <row r="145" spans="2:10" hidden="1" outlineLevel="2" x14ac:dyDescent="0.35">
      <c r="B145" s="492"/>
      <c r="C145" s="485"/>
      <c r="D145" s="223" t="s">
        <v>99</v>
      </c>
      <c r="E145" s="275">
        <v>3</v>
      </c>
      <c r="F145" s="275">
        <v>3</v>
      </c>
      <c r="G145" s="275">
        <v>3800361.2399999993</v>
      </c>
      <c r="H145" s="275">
        <v>1520144.49</v>
      </c>
      <c r="I145" s="219">
        <v>0</v>
      </c>
      <c r="J145" s="321">
        <v>257088.54</v>
      </c>
    </row>
    <row r="146" spans="2:10" hidden="1" outlineLevel="2" x14ac:dyDescent="0.35">
      <c r="B146" s="492"/>
      <c r="C146" s="485"/>
      <c r="D146" s="223" t="s">
        <v>98</v>
      </c>
      <c r="E146" s="275">
        <v>0</v>
      </c>
      <c r="F146" s="275">
        <v>0</v>
      </c>
      <c r="G146" s="275">
        <v>0</v>
      </c>
      <c r="H146" s="275">
        <v>0</v>
      </c>
      <c r="I146" s="219">
        <v>0</v>
      </c>
      <c r="J146" s="321">
        <v>0</v>
      </c>
    </row>
    <row r="147" spans="2:10" hidden="1" outlineLevel="2" x14ac:dyDescent="0.35">
      <c r="B147" s="492"/>
      <c r="C147" s="485"/>
      <c r="D147" s="223" t="s">
        <v>97</v>
      </c>
      <c r="E147" s="275">
        <v>0</v>
      </c>
      <c r="F147" s="275">
        <v>0</v>
      </c>
      <c r="G147" s="275">
        <v>0</v>
      </c>
      <c r="H147" s="275">
        <v>0</v>
      </c>
      <c r="I147" s="219">
        <v>0</v>
      </c>
      <c r="J147" s="321">
        <v>0</v>
      </c>
    </row>
    <row r="148" spans="2:10" hidden="1" outlineLevel="2" x14ac:dyDescent="0.35">
      <c r="B148" s="492"/>
      <c r="C148" s="485"/>
      <c r="D148" s="223" t="s">
        <v>96</v>
      </c>
      <c r="E148" s="275">
        <v>1</v>
      </c>
      <c r="F148" s="275">
        <v>1</v>
      </c>
      <c r="G148" s="275">
        <v>1864653.66</v>
      </c>
      <c r="H148" s="275">
        <v>745861.47</v>
      </c>
      <c r="I148" s="219">
        <v>1709544.75</v>
      </c>
      <c r="J148" s="321">
        <v>74461.47</v>
      </c>
    </row>
    <row r="149" spans="2:10" hidden="1" outlineLevel="2" x14ac:dyDescent="0.35">
      <c r="B149" s="492"/>
      <c r="C149" s="485"/>
      <c r="D149" s="223" t="s">
        <v>94</v>
      </c>
      <c r="E149" s="275">
        <v>4</v>
      </c>
      <c r="F149" s="275">
        <v>4</v>
      </c>
      <c r="G149" s="275">
        <v>11933661.609999999</v>
      </c>
      <c r="H149" s="275">
        <v>4773464.6399999997</v>
      </c>
      <c r="I149" s="219">
        <v>0</v>
      </c>
      <c r="J149" s="321">
        <v>802441.14</v>
      </c>
    </row>
    <row r="150" spans="2:10" hidden="1" outlineLevel="2" x14ac:dyDescent="0.35">
      <c r="B150" s="492"/>
      <c r="C150" s="485"/>
      <c r="D150" s="223" t="s">
        <v>93</v>
      </c>
      <c r="E150" s="275">
        <v>1</v>
      </c>
      <c r="F150" s="275">
        <v>1</v>
      </c>
      <c r="G150" s="275">
        <v>1217116.25</v>
      </c>
      <c r="H150" s="275">
        <v>486846.51</v>
      </c>
      <c r="I150" s="219">
        <v>1603447.8599999999</v>
      </c>
      <c r="J150" s="321">
        <v>63307.51</v>
      </c>
    </row>
    <row r="151" spans="2:10" hidden="1" outlineLevel="2" x14ac:dyDescent="0.35">
      <c r="B151" s="492"/>
      <c r="C151" s="485"/>
      <c r="D151" s="223" t="s">
        <v>92</v>
      </c>
      <c r="E151" s="275">
        <v>3</v>
      </c>
      <c r="F151" s="275">
        <v>3</v>
      </c>
      <c r="G151" s="275">
        <v>3910057.5</v>
      </c>
      <c r="H151" s="275">
        <v>1564023.04</v>
      </c>
      <c r="I151" s="219">
        <v>938582</v>
      </c>
      <c r="J151" s="321">
        <v>146456.09</v>
      </c>
    </row>
    <row r="152" spans="2:10" hidden="1" outlineLevel="2" x14ac:dyDescent="0.35">
      <c r="B152" s="492"/>
      <c r="C152" s="485"/>
      <c r="D152" s="223" t="s">
        <v>91</v>
      </c>
      <c r="E152" s="275">
        <v>6</v>
      </c>
      <c r="F152" s="275">
        <v>6</v>
      </c>
      <c r="G152" s="275">
        <v>9960023.7199999988</v>
      </c>
      <c r="H152" s="275">
        <v>3573500.25</v>
      </c>
      <c r="I152" s="219">
        <v>3621715.2</v>
      </c>
      <c r="J152" s="321">
        <v>607901.69000000006</v>
      </c>
    </row>
    <row r="153" spans="2:10" hidden="1" outlineLevel="2" x14ac:dyDescent="0.35">
      <c r="B153" s="492"/>
      <c r="C153" s="485"/>
      <c r="D153" s="223" t="s">
        <v>89</v>
      </c>
      <c r="E153" s="275">
        <v>0</v>
      </c>
      <c r="F153" s="275">
        <v>0</v>
      </c>
      <c r="G153" s="275">
        <v>0</v>
      </c>
      <c r="H153" s="275">
        <v>0</v>
      </c>
      <c r="I153" s="219">
        <v>224754.03</v>
      </c>
      <c r="J153" s="321">
        <v>0</v>
      </c>
    </row>
    <row r="154" spans="2:10" hidden="1" outlineLevel="2" x14ac:dyDescent="0.35">
      <c r="B154" s="492"/>
      <c r="C154" s="485"/>
      <c r="D154" s="223" t="s">
        <v>88</v>
      </c>
      <c r="E154" s="275">
        <v>1</v>
      </c>
      <c r="F154" s="275">
        <v>1</v>
      </c>
      <c r="G154" s="275">
        <v>1295345.08</v>
      </c>
      <c r="H154" s="275">
        <v>388603.53</v>
      </c>
      <c r="I154" s="219">
        <v>0</v>
      </c>
      <c r="J154" s="321">
        <v>129068.53</v>
      </c>
    </row>
    <row r="155" spans="2:10" hidden="1" outlineLevel="2" x14ac:dyDescent="0.35">
      <c r="B155" s="492"/>
      <c r="C155" s="485"/>
      <c r="D155" s="223" t="s">
        <v>87</v>
      </c>
      <c r="E155" s="275">
        <v>0</v>
      </c>
      <c r="F155" s="275">
        <v>0</v>
      </c>
      <c r="G155" s="275">
        <v>0</v>
      </c>
      <c r="H155" s="275">
        <v>0</v>
      </c>
      <c r="I155" s="219">
        <v>0</v>
      </c>
      <c r="J155" s="321">
        <v>0</v>
      </c>
    </row>
    <row r="156" spans="2:10" hidden="1" outlineLevel="2" x14ac:dyDescent="0.35">
      <c r="B156" s="492"/>
      <c r="C156" s="485"/>
      <c r="D156" s="223" t="s">
        <v>86</v>
      </c>
      <c r="E156" s="275">
        <v>0</v>
      </c>
      <c r="F156" s="275">
        <v>0</v>
      </c>
      <c r="G156" s="275">
        <v>0</v>
      </c>
      <c r="H156" s="275">
        <v>0</v>
      </c>
      <c r="I156" s="219">
        <v>0</v>
      </c>
      <c r="J156" s="321">
        <v>0</v>
      </c>
    </row>
    <row r="157" spans="2:10" hidden="1" outlineLevel="2" x14ac:dyDescent="0.35">
      <c r="B157" s="492"/>
      <c r="C157" s="485"/>
      <c r="D157" s="223" t="s">
        <v>84</v>
      </c>
      <c r="E157" s="275">
        <v>2</v>
      </c>
      <c r="F157" s="275">
        <v>2</v>
      </c>
      <c r="G157" s="275">
        <v>4957554.0500000007</v>
      </c>
      <c r="H157" s="275">
        <v>1240111.76</v>
      </c>
      <c r="I157" s="219">
        <v>0</v>
      </c>
      <c r="J157" s="321">
        <v>388552.80000000005</v>
      </c>
    </row>
    <row r="158" spans="2:10" hidden="1" outlineLevel="2" x14ac:dyDescent="0.35">
      <c r="B158" s="492"/>
      <c r="C158" s="485"/>
      <c r="D158" s="223" t="s">
        <v>83</v>
      </c>
      <c r="E158" s="275">
        <v>0</v>
      </c>
      <c r="F158" s="275">
        <v>0</v>
      </c>
      <c r="G158" s="275">
        <v>0</v>
      </c>
      <c r="H158" s="275">
        <v>0</v>
      </c>
      <c r="I158" s="219">
        <v>571490.51</v>
      </c>
      <c r="J158" s="321">
        <v>0</v>
      </c>
    </row>
    <row r="159" spans="2:10" hidden="1" outlineLevel="2" x14ac:dyDescent="0.35">
      <c r="B159" s="492"/>
      <c r="C159" s="485"/>
      <c r="D159" s="223" t="s">
        <v>82</v>
      </c>
      <c r="E159" s="275">
        <v>1</v>
      </c>
      <c r="F159" s="275">
        <v>1</v>
      </c>
      <c r="G159" s="275">
        <v>1429272.33</v>
      </c>
      <c r="H159" s="275">
        <v>428781.7</v>
      </c>
      <c r="I159" s="219">
        <v>142510</v>
      </c>
      <c r="J159" s="321">
        <v>17927.23</v>
      </c>
    </row>
    <row r="160" spans="2:10" hidden="1" outlineLevel="2" x14ac:dyDescent="0.35">
      <c r="B160" s="492"/>
      <c r="C160" s="485"/>
      <c r="D160" s="223" t="s">
        <v>81</v>
      </c>
      <c r="E160" s="275">
        <v>0</v>
      </c>
      <c r="F160" s="275">
        <v>0</v>
      </c>
      <c r="G160" s="275">
        <v>0</v>
      </c>
      <c r="H160" s="275">
        <v>0</v>
      </c>
      <c r="I160" s="219">
        <v>1408500.26</v>
      </c>
      <c r="J160" s="321">
        <v>0</v>
      </c>
    </row>
    <row r="161" spans="2:10" hidden="1" outlineLevel="2" x14ac:dyDescent="0.35">
      <c r="B161" s="492"/>
      <c r="C161" s="485"/>
      <c r="D161" s="223" t="s">
        <v>79</v>
      </c>
      <c r="E161" s="275">
        <v>0</v>
      </c>
      <c r="F161" s="275">
        <v>0</v>
      </c>
      <c r="G161" s="275">
        <v>0</v>
      </c>
      <c r="H161" s="275">
        <v>0</v>
      </c>
      <c r="I161" s="219">
        <v>0</v>
      </c>
      <c r="J161" s="321">
        <v>0</v>
      </c>
    </row>
    <row r="162" spans="2:10" hidden="1" outlineLevel="2" x14ac:dyDescent="0.35">
      <c r="B162" s="492"/>
      <c r="C162" s="485"/>
      <c r="D162" s="223" t="s">
        <v>78</v>
      </c>
      <c r="E162" s="275">
        <v>0</v>
      </c>
      <c r="F162" s="275">
        <v>0</v>
      </c>
      <c r="G162" s="275">
        <v>0</v>
      </c>
      <c r="H162" s="275">
        <v>0</v>
      </c>
      <c r="I162" s="219">
        <v>0</v>
      </c>
      <c r="J162" s="321">
        <v>0</v>
      </c>
    </row>
    <row r="163" spans="2:10" outlineLevel="1" collapsed="1" x14ac:dyDescent="0.35">
      <c r="B163" s="492"/>
      <c r="C163" s="485"/>
      <c r="D163" s="221" t="s">
        <v>77</v>
      </c>
      <c r="E163" s="275">
        <f t="shared" ref="E163:J163" si="22">SUM(E164:E185)</f>
        <v>29</v>
      </c>
      <c r="F163" s="275">
        <f t="shared" si="22"/>
        <v>24</v>
      </c>
      <c r="G163" s="275">
        <f t="shared" si="22"/>
        <v>43703259.880000003</v>
      </c>
      <c r="H163" s="275">
        <f t="shared" si="22"/>
        <v>13181806.849999998</v>
      </c>
      <c r="I163" s="219">
        <f t="shared" si="22"/>
        <v>17642744.449999999</v>
      </c>
      <c r="J163" s="321">
        <f t="shared" si="22"/>
        <v>3416447.81</v>
      </c>
    </row>
    <row r="164" spans="2:10" hidden="1" outlineLevel="2" x14ac:dyDescent="0.35">
      <c r="B164" s="492"/>
      <c r="C164" s="485"/>
      <c r="D164" s="222" t="s">
        <v>75</v>
      </c>
      <c r="E164" s="275">
        <v>1</v>
      </c>
      <c r="F164" s="275">
        <v>1</v>
      </c>
      <c r="G164" s="275">
        <v>1391612.1</v>
      </c>
      <c r="H164" s="275">
        <v>556644.84</v>
      </c>
      <c r="I164" s="219">
        <v>2222196.96</v>
      </c>
      <c r="J164" s="321">
        <v>138444.84</v>
      </c>
    </row>
    <row r="165" spans="2:10" hidden="1" outlineLevel="2" x14ac:dyDescent="0.35">
      <c r="B165" s="492"/>
      <c r="C165" s="485"/>
      <c r="D165" s="222" t="s">
        <v>74</v>
      </c>
      <c r="E165" s="275">
        <v>8</v>
      </c>
      <c r="F165" s="275">
        <v>8</v>
      </c>
      <c r="G165" s="275">
        <v>11169701.34</v>
      </c>
      <c r="H165" s="275">
        <v>4205949.9099999992</v>
      </c>
      <c r="I165" s="219">
        <v>4403367.34</v>
      </c>
      <c r="J165" s="321">
        <v>968044.72000000009</v>
      </c>
    </row>
    <row r="166" spans="2:10" hidden="1" outlineLevel="2" x14ac:dyDescent="0.35">
      <c r="B166" s="492"/>
      <c r="C166" s="485"/>
      <c r="D166" s="222" t="s">
        <v>73</v>
      </c>
      <c r="E166" s="275">
        <v>2</v>
      </c>
      <c r="F166" s="275">
        <v>1</v>
      </c>
      <c r="G166" s="275">
        <v>3547411.63</v>
      </c>
      <c r="H166" s="275">
        <v>1418964.65</v>
      </c>
      <c r="I166" s="219">
        <v>1845430</v>
      </c>
      <c r="J166" s="321">
        <v>334478.28000000003</v>
      </c>
    </row>
    <row r="167" spans="2:10" hidden="1" outlineLevel="2" x14ac:dyDescent="0.35">
      <c r="B167" s="492"/>
      <c r="C167" s="485"/>
      <c r="D167" s="222" t="s">
        <v>72</v>
      </c>
      <c r="E167" s="275">
        <v>0</v>
      </c>
      <c r="F167" s="275">
        <v>0</v>
      </c>
      <c r="G167" s="275">
        <v>0</v>
      </c>
      <c r="H167" s="275">
        <v>0</v>
      </c>
      <c r="I167" s="219">
        <v>0</v>
      </c>
      <c r="J167" s="321">
        <v>0</v>
      </c>
    </row>
    <row r="168" spans="2:10" hidden="1" outlineLevel="2" x14ac:dyDescent="0.35">
      <c r="B168" s="492"/>
      <c r="C168" s="485"/>
      <c r="D168" s="222" t="s">
        <v>70</v>
      </c>
      <c r="E168" s="275">
        <v>3</v>
      </c>
      <c r="F168" s="275">
        <v>3</v>
      </c>
      <c r="G168" s="275">
        <v>4490116.6099999994</v>
      </c>
      <c r="H168" s="275">
        <v>1032612.02</v>
      </c>
      <c r="I168" s="219">
        <v>0</v>
      </c>
      <c r="J168" s="321">
        <v>355256.86</v>
      </c>
    </row>
    <row r="169" spans="2:10" hidden="1" outlineLevel="2" x14ac:dyDescent="0.35">
      <c r="B169" s="492"/>
      <c r="C169" s="485"/>
      <c r="D169" s="222" t="s">
        <v>69</v>
      </c>
      <c r="E169" s="275">
        <v>3</v>
      </c>
      <c r="F169" s="275">
        <v>2</v>
      </c>
      <c r="G169" s="275">
        <v>4088671.2199999997</v>
      </c>
      <c r="H169" s="275">
        <v>1226601.3600000001</v>
      </c>
      <c r="I169" s="219">
        <v>2951714.4699999997</v>
      </c>
      <c r="J169" s="321">
        <v>408862.31999999995</v>
      </c>
    </row>
    <row r="170" spans="2:10" hidden="1" outlineLevel="2" x14ac:dyDescent="0.35">
      <c r="B170" s="492"/>
      <c r="C170" s="485"/>
      <c r="D170" s="222" t="s">
        <v>68</v>
      </c>
      <c r="E170" s="275">
        <v>0</v>
      </c>
      <c r="F170" s="275">
        <v>0</v>
      </c>
      <c r="G170" s="275">
        <v>0</v>
      </c>
      <c r="H170" s="275">
        <v>0</v>
      </c>
      <c r="I170" s="219">
        <v>0</v>
      </c>
      <c r="J170" s="321">
        <v>0</v>
      </c>
    </row>
    <row r="171" spans="2:10" hidden="1" outlineLevel="2" x14ac:dyDescent="0.35">
      <c r="B171" s="492"/>
      <c r="C171" s="485"/>
      <c r="D171" s="222" t="s">
        <v>67</v>
      </c>
      <c r="E171" s="275">
        <v>0</v>
      </c>
      <c r="F171" s="275">
        <v>0</v>
      </c>
      <c r="G171" s="275">
        <v>0</v>
      </c>
      <c r="H171" s="275">
        <v>0</v>
      </c>
      <c r="I171" s="219">
        <v>0</v>
      </c>
      <c r="J171" s="321">
        <v>0</v>
      </c>
    </row>
    <row r="172" spans="2:10" hidden="1" outlineLevel="2" x14ac:dyDescent="0.35">
      <c r="B172" s="492"/>
      <c r="C172" s="485"/>
      <c r="D172" s="222" t="s">
        <v>65</v>
      </c>
      <c r="E172" s="275">
        <v>0</v>
      </c>
      <c r="F172" s="275">
        <v>0</v>
      </c>
      <c r="G172" s="275">
        <v>0</v>
      </c>
      <c r="H172" s="275">
        <v>0</v>
      </c>
      <c r="I172" s="219">
        <v>0</v>
      </c>
      <c r="J172" s="321">
        <v>0</v>
      </c>
    </row>
    <row r="173" spans="2:10" hidden="1" outlineLevel="2" x14ac:dyDescent="0.35">
      <c r="B173" s="492"/>
      <c r="C173" s="485"/>
      <c r="D173" s="222" t="s">
        <v>64</v>
      </c>
      <c r="E173" s="275">
        <v>5</v>
      </c>
      <c r="F173" s="275">
        <v>2</v>
      </c>
      <c r="G173" s="275">
        <v>8008577.7700000005</v>
      </c>
      <c r="H173" s="275">
        <v>2402573.3299999996</v>
      </c>
      <c r="I173" s="219">
        <v>1522839.94</v>
      </c>
      <c r="J173" s="321">
        <v>800855.02</v>
      </c>
    </row>
    <row r="174" spans="2:10" hidden="1" outlineLevel="2" x14ac:dyDescent="0.35">
      <c r="B174" s="492"/>
      <c r="C174" s="485"/>
      <c r="D174" s="222" t="s">
        <v>63</v>
      </c>
      <c r="E174" s="275">
        <v>1</v>
      </c>
      <c r="F174" s="275">
        <v>1</v>
      </c>
      <c r="G174" s="275">
        <v>1446470.37</v>
      </c>
      <c r="H174" s="275">
        <v>289294.08000000002</v>
      </c>
      <c r="I174" s="219">
        <v>178300</v>
      </c>
      <c r="J174" s="321">
        <v>72323.520000000004</v>
      </c>
    </row>
    <row r="175" spans="2:10" hidden="1" outlineLevel="2" x14ac:dyDescent="0.35">
      <c r="B175" s="492"/>
      <c r="C175" s="485"/>
      <c r="D175" s="222" t="s">
        <v>62</v>
      </c>
      <c r="E175" s="275">
        <v>0</v>
      </c>
      <c r="F175" s="275">
        <v>0</v>
      </c>
      <c r="G175" s="275">
        <v>0</v>
      </c>
      <c r="H175" s="275">
        <v>0</v>
      </c>
      <c r="I175" s="219">
        <v>0</v>
      </c>
      <c r="J175" s="321">
        <v>0</v>
      </c>
    </row>
    <row r="176" spans="2:10" hidden="1" outlineLevel="2" x14ac:dyDescent="0.35">
      <c r="B176" s="492"/>
      <c r="C176" s="485"/>
      <c r="D176" s="222" t="s">
        <v>60</v>
      </c>
      <c r="E176" s="275">
        <v>0</v>
      </c>
      <c r="F176" s="275">
        <v>0</v>
      </c>
      <c r="G176" s="275">
        <v>0</v>
      </c>
      <c r="H176" s="275">
        <v>0</v>
      </c>
      <c r="I176" s="219">
        <v>0</v>
      </c>
      <c r="J176" s="321">
        <v>0</v>
      </c>
    </row>
    <row r="177" spans="2:10" hidden="1" outlineLevel="2" x14ac:dyDescent="0.35">
      <c r="B177" s="492"/>
      <c r="C177" s="485"/>
      <c r="D177" s="222" t="s">
        <v>59</v>
      </c>
      <c r="E177" s="275">
        <v>4</v>
      </c>
      <c r="F177" s="275">
        <v>4</v>
      </c>
      <c r="G177" s="275">
        <v>6003355.75</v>
      </c>
      <c r="H177" s="275">
        <v>1337698.05</v>
      </c>
      <c r="I177" s="219">
        <v>467135.2</v>
      </c>
      <c r="J177" s="321">
        <v>264870.79000000004</v>
      </c>
    </row>
    <row r="178" spans="2:10" hidden="1" outlineLevel="2" x14ac:dyDescent="0.35">
      <c r="B178" s="492"/>
      <c r="C178" s="485"/>
      <c r="D178" s="222" t="s">
        <v>58</v>
      </c>
      <c r="E178" s="275">
        <v>0</v>
      </c>
      <c r="F178" s="275">
        <v>0</v>
      </c>
      <c r="G178" s="275">
        <v>0</v>
      </c>
      <c r="H178" s="275">
        <v>0</v>
      </c>
      <c r="I178" s="219">
        <v>170046</v>
      </c>
      <c r="J178" s="321">
        <v>0</v>
      </c>
    </row>
    <row r="179" spans="2:10" hidden="1" outlineLevel="2" x14ac:dyDescent="0.35">
      <c r="B179" s="492"/>
      <c r="C179" s="485"/>
      <c r="D179" s="222" t="s">
        <v>57</v>
      </c>
      <c r="E179" s="275">
        <v>0</v>
      </c>
      <c r="F179" s="275">
        <v>0</v>
      </c>
      <c r="G179" s="275">
        <v>0</v>
      </c>
      <c r="H179" s="275">
        <v>0</v>
      </c>
      <c r="I179" s="219">
        <v>0</v>
      </c>
      <c r="J179" s="321">
        <v>0</v>
      </c>
    </row>
    <row r="180" spans="2:10" hidden="1" outlineLevel="2" x14ac:dyDescent="0.35">
      <c r="B180" s="492"/>
      <c r="C180" s="485"/>
      <c r="D180" s="222" t="s">
        <v>55</v>
      </c>
      <c r="E180" s="275">
        <v>0</v>
      </c>
      <c r="F180" s="275">
        <v>0</v>
      </c>
      <c r="G180" s="275">
        <v>0</v>
      </c>
      <c r="H180" s="275">
        <v>0</v>
      </c>
      <c r="I180" s="219">
        <v>844531.84</v>
      </c>
      <c r="J180" s="321">
        <v>0</v>
      </c>
    </row>
    <row r="181" spans="2:10" hidden="1" outlineLevel="2" x14ac:dyDescent="0.35">
      <c r="B181" s="492"/>
      <c r="C181" s="485"/>
      <c r="D181" s="222" t="s">
        <v>54</v>
      </c>
      <c r="E181" s="275">
        <v>1</v>
      </c>
      <c r="F181" s="275">
        <v>1</v>
      </c>
      <c r="G181" s="275">
        <v>1762353.46</v>
      </c>
      <c r="H181" s="275">
        <v>352470.69</v>
      </c>
      <c r="I181" s="219">
        <v>1864038.74</v>
      </c>
      <c r="J181" s="321">
        <v>51803.02</v>
      </c>
    </row>
    <row r="182" spans="2:10" hidden="1" outlineLevel="2" x14ac:dyDescent="0.35">
      <c r="B182" s="492"/>
      <c r="C182" s="485"/>
      <c r="D182" s="222" t="s">
        <v>53</v>
      </c>
      <c r="E182" s="275">
        <v>0</v>
      </c>
      <c r="F182" s="275">
        <v>0</v>
      </c>
      <c r="G182" s="275">
        <v>0</v>
      </c>
      <c r="H182" s="275">
        <v>0</v>
      </c>
      <c r="I182" s="219">
        <v>0</v>
      </c>
      <c r="J182" s="321">
        <v>0</v>
      </c>
    </row>
    <row r="183" spans="2:10" hidden="1" outlineLevel="2" x14ac:dyDescent="0.35">
      <c r="B183" s="492"/>
      <c r="C183" s="485"/>
      <c r="D183" s="222" t="s">
        <v>52</v>
      </c>
      <c r="E183" s="275">
        <v>0</v>
      </c>
      <c r="F183" s="275">
        <v>0</v>
      </c>
      <c r="G183" s="275">
        <v>0</v>
      </c>
      <c r="H183" s="275">
        <v>0</v>
      </c>
      <c r="I183" s="219">
        <v>0</v>
      </c>
      <c r="J183" s="321">
        <v>0</v>
      </c>
    </row>
    <row r="184" spans="2:10" hidden="1" outlineLevel="2" x14ac:dyDescent="0.35">
      <c r="B184" s="492"/>
      <c r="C184" s="485"/>
      <c r="D184" s="222" t="s">
        <v>50</v>
      </c>
      <c r="E184" s="275">
        <v>1</v>
      </c>
      <c r="F184" s="275">
        <v>1</v>
      </c>
      <c r="G184" s="275">
        <v>1794989.63</v>
      </c>
      <c r="H184" s="275">
        <v>358997.92</v>
      </c>
      <c r="I184" s="219">
        <v>1027050.96</v>
      </c>
      <c r="J184" s="321">
        <v>21508.44</v>
      </c>
    </row>
    <row r="185" spans="2:10" hidden="1" outlineLevel="2" x14ac:dyDescent="0.35">
      <c r="B185" s="492"/>
      <c r="C185" s="485"/>
      <c r="D185" s="222" t="s">
        <v>49</v>
      </c>
      <c r="E185" s="275">
        <v>0</v>
      </c>
      <c r="F185" s="275">
        <v>0</v>
      </c>
      <c r="G185" s="275">
        <v>0</v>
      </c>
      <c r="H185" s="275">
        <v>0</v>
      </c>
      <c r="I185" s="219">
        <v>146093</v>
      </c>
      <c r="J185" s="321">
        <v>0</v>
      </c>
    </row>
    <row r="186" spans="2:10" x14ac:dyDescent="0.35">
      <c r="B186" s="492"/>
      <c r="C186" s="485"/>
      <c r="D186" s="213" t="s">
        <v>243</v>
      </c>
      <c r="E186" s="295">
        <f t="shared" ref="E186:J186" si="23">SUM(E163,E128,E123)</f>
        <v>86</v>
      </c>
      <c r="F186" s="295">
        <f t="shared" si="23"/>
        <v>81</v>
      </c>
      <c r="G186" s="295">
        <f t="shared" si="23"/>
        <v>261961421.27000001</v>
      </c>
      <c r="H186" s="295">
        <f t="shared" si="23"/>
        <v>99264488.590000004</v>
      </c>
      <c r="I186" s="294">
        <f t="shared" si="23"/>
        <v>90467755.739999995</v>
      </c>
      <c r="J186" s="293">
        <f t="shared" si="23"/>
        <v>16761497.850000001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75">
        <f t="shared" ref="E187:J187" si="24">SUM(E188:E190)</f>
        <v>15</v>
      </c>
      <c r="F187" s="275">
        <f t="shared" si="24"/>
        <v>14</v>
      </c>
      <c r="G187" s="275">
        <f t="shared" si="24"/>
        <v>20678716.119999997</v>
      </c>
      <c r="H187" s="275">
        <f t="shared" si="24"/>
        <v>6084739.3600000003</v>
      </c>
      <c r="I187" s="219">
        <f t="shared" si="24"/>
        <v>3418113.7199999997</v>
      </c>
      <c r="J187" s="321">
        <f t="shared" si="24"/>
        <v>1512571.8</v>
      </c>
    </row>
    <row r="188" spans="2:10" ht="15" hidden="1" customHeight="1" outlineLevel="2" x14ac:dyDescent="0.35">
      <c r="B188" s="492"/>
      <c r="C188" s="485"/>
      <c r="D188" s="222" t="s">
        <v>126</v>
      </c>
      <c r="E188" s="275">
        <v>6</v>
      </c>
      <c r="F188" s="275">
        <v>6</v>
      </c>
      <c r="G188" s="275">
        <v>7894280.3200000003</v>
      </c>
      <c r="H188" s="275">
        <v>2249408.6800000002</v>
      </c>
      <c r="I188" s="219">
        <v>799377.73</v>
      </c>
      <c r="J188" s="321">
        <v>492093.45</v>
      </c>
    </row>
    <row r="189" spans="2:10" ht="15" hidden="1" customHeight="1" outlineLevel="2" x14ac:dyDescent="0.35">
      <c r="B189" s="492"/>
      <c r="C189" s="485"/>
      <c r="D189" s="222" t="s">
        <v>125</v>
      </c>
      <c r="E189" s="275">
        <v>4</v>
      </c>
      <c r="F189" s="275">
        <v>4</v>
      </c>
      <c r="G189" s="275">
        <v>6425678.5599999996</v>
      </c>
      <c r="H189" s="275">
        <v>1927703.5500000003</v>
      </c>
      <c r="I189" s="219">
        <v>1516230.4</v>
      </c>
      <c r="J189" s="321">
        <v>540460.55000000005</v>
      </c>
    </row>
    <row r="190" spans="2:10" ht="15" hidden="1" customHeight="1" outlineLevel="2" x14ac:dyDescent="0.35">
      <c r="B190" s="492"/>
      <c r="C190" s="485"/>
      <c r="D190" s="222" t="s">
        <v>124</v>
      </c>
      <c r="E190" s="275">
        <v>5</v>
      </c>
      <c r="F190" s="275">
        <v>4</v>
      </c>
      <c r="G190" s="275">
        <v>6358757.2399999993</v>
      </c>
      <c r="H190" s="275">
        <v>1907627.13</v>
      </c>
      <c r="I190" s="219">
        <v>1102505.5899999999</v>
      </c>
      <c r="J190" s="321">
        <v>480017.8</v>
      </c>
    </row>
    <row r="191" spans="2:10" outlineLevel="1" collapsed="1" x14ac:dyDescent="0.35">
      <c r="B191" s="492"/>
      <c r="C191" s="485"/>
      <c r="D191" s="221" t="s">
        <v>46</v>
      </c>
      <c r="E191" s="275">
        <f t="shared" ref="E191:J191" si="25">SUM(E192:E195)</f>
        <v>0</v>
      </c>
      <c r="F191" s="275">
        <f t="shared" si="25"/>
        <v>0</v>
      </c>
      <c r="G191" s="275">
        <f t="shared" si="25"/>
        <v>0</v>
      </c>
      <c r="H191" s="275">
        <f t="shared" si="25"/>
        <v>0</v>
      </c>
      <c r="I191" s="219">
        <f t="shared" si="25"/>
        <v>152176.71000000002</v>
      </c>
      <c r="J191" s="321">
        <f t="shared" si="25"/>
        <v>0</v>
      </c>
    </row>
    <row r="192" spans="2:10" ht="15" hidden="1" customHeight="1" outlineLevel="2" x14ac:dyDescent="0.35">
      <c r="B192" s="492"/>
      <c r="C192" s="485"/>
      <c r="D192" s="222" t="s">
        <v>45</v>
      </c>
      <c r="E192" s="275">
        <v>0</v>
      </c>
      <c r="F192" s="275">
        <v>0</v>
      </c>
      <c r="G192" s="275">
        <v>0</v>
      </c>
      <c r="H192" s="275">
        <v>0</v>
      </c>
      <c r="I192" s="219">
        <v>24350</v>
      </c>
      <c r="J192" s="321">
        <v>0</v>
      </c>
    </row>
    <row r="193" spans="2:10" ht="15" hidden="1" customHeight="1" outlineLevel="2" x14ac:dyDescent="0.35">
      <c r="B193" s="492"/>
      <c r="C193" s="485"/>
      <c r="D193" s="222" t="s">
        <v>44</v>
      </c>
      <c r="E193" s="275">
        <v>0</v>
      </c>
      <c r="F193" s="275">
        <v>0</v>
      </c>
      <c r="G193" s="275">
        <v>0</v>
      </c>
      <c r="H193" s="275">
        <v>0</v>
      </c>
      <c r="I193" s="219">
        <v>0</v>
      </c>
      <c r="J193" s="321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75">
        <v>0</v>
      </c>
      <c r="F194" s="275">
        <v>0</v>
      </c>
      <c r="G194" s="275">
        <v>0</v>
      </c>
      <c r="H194" s="275">
        <v>0</v>
      </c>
      <c r="I194" s="219">
        <v>127826.71</v>
      </c>
      <c r="J194" s="321">
        <v>0</v>
      </c>
    </row>
    <row r="195" spans="2:10" ht="15" hidden="1" customHeight="1" outlineLevel="2" x14ac:dyDescent="0.35">
      <c r="B195" s="492"/>
      <c r="C195" s="485"/>
      <c r="D195" s="222" t="s">
        <v>42</v>
      </c>
      <c r="E195" s="275">
        <v>0</v>
      </c>
      <c r="F195" s="275">
        <v>0</v>
      </c>
      <c r="G195" s="275">
        <v>0</v>
      </c>
      <c r="H195" s="275">
        <v>0</v>
      </c>
      <c r="I195" s="219">
        <v>0</v>
      </c>
      <c r="J195" s="321">
        <v>0</v>
      </c>
    </row>
    <row r="196" spans="2:10" x14ac:dyDescent="0.35">
      <c r="B196" s="493"/>
      <c r="C196" s="494"/>
      <c r="D196" s="213" t="s">
        <v>239</v>
      </c>
      <c r="E196" s="295">
        <f t="shared" ref="E196:J196" si="26">SUM(E191,E187)</f>
        <v>15</v>
      </c>
      <c r="F196" s="295">
        <f t="shared" si="26"/>
        <v>14</v>
      </c>
      <c r="G196" s="295">
        <f t="shared" si="26"/>
        <v>20678716.119999997</v>
      </c>
      <c r="H196" s="295">
        <f t="shared" si="26"/>
        <v>6084739.3600000003</v>
      </c>
      <c r="I196" s="294">
        <f t="shared" si="26"/>
        <v>3570290.4299999997</v>
      </c>
      <c r="J196" s="293">
        <f t="shared" si="26"/>
        <v>1512571.8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75">
        <f t="shared" ref="E197:J197" si="27">SUM(E198:E200)</f>
        <v>0</v>
      </c>
      <c r="F197" s="275">
        <f t="shared" si="27"/>
        <v>0</v>
      </c>
      <c r="G197" s="275">
        <f t="shared" si="27"/>
        <v>0</v>
      </c>
      <c r="H197" s="275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5" hidden="1" customHeight="1" outlineLevel="2" x14ac:dyDescent="0.35">
      <c r="B198" s="492"/>
      <c r="C198" s="485"/>
      <c r="D198" s="222" t="s">
        <v>31</v>
      </c>
      <c r="E198" s="275">
        <v>0</v>
      </c>
      <c r="F198" s="275">
        <v>0</v>
      </c>
      <c r="G198" s="275">
        <v>0</v>
      </c>
      <c r="H198" s="275">
        <v>0</v>
      </c>
      <c r="I198" s="219">
        <v>0</v>
      </c>
      <c r="J198" s="321">
        <v>0</v>
      </c>
    </row>
    <row r="199" spans="2:10" ht="15" hidden="1" customHeight="1" outlineLevel="2" x14ac:dyDescent="0.35">
      <c r="B199" s="492"/>
      <c r="C199" s="485"/>
      <c r="D199" s="222" t="s">
        <v>30</v>
      </c>
      <c r="E199" s="275">
        <v>0</v>
      </c>
      <c r="F199" s="275">
        <v>0</v>
      </c>
      <c r="G199" s="275">
        <v>0</v>
      </c>
      <c r="H199" s="275">
        <v>0</v>
      </c>
      <c r="I199" s="219">
        <v>0</v>
      </c>
      <c r="J199" s="321">
        <v>0</v>
      </c>
    </row>
    <row r="200" spans="2:10" ht="15" hidden="1" customHeight="1" outlineLevel="2" x14ac:dyDescent="0.35">
      <c r="B200" s="492"/>
      <c r="C200" s="485"/>
      <c r="D200" s="222" t="s">
        <v>29</v>
      </c>
      <c r="E200" s="275">
        <v>0</v>
      </c>
      <c r="F200" s="275">
        <v>0</v>
      </c>
      <c r="G200" s="275">
        <v>0</v>
      </c>
      <c r="H200" s="275">
        <v>0</v>
      </c>
      <c r="I200" s="219">
        <v>0</v>
      </c>
      <c r="J200" s="321">
        <v>0</v>
      </c>
    </row>
    <row r="201" spans="2:10" outlineLevel="1" collapsed="1" x14ac:dyDescent="0.35">
      <c r="B201" s="492"/>
      <c r="C201" s="485"/>
      <c r="D201" s="221" t="s">
        <v>28</v>
      </c>
      <c r="E201" s="275">
        <v>0</v>
      </c>
      <c r="F201" s="275">
        <v>0</v>
      </c>
      <c r="G201" s="275">
        <v>0</v>
      </c>
      <c r="H201" s="275">
        <v>0</v>
      </c>
      <c r="I201" s="219">
        <v>0</v>
      </c>
      <c r="J201" s="321">
        <v>0</v>
      </c>
    </row>
    <row r="202" spans="2:10" outlineLevel="1" x14ac:dyDescent="0.35">
      <c r="B202" s="492"/>
      <c r="C202" s="485"/>
      <c r="D202" s="221" t="s">
        <v>27</v>
      </c>
      <c r="E202" s="275">
        <v>0</v>
      </c>
      <c r="F202" s="275">
        <v>0</v>
      </c>
      <c r="G202" s="275">
        <v>0</v>
      </c>
      <c r="H202" s="275">
        <v>0</v>
      </c>
      <c r="I202" s="219">
        <v>0</v>
      </c>
      <c r="J202" s="321">
        <v>0</v>
      </c>
    </row>
    <row r="203" spans="2:10" x14ac:dyDescent="0.35">
      <c r="B203" s="493"/>
      <c r="C203" s="494"/>
      <c r="D203" s="213" t="s">
        <v>236</v>
      </c>
      <c r="E203" s="295">
        <f t="shared" ref="E203:J203" si="28">SUM(E202,E201,E197)</f>
        <v>0</v>
      </c>
      <c r="F203" s="295">
        <f t="shared" si="28"/>
        <v>0</v>
      </c>
      <c r="G203" s="295">
        <f t="shared" si="28"/>
        <v>0</v>
      </c>
      <c r="H203" s="295">
        <f t="shared" si="28"/>
        <v>0</v>
      </c>
      <c r="I203" s="294">
        <f t="shared" si="28"/>
        <v>0</v>
      </c>
      <c r="J203" s="293">
        <f t="shared" si="28"/>
        <v>0</v>
      </c>
    </row>
    <row r="204" spans="2:10" ht="15" thickBot="1" x14ac:dyDescent="0.4">
      <c r="B204" s="495" t="s">
        <v>235</v>
      </c>
      <c r="C204" s="496"/>
      <c r="D204" s="206" t="s">
        <v>15</v>
      </c>
      <c r="E204" s="292">
        <f t="shared" ref="E204:J204" si="29">SUM(E203,E186,E121,E108,E75,E41,E116,E196)</f>
        <v>648</v>
      </c>
      <c r="F204" s="292">
        <f t="shared" si="29"/>
        <v>597</v>
      </c>
      <c r="G204" s="292">
        <f t="shared" si="29"/>
        <v>1822733215.3999999</v>
      </c>
      <c r="H204" s="292">
        <f t="shared" si="29"/>
        <v>768609685.91999996</v>
      </c>
      <c r="I204" s="292">
        <f t="shared" si="29"/>
        <v>727984881.81999993</v>
      </c>
      <c r="J204" s="291">
        <f t="shared" si="29"/>
        <v>121634938.66000001</v>
      </c>
    </row>
    <row r="205" spans="2:10" x14ac:dyDescent="0.35">
      <c r="J205" s="196"/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J5:J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81" orientation="landscape" r:id="rId1"/>
  <headerFooter alignWithMargins="0">
    <oddHeader>&amp;LSOBHA LLC&amp;C&amp;"Tahoma,Regular"&amp;14
OVERDUE AGEING_ overdue broken up into respective age buckets_91-120 Day&amp;R&amp;D</oddHeader>
    <oddFooter>&amp;LCOLLECTIONS&amp;R&amp;P/&amp;N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C39D-A9A1-4FF5-84D1-E027CBF301C2}">
  <sheetPr>
    <pageSetUpPr fitToPage="1"/>
  </sheetPr>
  <dimension ref="B1:M205"/>
  <sheetViews>
    <sheetView view="pageBreakPreview" topLeftCell="A67" zoomScale="60" zoomScaleNormal="100" workbookViewId="0"/>
  </sheetViews>
  <sheetFormatPr defaultRowHeight="14.5" outlineLevelRow="2" x14ac:dyDescent="0.35"/>
  <cols>
    <col min="2" max="2" width="28.26953125" bestFit="1" customWidth="1"/>
    <col min="3" max="3" width="3.26953125" bestFit="1" customWidth="1"/>
    <col min="4" max="4" width="41.26953125" bestFit="1" customWidth="1"/>
    <col min="5" max="5" width="16.26953125" customWidth="1"/>
    <col min="6" max="6" width="23.7265625" bestFit="1" customWidth="1"/>
    <col min="7" max="7" width="20.54296875" bestFit="1" customWidth="1"/>
    <col min="8" max="8" width="20" bestFit="1" customWidth="1"/>
    <col min="9" max="9" width="27.7265625" bestFit="1" customWidth="1"/>
    <col min="10" max="10" width="30.7265625" bestFit="1" customWidth="1"/>
    <col min="11" max="11" width="6.453125" bestFit="1" customWidth="1"/>
    <col min="12" max="12" width="5.7265625" bestFit="1" customWidth="1"/>
    <col min="13" max="13" width="16.453125" bestFit="1" customWidth="1"/>
  </cols>
  <sheetData>
    <row r="1" spans="2:13" x14ac:dyDescent="0.35">
      <c r="M1" s="321">
        <v>126997447.7799999</v>
      </c>
    </row>
    <row r="3" spans="2:13" x14ac:dyDescent="0.35">
      <c r="B3" s="288">
        <v>46143</v>
      </c>
    </row>
    <row r="4" spans="2:13" ht="15" thickBot="1" x14ac:dyDescent="0.4"/>
    <row r="5" spans="2:13" x14ac:dyDescent="0.35">
      <c r="B5" s="466" t="s">
        <v>276</v>
      </c>
      <c r="C5" s="467"/>
      <c r="D5" s="470" t="s">
        <v>275</v>
      </c>
      <c r="E5" s="472" t="s">
        <v>281</v>
      </c>
      <c r="F5" s="498" t="s">
        <v>280</v>
      </c>
      <c r="G5" s="472" t="s">
        <v>274</v>
      </c>
      <c r="H5" s="474" t="s">
        <v>273</v>
      </c>
      <c r="I5" s="307" t="s">
        <v>272</v>
      </c>
      <c r="J5" s="329" t="s">
        <v>285</v>
      </c>
    </row>
    <row r="6" spans="2:13" x14ac:dyDescent="0.35">
      <c r="B6" s="468"/>
      <c r="C6" s="469"/>
      <c r="D6" s="471"/>
      <c r="E6" s="473"/>
      <c r="F6" s="499"/>
      <c r="G6" s="473"/>
      <c r="H6" s="475"/>
      <c r="I6" s="306" t="s">
        <v>278</v>
      </c>
      <c r="J6" s="328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6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26">
        <f t="shared" si="0"/>
        <v>0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6">
        <v>0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6">
        <v>0</v>
      </c>
    </row>
    <row r="11" spans="2:13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6">
        <v>0</v>
      </c>
    </row>
    <row r="12" spans="2:13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6">
        <v>0</v>
      </c>
    </row>
    <row r="13" spans="2:13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26">
        <v>0</v>
      </c>
    </row>
    <row r="14" spans="2:13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6">
        <v>0</v>
      </c>
    </row>
    <row r="15" spans="2:13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6">
        <v>0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26">
        <f t="shared" si="1"/>
        <v>0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6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6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6">
        <v>0</v>
      </c>
    </row>
    <row r="20" spans="2:10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26">
        <v>0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6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1</v>
      </c>
      <c r="F22" s="219">
        <f t="shared" si="2"/>
        <v>1</v>
      </c>
      <c r="G22" s="219">
        <f t="shared" si="2"/>
        <v>913490</v>
      </c>
      <c r="H22" s="219">
        <f t="shared" si="2"/>
        <v>274047</v>
      </c>
      <c r="I22" s="219">
        <f t="shared" si="2"/>
        <v>0</v>
      </c>
      <c r="J22" s="326">
        <f t="shared" si="2"/>
        <v>88190.6</v>
      </c>
    </row>
    <row r="23" spans="2:10" hidden="1" outlineLevel="2" x14ac:dyDescent="0.35">
      <c r="B23" s="503"/>
      <c r="C23" s="506"/>
      <c r="D23" s="242" t="s">
        <v>9</v>
      </c>
      <c r="E23" s="219">
        <v>1</v>
      </c>
      <c r="F23" s="219">
        <v>1</v>
      </c>
      <c r="G23" s="219">
        <v>913490</v>
      </c>
      <c r="H23" s="219">
        <v>274047</v>
      </c>
      <c r="I23" s="219">
        <v>0</v>
      </c>
      <c r="J23" s="321">
        <v>88190.6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35</v>
      </c>
      <c r="F33" s="219">
        <v>34</v>
      </c>
      <c r="G33" s="219">
        <v>80954438.75</v>
      </c>
      <c r="H33" s="219">
        <v>69732334.419999987</v>
      </c>
      <c r="I33" s="219">
        <v>0</v>
      </c>
      <c r="J33" s="321">
        <v>9812271.2800000068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108</v>
      </c>
      <c r="F34" s="219">
        <f t="shared" si="4"/>
        <v>101</v>
      </c>
      <c r="G34" s="219">
        <f t="shared" si="4"/>
        <v>172608263.58000001</v>
      </c>
      <c r="H34" s="219">
        <f t="shared" si="4"/>
        <v>112464690.28000002</v>
      </c>
      <c r="I34" s="219">
        <f t="shared" si="4"/>
        <v>0</v>
      </c>
      <c r="J34" s="321">
        <f t="shared" si="4"/>
        <v>7978221.1299999999</v>
      </c>
    </row>
    <row r="35" spans="2:10" hidden="1" outlineLevel="2" x14ac:dyDescent="0.35">
      <c r="B35" s="503"/>
      <c r="C35" s="506"/>
      <c r="D35" s="242" t="s">
        <v>22</v>
      </c>
      <c r="E35" s="219">
        <v>21</v>
      </c>
      <c r="F35" s="219">
        <v>21</v>
      </c>
      <c r="G35" s="219">
        <v>51962064</v>
      </c>
      <c r="H35" s="219">
        <v>35827523.880000003</v>
      </c>
      <c r="I35" s="219">
        <v>0</v>
      </c>
      <c r="J35" s="321">
        <v>2800967.7399999998</v>
      </c>
    </row>
    <row r="36" spans="2:10" hidden="1" outlineLevel="2" x14ac:dyDescent="0.35">
      <c r="B36" s="503"/>
      <c r="C36" s="506"/>
      <c r="D36" s="242" t="s">
        <v>21</v>
      </c>
      <c r="E36" s="219">
        <v>46</v>
      </c>
      <c r="F36" s="219">
        <v>43</v>
      </c>
      <c r="G36" s="219">
        <v>59389368.5</v>
      </c>
      <c r="H36" s="219">
        <v>37527054.250000007</v>
      </c>
      <c r="I36" s="219">
        <v>0</v>
      </c>
      <c r="J36" s="321">
        <v>1921281.91</v>
      </c>
    </row>
    <row r="37" spans="2:10" hidden="1" outlineLevel="2" x14ac:dyDescent="0.35">
      <c r="B37" s="503"/>
      <c r="C37" s="506"/>
      <c r="D37" s="242" t="s">
        <v>20</v>
      </c>
      <c r="E37" s="219">
        <v>38</v>
      </c>
      <c r="F37" s="219">
        <v>34</v>
      </c>
      <c r="G37" s="219">
        <v>53543836.5</v>
      </c>
      <c r="H37" s="219">
        <v>34511224.370000005</v>
      </c>
      <c r="I37" s="219">
        <v>0</v>
      </c>
      <c r="J37" s="321">
        <v>2877859.2200000007</v>
      </c>
    </row>
    <row r="38" spans="2:10" hidden="1" outlineLevel="2" x14ac:dyDescent="0.35">
      <c r="B38" s="503"/>
      <c r="C38" s="506"/>
      <c r="D38" s="242" t="s">
        <v>19</v>
      </c>
      <c r="E38" s="219">
        <v>3</v>
      </c>
      <c r="F38" s="219">
        <v>3</v>
      </c>
      <c r="G38" s="219">
        <v>7712994.5800000001</v>
      </c>
      <c r="H38" s="219">
        <v>4598887.7799999993</v>
      </c>
      <c r="I38" s="219">
        <v>0</v>
      </c>
      <c r="J38" s="321">
        <v>378112.26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</row>
    <row r="41" spans="2:10" x14ac:dyDescent="0.35">
      <c r="B41" s="504"/>
      <c r="C41" s="507"/>
      <c r="D41" s="213" t="s">
        <v>259</v>
      </c>
      <c r="E41" s="295">
        <f t="shared" ref="E41:J41" si="5">SUM(E8,E15:E16,E27:E29,E22,E33:E34,E40)</f>
        <v>144</v>
      </c>
      <c r="F41" s="295">
        <f t="shared" si="5"/>
        <v>136</v>
      </c>
      <c r="G41" s="295">
        <f t="shared" si="5"/>
        <v>254476192.33000001</v>
      </c>
      <c r="H41" s="295">
        <f t="shared" si="5"/>
        <v>182471071.69999999</v>
      </c>
      <c r="I41" s="294">
        <f t="shared" si="5"/>
        <v>0</v>
      </c>
      <c r="J41" s="293">
        <f t="shared" si="5"/>
        <v>17878683.010000005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25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2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2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2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2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5148112.43</v>
      </c>
      <c r="J48" s="321">
        <v>0</v>
      </c>
    </row>
    <row r="49" spans="2:10" outlineLevel="1" x14ac:dyDescent="0.35">
      <c r="B49" s="487"/>
      <c r="C49" s="490"/>
      <c r="D49" s="236" t="s">
        <v>189</v>
      </c>
      <c r="E49" s="219">
        <v>27</v>
      </c>
      <c r="F49" s="219">
        <v>17</v>
      </c>
      <c r="G49" s="219">
        <v>59549752.509999998</v>
      </c>
      <c r="H49" s="219">
        <v>36844866.030000001</v>
      </c>
      <c r="I49" s="219">
        <v>5553458.75</v>
      </c>
      <c r="J49" s="321">
        <v>4630893.0999999996</v>
      </c>
    </row>
    <row r="50" spans="2:10" outlineLevel="1" x14ac:dyDescent="0.35">
      <c r="B50" s="487"/>
      <c r="C50" s="490"/>
      <c r="D50" s="263" t="s">
        <v>179</v>
      </c>
      <c r="E50" s="219">
        <v>13</v>
      </c>
      <c r="F50" s="219">
        <v>13</v>
      </c>
      <c r="G50" s="219">
        <v>101976434.20999998</v>
      </c>
      <c r="H50" s="219">
        <v>74358943.609999999</v>
      </c>
      <c r="I50" s="219">
        <v>50099191.760000005</v>
      </c>
      <c r="J50" s="321">
        <v>4052046.5500000003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5</v>
      </c>
      <c r="F51" s="219">
        <f t="shared" si="7"/>
        <v>4</v>
      </c>
      <c r="G51" s="219">
        <f t="shared" si="7"/>
        <v>132900737</v>
      </c>
      <c r="H51" s="219">
        <f t="shared" si="7"/>
        <v>53288825.599999994</v>
      </c>
      <c r="I51" s="219">
        <f t="shared" si="7"/>
        <v>31135112.640000001</v>
      </c>
      <c r="J51" s="321">
        <f t="shared" si="7"/>
        <v>9725947.5700000003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5</v>
      </c>
      <c r="F54" s="219">
        <v>4</v>
      </c>
      <c r="G54" s="219">
        <v>132900737</v>
      </c>
      <c r="H54" s="219">
        <v>53288825.599999994</v>
      </c>
      <c r="I54" s="219">
        <v>31135112.640000001</v>
      </c>
      <c r="J54" s="321">
        <v>9725947.5700000003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138</v>
      </c>
      <c r="F56" s="219">
        <f t="shared" si="8"/>
        <v>134</v>
      </c>
      <c r="G56" s="219">
        <f t="shared" si="8"/>
        <v>284499361.42000002</v>
      </c>
      <c r="H56" s="219">
        <f t="shared" si="8"/>
        <v>150907127.12000003</v>
      </c>
      <c r="I56" s="219">
        <f t="shared" si="8"/>
        <v>171939666.74000001</v>
      </c>
      <c r="J56" s="321">
        <f t="shared" si="8"/>
        <v>13214290.170000002</v>
      </c>
    </row>
    <row r="57" spans="2:10" hidden="1" outlineLevel="2" x14ac:dyDescent="0.35">
      <c r="B57" s="487"/>
      <c r="C57" s="490"/>
      <c r="D57" s="242" t="s">
        <v>169</v>
      </c>
      <c r="E57" s="219">
        <v>12</v>
      </c>
      <c r="F57" s="219">
        <v>12</v>
      </c>
      <c r="G57" s="219">
        <v>27655270.649999999</v>
      </c>
      <c r="H57" s="219">
        <v>16593162.41</v>
      </c>
      <c r="I57" s="219">
        <v>23282222.82</v>
      </c>
      <c r="J57" s="321">
        <v>1350702.3</v>
      </c>
    </row>
    <row r="58" spans="2:10" hidden="1" outlineLevel="2" x14ac:dyDescent="0.35">
      <c r="B58" s="487"/>
      <c r="C58" s="490"/>
      <c r="D58" s="242" t="s">
        <v>168</v>
      </c>
      <c r="E58" s="219">
        <v>6</v>
      </c>
      <c r="F58" s="219">
        <v>6</v>
      </c>
      <c r="G58" s="219">
        <v>11244331</v>
      </c>
      <c r="H58" s="219">
        <v>4643640.0500000007</v>
      </c>
      <c r="I58" s="219">
        <v>21300411.310000006</v>
      </c>
      <c r="J58" s="321">
        <v>667020.19000000006</v>
      </c>
    </row>
    <row r="59" spans="2:10" hidden="1" outlineLevel="2" x14ac:dyDescent="0.35">
      <c r="B59" s="487"/>
      <c r="C59" s="490"/>
      <c r="D59" s="242" t="s">
        <v>167</v>
      </c>
      <c r="E59" s="219">
        <v>71</v>
      </c>
      <c r="F59" s="219">
        <v>67</v>
      </c>
      <c r="G59" s="219">
        <v>131861600.40000001</v>
      </c>
      <c r="H59" s="219">
        <v>77483474.610000029</v>
      </c>
      <c r="I59" s="219">
        <v>25372131.460000005</v>
      </c>
      <c r="J59" s="321">
        <v>5502891.4400000023</v>
      </c>
    </row>
    <row r="60" spans="2:10" hidden="1" outlineLevel="2" x14ac:dyDescent="0.35">
      <c r="B60" s="487"/>
      <c r="C60" s="490"/>
      <c r="D60" s="242" t="s">
        <v>166</v>
      </c>
      <c r="E60" s="219">
        <v>13</v>
      </c>
      <c r="F60" s="219">
        <v>13</v>
      </c>
      <c r="G60" s="219">
        <v>37771127.200000003</v>
      </c>
      <c r="H60" s="219">
        <v>13014341.93</v>
      </c>
      <c r="I60" s="219">
        <v>19639469.629999995</v>
      </c>
      <c r="J60" s="321">
        <v>1702409.57</v>
      </c>
    </row>
    <row r="61" spans="2:10" hidden="1" outlineLevel="2" x14ac:dyDescent="0.35">
      <c r="B61" s="487"/>
      <c r="C61" s="490"/>
      <c r="D61" s="261" t="s">
        <v>165</v>
      </c>
      <c r="E61" s="219">
        <v>30</v>
      </c>
      <c r="F61" s="219">
        <v>30</v>
      </c>
      <c r="G61" s="219">
        <v>64821862.670000002</v>
      </c>
      <c r="H61" s="219">
        <v>34908951.020000003</v>
      </c>
      <c r="I61" s="219">
        <v>43876152.75999999</v>
      </c>
      <c r="J61" s="321">
        <v>3239269.4400000004</v>
      </c>
    </row>
    <row r="62" spans="2:10" hidden="1" outlineLevel="2" x14ac:dyDescent="0.35">
      <c r="B62" s="487"/>
      <c r="C62" s="490"/>
      <c r="D62" s="261" t="s">
        <v>164</v>
      </c>
      <c r="E62" s="219">
        <v>6</v>
      </c>
      <c r="F62" s="219">
        <v>6</v>
      </c>
      <c r="G62" s="219">
        <v>11145169.5</v>
      </c>
      <c r="H62" s="219">
        <v>4263557.1000000006</v>
      </c>
      <c r="I62" s="219">
        <v>38469278.75999999</v>
      </c>
      <c r="J62" s="321">
        <v>751997.23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1</v>
      </c>
      <c r="F63" s="219">
        <f t="shared" si="9"/>
        <v>1</v>
      </c>
      <c r="G63" s="219">
        <f t="shared" si="9"/>
        <v>2209582.5</v>
      </c>
      <c r="H63" s="219">
        <f t="shared" si="9"/>
        <v>1325749.5</v>
      </c>
      <c r="I63" s="219">
        <f t="shared" si="9"/>
        <v>5710888.5800000001</v>
      </c>
      <c r="J63" s="321">
        <f t="shared" si="9"/>
        <v>2990.35</v>
      </c>
    </row>
    <row r="64" spans="2:10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2396033.67</v>
      </c>
      <c r="J64" s="321">
        <v>0</v>
      </c>
    </row>
    <row r="65" spans="2:10" hidden="1" outlineLevel="2" x14ac:dyDescent="0.35">
      <c r="B65" s="487"/>
      <c r="C65" s="490"/>
      <c r="D65" s="260" t="s">
        <v>195</v>
      </c>
      <c r="E65" s="219">
        <v>1</v>
      </c>
      <c r="F65" s="219">
        <v>1</v>
      </c>
      <c r="G65" s="219">
        <v>2209582.5</v>
      </c>
      <c r="H65" s="219">
        <v>1325749.5</v>
      </c>
      <c r="I65" s="219">
        <v>3314854.91</v>
      </c>
      <c r="J65" s="321">
        <v>2990.35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64</v>
      </c>
      <c r="F67" s="219">
        <f t="shared" si="10"/>
        <v>57</v>
      </c>
      <c r="G67" s="219">
        <f t="shared" si="10"/>
        <v>165619413.19999999</v>
      </c>
      <c r="H67" s="219">
        <f t="shared" si="10"/>
        <v>86124590.789999992</v>
      </c>
      <c r="I67" s="219">
        <f t="shared" si="10"/>
        <v>48022472.259999998</v>
      </c>
      <c r="J67" s="321">
        <f t="shared" si="10"/>
        <v>8796825.2799999975</v>
      </c>
    </row>
    <row r="68" spans="2:10" hidden="1" outlineLevel="2" x14ac:dyDescent="0.35">
      <c r="B68" s="487"/>
      <c r="C68" s="490"/>
      <c r="D68" s="260" t="s">
        <v>177</v>
      </c>
      <c r="E68" s="219">
        <v>7</v>
      </c>
      <c r="F68" s="219">
        <v>7</v>
      </c>
      <c r="G68" s="219">
        <v>23791562.300000001</v>
      </c>
      <c r="H68" s="219">
        <v>11854201.01</v>
      </c>
      <c r="I68" s="219">
        <v>20755758.610000003</v>
      </c>
      <c r="J68" s="321">
        <v>1258533.74</v>
      </c>
    </row>
    <row r="69" spans="2:10" hidden="1" outlineLevel="2" x14ac:dyDescent="0.35">
      <c r="B69" s="487"/>
      <c r="C69" s="490"/>
      <c r="D69" s="260" t="s">
        <v>176</v>
      </c>
      <c r="E69" s="219">
        <v>10</v>
      </c>
      <c r="F69" s="219">
        <v>9</v>
      </c>
      <c r="G69" s="219">
        <v>20985723.649999999</v>
      </c>
      <c r="H69" s="219">
        <v>10535271.810000002</v>
      </c>
      <c r="I69" s="219">
        <v>6577833.7400000002</v>
      </c>
      <c r="J69" s="321">
        <v>1565001.4099999997</v>
      </c>
    </row>
    <row r="70" spans="2:10" hidden="1" outlineLevel="2" x14ac:dyDescent="0.35">
      <c r="B70" s="487"/>
      <c r="C70" s="490"/>
      <c r="D70" s="260" t="s">
        <v>175</v>
      </c>
      <c r="E70" s="219">
        <v>15</v>
      </c>
      <c r="F70" s="219">
        <v>13</v>
      </c>
      <c r="G70" s="219">
        <v>43193215.300000004</v>
      </c>
      <c r="H70" s="219">
        <v>22860794.829999998</v>
      </c>
      <c r="I70" s="219">
        <v>5241759.83</v>
      </c>
      <c r="J70" s="321">
        <v>2588912.2599999998</v>
      </c>
    </row>
    <row r="71" spans="2:10" hidden="1" outlineLevel="2" x14ac:dyDescent="0.35">
      <c r="B71" s="487"/>
      <c r="C71" s="490"/>
      <c r="D71" s="260" t="s">
        <v>174</v>
      </c>
      <c r="E71" s="219">
        <v>11</v>
      </c>
      <c r="F71" s="219">
        <v>11</v>
      </c>
      <c r="G71" s="219">
        <v>20797468.199999996</v>
      </c>
      <c r="H71" s="219">
        <v>11070945.040000001</v>
      </c>
      <c r="I71" s="219">
        <v>4877466.29</v>
      </c>
      <c r="J71" s="321">
        <v>648280.64999999991</v>
      </c>
    </row>
    <row r="72" spans="2:10" hidden="1" outlineLevel="2" x14ac:dyDescent="0.35">
      <c r="B72" s="487"/>
      <c r="C72" s="490"/>
      <c r="D72" s="260" t="s">
        <v>173</v>
      </c>
      <c r="E72" s="219">
        <v>19</v>
      </c>
      <c r="F72" s="219">
        <v>15</v>
      </c>
      <c r="G72" s="219">
        <v>45488054.75</v>
      </c>
      <c r="H72" s="219">
        <v>25439025.300000001</v>
      </c>
      <c r="I72" s="219">
        <v>4991818.21</v>
      </c>
      <c r="J72" s="321">
        <v>2637500.44</v>
      </c>
    </row>
    <row r="73" spans="2:10" hidden="1" outlineLevel="2" x14ac:dyDescent="0.35">
      <c r="B73" s="487"/>
      <c r="C73" s="490"/>
      <c r="D73" s="260" t="s">
        <v>172</v>
      </c>
      <c r="E73" s="219">
        <v>1</v>
      </c>
      <c r="F73" s="219">
        <v>1</v>
      </c>
      <c r="G73" s="219">
        <v>1855774</v>
      </c>
      <c r="H73" s="219">
        <v>371154.8</v>
      </c>
      <c r="I73" s="219">
        <v>3339795.58</v>
      </c>
      <c r="J73" s="321">
        <v>3520.78</v>
      </c>
    </row>
    <row r="74" spans="2:10" hidden="1" outlineLevel="2" x14ac:dyDescent="0.35">
      <c r="B74" s="487"/>
      <c r="C74" s="490"/>
      <c r="D74" s="260" t="s">
        <v>171</v>
      </c>
      <c r="E74" s="219">
        <v>1</v>
      </c>
      <c r="F74" s="219">
        <v>1</v>
      </c>
      <c r="G74" s="219">
        <v>9507615</v>
      </c>
      <c r="H74" s="219">
        <v>3993198</v>
      </c>
      <c r="I74" s="219">
        <v>2238040</v>
      </c>
      <c r="J74" s="321">
        <v>95076</v>
      </c>
    </row>
    <row r="75" spans="2:10" x14ac:dyDescent="0.35">
      <c r="B75" s="488"/>
      <c r="C75" s="491"/>
      <c r="D75" s="213" t="s">
        <v>255</v>
      </c>
      <c r="E75" s="295">
        <f t="shared" ref="E75:J75" si="11">SUM(E43,E48:E51,E56,E63,E67)</f>
        <v>248</v>
      </c>
      <c r="F75" s="295">
        <f t="shared" si="11"/>
        <v>226</v>
      </c>
      <c r="G75" s="295">
        <f t="shared" si="11"/>
        <v>746755280.83999991</v>
      </c>
      <c r="H75" s="304">
        <f t="shared" si="11"/>
        <v>402850102.64999998</v>
      </c>
      <c r="I75" s="294">
        <f t="shared" si="11"/>
        <v>317608903.16000003</v>
      </c>
      <c r="J75" s="293">
        <f t="shared" si="11"/>
        <v>40422993.019999996</v>
      </c>
    </row>
    <row r="76" spans="2:10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25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18</v>
      </c>
      <c r="F77" s="219">
        <f t="shared" si="12"/>
        <v>18</v>
      </c>
      <c r="G77" s="219">
        <f t="shared" si="12"/>
        <v>133356253</v>
      </c>
      <c r="H77" s="219">
        <f t="shared" si="12"/>
        <v>69722462.75</v>
      </c>
      <c r="I77" s="219">
        <f t="shared" si="12"/>
        <v>38869765.770000003</v>
      </c>
      <c r="J77" s="321">
        <f t="shared" si="12"/>
        <v>11773113.780000001</v>
      </c>
    </row>
    <row r="78" spans="2:10" hidden="1" outlineLevel="2" x14ac:dyDescent="0.35">
      <c r="B78" s="487"/>
      <c r="C78" s="490"/>
      <c r="D78" s="250" t="s">
        <v>192</v>
      </c>
      <c r="E78" s="219">
        <v>10</v>
      </c>
      <c r="F78" s="219">
        <v>10</v>
      </c>
      <c r="G78" s="219">
        <v>76756243</v>
      </c>
      <c r="H78" s="219">
        <v>40696432.850000001</v>
      </c>
      <c r="I78" s="219">
        <v>2925824.2800000003</v>
      </c>
      <c r="J78" s="321">
        <v>7332165.6099999994</v>
      </c>
    </row>
    <row r="79" spans="2:10" hidden="1" outlineLevel="2" x14ac:dyDescent="0.35">
      <c r="B79" s="487"/>
      <c r="C79" s="490"/>
      <c r="D79" s="250" t="s">
        <v>191</v>
      </c>
      <c r="E79" s="219">
        <v>3</v>
      </c>
      <c r="F79" s="219">
        <v>3</v>
      </c>
      <c r="G79" s="219">
        <v>20646505</v>
      </c>
      <c r="H79" s="219">
        <v>10323252.5</v>
      </c>
      <c r="I79" s="219">
        <v>24549995.830000002</v>
      </c>
      <c r="J79" s="321">
        <v>2061820.71</v>
      </c>
    </row>
    <row r="80" spans="2:10" hidden="1" outlineLevel="2" x14ac:dyDescent="0.35">
      <c r="B80" s="487"/>
      <c r="C80" s="490"/>
      <c r="D80" s="250" t="s">
        <v>190</v>
      </c>
      <c r="E80" s="219">
        <v>5</v>
      </c>
      <c r="F80" s="219">
        <v>5</v>
      </c>
      <c r="G80" s="219">
        <v>35953505</v>
      </c>
      <c r="H80" s="219">
        <v>18702777.399999999</v>
      </c>
      <c r="I80" s="219">
        <v>11393945.66</v>
      </c>
      <c r="J80" s="321">
        <v>2379127.46</v>
      </c>
    </row>
    <row r="81" spans="2:11" outlineLevel="1" collapsed="1" x14ac:dyDescent="0.35">
      <c r="B81" s="487"/>
      <c r="C81" s="490"/>
      <c r="D81" s="251" t="s">
        <v>158</v>
      </c>
      <c r="E81" s="219">
        <f t="shared" ref="E81:J81" si="13">SUM(E82:E89)</f>
        <v>127</v>
      </c>
      <c r="F81" s="219">
        <f t="shared" si="13"/>
        <v>106</v>
      </c>
      <c r="G81" s="219">
        <f t="shared" si="13"/>
        <v>150941626.99000001</v>
      </c>
      <c r="H81" s="219">
        <f t="shared" si="13"/>
        <v>65697383.319999993</v>
      </c>
      <c r="I81" s="219">
        <f t="shared" si="13"/>
        <v>19746447.859999999</v>
      </c>
      <c r="J81" s="321">
        <f t="shared" si="13"/>
        <v>8599816.7599999998</v>
      </c>
    </row>
    <row r="82" spans="2:11" hidden="1" outlineLevel="2" x14ac:dyDescent="0.35">
      <c r="B82" s="487"/>
      <c r="C82" s="490"/>
      <c r="D82" s="250" t="s">
        <v>157</v>
      </c>
      <c r="E82" s="219">
        <v>20</v>
      </c>
      <c r="F82" s="219">
        <v>20</v>
      </c>
      <c r="G82" s="219">
        <v>21846979.199999999</v>
      </c>
      <c r="H82" s="219">
        <v>10416142.01</v>
      </c>
      <c r="I82" s="219">
        <v>3884318.65</v>
      </c>
      <c r="J82" s="321">
        <v>1314957.9099999999</v>
      </c>
    </row>
    <row r="83" spans="2:11" hidden="1" outlineLevel="2" x14ac:dyDescent="0.35">
      <c r="B83" s="487"/>
      <c r="C83" s="490"/>
      <c r="D83" s="250" t="s">
        <v>156</v>
      </c>
      <c r="E83" s="219">
        <v>52</v>
      </c>
      <c r="F83" s="219">
        <v>34</v>
      </c>
      <c r="G83" s="219">
        <v>59629232.68</v>
      </c>
      <c r="H83" s="219">
        <v>28139339.560000002</v>
      </c>
      <c r="I83" s="219">
        <v>3609599.1100000003</v>
      </c>
      <c r="J83" s="321">
        <v>3524536.7</v>
      </c>
    </row>
    <row r="84" spans="2:11" hidden="1" outlineLevel="2" x14ac:dyDescent="0.35">
      <c r="B84" s="487"/>
      <c r="C84" s="490"/>
      <c r="D84" s="250" t="s">
        <v>155</v>
      </c>
      <c r="E84" s="219">
        <v>8</v>
      </c>
      <c r="F84" s="219">
        <v>6</v>
      </c>
      <c r="G84" s="219">
        <v>10246555.25</v>
      </c>
      <c r="H84" s="219">
        <v>3665532.12</v>
      </c>
      <c r="I84" s="219">
        <v>1141578</v>
      </c>
      <c r="J84" s="321">
        <v>404739.01</v>
      </c>
    </row>
    <row r="85" spans="2:11" hidden="1" outlineLevel="2" x14ac:dyDescent="0.35">
      <c r="B85" s="487"/>
      <c r="C85" s="490"/>
      <c r="D85" s="250" t="s">
        <v>154</v>
      </c>
      <c r="E85" s="219">
        <v>6</v>
      </c>
      <c r="F85" s="219">
        <v>6</v>
      </c>
      <c r="G85" s="219">
        <v>7398581.0000000009</v>
      </c>
      <c r="H85" s="219">
        <v>2219574.33</v>
      </c>
      <c r="I85" s="219">
        <v>1055522</v>
      </c>
      <c r="J85" s="321">
        <v>516570.06999999995</v>
      </c>
    </row>
    <row r="86" spans="2:11" hidden="1" outlineLevel="2" x14ac:dyDescent="0.35">
      <c r="B86" s="487"/>
      <c r="C86" s="490"/>
      <c r="D86" s="250" t="s">
        <v>153</v>
      </c>
      <c r="E86" s="219">
        <v>28</v>
      </c>
      <c r="F86" s="219">
        <v>27</v>
      </c>
      <c r="G86" s="219">
        <v>33033158.410000008</v>
      </c>
      <c r="H86" s="219">
        <v>15081961.41</v>
      </c>
      <c r="I86" s="219">
        <v>7477005.0599999996</v>
      </c>
      <c r="J86" s="321">
        <v>1886939.4700000002</v>
      </c>
    </row>
    <row r="87" spans="2:11" hidden="1" outlineLevel="2" x14ac:dyDescent="0.35">
      <c r="B87" s="487"/>
      <c r="C87" s="490"/>
      <c r="D87" s="250" t="s">
        <v>152</v>
      </c>
      <c r="E87" s="219">
        <v>5</v>
      </c>
      <c r="F87" s="219">
        <v>5</v>
      </c>
      <c r="G87" s="219">
        <v>6074920.5500000007</v>
      </c>
      <c r="H87" s="219">
        <v>1945287.5999999999</v>
      </c>
      <c r="I87" s="219">
        <v>489143</v>
      </c>
      <c r="J87" s="321">
        <v>430913.87</v>
      </c>
    </row>
    <row r="88" spans="2:11" hidden="1" outlineLevel="2" x14ac:dyDescent="0.35">
      <c r="B88" s="487"/>
      <c r="C88" s="490"/>
      <c r="D88" s="250" t="s">
        <v>151</v>
      </c>
      <c r="E88" s="219">
        <v>6</v>
      </c>
      <c r="F88" s="219">
        <v>6</v>
      </c>
      <c r="G88" s="219">
        <v>7465899.8999999994</v>
      </c>
      <c r="H88" s="219">
        <v>3127823.2899999996</v>
      </c>
      <c r="I88" s="219">
        <v>2089282.04</v>
      </c>
      <c r="J88" s="321">
        <v>504249.95999999996</v>
      </c>
    </row>
    <row r="89" spans="2:11" hidden="1" outlineLevel="2" x14ac:dyDescent="0.35">
      <c r="B89" s="487"/>
      <c r="C89" s="490"/>
      <c r="D89" s="250" t="s">
        <v>150</v>
      </c>
      <c r="E89" s="219">
        <v>2</v>
      </c>
      <c r="F89" s="219">
        <v>2</v>
      </c>
      <c r="G89" s="219">
        <v>5246300</v>
      </c>
      <c r="H89" s="219">
        <v>1101723</v>
      </c>
      <c r="I89" s="219">
        <v>0</v>
      </c>
      <c r="J89" s="321">
        <v>16909.77</v>
      </c>
    </row>
    <row r="90" spans="2:11" outlineLevel="1" collapsed="1" x14ac:dyDescent="0.35">
      <c r="B90" s="487"/>
      <c r="C90" s="490"/>
      <c r="D90" s="251" t="s">
        <v>149</v>
      </c>
      <c r="E90" s="219">
        <f t="shared" ref="E90:J90" si="14">SUM(E91:E93)</f>
        <v>25</v>
      </c>
      <c r="F90" s="219">
        <f t="shared" si="14"/>
        <v>22</v>
      </c>
      <c r="G90" s="219">
        <f t="shared" si="14"/>
        <v>76303906.850000009</v>
      </c>
      <c r="H90" s="219">
        <f t="shared" si="14"/>
        <v>22020796.789999999</v>
      </c>
      <c r="I90" s="219">
        <f t="shared" si="14"/>
        <v>16415517.41</v>
      </c>
      <c r="J90" s="321">
        <f t="shared" si="14"/>
        <v>4791703.4800000004</v>
      </c>
    </row>
    <row r="91" spans="2:11" hidden="1" outlineLevel="2" x14ac:dyDescent="0.35">
      <c r="B91" s="487"/>
      <c r="C91" s="490"/>
      <c r="D91" s="250" t="s">
        <v>148</v>
      </c>
      <c r="E91" s="219">
        <v>5</v>
      </c>
      <c r="F91" s="219">
        <v>5</v>
      </c>
      <c r="G91" s="219">
        <v>14101233.549999999</v>
      </c>
      <c r="H91" s="219">
        <v>4230370.08</v>
      </c>
      <c r="I91" s="219">
        <v>3587888.95</v>
      </c>
      <c r="J91" s="321">
        <v>1183034.6299999999</v>
      </c>
    </row>
    <row r="92" spans="2:11" hidden="1" outlineLevel="2" x14ac:dyDescent="0.35">
      <c r="B92" s="487"/>
      <c r="C92" s="490"/>
      <c r="D92" s="250" t="s">
        <v>147</v>
      </c>
      <c r="E92" s="219">
        <v>5</v>
      </c>
      <c r="F92" s="219">
        <v>5</v>
      </c>
      <c r="G92" s="219">
        <v>11032477.4</v>
      </c>
      <c r="H92" s="219">
        <v>2888082.19</v>
      </c>
      <c r="I92" s="219">
        <v>4515007.93</v>
      </c>
      <c r="J92" s="321">
        <v>342789.66000000003</v>
      </c>
    </row>
    <row r="93" spans="2:11" hidden="1" outlineLevel="2" x14ac:dyDescent="0.35">
      <c r="B93" s="487"/>
      <c r="C93" s="490"/>
      <c r="D93" s="250" t="s">
        <v>146</v>
      </c>
      <c r="E93" s="219">
        <v>15</v>
      </c>
      <c r="F93" s="219">
        <v>12</v>
      </c>
      <c r="G93" s="219">
        <v>51170195.900000006</v>
      </c>
      <c r="H93" s="219">
        <v>14902344.52</v>
      </c>
      <c r="I93" s="219">
        <v>8312620.5299999993</v>
      </c>
      <c r="J93" s="321">
        <v>3265879.19</v>
      </c>
      <c r="K93" s="302"/>
    </row>
    <row r="94" spans="2:11" outlineLevel="1" collapsed="1" x14ac:dyDescent="0.35">
      <c r="B94" s="487"/>
      <c r="C94" s="490"/>
      <c r="D94" s="324" t="s">
        <v>133</v>
      </c>
      <c r="E94" s="219">
        <v>2</v>
      </c>
      <c r="F94" s="219">
        <v>2</v>
      </c>
      <c r="G94" s="219">
        <v>10213977.449999999</v>
      </c>
      <c r="H94" s="219">
        <v>1394261.99</v>
      </c>
      <c r="I94" s="219">
        <v>1019990</v>
      </c>
      <c r="J94" s="321">
        <v>131631.49</v>
      </c>
    </row>
    <row r="95" spans="2:11" outlineLevel="1" x14ac:dyDescent="0.35">
      <c r="B95" s="487"/>
      <c r="C95" s="490"/>
      <c r="D95" s="236" t="s">
        <v>140</v>
      </c>
      <c r="E95" s="275">
        <v>14</v>
      </c>
      <c r="F95" s="275">
        <v>14</v>
      </c>
      <c r="G95" s="275">
        <v>122136827.5</v>
      </c>
      <c r="H95" s="275">
        <v>42877620.050000004</v>
      </c>
      <c r="I95" s="275">
        <v>18319771.420000002</v>
      </c>
      <c r="J95" s="323">
        <v>1096616.5</v>
      </c>
    </row>
    <row r="96" spans="2:11" outlineLevel="1" x14ac:dyDescent="0.35">
      <c r="B96" s="487"/>
      <c r="C96" s="490"/>
      <c r="D96" s="236" t="s">
        <v>139</v>
      </c>
      <c r="E96" s="275">
        <v>0</v>
      </c>
      <c r="F96" s="275">
        <v>0</v>
      </c>
      <c r="G96" s="275">
        <v>0</v>
      </c>
      <c r="H96" s="275">
        <v>0</v>
      </c>
      <c r="I96" s="275">
        <v>0</v>
      </c>
      <c r="J96" s="323">
        <v>0</v>
      </c>
    </row>
    <row r="97" spans="2:10" outlineLevel="1" x14ac:dyDescent="0.35">
      <c r="B97" s="487"/>
      <c r="C97" s="490"/>
      <c r="D97" s="236" t="s">
        <v>138</v>
      </c>
      <c r="E97" s="275">
        <f t="shared" ref="E97:J97" si="15">SUM(E98:E101)</f>
        <v>73</v>
      </c>
      <c r="F97" s="275">
        <f t="shared" si="15"/>
        <v>67</v>
      </c>
      <c r="G97" s="275">
        <f t="shared" si="15"/>
        <v>89397263.900000021</v>
      </c>
      <c r="H97" s="275">
        <f t="shared" si="15"/>
        <v>27182332.140000001</v>
      </c>
      <c r="I97" s="275">
        <f t="shared" si="15"/>
        <v>12275668.780000001</v>
      </c>
      <c r="J97" s="323">
        <f t="shared" si="15"/>
        <v>5266306.67</v>
      </c>
    </row>
    <row r="98" spans="2:10" hidden="1" outlineLevel="2" x14ac:dyDescent="0.35">
      <c r="B98" s="487"/>
      <c r="C98" s="490"/>
      <c r="D98" s="242" t="s">
        <v>137</v>
      </c>
      <c r="E98" s="275">
        <v>34</v>
      </c>
      <c r="F98" s="275">
        <v>28</v>
      </c>
      <c r="G98" s="275">
        <v>37970296.20000001</v>
      </c>
      <c r="H98" s="275">
        <v>12094113.700000003</v>
      </c>
      <c r="I98" s="275">
        <v>3916329.7</v>
      </c>
      <c r="J98" s="323">
        <v>2289979.4299999997</v>
      </c>
    </row>
    <row r="99" spans="2:10" hidden="1" outlineLevel="2" x14ac:dyDescent="0.35">
      <c r="B99" s="487"/>
      <c r="C99" s="490"/>
      <c r="D99" s="242" t="s">
        <v>136</v>
      </c>
      <c r="E99" s="275">
        <v>14</v>
      </c>
      <c r="F99" s="275">
        <v>14</v>
      </c>
      <c r="G99" s="275">
        <v>18109579.500000004</v>
      </c>
      <c r="H99" s="275">
        <v>5093001.9000000004</v>
      </c>
      <c r="I99" s="275">
        <v>3301898.45</v>
      </c>
      <c r="J99" s="323">
        <v>976714.99</v>
      </c>
    </row>
    <row r="100" spans="2:10" hidden="1" outlineLevel="2" x14ac:dyDescent="0.35">
      <c r="B100" s="487"/>
      <c r="C100" s="490"/>
      <c r="D100" s="242" t="s">
        <v>135</v>
      </c>
      <c r="E100" s="275">
        <v>19</v>
      </c>
      <c r="F100" s="275">
        <v>19</v>
      </c>
      <c r="G100" s="275">
        <v>23463893.899999999</v>
      </c>
      <c r="H100" s="275">
        <v>7039168.2199999997</v>
      </c>
      <c r="I100" s="275">
        <v>1331183.92</v>
      </c>
      <c r="J100" s="323">
        <v>1436406.1900000002</v>
      </c>
    </row>
    <row r="101" spans="2:10" hidden="1" outlineLevel="2" x14ac:dyDescent="0.35">
      <c r="B101" s="487"/>
      <c r="C101" s="490"/>
      <c r="D101" s="242" t="s">
        <v>134</v>
      </c>
      <c r="E101" s="275">
        <v>6</v>
      </c>
      <c r="F101" s="275">
        <v>6</v>
      </c>
      <c r="G101" s="275">
        <v>9853494.2999999989</v>
      </c>
      <c r="H101" s="275">
        <v>2956048.32</v>
      </c>
      <c r="I101" s="275">
        <v>3726256.7100000004</v>
      </c>
      <c r="J101" s="323">
        <v>563206.05999999994</v>
      </c>
    </row>
    <row r="102" spans="2:10" outlineLevel="1" collapsed="1" x14ac:dyDescent="0.35">
      <c r="B102" s="487"/>
      <c r="C102" s="490"/>
      <c r="D102" s="236" t="s">
        <v>132</v>
      </c>
      <c r="E102" s="275">
        <f t="shared" ref="E102:J102" si="16">SUM(E103:E106)</f>
        <v>78</v>
      </c>
      <c r="F102" s="275">
        <f t="shared" si="16"/>
        <v>77</v>
      </c>
      <c r="G102" s="275">
        <f t="shared" si="16"/>
        <v>156199174.63000003</v>
      </c>
      <c r="H102" s="275">
        <f t="shared" si="16"/>
        <v>43062951.240000002</v>
      </c>
      <c r="I102" s="275">
        <f t="shared" si="16"/>
        <v>32293464.25</v>
      </c>
      <c r="J102" s="323">
        <f t="shared" si="16"/>
        <v>7207969.5699999975</v>
      </c>
    </row>
    <row r="103" spans="2:10" hidden="1" outlineLevel="2" x14ac:dyDescent="0.35">
      <c r="B103" s="487"/>
      <c r="C103" s="490"/>
      <c r="D103" s="242" t="s">
        <v>131</v>
      </c>
      <c r="E103" s="275">
        <v>63</v>
      </c>
      <c r="F103" s="275">
        <v>62</v>
      </c>
      <c r="G103" s="275">
        <v>117552540.75000003</v>
      </c>
      <c r="H103" s="275">
        <v>35126901.460000008</v>
      </c>
      <c r="I103" s="275">
        <v>17302061.199999999</v>
      </c>
      <c r="J103" s="323">
        <v>6224748.9099999974</v>
      </c>
    </row>
    <row r="104" spans="2:10" hidden="1" outlineLevel="2" x14ac:dyDescent="0.35">
      <c r="B104" s="487"/>
      <c r="C104" s="490"/>
      <c r="D104" s="242" t="s">
        <v>130</v>
      </c>
      <c r="E104" s="275">
        <v>2</v>
      </c>
      <c r="F104" s="275">
        <v>2</v>
      </c>
      <c r="G104" s="275">
        <v>4514678.08</v>
      </c>
      <c r="H104" s="275">
        <v>902935.62</v>
      </c>
      <c r="I104" s="275">
        <v>1797822.35</v>
      </c>
      <c r="J104" s="323">
        <v>131892.53</v>
      </c>
    </row>
    <row r="105" spans="2:10" hidden="1" outlineLevel="2" x14ac:dyDescent="0.35">
      <c r="B105" s="487"/>
      <c r="C105" s="490"/>
      <c r="D105" s="242" t="s">
        <v>129</v>
      </c>
      <c r="E105" s="275">
        <v>8</v>
      </c>
      <c r="F105" s="275">
        <v>8</v>
      </c>
      <c r="G105" s="275">
        <v>23166316.099999998</v>
      </c>
      <c r="H105" s="275">
        <v>5067047.9400000004</v>
      </c>
      <c r="I105" s="275">
        <v>6958283.7000000002</v>
      </c>
      <c r="J105" s="323">
        <v>355723.74000000005</v>
      </c>
    </row>
    <row r="106" spans="2:10" hidden="1" outlineLevel="2" x14ac:dyDescent="0.35">
      <c r="B106" s="487"/>
      <c r="C106" s="490"/>
      <c r="D106" s="242" t="s">
        <v>128</v>
      </c>
      <c r="E106" s="275">
        <v>5</v>
      </c>
      <c r="F106" s="275">
        <v>5</v>
      </c>
      <c r="G106" s="275">
        <v>10965639.699999999</v>
      </c>
      <c r="H106" s="275">
        <v>1966066.22</v>
      </c>
      <c r="I106" s="275">
        <v>6235297</v>
      </c>
      <c r="J106" s="323">
        <v>495604.39</v>
      </c>
    </row>
    <row r="107" spans="2:10" outlineLevel="1" collapsed="1" x14ac:dyDescent="0.35">
      <c r="B107" s="487"/>
      <c r="C107" s="490"/>
      <c r="D107" s="236" t="s">
        <v>41</v>
      </c>
      <c r="E107" s="275">
        <v>1</v>
      </c>
      <c r="F107" s="275">
        <v>1</v>
      </c>
      <c r="G107" s="275">
        <v>2943737</v>
      </c>
      <c r="H107" s="275">
        <v>588747.4</v>
      </c>
      <c r="I107" s="275">
        <v>3771384.6799999997</v>
      </c>
      <c r="J107" s="323">
        <v>241502.85</v>
      </c>
    </row>
    <row r="108" spans="2:10" x14ac:dyDescent="0.35">
      <c r="B108" s="488"/>
      <c r="C108" s="491"/>
      <c r="D108" s="213" t="s">
        <v>251</v>
      </c>
      <c r="E108" s="295">
        <f t="shared" ref="E108:J108" si="17">SUM(E102,E107,E97,E96,E94,E90,E81,E77,E95)</f>
        <v>338</v>
      </c>
      <c r="F108" s="295">
        <f t="shared" si="17"/>
        <v>307</v>
      </c>
      <c r="G108" s="295">
        <f t="shared" si="17"/>
        <v>741492767.32000005</v>
      </c>
      <c r="H108" s="295">
        <f t="shared" si="17"/>
        <v>272546555.68000001</v>
      </c>
      <c r="I108" s="294">
        <f t="shared" si="17"/>
        <v>142712010.17000002</v>
      </c>
      <c r="J108" s="293">
        <f t="shared" si="17"/>
        <v>39108661.099999994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75">
        <v>4</v>
      </c>
      <c r="F109" s="275">
        <v>4</v>
      </c>
      <c r="G109" s="275">
        <v>9165213.9499999993</v>
      </c>
      <c r="H109" s="275">
        <v>1833042.82</v>
      </c>
      <c r="I109" s="275">
        <v>1457355.6400000001</v>
      </c>
      <c r="J109" s="323">
        <v>122963.68</v>
      </c>
    </row>
    <row r="110" spans="2:10" outlineLevel="1" x14ac:dyDescent="0.35">
      <c r="B110" s="487"/>
      <c r="C110" s="490"/>
      <c r="D110" s="236" t="s">
        <v>122</v>
      </c>
      <c r="E110" s="275">
        <v>5</v>
      </c>
      <c r="F110" s="275">
        <v>5</v>
      </c>
      <c r="G110" s="275">
        <v>11663100.5</v>
      </c>
      <c r="H110" s="275">
        <v>2332620.12</v>
      </c>
      <c r="I110" s="275">
        <v>800657.41999999993</v>
      </c>
      <c r="J110" s="323">
        <v>785463.39</v>
      </c>
    </row>
    <row r="111" spans="2:10" outlineLevel="1" x14ac:dyDescent="0.35">
      <c r="B111" s="487"/>
      <c r="C111" s="490"/>
      <c r="D111" s="236" t="s">
        <v>48</v>
      </c>
      <c r="E111" s="275">
        <v>6</v>
      </c>
      <c r="F111" s="275">
        <v>6</v>
      </c>
      <c r="G111" s="275">
        <v>13226430.050000003</v>
      </c>
      <c r="H111" s="275">
        <v>2645286.0099999998</v>
      </c>
      <c r="I111" s="275">
        <v>0</v>
      </c>
      <c r="J111" s="323">
        <v>462780.04000000004</v>
      </c>
    </row>
    <row r="112" spans="2:10" outlineLevel="1" x14ac:dyDescent="0.35">
      <c r="B112" s="487"/>
      <c r="C112" s="490"/>
      <c r="D112" s="236" t="s">
        <v>47</v>
      </c>
      <c r="E112" s="275">
        <v>12</v>
      </c>
      <c r="F112" s="275">
        <v>12</v>
      </c>
      <c r="G112" s="275">
        <v>24624183.799999997</v>
      </c>
      <c r="H112" s="275">
        <v>4924836.78</v>
      </c>
      <c r="I112" s="275">
        <v>2094405.8</v>
      </c>
      <c r="J112" s="323">
        <v>1372485.05</v>
      </c>
    </row>
    <row r="113" spans="2:10" outlineLevel="1" x14ac:dyDescent="0.35">
      <c r="B113" s="487"/>
      <c r="C113" s="490"/>
      <c r="D113" s="236" t="s">
        <v>40</v>
      </c>
      <c r="E113" s="275">
        <v>28</v>
      </c>
      <c r="F113" s="275">
        <v>28</v>
      </c>
      <c r="G113" s="275">
        <v>59541857.039999999</v>
      </c>
      <c r="H113" s="275">
        <v>11908371.419999998</v>
      </c>
      <c r="I113" s="275">
        <v>4922308.7300000004</v>
      </c>
      <c r="J113" s="323">
        <v>85455.349999999991</v>
      </c>
    </row>
    <row r="114" spans="2:10" outlineLevel="1" x14ac:dyDescent="0.35">
      <c r="B114" s="487"/>
      <c r="C114" s="490"/>
      <c r="D114" s="236" t="s">
        <v>39</v>
      </c>
      <c r="E114" s="275">
        <v>14</v>
      </c>
      <c r="F114" s="275">
        <v>13</v>
      </c>
      <c r="G114" s="275">
        <v>29744638.799999997</v>
      </c>
      <c r="H114" s="275">
        <v>5948927.7599999988</v>
      </c>
      <c r="I114" s="275">
        <v>4460030.49</v>
      </c>
      <c r="J114" s="323">
        <v>198168.07</v>
      </c>
    </row>
    <row r="115" spans="2:10" outlineLevel="1" x14ac:dyDescent="0.35">
      <c r="B115" s="487"/>
      <c r="C115" s="490"/>
      <c r="D115" s="236" t="s">
        <v>38</v>
      </c>
      <c r="E115" s="275">
        <v>3</v>
      </c>
      <c r="F115" s="275">
        <v>2</v>
      </c>
      <c r="G115" s="275">
        <v>22264705</v>
      </c>
      <c r="H115" s="275">
        <v>4675588.0500000007</v>
      </c>
      <c r="I115" s="275">
        <v>5730114.0599999996</v>
      </c>
      <c r="J115" s="323">
        <v>199136.6</v>
      </c>
    </row>
    <row r="116" spans="2:10" x14ac:dyDescent="0.35">
      <c r="B116" s="488"/>
      <c r="C116" s="491"/>
      <c r="D116" s="213" t="s">
        <v>248</v>
      </c>
      <c r="E116" s="295">
        <f t="shared" ref="E116:J116" si="18">SUM(E109:E115)</f>
        <v>72</v>
      </c>
      <c r="F116" s="295">
        <f t="shared" si="18"/>
        <v>70</v>
      </c>
      <c r="G116" s="295">
        <f t="shared" si="18"/>
        <v>170230129.13999999</v>
      </c>
      <c r="H116" s="295">
        <f t="shared" si="18"/>
        <v>34268672.959999993</v>
      </c>
      <c r="I116" s="294">
        <f t="shared" si="18"/>
        <v>19464872.140000001</v>
      </c>
      <c r="J116" s="293">
        <f t="shared" si="18"/>
        <v>3226452.18</v>
      </c>
    </row>
    <row r="117" spans="2:10" outlineLevel="1" x14ac:dyDescent="0.35">
      <c r="B117" s="487" t="s">
        <v>247</v>
      </c>
      <c r="C117" s="490" t="s">
        <v>246</v>
      </c>
      <c r="D117" s="236" t="s">
        <v>36</v>
      </c>
      <c r="E117" s="275">
        <v>0</v>
      </c>
      <c r="F117" s="275">
        <v>0</v>
      </c>
      <c r="G117" s="275">
        <v>0</v>
      </c>
      <c r="H117" s="275">
        <v>0</v>
      </c>
      <c r="I117" s="275">
        <v>1394293.8</v>
      </c>
      <c r="J117" s="323">
        <v>0</v>
      </c>
    </row>
    <row r="118" spans="2:10" outlineLevel="1" x14ac:dyDescent="0.35">
      <c r="B118" s="487"/>
      <c r="C118" s="490"/>
      <c r="D118" s="236" t="s">
        <v>35</v>
      </c>
      <c r="E118" s="275">
        <v>0</v>
      </c>
      <c r="F118" s="275">
        <v>0</v>
      </c>
      <c r="G118" s="275">
        <v>0</v>
      </c>
      <c r="H118" s="275">
        <v>0</v>
      </c>
      <c r="I118" s="275">
        <v>1307735.6400000001</v>
      </c>
      <c r="J118" s="323">
        <v>0</v>
      </c>
    </row>
    <row r="119" spans="2:10" outlineLevel="1" x14ac:dyDescent="0.35">
      <c r="B119" s="487"/>
      <c r="C119" s="490"/>
      <c r="D119" s="236" t="s">
        <v>34</v>
      </c>
      <c r="E119" s="275">
        <v>0</v>
      </c>
      <c r="F119" s="275">
        <v>0</v>
      </c>
      <c r="G119" s="275">
        <v>0</v>
      </c>
      <c r="H119" s="275">
        <v>0</v>
      </c>
      <c r="I119" s="275">
        <v>0</v>
      </c>
      <c r="J119" s="323">
        <v>0</v>
      </c>
    </row>
    <row r="120" spans="2:10" outlineLevel="1" x14ac:dyDescent="0.35">
      <c r="B120" s="487"/>
      <c r="C120" s="490"/>
      <c r="D120" s="236" t="s">
        <v>33</v>
      </c>
      <c r="E120" s="275">
        <v>0</v>
      </c>
      <c r="F120" s="275">
        <v>0</v>
      </c>
      <c r="G120" s="275">
        <v>0</v>
      </c>
      <c r="H120" s="275">
        <v>0</v>
      </c>
      <c r="I120" s="275">
        <v>0</v>
      </c>
      <c r="J120" s="323">
        <v>0</v>
      </c>
    </row>
    <row r="121" spans="2:10" x14ac:dyDescent="0.35">
      <c r="B121" s="488"/>
      <c r="C121" s="491"/>
      <c r="D121" s="213" t="s">
        <v>245</v>
      </c>
      <c r="E121" s="295">
        <f t="shared" ref="E121:J121" si="19">SUM(E117:E120)</f>
        <v>0</v>
      </c>
      <c r="F121" s="295">
        <f t="shared" si="19"/>
        <v>0</v>
      </c>
      <c r="G121" s="295">
        <f t="shared" si="19"/>
        <v>0</v>
      </c>
      <c r="H121" s="295">
        <f t="shared" si="19"/>
        <v>0</v>
      </c>
      <c r="I121" s="294">
        <f t="shared" si="19"/>
        <v>2702029.4400000004</v>
      </c>
      <c r="J121" s="293">
        <f t="shared" si="19"/>
        <v>0</v>
      </c>
    </row>
    <row r="122" spans="2:10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22"/>
    </row>
    <row r="123" spans="2:10" outlineLevel="1" x14ac:dyDescent="0.35">
      <c r="B123" s="492"/>
      <c r="C123" s="485"/>
      <c r="D123" s="225" t="s">
        <v>145</v>
      </c>
      <c r="E123" s="275">
        <f t="shared" ref="E123:J123" si="20">SUM(E124:E127)</f>
        <v>7</v>
      </c>
      <c r="F123" s="275">
        <f t="shared" si="20"/>
        <v>6</v>
      </c>
      <c r="G123" s="275">
        <f t="shared" si="20"/>
        <v>96936841.5</v>
      </c>
      <c r="H123" s="275">
        <f t="shared" si="20"/>
        <v>34407506.399999999</v>
      </c>
      <c r="I123" s="219">
        <f t="shared" si="20"/>
        <v>36092549.289999999</v>
      </c>
      <c r="J123" s="321">
        <f t="shared" si="20"/>
        <v>7952689.3100000005</v>
      </c>
    </row>
    <row r="124" spans="2:10" hidden="1" outlineLevel="2" x14ac:dyDescent="0.35">
      <c r="B124" s="492"/>
      <c r="C124" s="485"/>
      <c r="D124" s="222" t="s">
        <v>144</v>
      </c>
      <c r="E124" s="275">
        <v>6</v>
      </c>
      <c r="F124" s="275">
        <v>5</v>
      </c>
      <c r="G124" s="275">
        <v>79206625.5</v>
      </c>
      <c r="H124" s="275">
        <v>27315420</v>
      </c>
      <c r="I124" s="219">
        <v>14026243.75</v>
      </c>
      <c r="J124" s="321">
        <v>6179971.8300000001</v>
      </c>
    </row>
    <row r="125" spans="2:10" hidden="1" outlineLevel="2" x14ac:dyDescent="0.35">
      <c r="B125" s="492"/>
      <c r="C125" s="485"/>
      <c r="D125" s="223" t="s">
        <v>143</v>
      </c>
      <c r="E125" s="275">
        <v>1</v>
      </c>
      <c r="F125" s="275">
        <v>1</v>
      </c>
      <c r="G125" s="275">
        <v>17730216</v>
      </c>
      <c r="H125" s="275">
        <v>7092086.4000000004</v>
      </c>
      <c r="I125" s="219">
        <v>13992291.539999999</v>
      </c>
      <c r="J125" s="321">
        <v>1772717.48</v>
      </c>
    </row>
    <row r="126" spans="2:10" hidden="1" outlineLevel="2" x14ac:dyDescent="0.35">
      <c r="B126" s="492"/>
      <c r="C126" s="485"/>
      <c r="D126" s="223" t="s">
        <v>142</v>
      </c>
      <c r="E126" s="275">
        <v>0</v>
      </c>
      <c r="F126" s="275">
        <v>0</v>
      </c>
      <c r="G126" s="275">
        <v>0</v>
      </c>
      <c r="H126" s="275">
        <v>0</v>
      </c>
      <c r="I126" s="219">
        <v>8074014</v>
      </c>
      <c r="J126" s="321">
        <v>0</v>
      </c>
    </row>
    <row r="127" spans="2:10" hidden="1" outlineLevel="2" x14ac:dyDescent="0.35">
      <c r="B127" s="492"/>
      <c r="C127" s="485"/>
      <c r="D127" s="223" t="s">
        <v>141</v>
      </c>
      <c r="E127" s="275">
        <v>0</v>
      </c>
      <c r="F127" s="275">
        <v>0</v>
      </c>
      <c r="G127" s="275">
        <v>0</v>
      </c>
      <c r="H127" s="275">
        <v>0</v>
      </c>
      <c r="I127" s="219">
        <v>0</v>
      </c>
      <c r="J127" s="321">
        <v>0</v>
      </c>
    </row>
    <row r="128" spans="2:10" outlineLevel="1" collapsed="1" x14ac:dyDescent="0.35">
      <c r="B128" s="492"/>
      <c r="C128" s="485"/>
      <c r="D128" s="221" t="s">
        <v>121</v>
      </c>
      <c r="E128" s="275">
        <f t="shared" ref="E128:J128" si="21">SUM(E129:E162)</f>
        <v>110</v>
      </c>
      <c r="F128" s="275">
        <f t="shared" si="21"/>
        <v>107</v>
      </c>
      <c r="G128" s="275">
        <f t="shared" si="21"/>
        <v>204369270.77000001</v>
      </c>
      <c r="H128" s="275">
        <f t="shared" si="21"/>
        <v>73127077.800000012</v>
      </c>
      <c r="I128" s="219">
        <f t="shared" si="21"/>
        <v>25902965.02</v>
      </c>
      <c r="J128" s="321">
        <f t="shared" si="21"/>
        <v>13536395.460000001</v>
      </c>
    </row>
    <row r="129" spans="2:10" hidden="1" outlineLevel="2" x14ac:dyDescent="0.35">
      <c r="B129" s="492"/>
      <c r="C129" s="485"/>
      <c r="D129" s="224" t="s">
        <v>119</v>
      </c>
      <c r="E129" s="275">
        <v>3</v>
      </c>
      <c r="F129" s="275">
        <v>3</v>
      </c>
      <c r="G129" s="275">
        <v>5441204.9400000004</v>
      </c>
      <c r="H129" s="275">
        <v>1948745.6500000001</v>
      </c>
      <c r="I129" s="219">
        <v>0</v>
      </c>
      <c r="J129" s="321">
        <v>544116.19999999995</v>
      </c>
    </row>
    <row r="130" spans="2:10" hidden="1" outlineLevel="2" x14ac:dyDescent="0.35">
      <c r="B130" s="492"/>
      <c r="C130" s="485"/>
      <c r="D130" s="223" t="s">
        <v>118</v>
      </c>
      <c r="E130" s="275">
        <v>4</v>
      </c>
      <c r="F130" s="275">
        <v>4</v>
      </c>
      <c r="G130" s="275">
        <v>7184346.9799999995</v>
      </c>
      <c r="H130" s="275">
        <v>2651029.85</v>
      </c>
      <c r="I130" s="219">
        <v>4652212.38</v>
      </c>
      <c r="J130" s="321">
        <v>718296.28</v>
      </c>
    </row>
    <row r="131" spans="2:10" hidden="1" outlineLevel="2" x14ac:dyDescent="0.35">
      <c r="B131" s="492"/>
      <c r="C131" s="485"/>
      <c r="D131" s="223" t="s">
        <v>117</v>
      </c>
      <c r="E131" s="275">
        <v>1</v>
      </c>
      <c r="F131" s="275">
        <v>1</v>
      </c>
      <c r="G131" s="275">
        <v>1190269.94</v>
      </c>
      <c r="H131" s="275">
        <v>416594.47</v>
      </c>
      <c r="I131" s="219">
        <v>2119899.09</v>
      </c>
      <c r="J131" s="321">
        <v>148783.74</v>
      </c>
    </row>
    <row r="132" spans="2:10" hidden="1" outlineLevel="2" x14ac:dyDescent="0.35">
      <c r="B132" s="492"/>
      <c r="C132" s="485"/>
      <c r="D132" s="223" t="s">
        <v>116</v>
      </c>
      <c r="E132" s="275">
        <v>0</v>
      </c>
      <c r="F132" s="275">
        <v>0</v>
      </c>
      <c r="G132" s="275">
        <v>0</v>
      </c>
      <c r="H132" s="275">
        <v>0</v>
      </c>
      <c r="I132" s="219">
        <v>0</v>
      </c>
      <c r="J132" s="321">
        <v>0</v>
      </c>
    </row>
    <row r="133" spans="2:10" hidden="1" outlineLevel="2" x14ac:dyDescent="0.35">
      <c r="B133" s="492"/>
      <c r="C133" s="485"/>
      <c r="D133" s="224" t="s">
        <v>114</v>
      </c>
      <c r="E133" s="275">
        <v>5</v>
      </c>
      <c r="F133" s="275">
        <v>5</v>
      </c>
      <c r="G133" s="275">
        <v>9707286.9199999999</v>
      </c>
      <c r="H133" s="275">
        <v>3510893.59</v>
      </c>
      <c r="I133" s="219">
        <v>0</v>
      </c>
      <c r="J133" s="321">
        <v>497632.56</v>
      </c>
    </row>
    <row r="134" spans="2:10" hidden="1" outlineLevel="2" x14ac:dyDescent="0.35">
      <c r="B134" s="492"/>
      <c r="C134" s="485"/>
      <c r="D134" s="223" t="s">
        <v>113</v>
      </c>
      <c r="E134" s="275">
        <v>11</v>
      </c>
      <c r="F134" s="275">
        <v>10</v>
      </c>
      <c r="G134" s="275">
        <v>17086208.240000002</v>
      </c>
      <c r="H134" s="275">
        <v>6946530.7799999993</v>
      </c>
      <c r="I134" s="219">
        <v>0</v>
      </c>
      <c r="J134" s="321">
        <v>1079709.43</v>
      </c>
    </row>
    <row r="135" spans="2:10" hidden="1" outlineLevel="2" x14ac:dyDescent="0.35">
      <c r="B135" s="492"/>
      <c r="C135" s="485"/>
      <c r="D135" s="223" t="s">
        <v>112</v>
      </c>
      <c r="E135" s="275">
        <v>2</v>
      </c>
      <c r="F135" s="275">
        <v>2</v>
      </c>
      <c r="G135" s="275">
        <v>3940815.33</v>
      </c>
      <c r="H135" s="275">
        <v>1487833.22</v>
      </c>
      <c r="I135" s="219">
        <v>0</v>
      </c>
      <c r="J135" s="321">
        <v>92283.89</v>
      </c>
    </row>
    <row r="136" spans="2:10" hidden="1" outlineLevel="2" x14ac:dyDescent="0.35">
      <c r="B136" s="492"/>
      <c r="C136" s="485"/>
      <c r="D136" s="223" t="s">
        <v>111</v>
      </c>
      <c r="E136" s="275">
        <v>0</v>
      </c>
      <c r="F136" s="275">
        <v>0</v>
      </c>
      <c r="G136" s="275">
        <v>0</v>
      </c>
      <c r="H136" s="275">
        <v>0</v>
      </c>
      <c r="I136" s="219">
        <v>0</v>
      </c>
      <c r="J136" s="321">
        <v>0</v>
      </c>
    </row>
    <row r="137" spans="2:10" hidden="1" outlineLevel="2" x14ac:dyDescent="0.35">
      <c r="B137" s="492"/>
      <c r="C137" s="485"/>
      <c r="D137" s="222" t="s">
        <v>109</v>
      </c>
      <c r="E137" s="275">
        <v>5</v>
      </c>
      <c r="F137" s="275">
        <v>5</v>
      </c>
      <c r="G137" s="275">
        <v>7575841</v>
      </c>
      <c r="H137" s="275">
        <v>2656210.42</v>
      </c>
      <c r="I137" s="219">
        <v>1683365.53</v>
      </c>
      <c r="J137" s="321">
        <v>499905.56</v>
      </c>
    </row>
    <row r="138" spans="2:10" hidden="1" outlineLevel="2" x14ac:dyDescent="0.35">
      <c r="B138" s="492"/>
      <c r="C138" s="485"/>
      <c r="D138" s="222" t="s">
        <v>108</v>
      </c>
      <c r="E138" s="275">
        <v>7</v>
      </c>
      <c r="F138" s="275">
        <v>7</v>
      </c>
      <c r="G138" s="275">
        <v>9285391.5</v>
      </c>
      <c r="H138" s="275">
        <v>3714156.6</v>
      </c>
      <c r="I138" s="219">
        <v>1998732.6400000001</v>
      </c>
      <c r="J138" s="321">
        <v>797946.5199999999</v>
      </c>
    </row>
    <row r="139" spans="2:10" hidden="1" outlineLevel="2" x14ac:dyDescent="0.35">
      <c r="B139" s="492"/>
      <c r="C139" s="485"/>
      <c r="D139" s="222" t="s">
        <v>107</v>
      </c>
      <c r="E139" s="275">
        <v>5</v>
      </c>
      <c r="F139" s="275">
        <v>5</v>
      </c>
      <c r="G139" s="275">
        <v>8109400.4400000013</v>
      </c>
      <c r="H139" s="275">
        <v>3006667.1799999997</v>
      </c>
      <c r="I139" s="219">
        <v>987246.09000000008</v>
      </c>
      <c r="J139" s="321">
        <v>417229.62</v>
      </c>
    </row>
    <row r="140" spans="2:10" hidden="1" outlineLevel="2" x14ac:dyDescent="0.35">
      <c r="B140" s="492"/>
      <c r="C140" s="485"/>
      <c r="D140" s="222" t="s">
        <v>106</v>
      </c>
      <c r="E140" s="275">
        <v>1</v>
      </c>
      <c r="F140" s="275">
        <v>1</v>
      </c>
      <c r="G140" s="275">
        <v>4228331.25</v>
      </c>
      <c r="H140" s="275">
        <v>1268499.3899999999</v>
      </c>
      <c r="I140" s="219">
        <v>1302312</v>
      </c>
      <c r="J140" s="321">
        <v>1750.77</v>
      </c>
    </row>
    <row r="141" spans="2:10" hidden="1" outlineLevel="2" x14ac:dyDescent="0.35">
      <c r="B141" s="492"/>
      <c r="C141" s="485"/>
      <c r="D141" s="222" t="s">
        <v>104</v>
      </c>
      <c r="E141" s="275">
        <v>3</v>
      </c>
      <c r="F141" s="275">
        <v>3</v>
      </c>
      <c r="G141" s="275">
        <v>4441927.7700000005</v>
      </c>
      <c r="H141" s="275">
        <v>1776771.1</v>
      </c>
      <c r="I141" s="219">
        <v>482585</v>
      </c>
      <c r="J141" s="321">
        <v>148051.01999999999</v>
      </c>
    </row>
    <row r="142" spans="2:10" hidden="1" outlineLevel="2" x14ac:dyDescent="0.35">
      <c r="B142" s="492"/>
      <c r="C142" s="485"/>
      <c r="D142" s="222" t="s">
        <v>103</v>
      </c>
      <c r="E142" s="275">
        <v>17</v>
      </c>
      <c r="F142" s="275">
        <v>17</v>
      </c>
      <c r="G142" s="275">
        <v>22800894.120000001</v>
      </c>
      <c r="H142" s="275">
        <v>8883875.0999999996</v>
      </c>
      <c r="I142" s="219">
        <v>1437858.37</v>
      </c>
      <c r="J142" s="321">
        <v>1260418.0500000003</v>
      </c>
    </row>
    <row r="143" spans="2:10" hidden="1" outlineLevel="2" x14ac:dyDescent="0.35">
      <c r="B143" s="492"/>
      <c r="C143" s="485"/>
      <c r="D143" s="222" t="s">
        <v>102</v>
      </c>
      <c r="E143" s="275">
        <v>9</v>
      </c>
      <c r="F143" s="275">
        <v>8</v>
      </c>
      <c r="G143" s="275">
        <v>12901352.290000001</v>
      </c>
      <c r="H143" s="275">
        <v>4996596.32</v>
      </c>
      <c r="I143" s="219">
        <v>0</v>
      </c>
      <c r="J143" s="321">
        <v>879916.79</v>
      </c>
    </row>
    <row r="144" spans="2:10" hidden="1" outlineLevel="2" x14ac:dyDescent="0.35">
      <c r="B144" s="492"/>
      <c r="C144" s="485"/>
      <c r="D144" s="222" t="s">
        <v>101</v>
      </c>
      <c r="E144" s="275">
        <v>1</v>
      </c>
      <c r="F144" s="275">
        <v>1</v>
      </c>
      <c r="G144" s="275">
        <v>3874853.03</v>
      </c>
      <c r="H144" s="275">
        <v>1549941.21</v>
      </c>
      <c r="I144" s="219">
        <v>0</v>
      </c>
      <c r="J144" s="321">
        <v>217485.3</v>
      </c>
    </row>
    <row r="145" spans="2:10" hidden="1" outlineLevel="2" x14ac:dyDescent="0.35">
      <c r="B145" s="492"/>
      <c r="C145" s="485"/>
      <c r="D145" s="223" t="s">
        <v>99</v>
      </c>
      <c r="E145" s="275">
        <v>6</v>
      </c>
      <c r="F145" s="275">
        <v>6</v>
      </c>
      <c r="G145" s="275">
        <v>11170113.859999999</v>
      </c>
      <c r="H145" s="275">
        <v>4037008.6799999997</v>
      </c>
      <c r="I145" s="219">
        <v>1135337.58</v>
      </c>
      <c r="J145" s="321">
        <v>567422.78</v>
      </c>
    </row>
    <row r="146" spans="2:10" hidden="1" outlineLevel="2" x14ac:dyDescent="0.35">
      <c r="B146" s="492"/>
      <c r="C146" s="485"/>
      <c r="D146" s="223" t="s">
        <v>98</v>
      </c>
      <c r="E146" s="275">
        <v>2</v>
      </c>
      <c r="F146" s="275">
        <v>2</v>
      </c>
      <c r="G146" s="275">
        <v>3233408.6</v>
      </c>
      <c r="H146" s="275">
        <v>1091759.71</v>
      </c>
      <c r="I146" s="219">
        <v>0</v>
      </c>
      <c r="J146" s="321">
        <v>258837.68</v>
      </c>
    </row>
    <row r="147" spans="2:10" hidden="1" outlineLevel="2" x14ac:dyDescent="0.35">
      <c r="B147" s="492"/>
      <c r="C147" s="485"/>
      <c r="D147" s="223" t="s">
        <v>97</v>
      </c>
      <c r="E147" s="275">
        <v>3</v>
      </c>
      <c r="F147" s="275">
        <v>3</v>
      </c>
      <c r="G147" s="275">
        <v>6190190.0899999999</v>
      </c>
      <c r="H147" s="275">
        <v>2476076.0499999998</v>
      </c>
      <c r="I147" s="219">
        <v>0</v>
      </c>
      <c r="J147" s="321">
        <v>524807.35</v>
      </c>
    </row>
    <row r="148" spans="2:10" hidden="1" outlineLevel="2" x14ac:dyDescent="0.35">
      <c r="B148" s="492"/>
      <c r="C148" s="485"/>
      <c r="D148" s="223" t="s">
        <v>96</v>
      </c>
      <c r="E148" s="275">
        <v>7</v>
      </c>
      <c r="F148" s="275">
        <v>7</v>
      </c>
      <c r="G148" s="275">
        <v>14690121.510000002</v>
      </c>
      <c r="H148" s="275">
        <v>5876048.6700000018</v>
      </c>
      <c r="I148" s="219">
        <v>671400</v>
      </c>
      <c r="J148" s="321">
        <v>535264.48</v>
      </c>
    </row>
    <row r="149" spans="2:10" hidden="1" outlineLevel="2" x14ac:dyDescent="0.35">
      <c r="B149" s="492"/>
      <c r="C149" s="485"/>
      <c r="D149" s="223" t="s">
        <v>94</v>
      </c>
      <c r="E149" s="275">
        <v>1</v>
      </c>
      <c r="F149" s="275">
        <v>1</v>
      </c>
      <c r="G149" s="275">
        <v>2203295.59</v>
      </c>
      <c r="H149" s="275">
        <v>881318.24</v>
      </c>
      <c r="I149" s="219">
        <v>3833192.8000000003</v>
      </c>
      <c r="J149" s="321">
        <v>159881</v>
      </c>
    </row>
    <row r="150" spans="2:10" hidden="1" outlineLevel="2" x14ac:dyDescent="0.35">
      <c r="B150" s="492"/>
      <c r="C150" s="485"/>
      <c r="D150" s="223" t="s">
        <v>93</v>
      </c>
      <c r="E150" s="275">
        <v>1</v>
      </c>
      <c r="F150" s="275">
        <v>1</v>
      </c>
      <c r="G150" s="275">
        <v>2016048</v>
      </c>
      <c r="H150" s="275">
        <v>604814.4</v>
      </c>
      <c r="I150" s="219">
        <v>423539</v>
      </c>
      <c r="J150" s="321">
        <v>201593.4</v>
      </c>
    </row>
    <row r="151" spans="2:10" hidden="1" outlineLevel="2" x14ac:dyDescent="0.35">
      <c r="B151" s="492"/>
      <c r="C151" s="485"/>
      <c r="D151" s="223" t="s">
        <v>92</v>
      </c>
      <c r="E151" s="275">
        <v>1</v>
      </c>
      <c r="F151" s="275">
        <v>1</v>
      </c>
      <c r="G151" s="275">
        <v>4954169.5</v>
      </c>
      <c r="H151" s="275">
        <v>1486250.85</v>
      </c>
      <c r="I151" s="219">
        <v>1417566.95</v>
      </c>
      <c r="J151" s="321">
        <v>494833.85</v>
      </c>
    </row>
    <row r="152" spans="2:10" hidden="1" outlineLevel="2" x14ac:dyDescent="0.35">
      <c r="B152" s="492"/>
      <c r="C152" s="485"/>
      <c r="D152" s="223" t="s">
        <v>91</v>
      </c>
      <c r="E152" s="275">
        <v>2</v>
      </c>
      <c r="F152" s="275">
        <v>2</v>
      </c>
      <c r="G152" s="275">
        <v>4150923</v>
      </c>
      <c r="H152" s="275">
        <v>1249859.97</v>
      </c>
      <c r="I152" s="219">
        <v>2484370.12</v>
      </c>
      <c r="J152" s="321">
        <v>29796.7</v>
      </c>
    </row>
    <row r="153" spans="2:10" hidden="1" outlineLevel="2" x14ac:dyDescent="0.35">
      <c r="B153" s="492"/>
      <c r="C153" s="485"/>
      <c r="D153" s="223" t="s">
        <v>89</v>
      </c>
      <c r="E153" s="275">
        <v>2</v>
      </c>
      <c r="F153" s="275">
        <v>2</v>
      </c>
      <c r="G153" s="275">
        <v>3618397.33</v>
      </c>
      <c r="H153" s="275">
        <v>1085519.19</v>
      </c>
      <c r="I153" s="219">
        <v>0</v>
      </c>
      <c r="J153" s="321">
        <v>327838.05000000005</v>
      </c>
    </row>
    <row r="154" spans="2:10" hidden="1" outlineLevel="2" x14ac:dyDescent="0.35">
      <c r="B154" s="492"/>
      <c r="C154" s="485"/>
      <c r="D154" s="223" t="s">
        <v>88</v>
      </c>
      <c r="E154" s="275">
        <v>3</v>
      </c>
      <c r="F154" s="275">
        <v>3</v>
      </c>
      <c r="G154" s="275">
        <v>14967991.849999998</v>
      </c>
      <c r="H154" s="275">
        <v>4490397.5599999996</v>
      </c>
      <c r="I154" s="219">
        <v>259535</v>
      </c>
      <c r="J154" s="321">
        <v>1496638.2999999998</v>
      </c>
    </row>
    <row r="155" spans="2:10" hidden="1" outlineLevel="2" x14ac:dyDescent="0.35">
      <c r="B155" s="492"/>
      <c r="C155" s="485"/>
      <c r="D155" s="223" t="s">
        <v>87</v>
      </c>
      <c r="E155" s="275">
        <v>1</v>
      </c>
      <c r="F155" s="275">
        <v>1</v>
      </c>
      <c r="G155" s="275">
        <v>2142039.62</v>
      </c>
      <c r="H155" s="275">
        <v>642611.88</v>
      </c>
      <c r="I155" s="219">
        <v>0</v>
      </c>
      <c r="J155" s="321">
        <v>160591.88</v>
      </c>
    </row>
    <row r="156" spans="2:10" hidden="1" outlineLevel="2" x14ac:dyDescent="0.35">
      <c r="B156" s="492"/>
      <c r="C156" s="485"/>
      <c r="D156" s="223" t="s">
        <v>86</v>
      </c>
      <c r="E156" s="275">
        <v>0</v>
      </c>
      <c r="F156" s="275">
        <v>0</v>
      </c>
      <c r="G156" s="275">
        <v>0</v>
      </c>
      <c r="H156" s="275">
        <v>0</v>
      </c>
      <c r="I156" s="219">
        <v>0</v>
      </c>
      <c r="J156" s="321">
        <v>0</v>
      </c>
    </row>
    <row r="157" spans="2:10" hidden="1" outlineLevel="2" x14ac:dyDescent="0.35">
      <c r="B157" s="492"/>
      <c r="C157" s="485"/>
      <c r="D157" s="223" t="s">
        <v>84</v>
      </c>
      <c r="E157" s="275">
        <v>1</v>
      </c>
      <c r="F157" s="275">
        <v>1</v>
      </c>
      <c r="G157" s="275">
        <v>2514899</v>
      </c>
      <c r="H157" s="275">
        <v>251489.9</v>
      </c>
      <c r="I157" s="219">
        <v>602958</v>
      </c>
      <c r="J157" s="321">
        <v>251489.9</v>
      </c>
    </row>
    <row r="158" spans="2:10" hidden="1" outlineLevel="2" x14ac:dyDescent="0.35">
      <c r="B158" s="492"/>
      <c r="C158" s="485"/>
      <c r="D158" s="223" t="s">
        <v>83</v>
      </c>
      <c r="E158" s="275">
        <v>3</v>
      </c>
      <c r="F158" s="275">
        <v>2</v>
      </c>
      <c r="G158" s="275">
        <v>8405943.6600000001</v>
      </c>
      <c r="H158" s="275">
        <v>2379274.08</v>
      </c>
      <c r="I158" s="219">
        <v>0</v>
      </c>
      <c r="J158" s="321">
        <v>699793.04</v>
      </c>
    </row>
    <row r="159" spans="2:10" hidden="1" outlineLevel="2" x14ac:dyDescent="0.35">
      <c r="B159" s="492"/>
      <c r="C159" s="485"/>
      <c r="D159" s="223" t="s">
        <v>82</v>
      </c>
      <c r="E159" s="275">
        <v>2</v>
      </c>
      <c r="F159" s="275">
        <v>2</v>
      </c>
      <c r="G159" s="275">
        <v>4915826.57</v>
      </c>
      <c r="H159" s="275">
        <v>1474747.98</v>
      </c>
      <c r="I159" s="219">
        <v>410854.47</v>
      </c>
      <c r="J159" s="321">
        <v>491581.32</v>
      </c>
    </row>
    <row r="160" spans="2:10" hidden="1" outlineLevel="2" x14ac:dyDescent="0.35">
      <c r="B160" s="492"/>
      <c r="C160" s="485"/>
      <c r="D160" s="223" t="s">
        <v>81</v>
      </c>
      <c r="E160" s="275">
        <v>1</v>
      </c>
      <c r="F160" s="275">
        <v>1</v>
      </c>
      <c r="G160" s="275">
        <v>1427778.84</v>
      </c>
      <c r="H160" s="275">
        <v>285555.76</v>
      </c>
      <c r="I160" s="219">
        <v>0</v>
      </c>
      <c r="J160" s="321">
        <v>32500</v>
      </c>
    </row>
    <row r="161" spans="2:11" hidden="1" outlineLevel="2" x14ac:dyDescent="0.35">
      <c r="B161" s="492"/>
      <c r="C161" s="485"/>
      <c r="D161" s="223" t="s">
        <v>79</v>
      </c>
      <c r="E161" s="275">
        <v>0</v>
      </c>
      <c r="F161" s="275">
        <v>0</v>
      </c>
      <c r="G161" s="275">
        <v>0</v>
      </c>
      <c r="H161" s="275">
        <v>0</v>
      </c>
      <c r="I161" s="219">
        <v>0</v>
      </c>
      <c r="J161" s="321">
        <v>0</v>
      </c>
    </row>
    <row r="162" spans="2:11" hidden="1" outlineLevel="2" x14ac:dyDescent="0.35">
      <c r="B162" s="492"/>
      <c r="C162" s="485"/>
      <c r="D162" s="223" t="s">
        <v>78</v>
      </c>
      <c r="E162" s="275">
        <v>0</v>
      </c>
      <c r="F162" s="275">
        <v>0</v>
      </c>
      <c r="G162" s="275">
        <v>0</v>
      </c>
      <c r="H162" s="275">
        <v>0</v>
      </c>
      <c r="I162" s="219">
        <v>0</v>
      </c>
      <c r="J162" s="321">
        <v>0</v>
      </c>
    </row>
    <row r="163" spans="2:11" outlineLevel="1" collapsed="1" x14ac:dyDescent="0.35">
      <c r="B163" s="492"/>
      <c r="C163" s="485"/>
      <c r="D163" s="221" t="s">
        <v>77</v>
      </c>
      <c r="E163" s="275">
        <f t="shared" ref="E163:J163" si="22">SUM(E164:E185)</f>
        <v>31</v>
      </c>
      <c r="F163" s="275">
        <f t="shared" si="22"/>
        <v>28</v>
      </c>
      <c r="G163" s="275">
        <f t="shared" si="22"/>
        <v>44726610.789999999</v>
      </c>
      <c r="H163" s="275">
        <f t="shared" si="22"/>
        <v>11979114.400000002</v>
      </c>
      <c r="I163" s="219">
        <f t="shared" si="22"/>
        <v>8850246.1899999995</v>
      </c>
      <c r="J163" s="321">
        <f t="shared" si="22"/>
        <v>2626914.02</v>
      </c>
    </row>
    <row r="164" spans="2:11" hidden="1" outlineLevel="2" x14ac:dyDescent="0.35">
      <c r="B164" s="492"/>
      <c r="C164" s="485"/>
      <c r="D164" s="222" t="s">
        <v>75</v>
      </c>
      <c r="E164" s="275">
        <v>0</v>
      </c>
      <c r="F164" s="275">
        <v>0</v>
      </c>
      <c r="G164" s="275">
        <v>0</v>
      </c>
      <c r="H164" s="275">
        <v>0</v>
      </c>
      <c r="I164" s="219">
        <v>418200</v>
      </c>
      <c r="J164" s="321">
        <v>0</v>
      </c>
    </row>
    <row r="165" spans="2:11" hidden="1" outlineLevel="2" x14ac:dyDescent="0.35">
      <c r="B165" s="492"/>
      <c r="C165" s="485"/>
      <c r="D165" s="222" t="s">
        <v>74</v>
      </c>
      <c r="E165" s="275">
        <v>1</v>
      </c>
      <c r="F165" s="275">
        <v>1</v>
      </c>
      <c r="G165" s="275">
        <v>1729448.18</v>
      </c>
      <c r="H165" s="275">
        <v>518834.46</v>
      </c>
      <c r="I165" s="219">
        <v>3107699.75</v>
      </c>
      <c r="J165" s="321">
        <v>172944.46</v>
      </c>
    </row>
    <row r="166" spans="2:11" hidden="1" outlineLevel="2" x14ac:dyDescent="0.35">
      <c r="B166" s="492"/>
      <c r="C166" s="485"/>
      <c r="D166" s="222" t="s">
        <v>73</v>
      </c>
      <c r="E166" s="275">
        <v>0</v>
      </c>
      <c r="F166" s="275">
        <v>0</v>
      </c>
      <c r="G166" s="275">
        <v>0</v>
      </c>
      <c r="H166" s="275">
        <v>0</v>
      </c>
      <c r="I166" s="219">
        <v>1084486.3700000001</v>
      </c>
      <c r="J166" s="321">
        <v>0</v>
      </c>
    </row>
    <row r="167" spans="2:11" hidden="1" outlineLevel="2" x14ac:dyDescent="0.35">
      <c r="B167" s="492"/>
      <c r="C167" s="485"/>
      <c r="D167" s="222" t="s">
        <v>72</v>
      </c>
      <c r="E167" s="275">
        <v>0</v>
      </c>
      <c r="F167" s="275">
        <v>0</v>
      </c>
      <c r="G167" s="275">
        <v>0</v>
      </c>
      <c r="H167" s="275">
        <v>0</v>
      </c>
      <c r="I167" s="219">
        <v>0</v>
      </c>
      <c r="J167" s="321">
        <v>0</v>
      </c>
    </row>
    <row r="168" spans="2:11" hidden="1" outlineLevel="2" x14ac:dyDescent="0.35">
      <c r="B168" s="492"/>
      <c r="C168" s="485"/>
      <c r="D168" s="222" t="s">
        <v>70</v>
      </c>
      <c r="E168" s="275">
        <v>0</v>
      </c>
      <c r="F168" s="275">
        <v>0</v>
      </c>
      <c r="G168" s="275">
        <v>0</v>
      </c>
      <c r="H168" s="275">
        <v>0</v>
      </c>
      <c r="I168" s="219">
        <v>556544.76</v>
      </c>
      <c r="J168" s="321">
        <v>0</v>
      </c>
    </row>
    <row r="169" spans="2:11" hidden="1" outlineLevel="2" x14ac:dyDescent="0.35">
      <c r="B169" s="492"/>
      <c r="C169" s="485"/>
      <c r="D169" s="222" t="s">
        <v>69</v>
      </c>
      <c r="E169" s="275">
        <v>1</v>
      </c>
      <c r="F169" s="275">
        <v>1</v>
      </c>
      <c r="G169" s="275">
        <v>1310915.07</v>
      </c>
      <c r="H169" s="275">
        <v>393274.53</v>
      </c>
      <c r="I169" s="219">
        <v>545147</v>
      </c>
      <c r="J169" s="321">
        <v>131091.51</v>
      </c>
      <c r="K169" s="302"/>
    </row>
    <row r="170" spans="2:11" hidden="1" outlineLevel="2" x14ac:dyDescent="0.35">
      <c r="B170" s="492"/>
      <c r="C170" s="485"/>
      <c r="D170" s="222" t="s">
        <v>68</v>
      </c>
      <c r="E170" s="275">
        <v>2</v>
      </c>
      <c r="F170" s="275">
        <v>2</v>
      </c>
      <c r="G170" s="275">
        <v>2894299.69</v>
      </c>
      <c r="H170" s="275">
        <v>868289.90999999992</v>
      </c>
      <c r="I170" s="219">
        <v>0</v>
      </c>
      <c r="J170" s="321">
        <v>40629.130000000005</v>
      </c>
    </row>
    <row r="171" spans="2:11" hidden="1" outlineLevel="2" x14ac:dyDescent="0.35">
      <c r="B171" s="492"/>
      <c r="C171" s="485"/>
      <c r="D171" s="222" t="s">
        <v>67</v>
      </c>
      <c r="E171" s="275">
        <v>0</v>
      </c>
      <c r="F171" s="275">
        <v>0</v>
      </c>
      <c r="G171" s="275">
        <v>0</v>
      </c>
      <c r="H171" s="275">
        <v>0</v>
      </c>
      <c r="I171" s="219">
        <v>0</v>
      </c>
      <c r="J171" s="321">
        <v>0</v>
      </c>
    </row>
    <row r="172" spans="2:11" hidden="1" outlineLevel="2" x14ac:dyDescent="0.35">
      <c r="B172" s="492"/>
      <c r="C172" s="485"/>
      <c r="D172" s="222" t="s">
        <v>65</v>
      </c>
      <c r="E172" s="275">
        <v>0</v>
      </c>
      <c r="F172" s="275">
        <v>0</v>
      </c>
      <c r="G172" s="275">
        <v>0</v>
      </c>
      <c r="H172" s="275">
        <v>0</v>
      </c>
      <c r="I172" s="219">
        <v>0</v>
      </c>
      <c r="J172" s="321">
        <v>0</v>
      </c>
    </row>
    <row r="173" spans="2:11" hidden="1" outlineLevel="2" x14ac:dyDescent="0.35">
      <c r="B173" s="492"/>
      <c r="C173" s="485"/>
      <c r="D173" s="222" t="s">
        <v>64</v>
      </c>
      <c r="E173" s="275">
        <v>7</v>
      </c>
      <c r="F173" s="275">
        <v>7</v>
      </c>
      <c r="G173" s="275">
        <v>10017987.18</v>
      </c>
      <c r="H173" s="275">
        <v>3005396.1500000004</v>
      </c>
      <c r="I173" s="219">
        <v>1601718.31</v>
      </c>
      <c r="J173" s="321">
        <v>239983.04</v>
      </c>
      <c r="K173" s="302"/>
    </row>
    <row r="174" spans="2:11" hidden="1" outlineLevel="2" x14ac:dyDescent="0.35">
      <c r="B174" s="492"/>
      <c r="C174" s="485"/>
      <c r="D174" s="222" t="s">
        <v>63</v>
      </c>
      <c r="E174" s="275">
        <v>0</v>
      </c>
      <c r="F174" s="275">
        <v>0</v>
      </c>
      <c r="G174" s="275">
        <v>0</v>
      </c>
      <c r="H174" s="275">
        <v>0</v>
      </c>
      <c r="I174" s="219">
        <v>144647</v>
      </c>
      <c r="J174" s="321">
        <v>0</v>
      </c>
    </row>
    <row r="175" spans="2:11" hidden="1" outlineLevel="2" x14ac:dyDescent="0.35">
      <c r="B175" s="492"/>
      <c r="C175" s="485"/>
      <c r="D175" s="222" t="s">
        <v>62</v>
      </c>
      <c r="E175" s="275">
        <v>0</v>
      </c>
      <c r="F175" s="275">
        <v>0</v>
      </c>
      <c r="G175" s="275">
        <v>0</v>
      </c>
      <c r="H175" s="275">
        <v>0</v>
      </c>
      <c r="I175" s="219">
        <v>0</v>
      </c>
      <c r="J175" s="321">
        <v>0</v>
      </c>
    </row>
    <row r="176" spans="2:11" hidden="1" outlineLevel="2" x14ac:dyDescent="0.35">
      <c r="B176" s="492"/>
      <c r="C176" s="485"/>
      <c r="D176" s="222" t="s">
        <v>60</v>
      </c>
      <c r="E176" s="275">
        <v>2</v>
      </c>
      <c r="F176" s="275">
        <v>1</v>
      </c>
      <c r="G176" s="275">
        <v>2854288.51</v>
      </c>
      <c r="H176" s="275">
        <v>570857.69999999995</v>
      </c>
      <c r="I176" s="219">
        <v>0</v>
      </c>
      <c r="J176" s="321">
        <v>285428.09999999998</v>
      </c>
      <c r="K176" s="302"/>
    </row>
    <row r="177" spans="2:11" hidden="1" outlineLevel="2" x14ac:dyDescent="0.35">
      <c r="B177" s="492"/>
      <c r="C177" s="485"/>
      <c r="D177" s="222" t="s">
        <v>59</v>
      </c>
      <c r="E177" s="275">
        <v>11</v>
      </c>
      <c r="F177" s="275">
        <v>9</v>
      </c>
      <c r="G177" s="275">
        <v>15788793.5</v>
      </c>
      <c r="H177" s="275">
        <v>4140208.1</v>
      </c>
      <c r="I177" s="219">
        <v>931513</v>
      </c>
      <c r="J177" s="321">
        <v>1191123.0200000003</v>
      </c>
      <c r="K177" s="302"/>
    </row>
    <row r="178" spans="2:11" hidden="1" outlineLevel="2" x14ac:dyDescent="0.35">
      <c r="B178" s="492"/>
      <c r="C178" s="485"/>
      <c r="D178" s="222" t="s">
        <v>58</v>
      </c>
      <c r="E178" s="275">
        <v>0</v>
      </c>
      <c r="F178" s="275">
        <v>0</v>
      </c>
      <c r="G178" s="275">
        <v>0</v>
      </c>
      <c r="H178" s="275">
        <v>0</v>
      </c>
      <c r="I178" s="219">
        <v>0</v>
      </c>
      <c r="J178" s="321">
        <v>0</v>
      </c>
    </row>
    <row r="179" spans="2:11" hidden="1" outlineLevel="2" x14ac:dyDescent="0.35">
      <c r="B179" s="492"/>
      <c r="C179" s="485"/>
      <c r="D179" s="222" t="s">
        <v>57</v>
      </c>
      <c r="E179" s="275">
        <v>0</v>
      </c>
      <c r="F179" s="275">
        <v>0</v>
      </c>
      <c r="G179" s="275">
        <v>0</v>
      </c>
      <c r="H179" s="275">
        <v>0</v>
      </c>
      <c r="I179" s="219">
        <v>0</v>
      </c>
      <c r="J179" s="321">
        <v>0</v>
      </c>
    </row>
    <row r="180" spans="2:11" hidden="1" outlineLevel="2" x14ac:dyDescent="0.35">
      <c r="B180" s="492"/>
      <c r="C180" s="485"/>
      <c r="D180" s="222" t="s">
        <v>55</v>
      </c>
      <c r="E180" s="275">
        <v>2</v>
      </c>
      <c r="F180" s="275">
        <v>2</v>
      </c>
      <c r="G180" s="275">
        <v>2856316.13</v>
      </c>
      <c r="H180" s="275">
        <v>714719.42999999993</v>
      </c>
      <c r="I180" s="219">
        <v>0</v>
      </c>
      <c r="J180" s="321">
        <v>104627.81999999999</v>
      </c>
      <c r="K180" s="302"/>
    </row>
    <row r="181" spans="2:11" hidden="1" outlineLevel="2" x14ac:dyDescent="0.35">
      <c r="B181" s="492"/>
      <c r="C181" s="485"/>
      <c r="D181" s="222" t="s">
        <v>54</v>
      </c>
      <c r="E181" s="275">
        <v>3</v>
      </c>
      <c r="F181" s="275">
        <v>3</v>
      </c>
      <c r="G181" s="275">
        <v>4493041.71</v>
      </c>
      <c r="H181" s="275">
        <v>1211229.96</v>
      </c>
      <c r="I181" s="219">
        <v>212550</v>
      </c>
      <c r="J181" s="321">
        <v>319952.59999999998</v>
      </c>
      <c r="K181" s="302"/>
    </row>
    <row r="182" spans="2:11" hidden="1" outlineLevel="2" x14ac:dyDescent="0.35">
      <c r="B182" s="492"/>
      <c r="C182" s="485"/>
      <c r="D182" s="222" t="s">
        <v>53</v>
      </c>
      <c r="E182" s="275">
        <v>0</v>
      </c>
      <c r="F182" s="275">
        <v>0</v>
      </c>
      <c r="G182" s="275">
        <v>0</v>
      </c>
      <c r="H182" s="275">
        <v>0</v>
      </c>
      <c r="I182" s="219">
        <v>0</v>
      </c>
      <c r="J182" s="321">
        <v>0</v>
      </c>
    </row>
    <row r="183" spans="2:11" hidden="1" outlineLevel="2" x14ac:dyDescent="0.35">
      <c r="B183" s="492"/>
      <c r="C183" s="485"/>
      <c r="D183" s="222" t="s">
        <v>52</v>
      </c>
      <c r="E183" s="275">
        <v>0</v>
      </c>
      <c r="F183" s="275">
        <v>0</v>
      </c>
      <c r="G183" s="275">
        <v>0</v>
      </c>
      <c r="H183" s="275">
        <v>0</v>
      </c>
      <c r="I183" s="219">
        <v>0</v>
      </c>
      <c r="J183" s="321">
        <v>0</v>
      </c>
    </row>
    <row r="184" spans="2:11" hidden="1" outlineLevel="2" x14ac:dyDescent="0.35">
      <c r="B184" s="492"/>
      <c r="C184" s="485"/>
      <c r="D184" s="222" t="s">
        <v>50</v>
      </c>
      <c r="E184" s="275">
        <v>1</v>
      </c>
      <c r="F184" s="275">
        <v>1</v>
      </c>
      <c r="G184" s="275">
        <v>1389733.8</v>
      </c>
      <c r="H184" s="275">
        <v>277946.76</v>
      </c>
      <c r="I184" s="219">
        <v>247740</v>
      </c>
      <c r="J184" s="321">
        <v>138955.94</v>
      </c>
    </row>
    <row r="185" spans="2:11" hidden="1" outlineLevel="2" x14ac:dyDescent="0.35">
      <c r="B185" s="492"/>
      <c r="C185" s="485"/>
      <c r="D185" s="222" t="s">
        <v>49</v>
      </c>
      <c r="E185" s="275">
        <v>1</v>
      </c>
      <c r="F185" s="275">
        <v>1</v>
      </c>
      <c r="G185" s="275">
        <v>1391787.02</v>
      </c>
      <c r="H185" s="275">
        <v>278357.40000000002</v>
      </c>
      <c r="I185" s="219">
        <v>0</v>
      </c>
      <c r="J185" s="321">
        <v>2178.4</v>
      </c>
    </row>
    <row r="186" spans="2:11" x14ac:dyDescent="0.35">
      <c r="B186" s="492"/>
      <c r="C186" s="485"/>
      <c r="D186" s="213" t="s">
        <v>243</v>
      </c>
      <c r="E186" s="295">
        <f t="shared" ref="E186:J186" si="23">SUM(E163,E128,E123)</f>
        <v>148</v>
      </c>
      <c r="F186" s="295">
        <f t="shared" si="23"/>
        <v>141</v>
      </c>
      <c r="G186" s="295">
        <f t="shared" si="23"/>
        <v>346032723.06</v>
      </c>
      <c r="H186" s="295">
        <f t="shared" si="23"/>
        <v>119513698.60000002</v>
      </c>
      <c r="I186" s="294">
        <f t="shared" si="23"/>
        <v>70845760.5</v>
      </c>
      <c r="J186" s="293">
        <f t="shared" si="23"/>
        <v>24115998.789999999</v>
      </c>
    </row>
    <row r="187" spans="2:11" outlineLevel="1" x14ac:dyDescent="0.35">
      <c r="B187" s="492" t="s">
        <v>242</v>
      </c>
      <c r="C187" s="485" t="s">
        <v>241</v>
      </c>
      <c r="D187" s="221" t="s">
        <v>240</v>
      </c>
      <c r="E187" s="275">
        <f t="shared" ref="E187:J187" si="24">SUM(E188:E190)</f>
        <v>23</v>
      </c>
      <c r="F187" s="275">
        <f t="shared" si="24"/>
        <v>21</v>
      </c>
      <c r="G187" s="275">
        <f t="shared" si="24"/>
        <v>31502921.18</v>
      </c>
      <c r="H187" s="275">
        <f t="shared" si="24"/>
        <v>9450876.3399999999</v>
      </c>
      <c r="I187" s="219">
        <f t="shared" si="24"/>
        <v>4512729.84</v>
      </c>
      <c r="J187" s="321">
        <f t="shared" si="24"/>
        <v>2244659.6800000002</v>
      </c>
    </row>
    <row r="188" spans="2:11" ht="15" hidden="1" customHeight="1" outlineLevel="2" x14ac:dyDescent="0.35">
      <c r="B188" s="492"/>
      <c r="C188" s="485"/>
      <c r="D188" s="222" t="s">
        <v>126</v>
      </c>
      <c r="E188" s="275">
        <v>11</v>
      </c>
      <c r="F188" s="275">
        <v>9</v>
      </c>
      <c r="G188" s="275">
        <v>14706609.469999999</v>
      </c>
      <c r="H188" s="275">
        <v>4411982.8299999991</v>
      </c>
      <c r="I188" s="219">
        <v>1697877.5100000002</v>
      </c>
      <c r="J188" s="321">
        <v>1282538.0400000003</v>
      </c>
    </row>
    <row r="189" spans="2:11" ht="15" hidden="1" customHeight="1" outlineLevel="2" x14ac:dyDescent="0.35">
      <c r="B189" s="492"/>
      <c r="C189" s="485"/>
      <c r="D189" s="222" t="s">
        <v>125</v>
      </c>
      <c r="E189" s="275">
        <v>7</v>
      </c>
      <c r="F189" s="275">
        <v>7</v>
      </c>
      <c r="G189" s="275">
        <v>9519833.1999999993</v>
      </c>
      <c r="H189" s="275">
        <v>2855949.95</v>
      </c>
      <c r="I189" s="219">
        <v>1387243</v>
      </c>
      <c r="J189" s="321">
        <v>613960.87999999989</v>
      </c>
    </row>
    <row r="190" spans="2:11" ht="15" hidden="1" customHeight="1" outlineLevel="2" x14ac:dyDescent="0.35">
      <c r="B190" s="492"/>
      <c r="C190" s="485"/>
      <c r="D190" s="222" t="s">
        <v>124</v>
      </c>
      <c r="E190" s="275">
        <v>5</v>
      </c>
      <c r="F190" s="275">
        <v>5</v>
      </c>
      <c r="G190" s="275">
        <v>7276478.5099999998</v>
      </c>
      <c r="H190" s="275">
        <v>2182943.56</v>
      </c>
      <c r="I190" s="219">
        <v>1427609.33</v>
      </c>
      <c r="J190" s="321">
        <v>348160.76</v>
      </c>
    </row>
    <row r="191" spans="2:11" outlineLevel="1" collapsed="1" x14ac:dyDescent="0.35">
      <c r="B191" s="492"/>
      <c r="C191" s="485"/>
      <c r="D191" s="221" t="s">
        <v>46</v>
      </c>
      <c r="E191" s="275">
        <f t="shared" ref="E191:J191" si="25">SUM(E192:E195)</f>
        <v>0</v>
      </c>
      <c r="F191" s="275">
        <f t="shared" si="25"/>
        <v>0</v>
      </c>
      <c r="G191" s="275">
        <f t="shared" si="25"/>
        <v>0</v>
      </c>
      <c r="H191" s="275">
        <f t="shared" si="25"/>
        <v>0</v>
      </c>
      <c r="I191" s="219">
        <f t="shared" si="25"/>
        <v>0</v>
      </c>
      <c r="J191" s="321">
        <f t="shared" si="25"/>
        <v>0</v>
      </c>
    </row>
    <row r="192" spans="2:11" ht="15" hidden="1" customHeight="1" outlineLevel="2" x14ac:dyDescent="0.35">
      <c r="B192" s="492"/>
      <c r="C192" s="485"/>
      <c r="D192" s="222" t="s">
        <v>45</v>
      </c>
      <c r="E192" s="275">
        <v>0</v>
      </c>
      <c r="F192" s="275">
        <v>0</v>
      </c>
      <c r="G192" s="275">
        <v>0</v>
      </c>
      <c r="H192" s="275">
        <v>0</v>
      </c>
      <c r="I192" s="219">
        <v>0</v>
      </c>
      <c r="J192" s="321">
        <v>0</v>
      </c>
    </row>
    <row r="193" spans="2:10" ht="15" hidden="1" customHeight="1" outlineLevel="2" x14ac:dyDescent="0.35">
      <c r="B193" s="492"/>
      <c r="C193" s="485"/>
      <c r="D193" s="222" t="s">
        <v>44</v>
      </c>
      <c r="E193" s="275">
        <v>0</v>
      </c>
      <c r="F193" s="275">
        <v>0</v>
      </c>
      <c r="G193" s="275">
        <v>0</v>
      </c>
      <c r="H193" s="275">
        <v>0</v>
      </c>
      <c r="I193" s="219">
        <v>0</v>
      </c>
      <c r="J193" s="321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75">
        <v>0</v>
      </c>
      <c r="F194" s="275">
        <v>0</v>
      </c>
      <c r="G194" s="275">
        <v>0</v>
      </c>
      <c r="H194" s="275">
        <v>0</v>
      </c>
      <c r="I194" s="219">
        <v>0</v>
      </c>
      <c r="J194" s="321">
        <v>0</v>
      </c>
    </row>
    <row r="195" spans="2:10" ht="15" hidden="1" customHeight="1" outlineLevel="2" x14ac:dyDescent="0.35">
      <c r="B195" s="492"/>
      <c r="C195" s="485"/>
      <c r="D195" s="222" t="s">
        <v>42</v>
      </c>
      <c r="E195" s="275">
        <v>0</v>
      </c>
      <c r="F195" s="275">
        <v>0</v>
      </c>
      <c r="G195" s="275">
        <v>0</v>
      </c>
      <c r="H195" s="275">
        <v>0</v>
      </c>
      <c r="I195" s="219">
        <v>0</v>
      </c>
      <c r="J195" s="321">
        <v>0</v>
      </c>
    </row>
    <row r="196" spans="2:10" x14ac:dyDescent="0.35">
      <c r="B196" s="493"/>
      <c r="C196" s="494"/>
      <c r="D196" s="213" t="s">
        <v>239</v>
      </c>
      <c r="E196" s="295">
        <f t="shared" ref="E196:J196" si="26">SUM(E191,E187)</f>
        <v>23</v>
      </c>
      <c r="F196" s="295">
        <f t="shared" si="26"/>
        <v>21</v>
      </c>
      <c r="G196" s="295">
        <f t="shared" si="26"/>
        <v>31502921.18</v>
      </c>
      <c r="H196" s="295">
        <f t="shared" si="26"/>
        <v>9450876.3399999999</v>
      </c>
      <c r="I196" s="294">
        <f t="shared" si="26"/>
        <v>4512729.84</v>
      </c>
      <c r="J196" s="293">
        <f t="shared" si="26"/>
        <v>2244659.6800000002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75">
        <f t="shared" ref="E197:J197" si="27">SUM(E198:E200)</f>
        <v>0</v>
      </c>
      <c r="F197" s="275">
        <f t="shared" si="27"/>
        <v>0</v>
      </c>
      <c r="G197" s="275">
        <f t="shared" si="27"/>
        <v>0</v>
      </c>
      <c r="H197" s="275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5" hidden="1" customHeight="1" outlineLevel="2" x14ac:dyDescent="0.35">
      <c r="B198" s="492"/>
      <c r="C198" s="485"/>
      <c r="D198" s="222" t="s">
        <v>31</v>
      </c>
      <c r="E198" s="275">
        <v>0</v>
      </c>
      <c r="F198" s="275">
        <v>0</v>
      </c>
      <c r="G198" s="275">
        <v>0</v>
      </c>
      <c r="H198" s="275">
        <v>0</v>
      </c>
      <c r="I198" s="219">
        <v>0</v>
      </c>
      <c r="J198" s="321">
        <v>0</v>
      </c>
    </row>
    <row r="199" spans="2:10" ht="15" hidden="1" customHeight="1" outlineLevel="2" x14ac:dyDescent="0.35">
      <c r="B199" s="492"/>
      <c r="C199" s="485"/>
      <c r="D199" s="222" t="s">
        <v>30</v>
      </c>
      <c r="E199" s="275">
        <v>0</v>
      </c>
      <c r="F199" s="275">
        <v>0</v>
      </c>
      <c r="G199" s="275">
        <v>0</v>
      </c>
      <c r="H199" s="275">
        <v>0</v>
      </c>
      <c r="I199" s="219">
        <v>0</v>
      </c>
      <c r="J199" s="321">
        <v>0</v>
      </c>
    </row>
    <row r="200" spans="2:10" ht="15" hidden="1" customHeight="1" outlineLevel="2" x14ac:dyDescent="0.35">
      <c r="B200" s="492"/>
      <c r="C200" s="485"/>
      <c r="D200" s="222" t="s">
        <v>29</v>
      </c>
      <c r="E200" s="275">
        <v>0</v>
      </c>
      <c r="F200" s="275">
        <v>0</v>
      </c>
      <c r="G200" s="275">
        <v>0</v>
      </c>
      <c r="H200" s="275">
        <v>0</v>
      </c>
      <c r="I200" s="219">
        <v>0</v>
      </c>
      <c r="J200" s="321">
        <v>0</v>
      </c>
    </row>
    <row r="201" spans="2:10" outlineLevel="1" collapsed="1" x14ac:dyDescent="0.35">
      <c r="B201" s="492"/>
      <c r="C201" s="485"/>
      <c r="D201" s="221" t="s">
        <v>28</v>
      </c>
      <c r="E201" s="275">
        <v>0</v>
      </c>
      <c r="F201" s="275">
        <v>0</v>
      </c>
      <c r="G201" s="275">
        <v>0</v>
      </c>
      <c r="H201" s="275">
        <v>0</v>
      </c>
      <c r="I201" s="219">
        <v>0</v>
      </c>
      <c r="J201" s="321">
        <v>0</v>
      </c>
    </row>
    <row r="202" spans="2:10" outlineLevel="1" x14ac:dyDescent="0.35">
      <c r="B202" s="492"/>
      <c r="C202" s="485"/>
      <c r="D202" s="221" t="s">
        <v>27</v>
      </c>
      <c r="E202" s="275">
        <v>0</v>
      </c>
      <c r="F202" s="275">
        <v>0</v>
      </c>
      <c r="G202" s="275">
        <v>0</v>
      </c>
      <c r="H202" s="275">
        <v>0</v>
      </c>
      <c r="I202" s="219">
        <v>0</v>
      </c>
      <c r="J202" s="321">
        <v>0</v>
      </c>
    </row>
    <row r="203" spans="2:10" x14ac:dyDescent="0.35">
      <c r="B203" s="493"/>
      <c r="C203" s="494"/>
      <c r="D203" s="213" t="s">
        <v>236</v>
      </c>
      <c r="E203" s="295">
        <f t="shared" ref="E203:J203" si="28">SUM(E202,E201,E197)</f>
        <v>0</v>
      </c>
      <c r="F203" s="295">
        <f t="shared" si="28"/>
        <v>0</v>
      </c>
      <c r="G203" s="295">
        <f t="shared" si="28"/>
        <v>0</v>
      </c>
      <c r="H203" s="295">
        <f t="shared" si="28"/>
        <v>0</v>
      </c>
      <c r="I203" s="294">
        <f t="shared" si="28"/>
        <v>0</v>
      </c>
      <c r="J203" s="293">
        <f t="shared" si="28"/>
        <v>0</v>
      </c>
    </row>
    <row r="204" spans="2:10" ht="15" thickBot="1" x14ac:dyDescent="0.4">
      <c r="B204" s="495" t="s">
        <v>235</v>
      </c>
      <c r="C204" s="496"/>
      <c r="D204" s="206" t="s">
        <v>15</v>
      </c>
      <c r="E204" s="292">
        <f t="shared" ref="E204:J204" si="29">SUM(E203,E186,E121,E108,E75,E41,E116,E196)</f>
        <v>973</v>
      </c>
      <c r="F204" s="292">
        <f t="shared" si="29"/>
        <v>901</v>
      </c>
      <c r="G204" s="292">
        <f t="shared" si="29"/>
        <v>2290490013.8699999</v>
      </c>
      <c r="H204" s="292">
        <f t="shared" si="29"/>
        <v>1021100977.9300002</v>
      </c>
      <c r="I204" s="292">
        <f t="shared" si="29"/>
        <v>557846305.25000012</v>
      </c>
      <c r="J204" s="320">
        <f t="shared" si="29"/>
        <v>126997447.78000002</v>
      </c>
    </row>
    <row r="205" spans="2:10" x14ac:dyDescent="0.35">
      <c r="J205" s="196"/>
    </row>
  </sheetData>
  <mergeCells count="23">
    <mergeCell ref="B187:B196"/>
    <mergeCell ref="C187:C196"/>
    <mergeCell ref="B197:B203"/>
    <mergeCell ref="C197:C203"/>
    <mergeCell ref="B204:C204"/>
    <mergeCell ref="H5:H6"/>
    <mergeCell ref="C122:C186"/>
    <mergeCell ref="B7:B41"/>
    <mergeCell ref="C7:C41"/>
    <mergeCell ref="B42:B75"/>
    <mergeCell ref="C42:C75"/>
    <mergeCell ref="B76:B108"/>
    <mergeCell ref="C76:C108"/>
    <mergeCell ref="B109:B116"/>
    <mergeCell ref="C109:C116"/>
    <mergeCell ref="B117:B121"/>
    <mergeCell ref="C117:C121"/>
    <mergeCell ref="B122:B186"/>
    <mergeCell ref="B5:C6"/>
    <mergeCell ref="D5:D6"/>
    <mergeCell ref="E5:E6"/>
    <mergeCell ref="F5:F6"/>
    <mergeCell ref="G5:G6"/>
  </mergeCells>
  <pageMargins left="0.70866141732283472" right="0.70866141732283472" top="0.74803149606299213" bottom="0.74803149606299213" header="0.31496062992125984" footer="0.31496062992125984"/>
  <pageSetup paperSize="8" scale="81" orientation="landscape" r:id="rId1"/>
  <headerFooter alignWithMargins="0">
    <oddHeader>&amp;LSOBHA LLC&amp;C&amp;"Tahoma,Regular"&amp;14
OVERDUE AGEING_ overdue broken up into respective age buckets_121-180 Days&amp;R&amp;D</oddHeader>
    <oddFooter>&amp;LCOLLECTIONS&amp;R&amp;P/&amp;N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BD12-87D9-47F2-A5DE-341716A19DE5}">
  <sheetPr>
    <pageSetUpPr fitToPage="1"/>
  </sheetPr>
  <dimension ref="B2:M205"/>
  <sheetViews>
    <sheetView view="pageBreakPreview" topLeftCell="A67" zoomScale="55" zoomScaleNormal="100" zoomScaleSheetLayoutView="55" workbookViewId="0"/>
  </sheetViews>
  <sheetFormatPr defaultRowHeight="14.5" outlineLevelRow="2" x14ac:dyDescent="0.35"/>
  <cols>
    <col min="2" max="2" width="28.453125" bestFit="1" customWidth="1"/>
    <col min="3" max="3" width="3.26953125" bestFit="1" customWidth="1"/>
    <col min="4" max="4" width="39.7265625" bestFit="1" customWidth="1"/>
    <col min="5" max="5" width="15.7265625" customWidth="1"/>
    <col min="6" max="6" width="22.81640625" bestFit="1" customWidth="1"/>
    <col min="7" max="7" width="21.453125" bestFit="1" customWidth="1"/>
    <col min="8" max="8" width="21.7265625" bestFit="1" customWidth="1"/>
    <col min="9" max="9" width="27.54296875" bestFit="1" customWidth="1"/>
    <col min="10" max="10" width="27" bestFit="1" customWidth="1"/>
    <col min="11" max="11" width="7" bestFit="1" customWidth="1"/>
    <col min="12" max="12" width="6.26953125" bestFit="1" customWidth="1"/>
    <col min="13" max="13" width="17.81640625" bestFit="1" customWidth="1"/>
  </cols>
  <sheetData>
    <row r="2" spans="2:13" x14ac:dyDescent="0.35">
      <c r="M2" s="321">
        <v>567710525.79000008</v>
      </c>
    </row>
    <row r="3" spans="2:13" x14ac:dyDescent="0.35">
      <c r="B3" s="288">
        <v>46143</v>
      </c>
    </row>
    <row r="4" spans="2:13" ht="15" thickBot="1" x14ac:dyDescent="0.4"/>
    <row r="5" spans="2:13" x14ac:dyDescent="0.35">
      <c r="B5" s="466" t="s">
        <v>276</v>
      </c>
      <c r="C5" s="467"/>
      <c r="D5" s="470" t="s">
        <v>275</v>
      </c>
      <c r="E5" s="472" t="s">
        <v>281</v>
      </c>
      <c r="F5" s="498" t="s">
        <v>280</v>
      </c>
      <c r="G5" s="472" t="s">
        <v>274</v>
      </c>
      <c r="H5" s="474" t="s">
        <v>273</v>
      </c>
      <c r="I5" s="307" t="s">
        <v>272</v>
      </c>
      <c r="J5" s="329" t="s">
        <v>286</v>
      </c>
    </row>
    <row r="6" spans="2:13" x14ac:dyDescent="0.35">
      <c r="B6" s="468"/>
      <c r="C6" s="469"/>
      <c r="D6" s="471"/>
      <c r="E6" s="473"/>
      <c r="F6" s="499"/>
      <c r="G6" s="473"/>
      <c r="H6" s="475"/>
      <c r="I6" s="306" t="s">
        <v>278</v>
      </c>
      <c r="J6" s="328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6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21</v>
      </c>
      <c r="F8" s="219">
        <f t="shared" si="0"/>
        <v>20</v>
      </c>
      <c r="G8" s="219">
        <f t="shared" si="0"/>
        <v>33088765.82</v>
      </c>
      <c r="H8" s="219">
        <f t="shared" si="0"/>
        <v>33388678.689999998</v>
      </c>
      <c r="I8" s="219">
        <f t="shared" si="0"/>
        <v>0</v>
      </c>
      <c r="J8" s="326">
        <f t="shared" si="0"/>
        <v>3329760.25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2</v>
      </c>
      <c r="F9" s="219">
        <v>2</v>
      </c>
      <c r="G9" s="219">
        <v>3988748</v>
      </c>
      <c r="H9" s="219">
        <v>3988748</v>
      </c>
      <c r="I9" s="219">
        <v>0</v>
      </c>
      <c r="J9" s="326">
        <v>900518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6">
        <v>0</v>
      </c>
    </row>
    <row r="11" spans="2:13" hidden="1" outlineLevel="2" x14ac:dyDescent="0.35">
      <c r="B11" s="503"/>
      <c r="C11" s="506"/>
      <c r="D11" s="242" t="s">
        <v>215</v>
      </c>
      <c r="E11" s="219">
        <v>8</v>
      </c>
      <c r="F11" s="219">
        <v>7</v>
      </c>
      <c r="G11" s="219">
        <v>13885040</v>
      </c>
      <c r="H11" s="219">
        <v>14497540</v>
      </c>
      <c r="I11" s="219">
        <v>0</v>
      </c>
      <c r="J11" s="326">
        <v>273085.5</v>
      </c>
    </row>
    <row r="12" spans="2:13" hidden="1" outlineLevel="2" x14ac:dyDescent="0.35">
      <c r="B12" s="503"/>
      <c r="C12" s="506"/>
      <c r="D12" s="242" t="s">
        <v>214</v>
      </c>
      <c r="E12" s="219">
        <v>1</v>
      </c>
      <c r="F12" s="219">
        <v>1</v>
      </c>
      <c r="G12" s="219">
        <v>1271320</v>
      </c>
      <c r="H12" s="219">
        <v>1271320</v>
      </c>
      <c r="I12" s="219">
        <v>0</v>
      </c>
      <c r="J12" s="326">
        <v>94697.600000000006</v>
      </c>
    </row>
    <row r="13" spans="2:13" hidden="1" outlineLevel="2" x14ac:dyDescent="0.35">
      <c r="B13" s="503"/>
      <c r="C13" s="506"/>
      <c r="D13" s="242" t="s">
        <v>213</v>
      </c>
      <c r="E13" s="219">
        <v>5</v>
      </c>
      <c r="F13" s="219">
        <v>5</v>
      </c>
      <c r="G13" s="219">
        <v>8601717.9699999988</v>
      </c>
      <c r="H13" s="219">
        <v>8211630.8099999996</v>
      </c>
      <c r="I13" s="219">
        <v>0</v>
      </c>
      <c r="J13" s="326">
        <v>1388835.69</v>
      </c>
    </row>
    <row r="14" spans="2:13" hidden="1" outlineLevel="2" x14ac:dyDescent="0.35">
      <c r="B14" s="503"/>
      <c r="C14" s="506"/>
      <c r="D14" s="242" t="s">
        <v>212</v>
      </c>
      <c r="E14" s="219">
        <v>5</v>
      </c>
      <c r="F14" s="219">
        <v>5</v>
      </c>
      <c r="G14" s="219">
        <v>5341939.8499999996</v>
      </c>
      <c r="H14" s="219">
        <v>5419439.8799999999</v>
      </c>
      <c r="I14" s="219">
        <v>0</v>
      </c>
      <c r="J14" s="326">
        <v>672623.46</v>
      </c>
    </row>
    <row r="15" spans="2:13" outlineLevel="1" collapsed="1" x14ac:dyDescent="0.35">
      <c r="B15" s="503"/>
      <c r="C15" s="506"/>
      <c r="D15" s="236" t="s">
        <v>10</v>
      </c>
      <c r="E15" s="219">
        <v>3</v>
      </c>
      <c r="F15" s="219">
        <v>3</v>
      </c>
      <c r="G15" s="219">
        <v>5283029.5299999993</v>
      </c>
      <c r="H15" s="219">
        <v>5283029.5299999993</v>
      </c>
      <c r="I15" s="219">
        <v>0</v>
      </c>
      <c r="J15" s="326">
        <v>1801414.41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6</v>
      </c>
      <c r="F16" s="219">
        <f t="shared" si="1"/>
        <v>6</v>
      </c>
      <c r="G16" s="219">
        <f t="shared" si="1"/>
        <v>87392776.079999998</v>
      </c>
      <c r="H16" s="219">
        <f t="shared" si="1"/>
        <v>87392777.579999998</v>
      </c>
      <c r="I16" s="219">
        <f t="shared" si="1"/>
        <v>0</v>
      </c>
      <c r="J16" s="326">
        <f t="shared" si="1"/>
        <v>1622589.2799999998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6">
        <v>0</v>
      </c>
    </row>
    <row r="18" spans="2:10" hidden="1" outlineLevel="2" x14ac:dyDescent="0.35">
      <c r="B18" s="503"/>
      <c r="C18" s="506"/>
      <c r="D18" s="242" t="s">
        <v>210</v>
      </c>
      <c r="E18" s="219">
        <v>1</v>
      </c>
      <c r="F18" s="219">
        <v>1</v>
      </c>
      <c r="G18" s="219">
        <v>16972225</v>
      </c>
      <c r="H18" s="219">
        <v>16972226.5</v>
      </c>
      <c r="I18" s="219">
        <v>0</v>
      </c>
      <c r="J18" s="326">
        <v>25001.5</v>
      </c>
    </row>
    <row r="19" spans="2:10" hidden="1" outlineLevel="2" x14ac:dyDescent="0.35">
      <c r="B19" s="503"/>
      <c r="C19" s="506"/>
      <c r="D19" s="242" t="s">
        <v>209</v>
      </c>
      <c r="E19" s="219">
        <v>2</v>
      </c>
      <c r="F19" s="219">
        <v>2</v>
      </c>
      <c r="G19" s="219">
        <v>15184378.199999999</v>
      </c>
      <c r="H19" s="219">
        <v>15184378.199999999</v>
      </c>
      <c r="I19" s="219">
        <v>0</v>
      </c>
      <c r="J19" s="326">
        <v>49500.2</v>
      </c>
    </row>
    <row r="20" spans="2:10" hidden="1" outlineLevel="2" x14ac:dyDescent="0.35">
      <c r="B20" s="503"/>
      <c r="C20" s="506"/>
      <c r="D20" s="242" t="s">
        <v>208</v>
      </c>
      <c r="E20" s="219">
        <v>3</v>
      </c>
      <c r="F20" s="219">
        <v>3</v>
      </c>
      <c r="G20" s="219">
        <v>55236172.879999995</v>
      </c>
      <c r="H20" s="219">
        <v>55236172.879999995</v>
      </c>
      <c r="I20" s="219">
        <v>0</v>
      </c>
      <c r="J20" s="326">
        <v>1548087.5799999998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6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24</v>
      </c>
      <c r="F22" s="219">
        <f t="shared" si="2"/>
        <v>24</v>
      </c>
      <c r="G22" s="219">
        <f t="shared" si="2"/>
        <v>24065070.059999999</v>
      </c>
      <c r="H22" s="219">
        <f t="shared" si="2"/>
        <v>24065070.02</v>
      </c>
      <c r="I22" s="219">
        <f t="shared" si="2"/>
        <v>94507.4</v>
      </c>
      <c r="J22" s="326">
        <f t="shared" si="2"/>
        <v>2405181.08</v>
      </c>
    </row>
    <row r="23" spans="2:10" hidden="1" outlineLevel="2" x14ac:dyDescent="0.35">
      <c r="B23" s="503"/>
      <c r="C23" s="506"/>
      <c r="D23" s="242" t="s">
        <v>9</v>
      </c>
      <c r="E23" s="219">
        <v>10</v>
      </c>
      <c r="F23" s="219">
        <v>10</v>
      </c>
      <c r="G23" s="219">
        <v>9551234.1499999985</v>
      </c>
      <c r="H23" s="219">
        <v>9551234.2899999991</v>
      </c>
      <c r="I23" s="219">
        <v>94507.4</v>
      </c>
      <c r="J23" s="321">
        <v>1338456.98</v>
      </c>
    </row>
    <row r="24" spans="2:10" hidden="1" outlineLevel="2" x14ac:dyDescent="0.35">
      <c r="B24" s="503"/>
      <c r="C24" s="506"/>
      <c r="D24" s="242" t="s">
        <v>7</v>
      </c>
      <c r="E24" s="219">
        <v>5</v>
      </c>
      <c r="F24" s="219">
        <v>5</v>
      </c>
      <c r="G24" s="219">
        <v>5550001.1600000001</v>
      </c>
      <c r="H24" s="219">
        <v>5550001.1600000001</v>
      </c>
      <c r="I24" s="219">
        <v>0</v>
      </c>
      <c r="J24" s="321">
        <v>355535.62</v>
      </c>
    </row>
    <row r="25" spans="2:10" hidden="1" outlineLevel="2" x14ac:dyDescent="0.35">
      <c r="B25" s="503"/>
      <c r="C25" s="506"/>
      <c r="D25" s="242" t="s">
        <v>13</v>
      </c>
      <c r="E25" s="219">
        <v>2</v>
      </c>
      <c r="F25" s="219">
        <v>2</v>
      </c>
      <c r="G25" s="219">
        <v>1608511.1</v>
      </c>
      <c r="H25" s="219">
        <v>1608511</v>
      </c>
      <c r="I25" s="219">
        <v>0</v>
      </c>
      <c r="J25" s="321">
        <v>645757</v>
      </c>
    </row>
    <row r="26" spans="2:10" hidden="1" outlineLevel="2" x14ac:dyDescent="0.35">
      <c r="B26" s="503"/>
      <c r="C26" s="506"/>
      <c r="D26" s="242" t="s">
        <v>11</v>
      </c>
      <c r="E26" s="219">
        <v>7</v>
      </c>
      <c r="F26" s="219">
        <v>7</v>
      </c>
      <c r="G26" s="219">
        <v>7355323.6500000004</v>
      </c>
      <c r="H26" s="219">
        <v>7355323.5699999994</v>
      </c>
      <c r="I26" s="219">
        <v>0</v>
      </c>
      <c r="J26" s="321">
        <v>65431.479999999996</v>
      </c>
    </row>
    <row r="27" spans="2:10" outlineLevel="1" collapsed="1" x14ac:dyDescent="0.35">
      <c r="B27" s="503"/>
      <c r="C27" s="506"/>
      <c r="D27" s="236" t="s">
        <v>5</v>
      </c>
      <c r="E27" s="219">
        <v>13</v>
      </c>
      <c r="F27" s="219">
        <v>13</v>
      </c>
      <c r="G27" s="219">
        <v>16741052</v>
      </c>
      <c r="H27" s="219">
        <v>16792603</v>
      </c>
      <c r="I27" s="219">
        <v>0</v>
      </c>
      <c r="J27" s="321">
        <v>955227.98</v>
      </c>
    </row>
    <row r="28" spans="2:10" outlineLevel="1" x14ac:dyDescent="0.35">
      <c r="B28" s="503"/>
      <c r="C28" s="506"/>
      <c r="D28" s="236" t="s">
        <v>6</v>
      </c>
      <c r="E28" s="219">
        <v>4</v>
      </c>
      <c r="F28" s="219">
        <v>3</v>
      </c>
      <c r="G28" s="219">
        <v>10419826</v>
      </c>
      <c r="H28" s="219">
        <v>10728439.02</v>
      </c>
      <c r="I28" s="219">
        <v>0</v>
      </c>
      <c r="J28" s="321">
        <v>1048477.27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1</v>
      </c>
      <c r="F29" s="219">
        <f t="shared" si="3"/>
        <v>1</v>
      </c>
      <c r="G29" s="219">
        <f t="shared" si="3"/>
        <v>3490440</v>
      </c>
      <c r="H29" s="219">
        <f t="shared" si="3"/>
        <v>3490440</v>
      </c>
      <c r="I29" s="219">
        <f t="shared" si="3"/>
        <v>0</v>
      </c>
      <c r="J29" s="321">
        <f t="shared" si="3"/>
        <v>1660.6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1</v>
      </c>
      <c r="F31" s="219">
        <v>1</v>
      </c>
      <c r="G31" s="219">
        <v>3490440</v>
      </c>
      <c r="H31" s="219">
        <v>3490440</v>
      </c>
      <c r="I31" s="219">
        <v>0</v>
      </c>
      <c r="J31" s="321">
        <v>1660.6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6</v>
      </c>
      <c r="F33" s="219">
        <v>6</v>
      </c>
      <c r="G33" s="219">
        <v>12766284.75</v>
      </c>
      <c r="H33" s="219">
        <v>10663469.66</v>
      </c>
      <c r="I33" s="219">
        <v>58497532.069999985</v>
      </c>
      <c r="J33" s="321">
        <v>1435223.67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15</v>
      </c>
      <c r="F34" s="219">
        <f t="shared" si="4"/>
        <v>15</v>
      </c>
      <c r="G34" s="219">
        <f t="shared" si="4"/>
        <v>33397845.25</v>
      </c>
      <c r="H34" s="219">
        <f t="shared" si="4"/>
        <v>24980303.670000002</v>
      </c>
      <c r="I34" s="219">
        <f t="shared" si="4"/>
        <v>96618180.370000005</v>
      </c>
      <c r="J34" s="321">
        <f t="shared" si="4"/>
        <v>14478563.979999999</v>
      </c>
    </row>
    <row r="35" spans="2:10" hidden="1" outlineLevel="2" x14ac:dyDescent="0.35">
      <c r="B35" s="503"/>
      <c r="C35" s="506"/>
      <c r="D35" s="242" t="s">
        <v>22</v>
      </c>
      <c r="E35" s="219">
        <v>9</v>
      </c>
      <c r="F35" s="219">
        <v>9</v>
      </c>
      <c r="G35" s="219">
        <v>24510774.75</v>
      </c>
      <c r="H35" s="219">
        <v>18670384.600000001</v>
      </c>
      <c r="I35" s="219">
        <v>26904680.599999998</v>
      </c>
      <c r="J35" s="321">
        <v>11120442.319999998</v>
      </c>
    </row>
    <row r="36" spans="2:10" hidden="1" outlineLevel="2" x14ac:dyDescent="0.35">
      <c r="B36" s="503"/>
      <c r="C36" s="506"/>
      <c r="D36" s="242" t="s">
        <v>21</v>
      </c>
      <c r="E36" s="219">
        <v>3</v>
      </c>
      <c r="F36" s="219">
        <v>3</v>
      </c>
      <c r="G36" s="219">
        <v>5345089.75</v>
      </c>
      <c r="H36" s="219">
        <v>4096181.0500000003</v>
      </c>
      <c r="I36" s="219">
        <v>34689713.31000001</v>
      </c>
      <c r="J36" s="321">
        <v>2527770.39</v>
      </c>
    </row>
    <row r="37" spans="2:10" hidden="1" outlineLevel="2" x14ac:dyDescent="0.35">
      <c r="B37" s="503"/>
      <c r="C37" s="506"/>
      <c r="D37" s="242" t="s">
        <v>20</v>
      </c>
      <c r="E37" s="219">
        <v>3</v>
      </c>
      <c r="F37" s="219">
        <v>3</v>
      </c>
      <c r="G37" s="219">
        <v>3541980.75</v>
      </c>
      <c r="H37" s="219">
        <v>2213738.02</v>
      </c>
      <c r="I37" s="219">
        <v>30803010.939999998</v>
      </c>
      <c r="J37" s="321">
        <v>830351.27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4220775.5199999996</v>
      </c>
      <c r="J38" s="32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3</v>
      </c>
      <c r="F40" s="219">
        <v>3</v>
      </c>
      <c r="G40" s="219">
        <v>130714573.05</v>
      </c>
      <c r="H40" s="219">
        <v>130714573.07000001</v>
      </c>
      <c r="I40" s="219">
        <v>0</v>
      </c>
      <c r="J40" s="321">
        <v>68855057.570000008</v>
      </c>
    </row>
    <row r="41" spans="2:10" x14ac:dyDescent="0.35">
      <c r="B41" s="504"/>
      <c r="C41" s="507"/>
      <c r="D41" s="213" t="s">
        <v>259</v>
      </c>
      <c r="E41" s="295">
        <f t="shared" ref="E41:J41" si="5">SUM(E8,E15:E16,E27:E29,E22,E33:E34,E40)</f>
        <v>96</v>
      </c>
      <c r="F41" s="295">
        <f t="shared" si="5"/>
        <v>94</v>
      </c>
      <c r="G41" s="295">
        <f t="shared" si="5"/>
        <v>357359662.54000002</v>
      </c>
      <c r="H41" s="295">
        <f t="shared" si="5"/>
        <v>347499384.24000001</v>
      </c>
      <c r="I41" s="294">
        <f t="shared" si="5"/>
        <v>155210219.83999997</v>
      </c>
      <c r="J41" s="293">
        <f t="shared" si="5"/>
        <v>95933156.090000004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25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30</v>
      </c>
      <c r="F43" s="219">
        <f t="shared" si="6"/>
        <v>30</v>
      </c>
      <c r="G43" s="219">
        <f t="shared" si="6"/>
        <v>86718287.180000007</v>
      </c>
      <c r="H43" s="219">
        <f t="shared" si="6"/>
        <v>67386563.650000006</v>
      </c>
      <c r="I43" s="219">
        <f t="shared" si="6"/>
        <v>0</v>
      </c>
      <c r="J43" s="321">
        <f t="shared" si="6"/>
        <v>6198702.5</v>
      </c>
    </row>
    <row r="44" spans="2:10" hidden="1" outlineLevel="2" x14ac:dyDescent="0.35">
      <c r="B44" s="487"/>
      <c r="C44" s="490"/>
      <c r="D44" s="262" t="s">
        <v>202</v>
      </c>
      <c r="E44" s="219">
        <v>11</v>
      </c>
      <c r="F44" s="219">
        <v>11</v>
      </c>
      <c r="G44" s="219">
        <v>35606787.25</v>
      </c>
      <c r="H44" s="219">
        <v>27923440.590000004</v>
      </c>
      <c r="I44" s="219">
        <v>0</v>
      </c>
      <c r="J44" s="321">
        <v>4364927.97</v>
      </c>
    </row>
    <row r="45" spans="2:10" hidden="1" outlineLevel="2" x14ac:dyDescent="0.35">
      <c r="B45" s="487"/>
      <c r="C45" s="490"/>
      <c r="D45" s="242" t="s">
        <v>201</v>
      </c>
      <c r="E45" s="219">
        <v>7</v>
      </c>
      <c r="F45" s="219">
        <v>7</v>
      </c>
      <c r="G45" s="219">
        <v>13919094.42</v>
      </c>
      <c r="H45" s="219">
        <v>8351456.6999999993</v>
      </c>
      <c r="I45" s="219">
        <v>0</v>
      </c>
      <c r="J45" s="321">
        <v>198585.29</v>
      </c>
    </row>
    <row r="46" spans="2:10" hidden="1" outlineLevel="2" x14ac:dyDescent="0.35">
      <c r="B46" s="487"/>
      <c r="C46" s="490"/>
      <c r="D46" s="242" t="s">
        <v>200</v>
      </c>
      <c r="E46" s="219">
        <v>12</v>
      </c>
      <c r="F46" s="219">
        <v>12</v>
      </c>
      <c r="G46" s="219">
        <v>37192405.509999998</v>
      </c>
      <c r="H46" s="219">
        <v>31111666.359999999</v>
      </c>
      <c r="I46" s="219">
        <v>0</v>
      </c>
      <c r="J46" s="321">
        <v>1635189.24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37</v>
      </c>
      <c r="F48" s="219">
        <v>30</v>
      </c>
      <c r="G48" s="219">
        <v>99904163.5</v>
      </c>
      <c r="H48" s="219">
        <v>59942497.14000003</v>
      </c>
      <c r="I48" s="219">
        <v>0</v>
      </c>
      <c r="J48" s="321">
        <v>9851820.5299999993</v>
      </c>
    </row>
    <row r="49" spans="2:10" outlineLevel="1" x14ac:dyDescent="0.35">
      <c r="B49" s="487"/>
      <c r="C49" s="490"/>
      <c r="D49" s="236" t="s">
        <v>189</v>
      </c>
      <c r="E49" s="219">
        <v>23</v>
      </c>
      <c r="F49" s="219">
        <v>16</v>
      </c>
      <c r="G49" s="219">
        <v>52737323.300000004</v>
      </c>
      <c r="H49" s="219">
        <v>32379964.799999997</v>
      </c>
      <c r="I49" s="219">
        <v>25626421.910000004</v>
      </c>
      <c r="J49" s="321">
        <v>9912217.9100000001</v>
      </c>
    </row>
    <row r="50" spans="2:10" outlineLevel="1" x14ac:dyDescent="0.35">
      <c r="B50" s="487"/>
      <c r="C50" s="490"/>
      <c r="D50" s="263" t="s">
        <v>179</v>
      </c>
      <c r="E50" s="219">
        <v>38</v>
      </c>
      <c r="F50" s="219">
        <v>36</v>
      </c>
      <c r="G50" s="219">
        <v>364813353.92000008</v>
      </c>
      <c r="H50" s="219">
        <v>230478383.86999995</v>
      </c>
      <c r="I50" s="219">
        <v>63161412.529999994</v>
      </c>
      <c r="J50" s="321">
        <v>63513284.25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13</v>
      </c>
      <c r="F51" s="219">
        <f t="shared" si="7"/>
        <v>9</v>
      </c>
      <c r="G51" s="219">
        <f t="shared" si="7"/>
        <v>335296457.5</v>
      </c>
      <c r="H51" s="219">
        <f t="shared" si="7"/>
        <v>181421646</v>
      </c>
      <c r="I51" s="219">
        <f t="shared" si="7"/>
        <v>38343115.229999997</v>
      </c>
      <c r="J51" s="321">
        <f t="shared" si="7"/>
        <v>46010732.129999995</v>
      </c>
    </row>
    <row r="52" spans="2:10" hidden="1" outlineLevel="2" x14ac:dyDescent="0.35">
      <c r="B52" s="487"/>
      <c r="C52" s="490"/>
      <c r="D52" s="242" t="s">
        <v>186</v>
      </c>
      <c r="E52" s="219">
        <v>5</v>
      </c>
      <c r="F52" s="219">
        <v>5</v>
      </c>
      <c r="G52" s="219">
        <v>127830341.5</v>
      </c>
      <c r="H52" s="219">
        <v>90888955.200000003</v>
      </c>
      <c r="I52" s="219">
        <v>0</v>
      </c>
      <c r="J52" s="321">
        <v>25315670.93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8</v>
      </c>
      <c r="F54" s="219">
        <v>4</v>
      </c>
      <c r="G54" s="219">
        <v>207466116</v>
      </c>
      <c r="H54" s="219">
        <v>90532690.799999997</v>
      </c>
      <c r="I54" s="219">
        <v>38343115.229999997</v>
      </c>
      <c r="J54" s="321">
        <v>20695061.199999999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299</v>
      </c>
      <c r="F56" s="219">
        <f t="shared" si="8"/>
        <v>268</v>
      </c>
      <c r="G56" s="219">
        <f t="shared" si="8"/>
        <v>605805177.68000007</v>
      </c>
      <c r="H56" s="219">
        <f t="shared" si="8"/>
        <v>345600790.63999999</v>
      </c>
      <c r="I56" s="219">
        <f t="shared" si="8"/>
        <v>126614253.16999999</v>
      </c>
      <c r="J56" s="321">
        <f t="shared" si="8"/>
        <v>83389145.209999993</v>
      </c>
    </row>
    <row r="57" spans="2:10" hidden="1" outlineLevel="2" x14ac:dyDescent="0.35">
      <c r="B57" s="487"/>
      <c r="C57" s="490"/>
      <c r="D57" s="242" t="s">
        <v>169</v>
      </c>
      <c r="E57" s="219">
        <v>41</v>
      </c>
      <c r="F57" s="219">
        <v>40</v>
      </c>
      <c r="G57" s="219">
        <v>103164270.14000002</v>
      </c>
      <c r="H57" s="219">
        <v>62859127.64000003</v>
      </c>
      <c r="I57" s="219">
        <v>14004424.16</v>
      </c>
      <c r="J57" s="321">
        <v>9926249.1499999985</v>
      </c>
    </row>
    <row r="58" spans="2:10" hidden="1" outlineLevel="2" x14ac:dyDescent="0.35">
      <c r="B58" s="487"/>
      <c r="C58" s="490"/>
      <c r="D58" s="242" t="s">
        <v>168</v>
      </c>
      <c r="E58" s="219">
        <v>54</v>
      </c>
      <c r="F58" s="219">
        <v>40</v>
      </c>
      <c r="G58" s="219">
        <v>94638456.700000003</v>
      </c>
      <c r="H58" s="219">
        <v>62788570.879999995</v>
      </c>
      <c r="I58" s="219">
        <v>3477251.1999999997</v>
      </c>
      <c r="J58" s="321">
        <v>19097230.260000005</v>
      </c>
    </row>
    <row r="59" spans="2:10" hidden="1" outlineLevel="2" x14ac:dyDescent="0.35">
      <c r="B59" s="487"/>
      <c r="C59" s="490"/>
      <c r="D59" s="242" t="s">
        <v>167</v>
      </c>
      <c r="E59" s="219">
        <v>44</v>
      </c>
      <c r="F59" s="219">
        <v>44</v>
      </c>
      <c r="G59" s="219">
        <v>83179721.899999976</v>
      </c>
      <c r="H59" s="219">
        <v>45587526.43999999</v>
      </c>
      <c r="I59" s="219">
        <v>66461350.479999989</v>
      </c>
      <c r="J59" s="321">
        <v>12661048.48</v>
      </c>
    </row>
    <row r="60" spans="2:10" hidden="1" outlineLevel="2" x14ac:dyDescent="0.35">
      <c r="B60" s="487"/>
      <c r="C60" s="490"/>
      <c r="D60" s="242" t="s">
        <v>166</v>
      </c>
      <c r="E60" s="219">
        <v>65</v>
      </c>
      <c r="F60" s="219">
        <v>55</v>
      </c>
      <c r="G60" s="219">
        <v>127692642.94000003</v>
      </c>
      <c r="H60" s="219">
        <v>68364478.310000002</v>
      </c>
      <c r="I60" s="219">
        <v>8809730.370000001</v>
      </c>
      <c r="J60" s="321">
        <v>20246203.899999999</v>
      </c>
    </row>
    <row r="61" spans="2:10" hidden="1" outlineLevel="2" x14ac:dyDescent="0.35">
      <c r="B61" s="487"/>
      <c r="C61" s="490"/>
      <c r="D61" s="261" t="s">
        <v>165</v>
      </c>
      <c r="E61" s="219">
        <v>31</v>
      </c>
      <c r="F61" s="219">
        <v>31</v>
      </c>
      <c r="G61" s="219">
        <v>71360624.310000002</v>
      </c>
      <c r="H61" s="219">
        <v>40027906.629999995</v>
      </c>
      <c r="I61" s="219">
        <v>30798804.940000001</v>
      </c>
      <c r="J61" s="321">
        <v>5119149.22</v>
      </c>
    </row>
    <row r="62" spans="2:10" hidden="1" outlineLevel="2" x14ac:dyDescent="0.35">
      <c r="B62" s="487"/>
      <c r="C62" s="490"/>
      <c r="D62" s="261" t="s">
        <v>164</v>
      </c>
      <c r="E62" s="219">
        <v>64</v>
      </c>
      <c r="F62" s="219">
        <v>58</v>
      </c>
      <c r="G62" s="219">
        <v>125769461.69000001</v>
      </c>
      <c r="H62" s="219">
        <v>65973180.740000002</v>
      </c>
      <c r="I62" s="219">
        <v>3062692.02</v>
      </c>
      <c r="J62" s="321">
        <v>16339264.200000001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88</v>
      </c>
      <c r="F63" s="219">
        <f t="shared" si="9"/>
        <v>81</v>
      </c>
      <c r="G63" s="219">
        <f t="shared" si="9"/>
        <v>165266138.34</v>
      </c>
      <c r="H63" s="219">
        <f t="shared" si="9"/>
        <v>100463685.59</v>
      </c>
      <c r="I63" s="219">
        <f t="shared" si="9"/>
        <v>1322759.1499999999</v>
      </c>
      <c r="J63" s="321">
        <f t="shared" si="9"/>
        <v>16116828.240000002</v>
      </c>
    </row>
    <row r="64" spans="2:10" hidden="1" outlineLevel="2" x14ac:dyDescent="0.35">
      <c r="B64" s="487"/>
      <c r="C64" s="490"/>
      <c r="D64" s="260" t="s">
        <v>196</v>
      </c>
      <c r="E64" s="219">
        <v>36</v>
      </c>
      <c r="F64" s="219">
        <v>30</v>
      </c>
      <c r="G64" s="219">
        <v>62671826.780000001</v>
      </c>
      <c r="H64" s="219">
        <v>38396425.690000005</v>
      </c>
      <c r="I64" s="219">
        <v>0</v>
      </c>
      <c r="J64" s="321">
        <v>7885988.9099999992</v>
      </c>
    </row>
    <row r="65" spans="2:10" hidden="1" outlineLevel="2" x14ac:dyDescent="0.35">
      <c r="B65" s="487"/>
      <c r="C65" s="490"/>
      <c r="D65" s="260" t="s">
        <v>195</v>
      </c>
      <c r="E65" s="219">
        <v>51</v>
      </c>
      <c r="F65" s="219">
        <v>50</v>
      </c>
      <c r="G65" s="219">
        <v>99582311.560000002</v>
      </c>
      <c r="H65" s="219">
        <v>60169699.899999999</v>
      </c>
      <c r="I65" s="219">
        <v>1322759.1499999999</v>
      </c>
      <c r="J65" s="321">
        <v>7914579.3300000019</v>
      </c>
    </row>
    <row r="66" spans="2:10" hidden="1" outlineLevel="2" x14ac:dyDescent="0.35">
      <c r="B66" s="487"/>
      <c r="C66" s="490"/>
      <c r="D66" s="260" t="s">
        <v>194</v>
      </c>
      <c r="E66" s="219">
        <v>1</v>
      </c>
      <c r="F66" s="219">
        <v>1</v>
      </c>
      <c r="G66" s="219">
        <v>3012000</v>
      </c>
      <c r="H66" s="219">
        <v>1897560</v>
      </c>
      <c r="I66" s="219">
        <v>0</v>
      </c>
      <c r="J66" s="321">
        <v>316260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302</v>
      </c>
      <c r="F67" s="219">
        <f t="shared" si="10"/>
        <v>258</v>
      </c>
      <c r="G67" s="219">
        <f t="shared" si="10"/>
        <v>712837721.75999999</v>
      </c>
      <c r="H67" s="219">
        <f t="shared" si="10"/>
        <v>398902584.86999995</v>
      </c>
      <c r="I67" s="219">
        <f t="shared" si="10"/>
        <v>67858717.780000001</v>
      </c>
      <c r="J67" s="321">
        <f t="shared" si="10"/>
        <v>67621494.00999999</v>
      </c>
    </row>
    <row r="68" spans="2:10" hidden="1" outlineLevel="2" x14ac:dyDescent="0.35">
      <c r="B68" s="487"/>
      <c r="C68" s="490"/>
      <c r="D68" s="260" t="s">
        <v>177</v>
      </c>
      <c r="E68" s="219">
        <v>73</v>
      </c>
      <c r="F68" s="219">
        <v>55</v>
      </c>
      <c r="G68" s="219">
        <v>201449194.07999992</v>
      </c>
      <c r="H68" s="219">
        <v>114834187.16999996</v>
      </c>
      <c r="I68" s="219">
        <v>9764831.5700000003</v>
      </c>
      <c r="J68" s="321">
        <v>17056141.370000001</v>
      </c>
    </row>
    <row r="69" spans="2:10" hidden="1" outlineLevel="2" x14ac:dyDescent="0.35">
      <c r="B69" s="487"/>
      <c r="C69" s="490"/>
      <c r="D69" s="260" t="s">
        <v>176</v>
      </c>
      <c r="E69" s="219">
        <v>77</v>
      </c>
      <c r="F69" s="219">
        <v>72</v>
      </c>
      <c r="G69" s="219">
        <v>138213739.77000004</v>
      </c>
      <c r="H69" s="219">
        <v>81456905.590000004</v>
      </c>
      <c r="I69" s="219">
        <v>8364353.8399999999</v>
      </c>
      <c r="J69" s="321">
        <v>12959510.949999994</v>
      </c>
    </row>
    <row r="70" spans="2:10" hidden="1" outlineLevel="2" x14ac:dyDescent="0.35">
      <c r="B70" s="487"/>
      <c r="C70" s="490"/>
      <c r="D70" s="260" t="s">
        <v>175</v>
      </c>
      <c r="E70" s="219">
        <v>48</v>
      </c>
      <c r="F70" s="219">
        <v>47</v>
      </c>
      <c r="G70" s="219">
        <v>136155705.68000004</v>
      </c>
      <c r="H70" s="219">
        <v>75580950.079999998</v>
      </c>
      <c r="I70" s="219">
        <v>19366981.280000001</v>
      </c>
      <c r="J70" s="321">
        <v>13676825.550000001</v>
      </c>
    </row>
    <row r="71" spans="2:10" hidden="1" outlineLevel="2" x14ac:dyDescent="0.35">
      <c r="B71" s="487"/>
      <c r="C71" s="490"/>
      <c r="D71" s="260" t="s">
        <v>174</v>
      </c>
      <c r="E71" s="219">
        <v>49</v>
      </c>
      <c r="F71" s="219">
        <v>35</v>
      </c>
      <c r="G71" s="219">
        <v>84386815.430000022</v>
      </c>
      <c r="H71" s="219">
        <v>50964790.039999999</v>
      </c>
      <c r="I71" s="219">
        <v>10422664.390000001</v>
      </c>
      <c r="J71" s="321">
        <v>8341643.7000000011</v>
      </c>
    </row>
    <row r="72" spans="2:10" hidden="1" outlineLevel="2" x14ac:dyDescent="0.35">
      <c r="B72" s="487"/>
      <c r="C72" s="490"/>
      <c r="D72" s="260" t="s">
        <v>173</v>
      </c>
      <c r="E72" s="219">
        <v>48</v>
      </c>
      <c r="F72" s="219">
        <v>42</v>
      </c>
      <c r="G72" s="219">
        <v>123101792.79999995</v>
      </c>
      <c r="H72" s="219">
        <v>64957391.089999989</v>
      </c>
      <c r="I72" s="219">
        <v>17670729.68</v>
      </c>
      <c r="J72" s="321">
        <v>12905964.130000003</v>
      </c>
    </row>
    <row r="73" spans="2:10" hidden="1" outlineLevel="2" x14ac:dyDescent="0.35">
      <c r="B73" s="487"/>
      <c r="C73" s="490"/>
      <c r="D73" s="260" t="s">
        <v>172</v>
      </c>
      <c r="E73" s="219">
        <v>7</v>
      </c>
      <c r="F73" s="219">
        <v>7</v>
      </c>
      <c r="G73" s="219">
        <v>29530474</v>
      </c>
      <c r="H73" s="219">
        <v>11108360.9</v>
      </c>
      <c r="I73" s="219">
        <v>367634.02</v>
      </c>
      <c r="J73" s="321">
        <v>2681408.31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1901523</v>
      </c>
      <c r="J74" s="321">
        <v>0</v>
      </c>
    </row>
    <row r="75" spans="2:10" x14ac:dyDescent="0.35">
      <c r="B75" s="488"/>
      <c r="C75" s="491"/>
      <c r="D75" s="213" t="s">
        <v>255</v>
      </c>
      <c r="E75" s="295">
        <f t="shared" ref="E75:J75" si="11">SUM(E43,E48:E51,E56,E63,E67)</f>
        <v>830</v>
      </c>
      <c r="F75" s="295">
        <f t="shared" si="11"/>
        <v>728</v>
      </c>
      <c r="G75" s="295">
        <f t="shared" si="11"/>
        <v>2423378623.1800003</v>
      </c>
      <c r="H75" s="304">
        <f t="shared" si="11"/>
        <v>1416576116.5599999</v>
      </c>
      <c r="I75" s="294">
        <f t="shared" si="11"/>
        <v>322926679.76999998</v>
      </c>
      <c r="J75" s="293">
        <f t="shared" si="11"/>
        <v>302614224.77999997</v>
      </c>
    </row>
    <row r="76" spans="2:10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25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53</v>
      </c>
      <c r="F77" s="219">
        <f t="shared" si="12"/>
        <v>43</v>
      </c>
      <c r="G77" s="219">
        <f t="shared" si="12"/>
        <v>447395814.03999996</v>
      </c>
      <c r="H77" s="219">
        <f t="shared" si="12"/>
        <v>297056910.96999997</v>
      </c>
      <c r="I77" s="219">
        <f t="shared" si="12"/>
        <v>48666620.390000001</v>
      </c>
      <c r="J77" s="321">
        <f t="shared" si="12"/>
        <v>65420572.789999992</v>
      </c>
    </row>
    <row r="78" spans="2:10" hidden="1" outlineLevel="2" x14ac:dyDescent="0.35">
      <c r="B78" s="487"/>
      <c r="C78" s="490"/>
      <c r="D78" s="250" t="s">
        <v>192</v>
      </c>
      <c r="E78" s="219">
        <v>38</v>
      </c>
      <c r="F78" s="219">
        <v>28</v>
      </c>
      <c r="G78" s="219">
        <v>314404814.39999998</v>
      </c>
      <c r="H78" s="219">
        <v>220770283.72999999</v>
      </c>
      <c r="I78" s="219">
        <v>25867110.289999999</v>
      </c>
      <c r="J78" s="321">
        <v>56812349.809999995</v>
      </c>
    </row>
    <row r="79" spans="2:10" hidden="1" outlineLevel="2" x14ac:dyDescent="0.35">
      <c r="B79" s="487"/>
      <c r="C79" s="490"/>
      <c r="D79" s="250" t="s">
        <v>191</v>
      </c>
      <c r="E79" s="219">
        <v>7</v>
      </c>
      <c r="F79" s="219">
        <v>7</v>
      </c>
      <c r="G79" s="219">
        <v>41591473</v>
      </c>
      <c r="H79" s="219">
        <v>22796756</v>
      </c>
      <c r="I79" s="219">
        <v>7482074.8699999992</v>
      </c>
      <c r="J79" s="321">
        <v>5751778.1500000004</v>
      </c>
    </row>
    <row r="80" spans="2:10" hidden="1" outlineLevel="2" x14ac:dyDescent="0.35">
      <c r="B80" s="487"/>
      <c r="C80" s="490"/>
      <c r="D80" s="250" t="s">
        <v>190</v>
      </c>
      <c r="E80" s="219">
        <v>8</v>
      </c>
      <c r="F80" s="219">
        <v>8</v>
      </c>
      <c r="G80" s="219">
        <v>91399526.640000001</v>
      </c>
      <c r="H80" s="219">
        <v>53489871.240000002</v>
      </c>
      <c r="I80" s="219">
        <v>15317435.23</v>
      </c>
      <c r="J80" s="321">
        <v>2856444.8299999996</v>
      </c>
    </row>
    <row r="81" spans="2:11" outlineLevel="1" collapsed="1" x14ac:dyDescent="0.35">
      <c r="B81" s="487"/>
      <c r="C81" s="490"/>
      <c r="D81" s="251" t="s">
        <v>158</v>
      </c>
      <c r="E81" s="219">
        <f t="shared" ref="E81:J81" si="13">SUM(E82:E89)</f>
        <v>167</v>
      </c>
      <c r="F81" s="219">
        <f t="shared" si="13"/>
        <v>145</v>
      </c>
      <c r="G81" s="219">
        <f t="shared" si="13"/>
        <v>200197059.91999999</v>
      </c>
      <c r="H81" s="219">
        <f t="shared" si="13"/>
        <v>95396639.639999986</v>
      </c>
      <c r="I81" s="219">
        <f t="shared" si="13"/>
        <v>49603591.950000003</v>
      </c>
      <c r="J81" s="321">
        <f t="shared" si="13"/>
        <v>22194266.07</v>
      </c>
    </row>
    <row r="82" spans="2:11" hidden="1" outlineLevel="2" x14ac:dyDescent="0.35">
      <c r="B82" s="487"/>
      <c r="C82" s="490"/>
      <c r="D82" s="250" t="s">
        <v>157</v>
      </c>
      <c r="E82" s="219">
        <v>41</v>
      </c>
      <c r="F82" s="219">
        <v>41</v>
      </c>
      <c r="G82" s="219">
        <v>49558018.600000016</v>
      </c>
      <c r="H82" s="219">
        <v>26477205.18</v>
      </c>
      <c r="I82" s="219">
        <v>7970527.3999999994</v>
      </c>
      <c r="J82" s="321">
        <v>5691209.120000001</v>
      </c>
    </row>
    <row r="83" spans="2:11" hidden="1" outlineLevel="2" x14ac:dyDescent="0.35">
      <c r="B83" s="487"/>
      <c r="C83" s="490"/>
      <c r="D83" s="250" t="s">
        <v>156</v>
      </c>
      <c r="E83" s="219">
        <v>44</v>
      </c>
      <c r="F83" s="219">
        <v>25</v>
      </c>
      <c r="G83" s="219">
        <v>51443240.620000005</v>
      </c>
      <c r="H83" s="219">
        <v>24723486.989999995</v>
      </c>
      <c r="I83" s="219">
        <v>20565913.010000002</v>
      </c>
      <c r="J83" s="321">
        <v>6452625.4100000001</v>
      </c>
    </row>
    <row r="84" spans="2:11" hidden="1" outlineLevel="2" x14ac:dyDescent="0.35">
      <c r="B84" s="487"/>
      <c r="C84" s="490"/>
      <c r="D84" s="250" t="s">
        <v>155</v>
      </c>
      <c r="E84" s="219">
        <v>10</v>
      </c>
      <c r="F84" s="219">
        <v>9</v>
      </c>
      <c r="G84" s="219">
        <v>12801775.100000001</v>
      </c>
      <c r="H84" s="219">
        <v>4315264.9799999995</v>
      </c>
      <c r="I84" s="219">
        <v>2929509.0899999994</v>
      </c>
      <c r="J84" s="321">
        <v>512952.16</v>
      </c>
    </row>
    <row r="85" spans="2:11" hidden="1" outlineLevel="2" x14ac:dyDescent="0.35">
      <c r="B85" s="487"/>
      <c r="C85" s="490"/>
      <c r="D85" s="250" t="s">
        <v>154</v>
      </c>
      <c r="E85" s="219">
        <v>5</v>
      </c>
      <c r="F85" s="219">
        <v>5</v>
      </c>
      <c r="G85" s="219">
        <v>7104855.0499999998</v>
      </c>
      <c r="H85" s="219">
        <v>2131456.5300000003</v>
      </c>
      <c r="I85" s="219">
        <v>1502219</v>
      </c>
      <c r="J85" s="321">
        <v>162709.54999999999</v>
      </c>
    </row>
    <row r="86" spans="2:11" hidden="1" outlineLevel="2" x14ac:dyDescent="0.35">
      <c r="B86" s="487"/>
      <c r="C86" s="490"/>
      <c r="D86" s="250" t="s">
        <v>153</v>
      </c>
      <c r="E86" s="219">
        <v>53</v>
      </c>
      <c r="F86" s="219">
        <v>51</v>
      </c>
      <c r="G86" s="219">
        <v>60607455.249999993</v>
      </c>
      <c r="H86" s="219">
        <v>30371569.319999997</v>
      </c>
      <c r="I86" s="219">
        <v>11772397.949999999</v>
      </c>
      <c r="J86" s="321">
        <v>7516641.6800000006</v>
      </c>
    </row>
    <row r="87" spans="2:11" hidden="1" outlineLevel="2" x14ac:dyDescent="0.35">
      <c r="B87" s="487"/>
      <c r="C87" s="490"/>
      <c r="D87" s="250" t="s">
        <v>152</v>
      </c>
      <c r="E87" s="219">
        <v>8</v>
      </c>
      <c r="F87" s="219">
        <v>8</v>
      </c>
      <c r="G87" s="219">
        <v>10069860.700000001</v>
      </c>
      <c r="H87" s="219">
        <v>3945454.3699999996</v>
      </c>
      <c r="I87" s="219">
        <v>1514053.6400000001</v>
      </c>
      <c r="J87" s="321">
        <v>1107098.99</v>
      </c>
    </row>
    <row r="88" spans="2:11" hidden="1" outlineLevel="2" x14ac:dyDescent="0.35">
      <c r="B88" s="487"/>
      <c r="C88" s="490"/>
      <c r="D88" s="250" t="s">
        <v>151</v>
      </c>
      <c r="E88" s="219">
        <v>6</v>
      </c>
      <c r="F88" s="219">
        <v>6</v>
      </c>
      <c r="G88" s="219">
        <v>8611854.5999999996</v>
      </c>
      <c r="H88" s="219">
        <v>3432202.27</v>
      </c>
      <c r="I88" s="219">
        <v>2497715.38</v>
      </c>
      <c r="J88" s="321">
        <v>751029.16</v>
      </c>
    </row>
    <row r="89" spans="2:11" hidden="1" outlineLevel="2" x14ac:dyDescent="0.35">
      <c r="B89" s="487"/>
      <c r="C89" s="490"/>
      <c r="D89" s="250" t="s">
        <v>150</v>
      </c>
      <c r="E89" s="219">
        <v>0</v>
      </c>
      <c r="F89" s="219">
        <v>0</v>
      </c>
      <c r="G89" s="219">
        <v>0</v>
      </c>
      <c r="H89" s="219">
        <v>0</v>
      </c>
      <c r="I89" s="219">
        <v>851256.48</v>
      </c>
      <c r="J89" s="321">
        <v>0</v>
      </c>
    </row>
    <row r="90" spans="2:11" outlineLevel="1" collapsed="1" x14ac:dyDescent="0.35">
      <c r="B90" s="487"/>
      <c r="C90" s="490"/>
      <c r="D90" s="251" t="s">
        <v>149</v>
      </c>
      <c r="E90" s="219">
        <f t="shared" ref="E90:J90" si="14">SUM(E91:E93)</f>
        <v>139</v>
      </c>
      <c r="F90" s="219">
        <f t="shared" si="14"/>
        <v>128</v>
      </c>
      <c r="G90" s="219">
        <f t="shared" si="14"/>
        <v>347427501.9799999</v>
      </c>
      <c r="H90" s="219">
        <f t="shared" si="14"/>
        <v>103434039.00999999</v>
      </c>
      <c r="I90" s="219">
        <f t="shared" si="14"/>
        <v>14855308.109999999</v>
      </c>
      <c r="J90" s="321">
        <f t="shared" si="14"/>
        <v>11967931.599999998</v>
      </c>
    </row>
    <row r="91" spans="2:11" hidden="1" outlineLevel="2" x14ac:dyDescent="0.35">
      <c r="B91" s="487"/>
      <c r="C91" s="490"/>
      <c r="D91" s="250" t="s">
        <v>148</v>
      </c>
      <c r="E91" s="219">
        <v>66</v>
      </c>
      <c r="F91" s="219">
        <v>60</v>
      </c>
      <c r="G91" s="219">
        <v>154435906.67999998</v>
      </c>
      <c r="H91" s="219">
        <v>46119136.270000011</v>
      </c>
      <c r="I91" s="219">
        <v>2833152</v>
      </c>
      <c r="J91" s="321">
        <v>3084946.1299999994</v>
      </c>
    </row>
    <row r="92" spans="2:11" hidden="1" outlineLevel="2" x14ac:dyDescent="0.35">
      <c r="B92" s="487"/>
      <c r="C92" s="490"/>
      <c r="D92" s="250" t="s">
        <v>147</v>
      </c>
      <c r="E92" s="219">
        <v>25</v>
      </c>
      <c r="F92" s="219">
        <v>24</v>
      </c>
      <c r="G92" s="219">
        <v>62363744.099999994</v>
      </c>
      <c r="H92" s="219">
        <v>18126547.300000001</v>
      </c>
      <c r="I92" s="219">
        <v>2545292.5300000003</v>
      </c>
      <c r="J92" s="321">
        <v>1159288.0499999998</v>
      </c>
    </row>
    <row r="93" spans="2:11" hidden="1" outlineLevel="2" x14ac:dyDescent="0.35">
      <c r="B93" s="487"/>
      <c r="C93" s="490"/>
      <c r="D93" s="250" t="s">
        <v>146</v>
      </c>
      <c r="E93" s="219">
        <v>48</v>
      </c>
      <c r="F93" s="219">
        <v>44</v>
      </c>
      <c r="G93" s="219">
        <v>130627851.19999996</v>
      </c>
      <c r="H93" s="219">
        <v>39188355.43999999</v>
      </c>
      <c r="I93" s="219">
        <v>9476863.5800000001</v>
      </c>
      <c r="J93" s="321">
        <v>7723697.419999999</v>
      </c>
      <c r="K93" s="302"/>
    </row>
    <row r="94" spans="2:11" outlineLevel="1" collapsed="1" x14ac:dyDescent="0.35">
      <c r="B94" s="487"/>
      <c r="C94" s="490"/>
      <c r="D94" s="324" t="s">
        <v>133</v>
      </c>
      <c r="E94" s="219">
        <v>8</v>
      </c>
      <c r="F94" s="219">
        <v>8</v>
      </c>
      <c r="G94" s="219">
        <v>32906639.100000001</v>
      </c>
      <c r="H94" s="219">
        <v>8719638.7599999979</v>
      </c>
      <c r="I94" s="219">
        <v>1076198.3799999999</v>
      </c>
      <c r="J94" s="321">
        <v>1776362.3900000001</v>
      </c>
    </row>
    <row r="95" spans="2:11" outlineLevel="1" x14ac:dyDescent="0.35">
      <c r="B95" s="487"/>
      <c r="C95" s="490"/>
      <c r="D95" s="236" t="s">
        <v>140</v>
      </c>
      <c r="E95" s="275">
        <v>17</v>
      </c>
      <c r="F95" s="275">
        <v>11</v>
      </c>
      <c r="G95" s="275">
        <v>164089121</v>
      </c>
      <c r="H95" s="275">
        <v>65550436.599999994</v>
      </c>
      <c r="I95" s="275">
        <v>41781003.549999997</v>
      </c>
      <c r="J95" s="323">
        <v>20911390.98</v>
      </c>
    </row>
    <row r="96" spans="2:11" outlineLevel="1" x14ac:dyDescent="0.35">
      <c r="B96" s="487"/>
      <c r="C96" s="490"/>
      <c r="D96" s="236" t="s">
        <v>139</v>
      </c>
      <c r="E96" s="275">
        <v>0</v>
      </c>
      <c r="F96" s="275">
        <v>0</v>
      </c>
      <c r="G96" s="275">
        <v>0</v>
      </c>
      <c r="H96" s="275">
        <v>0</v>
      </c>
      <c r="I96" s="275">
        <v>0</v>
      </c>
      <c r="J96" s="323">
        <v>0</v>
      </c>
    </row>
    <row r="97" spans="2:10" outlineLevel="1" x14ac:dyDescent="0.35">
      <c r="B97" s="487"/>
      <c r="C97" s="490"/>
      <c r="D97" s="236" t="s">
        <v>138</v>
      </c>
      <c r="E97" s="275">
        <f t="shared" ref="E97:J97" si="15">SUM(E98:E101)</f>
        <v>82</v>
      </c>
      <c r="F97" s="275">
        <f t="shared" si="15"/>
        <v>79</v>
      </c>
      <c r="G97" s="275">
        <f t="shared" si="15"/>
        <v>99038868.349999994</v>
      </c>
      <c r="H97" s="275">
        <f t="shared" si="15"/>
        <v>34938655.649999991</v>
      </c>
      <c r="I97" s="275">
        <f t="shared" si="15"/>
        <v>19364185.390000001</v>
      </c>
      <c r="J97" s="323">
        <f t="shared" si="15"/>
        <v>7242330.2699999996</v>
      </c>
    </row>
    <row r="98" spans="2:10" hidden="1" outlineLevel="2" x14ac:dyDescent="0.35">
      <c r="B98" s="487"/>
      <c r="C98" s="490"/>
      <c r="D98" s="242" t="s">
        <v>137</v>
      </c>
      <c r="E98" s="275">
        <v>40</v>
      </c>
      <c r="F98" s="275">
        <v>38</v>
      </c>
      <c r="G98" s="275">
        <v>45916288.049999997</v>
      </c>
      <c r="H98" s="275">
        <v>17724369.799999997</v>
      </c>
      <c r="I98" s="275">
        <v>9210791.0300000012</v>
      </c>
      <c r="J98" s="323">
        <v>3624154.81</v>
      </c>
    </row>
    <row r="99" spans="2:10" hidden="1" outlineLevel="2" x14ac:dyDescent="0.35">
      <c r="B99" s="487"/>
      <c r="C99" s="490"/>
      <c r="D99" s="242" t="s">
        <v>136</v>
      </c>
      <c r="E99" s="275">
        <v>13</v>
      </c>
      <c r="F99" s="275">
        <v>13</v>
      </c>
      <c r="G99" s="275">
        <v>16109869.15</v>
      </c>
      <c r="H99" s="275">
        <v>5207312.26</v>
      </c>
      <c r="I99" s="275">
        <v>3639444.76</v>
      </c>
      <c r="J99" s="323">
        <v>851306.05999999994</v>
      </c>
    </row>
    <row r="100" spans="2:10" hidden="1" outlineLevel="2" x14ac:dyDescent="0.35">
      <c r="B100" s="487"/>
      <c r="C100" s="490"/>
      <c r="D100" s="242" t="s">
        <v>135</v>
      </c>
      <c r="E100" s="275">
        <v>11</v>
      </c>
      <c r="F100" s="275">
        <v>11</v>
      </c>
      <c r="G100" s="275">
        <v>12482904.699999999</v>
      </c>
      <c r="H100" s="275">
        <v>3744871.4299999997</v>
      </c>
      <c r="I100" s="275">
        <v>4670979.33</v>
      </c>
      <c r="J100" s="323">
        <v>851236.99999999988</v>
      </c>
    </row>
    <row r="101" spans="2:10" hidden="1" outlineLevel="2" x14ac:dyDescent="0.35">
      <c r="B101" s="487"/>
      <c r="C101" s="490"/>
      <c r="D101" s="242" t="s">
        <v>134</v>
      </c>
      <c r="E101" s="275">
        <v>18</v>
      </c>
      <c r="F101" s="275">
        <v>17</v>
      </c>
      <c r="G101" s="275">
        <v>24529806.450000007</v>
      </c>
      <c r="H101" s="275">
        <v>8262102.1600000001</v>
      </c>
      <c r="I101" s="275">
        <v>1842970.27</v>
      </c>
      <c r="J101" s="323">
        <v>1915632.4</v>
      </c>
    </row>
    <row r="102" spans="2:10" outlineLevel="1" collapsed="1" x14ac:dyDescent="0.35">
      <c r="B102" s="487"/>
      <c r="C102" s="490"/>
      <c r="D102" s="236" t="s">
        <v>132</v>
      </c>
      <c r="E102" s="275">
        <f t="shared" ref="E102:J102" si="16">SUM(E103:E106)</f>
        <v>48</v>
      </c>
      <c r="F102" s="275">
        <f t="shared" si="16"/>
        <v>46</v>
      </c>
      <c r="G102" s="275">
        <f t="shared" si="16"/>
        <v>122063964.75999998</v>
      </c>
      <c r="H102" s="275">
        <f t="shared" si="16"/>
        <v>33379848.890000004</v>
      </c>
      <c r="I102" s="275">
        <f t="shared" si="16"/>
        <v>34981246.550000004</v>
      </c>
      <c r="J102" s="323">
        <f t="shared" si="16"/>
        <v>4625222.3400000008</v>
      </c>
    </row>
    <row r="103" spans="2:10" hidden="1" outlineLevel="2" x14ac:dyDescent="0.35">
      <c r="B103" s="487"/>
      <c r="C103" s="490"/>
      <c r="D103" s="242" t="s">
        <v>131</v>
      </c>
      <c r="E103" s="275">
        <v>13</v>
      </c>
      <c r="F103" s="275">
        <v>13</v>
      </c>
      <c r="G103" s="275">
        <v>31120665.949999999</v>
      </c>
      <c r="H103" s="275">
        <v>9336199.8000000007</v>
      </c>
      <c r="I103" s="275">
        <v>28028417.430000003</v>
      </c>
      <c r="J103" s="323">
        <v>1669753.5400000003</v>
      </c>
    </row>
    <row r="104" spans="2:10" hidden="1" outlineLevel="2" x14ac:dyDescent="0.35">
      <c r="B104" s="487"/>
      <c r="C104" s="490"/>
      <c r="D104" s="242" t="s">
        <v>130</v>
      </c>
      <c r="E104" s="275">
        <v>3</v>
      </c>
      <c r="F104" s="275">
        <v>3</v>
      </c>
      <c r="G104" s="275">
        <v>9617704.3999999985</v>
      </c>
      <c r="H104" s="275">
        <v>2186369.64</v>
      </c>
      <c r="I104" s="275">
        <v>771043.09</v>
      </c>
      <c r="J104" s="323">
        <v>288337.17</v>
      </c>
    </row>
    <row r="105" spans="2:10" hidden="1" outlineLevel="2" x14ac:dyDescent="0.35">
      <c r="B105" s="487"/>
      <c r="C105" s="490"/>
      <c r="D105" s="242" t="s">
        <v>129</v>
      </c>
      <c r="E105" s="275">
        <v>32</v>
      </c>
      <c r="F105" s="275">
        <v>30</v>
      </c>
      <c r="G105" s="275">
        <v>81325594.409999982</v>
      </c>
      <c r="H105" s="275">
        <v>21857279.450000003</v>
      </c>
      <c r="I105" s="275">
        <v>4711324.2</v>
      </c>
      <c r="J105" s="323">
        <v>2667131.6300000004</v>
      </c>
    </row>
    <row r="106" spans="2:10" hidden="1" outlineLevel="2" x14ac:dyDescent="0.35">
      <c r="B106" s="487"/>
      <c r="C106" s="490"/>
      <c r="D106" s="242" t="s">
        <v>128</v>
      </c>
      <c r="E106" s="275">
        <v>0</v>
      </c>
      <c r="F106" s="275">
        <v>0</v>
      </c>
      <c r="G106" s="275">
        <v>0</v>
      </c>
      <c r="H106" s="275">
        <v>0</v>
      </c>
      <c r="I106" s="275">
        <v>1470461.83</v>
      </c>
      <c r="J106" s="323">
        <v>0</v>
      </c>
    </row>
    <row r="107" spans="2:10" outlineLevel="1" collapsed="1" x14ac:dyDescent="0.35">
      <c r="B107" s="487"/>
      <c r="C107" s="490"/>
      <c r="D107" s="236" t="s">
        <v>41</v>
      </c>
      <c r="E107" s="275">
        <v>2</v>
      </c>
      <c r="F107" s="275">
        <v>2</v>
      </c>
      <c r="G107" s="275">
        <v>5966329.75</v>
      </c>
      <c r="H107" s="275">
        <v>1193265.95</v>
      </c>
      <c r="I107" s="275">
        <v>347244.55</v>
      </c>
      <c r="J107" s="323">
        <v>350565.6</v>
      </c>
    </row>
    <row r="108" spans="2:10" x14ac:dyDescent="0.35">
      <c r="B108" s="488"/>
      <c r="C108" s="491"/>
      <c r="D108" s="213" t="s">
        <v>251</v>
      </c>
      <c r="E108" s="295">
        <f t="shared" ref="E108:J108" si="17">SUM(E102,E107,E97,E96,E94,E90,E81,E77,E95)</f>
        <v>516</v>
      </c>
      <c r="F108" s="295">
        <f t="shared" si="17"/>
        <v>462</v>
      </c>
      <c r="G108" s="295">
        <f t="shared" si="17"/>
        <v>1419085298.8999996</v>
      </c>
      <c r="H108" s="295">
        <f t="shared" si="17"/>
        <v>639669435.46999991</v>
      </c>
      <c r="I108" s="294">
        <f t="shared" si="17"/>
        <v>210675398.87</v>
      </c>
      <c r="J108" s="293">
        <f t="shared" si="17"/>
        <v>134488642.03999999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75">
        <v>14</v>
      </c>
      <c r="F109" s="275">
        <v>14</v>
      </c>
      <c r="G109" s="275">
        <v>32368358.75</v>
      </c>
      <c r="H109" s="275">
        <v>6473671.8099999996</v>
      </c>
      <c r="I109" s="275">
        <v>1710079.1400000001</v>
      </c>
      <c r="J109" s="323">
        <v>1365136.64</v>
      </c>
    </row>
    <row r="110" spans="2:10" outlineLevel="1" x14ac:dyDescent="0.35">
      <c r="B110" s="487"/>
      <c r="C110" s="490"/>
      <c r="D110" s="236" t="s">
        <v>122</v>
      </c>
      <c r="E110" s="275">
        <v>10</v>
      </c>
      <c r="F110" s="275">
        <v>10</v>
      </c>
      <c r="G110" s="275">
        <v>18274024.649999999</v>
      </c>
      <c r="H110" s="275">
        <v>3654804.95</v>
      </c>
      <c r="I110" s="275">
        <v>1546707.05</v>
      </c>
      <c r="J110" s="323">
        <v>1037969.03</v>
      </c>
    </row>
    <row r="111" spans="2:10" outlineLevel="1" x14ac:dyDescent="0.35">
      <c r="B111" s="487"/>
      <c r="C111" s="490"/>
      <c r="D111" s="236" t="s">
        <v>48</v>
      </c>
      <c r="E111" s="275">
        <v>7</v>
      </c>
      <c r="F111" s="275">
        <v>6</v>
      </c>
      <c r="G111" s="275">
        <v>13458270.989999998</v>
      </c>
      <c r="H111" s="275">
        <v>2691654.22</v>
      </c>
      <c r="I111" s="275">
        <v>2182505.9699999997</v>
      </c>
      <c r="J111" s="323">
        <v>837727.80999999982</v>
      </c>
    </row>
    <row r="112" spans="2:10" outlineLevel="1" x14ac:dyDescent="0.35">
      <c r="B112" s="487"/>
      <c r="C112" s="490"/>
      <c r="D112" s="236" t="s">
        <v>47</v>
      </c>
      <c r="E112" s="275">
        <v>2</v>
      </c>
      <c r="F112" s="275">
        <v>2</v>
      </c>
      <c r="G112" s="275">
        <v>4900826.8499999996</v>
      </c>
      <c r="H112" s="275">
        <v>980165.38</v>
      </c>
      <c r="I112" s="275">
        <v>3552351.7300000004</v>
      </c>
      <c r="J112" s="323">
        <v>12383.880000000001</v>
      </c>
    </row>
    <row r="113" spans="2:11" outlineLevel="1" x14ac:dyDescent="0.35">
      <c r="B113" s="487"/>
      <c r="C113" s="490"/>
      <c r="D113" s="236" t="s">
        <v>40</v>
      </c>
      <c r="E113" s="275">
        <v>0</v>
      </c>
      <c r="F113" s="275">
        <v>0</v>
      </c>
      <c r="G113" s="275">
        <v>0</v>
      </c>
      <c r="H113" s="275">
        <v>0</v>
      </c>
      <c r="I113" s="275">
        <v>11822916.07</v>
      </c>
      <c r="J113" s="323">
        <v>0</v>
      </c>
    </row>
    <row r="114" spans="2:11" outlineLevel="1" x14ac:dyDescent="0.35">
      <c r="B114" s="487"/>
      <c r="C114" s="490"/>
      <c r="D114" s="236" t="s">
        <v>39</v>
      </c>
      <c r="E114" s="275">
        <v>0</v>
      </c>
      <c r="F114" s="275">
        <v>0</v>
      </c>
      <c r="G114" s="275">
        <v>0</v>
      </c>
      <c r="H114" s="275">
        <v>0</v>
      </c>
      <c r="I114" s="275">
        <v>5324684.3499999996</v>
      </c>
      <c r="J114" s="323">
        <v>0</v>
      </c>
    </row>
    <row r="115" spans="2:11" outlineLevel="1" x14ac:dyDescent="0.35">
      <c r="B115" s="487"/>
      <c r="C115" s="490"/>
      <c r="D115" s="236" t="s">
        <v>38</v>
      </c>
      <c r="E115" s="275">
        <v>0</v>
      </c>
      <c r="F115" s="275">
        <v>0</v>
      </c>
      <c r="G115" s="275">
        <v>0</v>
      </c>
      <c r="H115" s="275">
        <v>0</v>
      </c>
      <c r="I115" s="275">
        <v>3773593</v>
      </c>
      <c r="J115" s="323">
        <v>0</v>
      </c>
    </row>
    <row r="116" spans="2:11" x14ac:dyDescent="0.35">
      <c r="B116" s="488"/>
      <c r="C116" s="491"/>
      <c r="D116" s="213" t="s">
        <v>248</v>
      </c>
      <c r="E116" s="295">
        <f t="shared" ref="E116:J116" si="18">SUM(E109:E115)</f>
        <v>33</v>
      </c>
      <c r="F116" s="295">
        <f t="shared" si="18"/>
        <v>32</v>
      </c>
      <c r="G116" s="295">
        <f t="shared" si="18"/>
        <v>69001481.239999995</v>
      </c>
      <c r="H116" s="295">
        <f t="shared" si="18"/>
        <v>13800296.360000001</v>
      </c>
      <c r="I116" s="294">
        <f t="shared" si="18"/>
        <v>29912837.310000002</v>
      </c>
      <c r="J116" s="293">
        <f t="shared" si="18"/>
        <v>3253217.3599999994</v>
      </c>
    </row>
    <row r="117" spans="2:11" outlineLevel="1" x14ac:dyDescent="0.35">
      <c r="B117" s="487" t="s">
        <v>247</v>
      </c>
      <c r="C117" s="490" t="s">
        <v>246</v>
      </c>
      <c r="D117" s="236" t="s">
        <v>36</v>
      </c>
      <c r="E117" s="275">
        <v>0</v>
      </c>
      <c r="F117" s="275">
        <v>0</v>
      </c>
      <c r="G117" s="275">
        <v>0</v>
      </c>
      <c r="H117" s="275">
        <v>0</v>
      </c>
      <c r="I117" s="275">
        <v>0</v>
      </c>
      <c r="J117" s="323">
        <v>0</v>
      </c>
    </row>
    <row r="118" spans="2:11" outlineLevel="1" x14ac:dyDescent="0.35">
      <c r="B118" s="487"/>
      <c r="C118" s="490"/>
      <c r="D118" s="236" t="s">
        <v>35</v>
      </c>
      <c r="E118" s="275">
        <v>0</v>
      </c>
      <c r="F118" s="275">
        <v>0</v>
      </c>
      <c r="G118" s="275">
        <v>0</v>
      </c>
      <c r="H118" s="275">
        <v>0</v>
      </c>
      <c r="I118" s="275">
        <v>0</v>
      </c>
      <c r="J118" s="323">
        <v>0</v>
      </c>
    </row>
    <row r="119" spans="2:11" outlineLevel="1" x14ac:dyDescent="0.35">
      <c r="B119" s="487"/>
      <c r="C119" s="490"/>
      <c r="D119" s="236" t="s">
        <v>34</v>
      </c>
      <c r="E119" s="275">
        <v>0</v>
      </c>
      <c r="F119" s="275">
        <v>0</v>
      </c>
      <c r="G119" s="275">
        <v>0</v>
      </c>
      <c r="H119" s="275">
        <v>0</v>
      </c>
      <c r="I119" s="275">
        <v>0</v>
      </c>
      <c r="J119" s="323">
        <v>0</v>
      </c>
    </row>
    <row r="120" spans="2:11" outlineLevel="1" x14ac:dyDescent="0.35">
      <c r="B120" s="487"/>
      <c r="C120" s="490"/>
      <c r="D120" s="236" t="s">
        <v>33</v>
      </c>
      <c r="E120" s="275">
        <v>0</v>
      </c>
      <c r="F120" s="275">
        <v>0</v>
      </c>
      <c r="G120" s="275">
        <v>0</v>
      </c>
      <c r="H120" s="275">
        <v>0</v>
      </c>
      <c r="I120" s="275">
        <v>0</v>
      </c>
      <c r="J120" s="323">
        <v>0</v>
      </c>
    </row>
    <row r="121" spans="2:11" x14ac:dyDescent="0.35">
      <c r="B121" s="488"/>
      <c r="C121" s="491"/>
      <c r="D121" s="213" t="s">
        <v>245</v>
      </c>
      <c r="E121" s="295">
        <f t="shared" ref="E121:J121" si="19">SUM(E117:E120)</f>
        <v>0</v>
      </c>
      <c r="F121" s="295">
        <f t="shared" si="19"/>
        <v>0</v>
      </c>
      <c r="G121" s="295">
        <f t="shared" si="19"/>
        <v>0</v>
      </c>
      <c r="H121" s="295">
        <f t="shared" si="19"/>
        <v>0</v>
      </c>
      <c r="I121" s="294">
        <f t="shared" si="19"/>
        <v>0</v>
      </c>
      <c r="J121" s="293">
        <f t="shared" si="19"/>
        <v>0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22"/>
      <c r="K122" s="297"/>
    </row>
    <row r="123" spans="2:11" outlineLevel="1" x14ac:dyDescent="0.35">
      <c r="B123" s="492"/>
      <c r="C123" s="485"/>
      <c r="D123" s="225" t="s">
        <v>145</v>
      </c>
      <c r="E123" s="275">
        <f t="shared" ref="E123:J123" si="20">SUM(E124:E127)</f>
        <v>12</v>
      </c>
      <c r="F123" s="275">
        <f t="shared" si="20"/>
        <v>12</v>
      </c>
      <c r="G123" s="275">
        <f t="shared" si="20"/>
        <v>167504536.45999998</v>
      </c>
      <c r="H123" s="275">
        <f t="shared" si="20"/>
        <v>57149401.670000002</v>
      </c>
      <c r="I123" s="219">
        <f t="shared" si="20"/>
        <v>21229239.780000001</v>
      </c>
      <c r="J123" s="321">
        <f t="shared" si="20"/>
        <v>12143312.899999999</v>
      </c>
    </row>
    <row r="124" spans="2:11" hidden="1" outlineLevel="2" x14ac:dyDescent="0.35">
      <c r="B124" s="492"/>
      <c r="C124" s="485"/>
      <c r="D124" s="222" t="s">
        <v>144</v>
      </c>
      <c r="E124" s="275">
        <v>10</v>
      </c>
      <c r="F124" s="275">
        <v>10</v>
      </c>
      <c r="G124" s="275">
        <v>131735143.45999999</v>
      </c>
      <c r="H124" s="275">
        <v>48188988.07</v>
      </c>
      <c r="I124" s="219">
        <v>17682892.460000001</v>
      </c>
      <c r="J124" s="321">
        <v>10127908.719999999</v>
      </c>
    </row>
    <row r="125" spans="2:11" hidden="1" outlineLevel="2" x14ac:dyDescent="0.35">
      <c r="B125" s="492"/>
      <c r="C125" s="485"/>
      <c r="D125" s="223" t="s">
        <v>143</v>
      </c>
      <c r="E125" s="275">
        <v>1</v>
      </c>
      <c r="F125" s="275">
        <v>1</v>
      </c>
      <c r="G125" s="275">
        <v>17704043</v>
      </c>
      <c r="H125" s="275">
        <v>3540808.6</v>
      </c>
      <c r="I125" s="219">
        <v>3546347.32</v>
      </c>
      <c r="J125" s="321">
        <v>721271.6</v>
      </c>
    </row>
    <row r="126" spans="2:11" hidden="1" outlineLevel="2" x14ac:dyDescent="0.35">
      <c r="B126" s="492"/>
      <c r="C126" s="485"/>
      <c r="D126" s="223" t="s">
        <v>142</v>
      </c>
      <c r="E126" s="275">
        <v>1</v>
      </c>
      <c r="F126" s="275">
        <v>1</v>
      </c>
      <c r="G126" s="275">
        <v>18065350</v>
      </c>
      <c r="H126" s="275">
        <v>5419605</v>
      </c>
      <c r="I126" s="219">
        <v>0</v>
      </c>
      <c r="J126" s="321">
        <v>1294132.58</v>
      </c>
    </row>
    <row r="127" spans="2:11" hidden="1" outlineLevel="2" x14ac:dyDescent="0.35">
      <c r="B127" s="492"/>
      <c r="C127" s="485"/>
      <c r="D127" s="223" t="s">
        <v>141</v>
      </c>
      <c r="E127" s="275">
        <v>0</v>
      </c>
      <c r="F127" s="275">
        <v>0</v>
      </c>
      <c r="G127" s="275">
        <v>0</v>
      </c>
      <c r="H127" s="275">
        <v>0</v>
      </c>
      <c r="I127" s="219">
        <v>0</v>
      </c>
      <c r="J127" s="321">
        <v>0</v>
      </c>
    </row>
    <row r="128" spans="2:11" outlineLevel="1" collapsed="1" x14ac:dyDescent="0.35">
      <c r="B128" s="492"/>
      <c r="C128" s="485"/>
      <c r="D128" s="221" t="s">
        <v>121</v>
      </c>
      <c r="E128" s="275">
        <f t="shared" ref="E128:J128" si="21">SUM(E129:E162)</f>
        <v>142</v>
      </c>
      <c r="F128" s="275">
        <f t="shared" si="21"/>
        <v>137</v>
      </c>
      <c r="G128" s="275">
        <f t="shared" si="21"/>
        <v>224772903.02000001</v>
      </c>
      <c r="H128" s="275">
        <f t="shared" si="21"/>
        <v>95999934.670000002</v>
      </c>
      <c r="I128" s="219">
        <f t="shared" si="21"/>
        <v>55081859.890000008</v>
      </c>
      <c r="J128" s="321">
        <f t="shared" si="21"/>
        <v>15506550.439999999</v>
      </c>
    </row>
    <row r="129" spans="2:10" hidden="1" outlineLevel="2" x14ac:dyDescent="0.35">
      <c r="B129" s="492"/>
      <c r="C129" s="485"/>
      <c r="D129" s="224" t="s">
        <v>119</v>
      </c>
      <c r="E129" s="275">
        <v>6</v>
      </c>
      <c r="F129" s="275">
        <v>6</v>
      </c>
      <c r="G129" s="275">
        <v>7849756.6399999997</v>
      </c>
      <c r="H129" s="275">
        <v>3084005.36</v>
      </c>
      <c r="I129" s="219">
        <v>1349809.12</v>
      </c>
      <c r="J129" s="321">
        <v>432012.06999999995</v>
      </c>
    </row>
    <row r="130" spans="2:10" hidden="1" outlineLevel="2" x14ac:dyDescent="0.35">
      <c r="B130" s="492"/>
      <c r="C130" s="485"/>
      <c r="D130" s="223" t="s">
        <v>118</v>
      </c>
      <c r="E130" s="275">
        <v>16</v>
      </c>
      <c r="F130" s="275">
        <v>16</v>
      </c>
      <c r="G130" s="275">
        <v>25373664.839999996</v>
      </c>
      <c r="H130" s="275">
        <v>11721144.15</v>
      </c>
      <c r="I130" s="219">
        <v>1605434.1</v>
      </c>
      <c r="J130" s="321">
        <v>1698052.18</v>
      </c>
    </row>
    <row r="131" spans="2:10" hidden="1" outlineLevel="2" x14ac:dyDescent="0.35">
      <c r="B131" s="492"/>
      <c r="C131" s="485"/>
      <c r="D131" s="223" t="s">
        <v>117</v>
      </c>
      <c r="E131" s="275">
        <v>4</v>
      </c>
      <c r="F131" s="275">
        <v>4</v>
      </c>
      <c r="G131" s="275">
        <v>5794561.2400000002</v>
      </c>
      <c r="H131" s="275">
        <v>2718740.12</v>
      </c>
      <c r="I131" s="219">
        <v>119196.38</v>
      </c>
      <c r="J131" s="321">
        <v>491252.04</v>
      </c>
    </row>
    <row r="132" spans="2:10" hidden="1" outlineLevel="2" x14ac:dyDescent="0.35">
      <c r="B132" s="492"/>
      <c r="C132" s="485"/>
      <c r="D132" s="223" t="s">
        <v>116</v>
      </c>
      <c r="E132" s="275">
        <v>0</v>
      </c>
      <c r="F132" s="275">
        <v>0</v>
      </c>
      <c r="G132" s="275">
        <v>0</v>
      </c>
      <c r="H132" s="275">
        <v>0</v>
      </c>
      <c r="I132" s="219">
        <v>0</v>
      </c>
      <c r="J132" s="321">
        <v>0</v>
      </c>
    </row>
    <row r="133" spans="2:10" hidden="1" outlineLevel="2" x14ac:dyDescent="0.35">
      <c r="B133" s="492"/>
      <c r="C133" s="485"/>
      <c r="D133" s="224" t="s">
        <v>114</v>
      </c>
      <c r="E133" s="275">
        <v>4</v>
      </c>
      <c r="F133" s="275">
        <v>4</v>
      </c>
      <c r="G133" s="275">
        <v>5417387.1000000006</v>
      </c>
      <c r="H133" s="275">
        <v>2566445.25</v>
      </c>
      <c r="I133" s="219">
        <v>2871014.13</v>
      </c>
      <c r="J133" s="321">
        <v>247583.15999999997</v>
      </c>
    </row>
    <row r="134" spans="2:10" hidden="1" outlineLevel="2" x14ac:dyDescent="0.35">
      <c r="B134" s="492"/>
      <c r="C134" s="485"/>
      <c r="D134" s="223" t="s">
        <v>113</v>
      </c>
      <c r="E134" s="275">
        <v>18</v>
      </c>
      <c r="F134" s="275">
        <v>17</v>
      </c>
      <c r="G134" s="275">
        <v>26762274.429999992</v>
      </c>
      <c r="H134" s="275">
        <v>12666138.130000001</v>
      </c>
      <c r="I134" s="219">
        <v>5203286.5199999996</v>
      </c>
      <c r="J134" s="321">
        <v>2480005.86</v>
      </c>
    </row>
    <row r="135" spans="2:10" hidden="1" outlineLevel="2" x14ac:dyDescent="0.35">
      <c r="B135" s="492"/>
      <c r="C135" s="485"/>
      <c r="D135" s="223" t="s">
        <v>112</v>
      </c>
      <c r="E135" s="275">
        <v>9</v>
      </c>
      <c r="F135" s="275">
        <v>8</v>
      </c>
      <c r="G135" s="275">
        <v>15392402.460000003</v>
      </c>
      <c r="H135" s="275">
        <v>7455079.8300000001</v>
      </c>
      <c r="I135" s="219">
        <v>1242755.03</v>
      </c>
      <c r="J135" s="321">
        <v>992805.59</v>
      </c>
    </row>
    <row r="136" spans="2:10" hidden="1" outlineLevel="2" x14ac:dyDescent="0.35">
      <c r="B136" s="492"/>
      <c r="C136" s="485"/>
      <c r="D136" s="223" t="s">
        <v>111</v>
      </c>
      <c r="E136" s="275">
        <v>3</v>
      </c>
      <c r="F136" s="275">
        <v>2</v>
      </c>
      <c r="G136" s="275">
        <v>10227913.029999999</v>
      </c>
      <c r="H136" s="275">
        <v>4385497.09</v>
      </c>
      <c r="I136" s="219">
        <v>0</v>
      </c>
      <c r="J136" s="321">
        <v>288003.71000000002</v>
      </c>
    </row>
    <row r="137" spans="2:10" hidden="1" outlineLevel="2" x14ac:dyDescent="0.35">
      <c r="B137" s="492"/>
      <c r="C137" s="485"/>
      <c r="D137" s="222" t="s">
        <v>109</v>
      </c>
      <c r="E137" s="275">
        <v>9</v>
      </c>
      <c r="F137" s="275">
        <v>9</v>
      </c>
      <c r="G137" s="275">
        <v>14730969</v>
      </c>
      <c r="H137" s="275">
        <v>6444563.5300000003</v>
      </c>
      <c r="I137" s="219">
        <v>1874580.7200000002</v>
      </c>
      <c r="J137" s="321">
        <v>1272548.25</v>
      </c>
    </row>
    <row r="138" spans="2:10" hidden="1" outlineLevel="2" x14ac:dyDescent="0.35">
      <c r="B138" s="492"/>
      <c r="C138" s="485"/>
      <c r="D138" s="222" t="s">
        <v>108</v>
      </c>
      <c r="E138" s="275">
        <v>22</v>
      </c>
      <c r="F138" s="275">
        <v>21</v>
      </c>
      <c r="G138" s="275">
        <v>28551885</v>
      </c>
      <c r="H138" s="275">
        <v>13259759.260000002</v>
      </c>
      <c r="I138" s="219">
        <v>2554923.33</v>
      </c>
      <c r="J138" s="321">
        <v>1351752.6500000001</v>
      </c>
    </row>
    <row r="139" spans="2:10" hidden="1" outlineLevel="2" x14ac:dyDescent="0.35">
      <c r="B139" s="492"/>
      <c r="C139" s="485"/>
      <c r="D139" s="222" t="s">
        <v>107</v>
      </c>
      <c r="E139" s="275">
        <v>5</v>
      </c>
      <c r="F139" s="275">
        <v>5</v>
      </c>
      <c r="G139" s="275">
        <v>6233380.919999999</v>
      </c>
      <c r="H139" s="275">
        <v>2990900.2</v>
      </c>
      <c r="I139" s="219">
        <v>2463647.69</v>
      </c>
      <c r="J139" s="321">
        <v>538194.89999999991</v>
      </c>
    </row>
    <row r="140" spans="2:10" hidden="1" outlineLevel="2" x14ac:dyDescent="0.35">
      <c r="B140" s="492"/>
      <c r="C140" s="485"/>
      <c r="D140" s="222" t="s">
        <v>106</v>
      </c>
      <c r="E140" s="275">
        <v>0</v>
      </c>
      <c r="F140" s="275">
        <v>0</v>
      </c>
      <c r="G140" s="275">
        <v>0</v>
      </c>
      <c r="H140" s="275">
        <v>0</v>
      </c>
      <c r="I140" s="219">
        <v>1266748.6200000001</v>
      </c>
      <c r="J140" s="321">
        <v>0</v>
      </c>
    </row>
    <row r="141" spans="2:10" hidden="1" outlineLevel="2" x14ac:dyDescent="0.35">
      <c r="B141" s="492"/>
      <c r="C141" s="485"/>
      <c r="D141" s="222" t="s">
        <v>104</v>
      </c>
      <c r="E141" s="275">
        <v>2</v>
      </c>
      <c r="F141" s="275">
        <v>2</v>
      </c>
      <c r="G141" s="275">
        <v>3678995.1799999997</v>
      </c>
      <c r="H141" s="275">
        <v>1229647.8599999999</v>
      </c>
      <c r="I141" s="219">
        <v>1502772.1600000001</v>
      </c>
      <c r="J141" s="321">
        <v>127898.13</v>
      </c>
    </row>
    <row r="142" spans="2:10" hidden="1" outlineLevel="2" x14ac:dyDescent="0.35">
      <c r="B142" s="492"/>
      <c r="C142" s="485"/>
      <c r="D142" s="222" t="s">
        <v>103</v>
      </c>
      <c r="E142" s="275">
        <v>10</v>
      </c>
      <c r="F142" s="275">
        <v>10</v>
      </c>
      <c r="G142" s="275">
        <v>14543948.17</v>
      </c>
      <c r="H142" s="275">
        <v>5696287.8400000008</v>
      </c>
      <c r="I142" s="219">
        <v>7230623.1000000006</v>
      </c>
      <c r="J142" s="321">
        <v>1090481.3799999999</v>
      </c>
    </row>
    <row r="143" spans="2:10" hidden="1" outlineLevel="2" x14ac:dyDescent="0.35">
      <c r="B143" s="492"/>
      <c r="C143" s="485"/>
      <c r="D143" s="222" t="s">
        <v>102</v>
      </c>
      <c r="E143" s="275">
        <v>3</v>
      </c>
      <c r="F143" s="275">
        <v>3</v>
      </c>
      <c r="G143" s="275">
        <v>4169585.64</v>
      </c>
      <c r="H143" s="275">
        <v>1667834.27</v>
      </c>
      <c r="I143" s="219">
        <v>3729946.6799999997</v>
      </c>
      <c r="J143" s="321">
        <v>386646.69999999995</v>
      </c>
    </row>
    <row r="144" spans="2:10" hidden="1" outlineLevel="2" x14ac:dyDescent="0.35">
      <c r="B144" s="492"/>
      <c r="C144" s="485"/>
      <c r="D144" s="222" t="s">
        <v>101</v>
      </c>
      <c r="E144" s="275">
        <v>0</v>
      </c>
      <c r="F144" s="275">
        <v>0</v>
      </c>
      <c r="G144" s="275">
        <v>0</v>
      </c>
      <c r="H144" s="275">
        <v>0</v>
      </c>
      <c r="I144" s="219">
        <v>1332455.9099999999</v>
      </c>
      <c r="J144" s="321">
        <v>0</v>
      </c>
    </row>
    <row r="145" spans="2:11" hidden="1" outlineLevel="2" x14ac:dyDescent="0.35">
      <c r="B145" s="492"/>
      <c r="C145" s="485"/>
      <c r="D145" s="223" t="s">
        <v>99</v>
      </c>
      <c r="E145" s="275">
        <v>2</v>
      </c>
      <c r="F145" s="275">
        <v>2</v>
      </c>
      <c r="G145" s="275">
        <v>2538498.11</v>
      </c>
      <c r="H145" s="275">
        <v>1015399.24</v>
      </c>
      <c r="I145" s="219">
        <v>3347443.33</v>
      </c>
      <c r="J145" s="321">
        <v>249859.19</v>
      </c>
    </row>
    <row r="146" spans="2:11" hidden="1" outlineLevel="2" x14ac:dyDescent="0.35">
      <c r="B146" s="492"/>
      <c r="C146" s="485"/>
      <c r="D146" s="223" t="s">
        <v>98</v>
      </c>
      <c r="E146" s="275">
        <v>1</v>
      </c>
      <c r="F146" s="275">
        <v>1</v>
      </c>
      <c r="G146" s="275">
        <v>1475570.6</v>
      </c>
      <c r="H146" s="275">
        <v>442671.18</v>
      </c>
      <c r="I146" s="219">
        <v>832922.03</v>
      </c>
      <c r="J146" s="321">
        <v>3370.22</v>
      </c>
    </row>
    <row r="147" spans="2:11" hidden="1" outlineLevel="2" x14ac:dyDescent="0.35">
      <c r="B147" s="492"/>
      <c r="C147" s="485"/>
      <c r="D147" s="223" t="s">
        <v>97</v>
      </c>
      <c r="E147" s="275">
        <v>2</v>
      </c>
      <c r="F147" s="275">
        <v>2</v>
      </c>
      <c r="G147" s="275">
        <v>5769439.6200000001</v>
      </c>
      <c r="H147" s="275">
        <v>2307775.85</v>
      </c>
      <c r="I147" s="219">
        <v>1575929</v>
      </c>
      <c r="J147" s="321">
        <v>378398.96</v>
      </c>
    </row>
    <row r="148" spans="2:11" hidden="1" outlineLevel="2" x14ac:dyDescent="0.35">
      <c r="B148" s="492"/>
      <c r="C148" s="485"/>
      <c r="D148" s="223" t="s">
        <v>96</v>
      </c>
      <c r="E148" s="275">
        <v>3</v>
      </c>
      <c r="F148" s="275">
        <v>3</v>
      </c>
      <c r="G148" s="275">
        <v>5131225.8499999996</v>
      </c>
      <c r="H148" s="275">
        <v>1847234.69</v>
      </c>
      <c r="I148" s="219">
        <v>5032919.0599999996</v>
      </c>
      <c r="J148" s="321">
        <v>691072.08000000007</v>
      </c>
    </row>
    <row r="149" spans="2:11" hidden="1" outlineLevel="2" x14ac:dyDescent="0.35">
      <c r="B149" s="492"/>
      <c r="C149" s="485"/>
      <c r="D149" s="223" t="s">
        <v>94</v>
      </c>
      <c r="E149" s="275">
        <v>3</v>
      </c>
      <c r="F149" s="275">
        <v>3</v>
      </c>
      <c r="G149" s="275">
        <v>7209926.3299999991</v>
      </c>
      <c r="H149" s="275">
        <v>2685875.84</v>
      </c>
      <c r="I149" s="219">
        <v>721437.24</v>
      </c>
      <c r="J149" s="321">
        <v>335924.74</v>
      </c>
    </row>
    <row r="150" spans="2:11" hidden="1" outlineLevel="2" x14ac:dyDescent="0.35">
      <c r="B150" s="492"/>
      <c r="C150" s="485"/>
      <c r="D150" s="223" t="s">
        <v>93</v>
      </c>
      <c r="E150" s="275">
        <v>2</v>
      </c>
      <c r="F150" s="275">
        <v>2</v>
      </c>
      <c r="G150" s="275">
        <v>2431928.75</v>
      </c>
      <c r="H150" s="275">
        <v>972771.52</v>
      </c>
      <c r="I150" s="219">
        <v>403221</v>
      </c>
      <c r="J150" s="321">
        <v>173753.49</v>
      </c>
    </row>
    <row r="151" spans="2:11" hidden="1" outlineLevel="2" x14ac:dyDescent="0.35">
      <c r="B151" s="492"/>
      <c r="C151" s="485"/>
      <c r="D151" s="223" t="s">
        <v>92</v>
      </c>
      <c r="E151" s="275">
        <v>1</v>
      </c>
      <c r="F151" s="275">
        <v>1</v>
      </c>
      <c r="G151" s="275">
        <v>1214812.5</v>
      </c>
      <c r="H151" s="275">
        <v>485925</v>
      </c>
      <c r="I151" s="219">
        <v>991417</v>
      </c>
      <c r="J151" s="321">
        <v>121480.75</v>
      </c>
    </row>
    <row r="152" spans="2:11" hidden="1" outlineLevel="2" x14ac:dyDescent="0.35">
      <c r="B152" s="492"/>
      <c r="C152" s="485"/>
      <c r="D152" s="223" t="s">
        <v>91</v>
      </c>
      <c r="E152" s="275">
        <v>6</v>
      </c>
      <c r="F152" s="275">
        <v>5</v>
      </c>
      <c r="G152" s="275">
        <v>10880287.470000001</v>
      </c>
      <c r="H152" s="275">
        <v>3890167.99</v>
      </c>
      <c r="I152" s="219">
        <v>1220063.27</v>
      </c>
      <c r="J152" s="321">
        <v>1080763.44</v>
      </c>
    </row>
    <row r="153" spans="2:11" hidden="1" outlineLevel="2" x14ac:dyDescent="0.35">
      <c r="B153" s="492"/>
      <c r="C153" s="485"/>
      <c r="D153" s="223" t="s">
        <v>89</v>
      </c>
      <c r="E153" s="275">
        <v>2</v>
      </c>
      <c r="F153" s="275">
        <v>2</v>
      </c>
      <c r="G153" s="275">
        <v>3474007.28</v>
      </c>
      <c r="H153" s="275">
        <v>1389602.9</v>
      </c>
      <c r="I153" s="219">
        <v>757621.57000000007</v>
      </c>
      <c r="J153" s="321">
        <v>39258.04</v>
      </c>
    </row>
    <row r="154" spans="2:11" hidden="1" outlineLevel="2" x14ac:dyDescent="0.35">
      <c r="B154" s="492"/>
      <c r="C154" s="485"/>
      <c r="D154" s="223" t="s">
        <v>88</v>
      </c>
      <c r="E154" s="275">
        <v>1</v>
      </c>
      <c r="F154" s="275">
        <v>1</v>
      </c>
      <c r="G154" s="275">
        <v>3976088.79</v>
      </c>
      <c r="H154" s="275">
        <v>1192826.6399999999</v>
      </c>
      <c r="I154" s="219">
        <v>2596478.5</v>
      </c>
      <c r="J154" s="321">
        <v>397280.76</v>
      </c>
    </row>
    <row r="155" spans="2:11" hidden="1" outlineLevel="2" x14ac:dyDescent="0.35">
      <c r="B155" s="492"/>
      <c r="C155" s="485"/>
      <c r="D155" s="223" t="s">
        <v>87</v>
      </c>
      <c r="E155" s="275">
        <v>1</v>
      </c>
      <c r="F155" s="275">
        <v>1</v>
      </c>
      <c r="G155" s="275">
        <v>1568764.54</v>
      </c>
      <c r="H155" s="275">
        <v>627505.81000000006</v>
      </c>
      <c r="I155" s="219">
        <v>482020</v>
      </c>
      <c r="J155" s="321">
        <v>4031</v>
      </c>
    </row>
    <row r="156" spans="2:11" hidden="1" outlineLevel="2" x14ac:dyDescent="0.35">
      <c r="B156" s="492"/>
      <c r="C156" s="485"/>
      <c r="D156" s="223" t="s">
        <v>86</v>
      </c>
      <c r="E156" s="275">
        <v>4</v>
      </c>
      <c r="F156" s="275">
        <v>4</v>
      </c>
      <c r="G156" s="275">
        <v>5905046.0500000007</v>
      </c>
      <c r="H156" s="275">
        <v>2362018.42</v>
      </c>
      <c r="I156" s="219">
        <v>0</v>
      </c>
      <c r="J156" s="321">
        <v>381025.83999999997</v>
      </c>
      <c r="K156" s="302"/>
    </row>
    <row r="157" spans="2:11" hidden="1" outlineLevel="2" x14ac:dyDescent="0.35">
      <c r="B157" s="492"/>
      <c r="C157" s="485"/>
      <c r="D157" s="223" t="s">
        <v>84</v>
      </c>
      <c r="E157" s="275">
        <v>2</v>
      </c>
      <c r="F157" s="275">
        <v>2</v>
      </c>
      <c r="G157" s="275">
        <v>3031690.9</v>
      </c>
      <c r="H157" s="275">
        <v>606338.17999999993</v>
      </c>
      <c r="I157" s="219">
        <v>0</v>
      </c>
      <c r="J157" s="321">
        <v>109428.79</v>
      </c>
    </row>
    <row r="158" spans="2:11" hidden="1" outlineLevel="2" x14ac:dyDescent="0.35">
      <c r="B158" s="492"/>
      <c r="C158" s="485"/>
      <c r="D158" s="223" t="s">
        <v>83</v>
      </c>
      <c r="E158" s="275">
        <v>0</v>
      </c>
      <c r="F158" s="275">
        <v>0</v>
      </c>
      <c r="G158" s="275">
        <v>0</v>
      </c>
      <c r="H158" s="275">
        <v>0</v>
      </c>
      <c r="I158" s="219">
        <v>1679481.04</v>
      </c>
      <c r="J158" s="321">
        <v>0</v>
      </c>
    </row>
    <row r="159" spans="2:11" hidden="1" outlineLevel="2" x14ac:dyDescent="0.35">
      <c r="B159" s="492"/>
      <c r="C159" s="485"/>
      <c r="D159" s="223" t="s">
        <v>82</v>
      </c>
      <c r="E159" s="275">
        <v>0</v>
      </c>
      <c r="F159" s="275">
        <v>0</v>
      </c>
      <c r="G159" s="275">
        <v>0</v>
      </c>
      <c r="H159" s="275">
        <v>0</v>
      </c>
      <c r="I159" s="219">
        <v>840657.6</v>
      </c>
      <c r="J159" s="321">
        <v>0</v>
      </c>
    </row>
    <row r="160" spans="2:11" hidden="1" outlineLevel="2" x14ac:dyDescent="0.35">
      <c r="B160" s="492"/>
      <c r="C160" s="485"/>
      <c r="D160" s="223" t="s">
        <v>81</v>
      </c>
      <c r="E160" s="275">
        <v>1</v>
      </c>
      <c r="F160" s="275">
        <v>1</v>
      </c>
      <c r="G160" s="275">
        <v>1438892.58</v>
      </c>
      <c r="H160" s="275">
        <v>287778.52</v>
      </c>
      <c r="I160" s="219">
        <v>253055.76</v>
      </c>
      <c r="J160" s="321">
        <v>143666.51999999999</v>
      </c>
      <c r="K160" s="302"/>
    </row>
    <row r="161" spans="2:11" hidden="1" outlineLevel="2" x14ac:dyDescent="0.35">
      <c r="B161" s="492"/>
      <c r="C161" s="485"/>
      <c r="D161" s="223" t="s">
        <v>79</v>
      </c>
      <c r="E161" s="275">
        <v>0</v>
      </c>
      <c r="F161" s="275">
        <v>0</v>
      </c>
      <c r="G161" s="275">
        <v>0</v>
      </c>
      <c r="H161" s="275">
        <v>0</v>
      </c>
      <c r="I161" s="219">
        <v>0</v>
      </c>
      <c r="J161" s="321">
        <v>0</v>
      </c>
      <c r="K161" s="302"/>
    </row>
    <row r="162" spans="2:11" hidden="1" outlineLevel="2" x14ac:dyDescent="0.35">
      <c r="B162" s="492"/>
      <c r="C162" s="485"/>
      <c r="D162" s="223" t="s">
        <v>78</v>
      </c>
      <c r="E162" s="275">
        <v>0</v>
      </c>
      <c r="F162" s="275">
        <v>0</v>
      </c>
      <c r="G162" s="275">
        <v>0</v>
      </c>
      <c r="H162" s="275">
        <v>0</v>
      </c>
      <c r="I162" s="219">
        <v>0</v>
      </c>
      <c r="J162" s="321">
        <v>0</v>
      </c>
      <c r="K162" s="302"/>
    </row>
    <row r="163" spans="2:11" outlineLevel="1" collapsed="1" x14ac:dyDescent="0.35">
      <c r="B163" s="492"/>
      <c r="C163" s="485"/>
      <c r="D163" s="221" t="s">
        <v>77</v>
      </c>
      <c r="E163" s="275">
        <f t="shared" ref="E163:J163" si="22">SUM(E164:E185)</f>
        <v>27</v>
      </c>
      <c r="F163" s="275">
        <f t="shared" si="22"/>
        <v>25</v>
      </c>
      <c r="G163" s="275">
        <f t="shared" si="22"/>
        <v>42431454.669999994</v>
      </c>
      <c r="H163" s="275">
        <f t="shared" si="22"/>
        <v>13728458.370000003</v>
      </c>
      <c r="I163" s="219">
        <f t="shared" si="22"/>
        <v>8634206.0899999999</v>
      </c>
      <c r="J163" s="321">
        <f t="shared" si="22"/>
        <v>2400321.1099999994</v>
      </c>
    </row>
    <row r="164" spans="2:11" hidden="1" outlineLevel="2" x14ac:dyDescent="0.35">
      <c r="B164" s="492"/>
      <c r="C164" s="485"/>
      <c r="D164" s="222" t="s">
        <v>75</v>
      </c>
      <c r="E164" s="275">
        <v>1</v>
      </c>
      <c r="F164" s="275">
        <v>1</v>
      </c>
      <c r="G164" s="275">
        <v>1364594.69</v>
      </c>
      <c r="H164" s="275">
        <v>545837.88</v>
      </c>
      <c r="I164" s="219">
        <v>0</v>
      </c>
      <c r="J164" s="321">
        <v>136458.41</v>
      </c>
    </row>
    <row r="165" spans="2:11" hidden="1" outlineLevel="2" x14ac:dyDescent="0.35">
      <c r="B165" s="492"/>
      <c r="C165" s="485"/>
      <c r="D165" s="222" t="s">
        <v>74</v>
      </c>
      <c r="E165" s="275">
        <v>5</v>
      </c>
      <c r="F165" s="275">
        <v>5</v>
      </c>
      <c r="G165" s="275">
        <v>8053675.8699999992</v>
      </c>
      <c r="H165" s="275">
        <v>2869858.05</v>
      </c>
      <c r="I165" s="219">
        <v>345890</v>
      </c>
      <c r="J165" s="321">
        <v>263866.37</v>
      </c>
    </row>
    <row r="166" spans="2:11" hidden="1" outlineLevel="2" x14ac:dyDescent="0.35">
      <c r="B166" s="492"/>
      <c r="C166" s="485"/>
      <c r="D166" s="222" t="s">
        <v>73</v>
      </c>
      <c r="E166" s="275">
        <v>2</v>
      </c>
      <c r="F166" s="275">
        <v>1</v>
      </c>
      <c r="G166" s="275">
        <v>3526064.78</v>
      </c>
      <c r="H166" s="275">
        <v>1410425.92</v>
      </c>
      <c r="I166" s="219">
        <v>0</v>
      </c>
      <c r="J166" s="321">
        <v>72606.44</v>
      </c>
    </row>
    <row r="167" spans="2:11" hidden="1" outlineLevel="2" x14ac:dyDescent="0.35">
      <c r="B167" s="492"/>
      <c r="C167" s="485"/>
      <c r="D167" s="222" t="s">
        <v>72</v>
      </c>
      <c r="E167" s="275">
        <v>0</v>
      </c>
      <c r="F167" s="275">
        <v>0</v>
      </c>
      <c r="G167" s="275">
        <v>0</v>
      </c>
      <c r="H167" s="275">
        <v>0</v>
      </c>
      <c r="I167" s="219">
        <v>0</v>
      </c>
      <c r="J167" s="321">
        <v>0</v>
      </c>
    </row>
    <row r="168" spans="2:11" hidden="1" outlineLevel="2" x14ac:dyDescent="0.35">
      <c r="B168" s="492"/>
      <c r="C168" s="485"/>
      <c r="D168" s="222" t="s">
        <v>70</v>
      </c>
      <c r="E168" s="275">
        <v>4</v>
      </c>
      <c r="F168" s="275">
        <v>4</v>
      </c>
      <c r="G168" s="275">
        <v>5515074.96</v>
      </c>
      <c r="H168" s="275">
        <v>1931703.6800000002</v>
      </c>
      <c r="I168" s="219">
        <v>0</v>
      </c>
      <c r="J168" s="321">
        <v>400817.75</v>
      </c>
    </row>
    <row r="169" spans="2:11" hidden="1" outlineLevel="2" x14ac:dyDescent="0.35">
      <c r="B169" s="492"/>
      <c r="C169" s="485"/>
      <c r="D169" s="222" t="s">
        <v>69</v>
      </c>
      <c r="E169" s="275">
        <v>5</v>
      </c>
      <c r="F169" s="275">
        <v>4</v>
      </c>
      <c r="G169" s="275">
        <v>6818118.9299999997</v>
      </c>
      <c r="H169" s="275">
        <v>2323560.04</v>
      </c>
      <c r="I169" s="219">
        <v>131092</v>
      </c>
      <c r="J169" s="321">
        <v>586892.04</v>
      </c>
    </row>
    <row r="170" spans="2:11" hidden="1" outlineLevel="2" x14ac:dyDescent="0.35">
      <c r="B170" s="492"/>
      <c r="C170" s="485"/>
      <c r="D170" s="222" t="s">
        <v>68</v>
      </c>
      <c r="E170" s="275">
        <v>2</v>
      </c>
      <c r="F170" s="275">
        <v>2</v>
      </c>
      <c r="G170" s="275">
        <v>2918994.79</v>
      </c>
      <c r="H170" s="275">
        <v>1167597.8900000001</v>
      </c>
      <c r="I170" s="219">
        <v>827660.78</v>
      </c>
      <c r="J170" s="321">
        <v>192918.16999999998</v>
      </c>
    </row>
    <row r="171" spans="2:11" hidden="1" outlineLevel="2" x14ac:dyDescent="0.35">
      <c r="B171" s="492"/>
      <c r="C171" s="485"/>
      <c r="D171" s="222" t="s">
        <v>67</v>
      </c>
      <c r="E171" s="275">
        <v>0</v>
      </c>
      <c r="F171" s="275">
        <v>0</v>
      </c>
      <c r="G171" s="275">
        <v>0</v>
      </c>
      <c r="H171" s="275">
        <v>0</v>
      </c>
      <c r="I171" s="219">
        <v>0</v>
      </c>
      <c r="J171" s="321">
        <v>0</v>
      </c>
    </row>
    <row r="172" spans="2:11" hidden="1" outlineLevel="2" x14ac:dyDescent="0.35">
      <c r="B172" s="492"/>
      <c r="C172" s="485"/>
      <c r="D172" s="222" t="s">
        <v>65</v>
      </c>
      <c r="E172" s="275">
        <v>0</v>
      </c>
      <c r="F172" s="275">
        <v>0</v>
      </c>
      <c r="G172" s="275">
        <v>0</v>
      </c>
      <c r="H172" s="275">
        <v>0</v>
      </c>
      <c r="I172" s="219">
        <v>0</v>
      </c>
      <c r="J172" s="321">
        <v>0</v>
      </c>
    </row>
    <row r="173" spans="2:11" hidden="1" outlineLevel="2" x14ac:dyDescent="0.35">
      <c r="B173" s="492"/>
      <c r="C173" s="485"/>
      <c r="D173" s="222" t="s">
        <v>64</v>
      </c>
      <c r="E173" s="275">
        <v>2</v>
      </c>
      <c r="F173" s="275">
        <v>2</v>
      </c>
      <c r="G173" s="275">
        <v>3451856.77</v>
      </c>
      <c r="H173" s="275">
        <v>821270.72</v>
      </c>
      <c r="I173" s="219">
        <v>2634614.37</v>
      </c>
      <c r="J173" s="321">
        <v>345083.35</v>
      </c>
    </row>
    <row r="174" spans="2:11" hidden="1" outlineLevel="2" x14ac:dyDescent="0.35">
      <c r="B174" s="492"/>
      <c r="C174" s="485"/>
      <c r="D174" s="222" t="s">
        <v>63</v>
      </c>
      <c r="E174" s="275">
        <v>0</v>
      </c>
      <c r="F174" s="275">
        <v>0</v>
      </c>
      <c r="G174" s="275">
        <v>0</v>
      </c>
      <c r="H174" s="275">
        <v>0</v>
      </c>
      <c r="I174" s="219">
        <v>0</v>
      </c>
      <c r="J174" s="321">
        <v>0</v>
      </c>
    </row>
    <row r="175" spans="2:11" hidden="1" outlineLevel="2" x14ac:dyDescent="0.35">
      <c r="B175" s="492"/>
      <c r="C175" s="485"/>
      <c r="D175" s="222" t="s">
        <v>62</v>
      </c>
      <c r="E175" s="275">
        <v>0</v>
      </c>
      <c r="F175" s="275">
        <v>0</v>
      </c>
      <c r="G175" s="275">
        <v>0</v>
      </c>
      <c r="H175" s="275">
        <v>0</v>
      </c>
      <c r="I175" s="219">
        <v>0</v>
      </c>
      <c r="J175" s="321">
        <v>0</v>
      </c>
    </row>
    <row r="176" spans="2:11" hidden="1" outlineLevel="2" x14ac:dyDescent="0.35">
      <c r="B176" s="492"/>
      <c r="C176" s="485"/>
      <c r="D176" s="222" t="s">
        <v>60</v>
      </c>
      <c r="E176" s="275">
        <v>3</v>
      </c>
      <c r="F176" s="275">
        <v>3</v>
      </c>
      <c r="G176" s="275">
        <v>5767180.1299999999</v>
      </c>
      <c r="H176" s="275">
        <v>1153436.05</v>
      </c>
      <c r="I176" s="219">
        <v>285429.59999999998</v>
      </c>
      <c r="J176" s="321">
        <v>128334.81999999999</v>
      </c>
    </row>
    <row r="177" spans="2:10" hidden="1" outlineLevel="2" x14ac:dyDescent="0.35">
      <c r="B177" s="492"/>
      <c r="C177" s="485"/>
      <c r="D177" s="222" t="s">
        <v>59</v>
      </c>
      <c r="E177" s="275">
        <v>2</v>
      </c>
      <c r="F177" s="275">
        <v>2</v>
      </c>
      <c r="G177" s="275">
        <v>3172738.75</v>
      </c>
      <c r="H177" s="275">
        <v>951821.64</v>
      </c>
      <c r="I177" s="219">
        <v>2949058.38</v>
      </c>
      <c r="J177" s="321">
        <v>227269.76000000001</v>
      </c>
    </row>
    <row r="178" spans="2:10" hidden="1" outlineLevel="2" x14ac:dyDescent="0.35">
      <c r="B178" s="492"/>
      <c r="C178" s="485"/>
      <c r="D178" s="222" t="s">
        <v>58</v>
      </c>
      <c r="E178" s="275">
        <v>1</v>
      </c>
      <c r="F178" s="275">
        <v>1</v>
      </c>
      <c r="G178" s="275">
        <v>1843155</v>
      </c>
      <c r="H178" s="275">
        <v>552946.5</v>
      </c>
      <c r="I178" s="219">
        <v>0</v>
      </c>
      <c r="J178" s="321">
        <v>46074</v>
      </c>
    </row>
    <row r="179" spans="2:10" hidden="1" outlineLevel="2" x14ac:dyDescent="0.35">
      <c r="B179" s="492"/>
      <c r="C179" s="485"/>
      <c r="D179" s="222" t="s">
        <v>57</v>
      </c>
      <c r="E179" s="275">
        <v>0</v>
      </c>
      <c r="F179" s="275">
        <v>0</v>
      </c>
      <c r="G179" s="275">
        <v>0</v>
      </c>
      <c r="H179" s="275">
        <v>0</v>
      </c>
      <c r="I179" s="219">
        <v>0</v>
      </c>
      <c r="J179" s="321">
        <v>0</v>
      </c>
    </row>
    <row r="180" spans="2:10" hidden="1" outlineLevel="2" x14ac:dyDescent="0.35">
      <c r="B180" s="492"/>
      <c r="C180" s="485"/>
      <c r="D180" s="222" t="s">
        <v>55</v>
      </c>
      <c r="E180" s="275">
        <v>0</v>
      </c>
      <c r="F180" s="275">
        <v>0</v>
      </c>
      <c r="G180" s="275">
        <v>0</v>
      </c>
      <c r="H180" s="275">
        <v>0</v>
      </c>
      <c r="I180" s="219">
        <v>466635.4</v>
      </c>
      <c r="J180" s="321">
        <v>0</v>
      </c>
    </row>
    <row r="181" spans="2:10" hidden="1" outlineLevel="2" x14ac:dyDescent="0.35">
      <c r="B181" s="492"/>
      <c r="C181" s="485"/>
      <c r="D181" s="222" t="s">
        <v>54</v>
      </c>
      <c r="E181" s="275">
        <v>0</v>
      </c>
      <c r="F181" s="275">
        <v>0</v>
      </c>
      <c r="G181" s="275">
        <v>0</v>
      </c>
      <c r="H181" s="275">
        <v>0</v>
      </c>
      <c r="I181" s="219">
        <v>578655.74</v>
      </c>
      <c r="J181" s="321">
        <v>0</v>
      </c>
    </row>
    <row r="182" spans="2:10" hidden="1" outlineLevel="2" x14ac:dyDescent="0.35">
      <c r="B182" s="492"/>
      <c r="C182" s="485"/>
      <c r="D182" s="222" t="s">
        <v>53</v>
      </c>
      <c r="E182" s="275">
        <v>0</v>
      </c>
      <c r="F182" s="275">
        <v>0</v>
      </c>
      <c r="G182" s="275">
        <v>0</v>
      </c>
      <c r="H182" s="275">
        <v>0</v>
      </c>
      <c r="I182" s="219">
        <v>0</v>
      </c>
      <c r="J182" s="321">
        <v>0</v>
      </c>
    </row>
    <row r="183" spans="2:10" hidden="1" outlineLevel="2" x14ac:dyDescent="0.35">
      <c r="B183" s="492"/>
      <c r="C183" s="485"/>
      <c r="D183" s="222" t="s">
        <v>52</v>
      </c>
      <c r="E183" s="275">
        <v>0</v>
      </c>
      <c r="F183" s="275">
        <v>0</v>
      </c>
      <c r="G183" s="275">
        <v>0</v>
      </c>
      <c r="H183" s="275">
        <v>0</v>
      </c>
      <c r="I183" s="219">
        <v>0</v>
      </c>
      <c r="J183" s="321">
        <v>0</v>
      </c>
    </row>
    <row r="184" spans="2:10" hidden="1" outlineLevel="2" x14ac:dyDescent="0.35">
      <c r="B184" s="492"/>
      <c r="C184" s="485"/>
      <c r="D184" s="222" t="s">
        <v>50</v>
      </c>
      <c r="E184" s="275">
        <v>0</v>
      </c>
      <c r="F184" s="275">
        <v>0</v>
      </c>
      <c r="G184" s="275">
        <v>0</v>
      </c>
      <c r="H184" s="275">
        <v>0</v>
      </c>
      <c r="I184" s="219">
        <v>138990.82</v>
      </c>
      <c r="J184" s="321">
        <v>0</v>
      </c>
    </row>
    <row r="185" spans="2:10" hidden="1" outlineLevel="2" x14ac:dyDescent="0.35">
      <c r="B185" s="492"/>
      <c r="C185" s="485"/>
      <c r="D185" s="222" t="s">
        <v>49</v>
      </c>
      <c r="E185" s="275">
        <v>0</v>
      </c>
      <c r="F185" s="275">
        <v>0</v>
      </c>
      <c r="G185" s="275">
        <v>0</v>
      </c>
      <c r="H185" s="275">
        <v>0</v>
      </c>
      <c r="I185" s="219">
        <v>276179</v>
      </c>
      <c r="J185" s="321">
        <v>0</v>
      </c>
    </row>
    <row r="186" spans="2:10" x14ac:dyDescent="0.35">
      <c r="B186" s="492"/>
      <c r="C186" s="485"/>
      <c r="D186" s="213" t="s">
        <v>243</v>
      </c>
      <c r="E186" s="295">
        <f t="shared" ref="E186:J186" si="23">SUM(E163,E128,E123)</f>
        <v>181</v>
      </c>
      <c r="F186" s="295">
        <f t="shared" si="23"/>
        <v>174</v>
      </c>
      <c r="G186" s="295">
        <f t="shared" si="23"/>
        <v>434708894.14999998</v>
      </c>
      <c r="H186" s="295">
        <f t="shared" si="23"/>
        <v>166877794.71000001</v>
      </c>
      <c r="I186" s="294">
        <f t="shared" si="23"/>
        <v>84945305.760000005</v>
      </c>
      <c r="J186" s="293">
        <f t="shared" si="23"/>
        <v>30050184.449999996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75">
        <f t="shared" ref="E187:J187" si="24">SUM(E188:E190)</f>
        <v>15</v>
      </c>
      <c r="F187" s="275">
        <f t="shared" si="24"/>
        <v>12</v>
      </c>
      <c r="G187" s="275">
        <f t="shared" si="24"/>
        <v>20494337.110000003</v>
      </c>
      <c r="H187" s="275">
        <f t="shared" si="24"/>
        <v>5704446.6299999999</v>
      </c>
      <c r="I187" s="219">
        <f t="shared" si="24"/>
        <v>6571226.9600000009</v>
      </c>
      <c r="J187" s="321">
        <f t="shared" si="24"/>
        <v>1371101.0699999998</v>
      </c>
    </row>
    <row r="188" spans="2:10" ht="15" hidden="1" customHeight="1" outlineLevel="2" x14ac:dyDescent="0.35">
      <c r="B188" s="492"/>
      <c r="C188" s="485"/>
      <c r="D188" s="222" t="s">
        <v>126</v>
      </c>
      <c r="E188" s="275">
        <v>8</v>
      </c>
      <c r="F188" s="275">
        <v>7</v>
      </c>
      <c r="G188" s="275">
        <v>10015018.350000001</v>
      </c>
      <c r="H188" s="275">
        <v>3163941.84</v>
      </c>
      <c r="I188" s="219">
        <v>2496653.5</v>
      </c>
      <c r="J188" s="321">
        <v>889851.97</v>
      </c>
    </row>
    <row r="189" spans="2:10" ht="15" hidden="1" customHeight="1" outlineLevel="2" x14ac:dyDescent="0.35">
      <c r="B189" s="492"/>
      <c r="C189" s="485"/>
      <c r="D189" s="222" t="s">
        <v>125</v>
      </c>
      <c r="E189" s="275">
        <v>3</v>
      </c>
      <c r="F189" s="275">
        <v>1</v>
      </c>
      <c r="G189" s="275">
        <v>4543667.6900000004</v>
      </c>
      <c r="H189" s="275">
        <v>908733.54</v>
      </c>
      <c r="I189" s="219">
        <v>2241989.0700000003</v>
      </c>
      <c r="J189" s="321">
        <v>10112.19</v>
      </c>
    </row>
    <row r="190" spans="2:10" ht="15" hidden="1" customHeight="1" outlineLevel="2" x14ac:dyDescent="0.35">
      <c r="B190" s="492"/>
      <c r="C190" s="485"/>
      <c r="D190" s="222" t="s">
        <v>124</v>
      </c>
      <c r="E190" s="275">
        <v>4</v>
      </c>
      <c r="F190" s="275">
        <v>4</v>
      </c>
      <c r="G190" s="275">
        <v>5935651.0700000003</v>
      </c>
      <c r="H190" s="275">
        <v>1631771.25</v>
      </c>
      <c r="I190" s="219">
        <v>1832584.3900000001</v>
      </c>
      <c r="J190" s="321">
        <v>471136.91000000003</v>
      </c>
    </row>
    <row r="191" spans="2:10" outlineLevel="1" collapsed="1" x14ac:dyDescent="0.35">
      <c r="B191" s="492"/>
      <c r="C191" s="485"/>
      <c r="D191" s="221" t="s">
        <v>46</v>
      </c>
      <c r="E191" s="275">
        <f t="shared" ref="E191:J191" si="25">SUM(E192:E195)</f>
        <v>0</v>
      </c>
      <c r="F191" s="275">
        <f t="shared" si="25"/>
        <v>0</v>
      </c>
      <c r="G191" s="275">
        <f t="shared" si="25"/>
        <v>0</v>
      </c>
      <c r="H191" s="275">
        <f t="shared" si="25"/>
        <v>0</v>
      </c>
      <c r="I191" s="219">
        <f t="shared" si="25"/>
        <v>0</v>
      </c>
      <c r="J191" s="321">
        <f t="shared" si="25"/>
        <v>0</v>
      </c>
    </row>
    <row r="192" spans="2:10" ht="15" hidden="1" customHeight="1" outlineLevel="2" x14ac:dyDescent="0.35">
      <c r="B192" s="492"/>
      <c r="C192" s="485"/>
      <c r="D192" s="222" t="s">
        <v>45</v>
      </c>
      <c r="E192" s="275">
        <v>0</v>
      </c>
      <c r="F192" s="275">
        <v>0</v>
      </c>
      <c r="G192" s="275">
        <v>0</v>
      </c>
      <c r="H192" s="275">
        <v>0</v>
      </c>
      <c r="I192" s="219">
        <v>0</v>
      </c>
      <c r="J192" s="321">
        <v>0</v>
      </c>
    </row>
    <row r="193" spans="2:10" ht="15" hidden="1" customHeight="1" outlineLevel="2" x14ac:dyDescent="0.35">
      <c r="B193" s="492"/>
      <c r="C193" s="485"/>
      <c r="D193" s="222" t="s">
        <v>44</v>
      </c>
      <c r="E193" s="275">
        <v>0</v>
      </c>
      <c r="F193" s="275">
        <v>0</v>
      </c>
      <c r="G193" s="275">
        <v>0</v>
      </c>
      <c r="H193" s="275">
        <v>0</v>
      </c>
      <c r="I193" s="219">
        <v>0</v>
      </c>
      <c r="J193" s="321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75">
        <v>0</v>
      </c>
      <c r="F194" s="275">
        <v>0</v>
      </c>
      <c r="G194" s="275">
        <v>0</v>
      </c>
      <c r="H194" s="275">
        <v>0</v>
      </c>
      <c r="I194" s="219">
        <v>0</v>
      </c>
      <c r="J194" s="321">
        <v>0</v>
      </c>
    </row>
    <row r="195" spans="2:10" ht="15" hidden="1" customHeight="1" outlineLevel="2" x14ac:dyDescent="0.35">
      <c r="B195" s="492"/>
      <c r="C195" s="485"/>
      <c r="D195" s="222" t="s">
        <v>42</v>
      </c>
      <c r="E195" s="275">
        <v>0</v>
      </c>
      <c r="F195" s="275">
        <v>0</v>
      </c>
      <c r="G195" s="275">
        <v>0</v>
      </c>
      <c r="H195" s="275">
        <v>0</v>
      </c>
      <c r="I195" s="219">
        <v>0</v>
      </c>
      <c r="J195" s="321">
        <v>0</v>
      </c>
    </row>
    <row r="196" spans="2:10" x14ac:dyDescent="0.35">
      <c r="B196" s="493"/>
      <c r="C196" s="494"/>
      <c r="D196" s="213" t="s">
        <v>239</v>
      </c>
      <c r="E196" s="295">
        <f t="shared" ref="E196:J196" si="26">SUM(E191,E187)</f>
        <v>15</v>
      </c>
      <c r="F196" s="295">
        <f t="shared" si="26"/>
        <v>12</v>
      </c>
      <c r="G196" s="295">
        <f t="shared" si="26"/>
        <v>20494337.110000003</v>
      </c>
      <c r="H196" s="295">
        <f t="shared" si="26"/>
        <v>5704446.6299999999</v>
      </c>
      <c r="I196" s="294">
        <f t="shared" si="26"/>
        <v>6571226.9600000009</v>
      </c>
      <c r="J196" s="293">
        <f t="shared" si="26"/>
        <v>1371101.0699999998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75">
        <f t="shared" ref="E197:J197" si="27">SUM(E198:E200)</f>
        <v>0</v>
      </c>
      <c r="F197" s="275">
        <f t="shared" si="27"/>
        <v>0</v>
      </c>
      <c r="G197" s="275">
        <f t="shared" si="27"/>
        <v>0</v>
      </c>
      <c r="H197" s="275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5" hidden="1" customHeight="1" outlineLevel="2" x14ac:dyDescent="0.35">
      <c r="B198" s="492"/>
      <c r="C198" s="485"/>
      <c r="D198" s="222" t="s">
        <v>31</v>
      </c>
      <c r="E198" s="275">
        <v>0</v>
      </c>
      <c r="F198" s="275">
        <v>0</v>
      </c>
      <c r="G198" s="275">
        <v>0</v>
      </c>
      <c r="H198" s="275">
        <v>0</v>
      </c>
      <c r="I198" s="219">
        <v>0</v>
      </c>
      <c r="J198" s="321">
        <v>0</v>
      </c>
    </row>
    <row r="199" spans="2:10" ht="15" hidden="1" customHeight="1" outlineLevel="2" x14ac:dyDescent="0.35">
      <c r="B199" s="492"/>
      <c r="C199" s="485"/>
      <c r="D199" s="222" t="s">
        <v>30</v>
      </c>
      <c r="E199" s="275">
        <v>0</v>
      </c>
      <c r="F199" s="275">
        <v>0</v>
      </c>
      <c r="G199" s="275">
        <v>0</v>
      </c>
      <c r="H199" s="275">
        <v>0</v>
      </c>
      <c r="I199" s="219">
        <v>0</v>
      </c>
      <c r="J199" s="321">
        <v>0</v>
      </c>
    </row>
    <row r="200" spans="2:10" ht="15" hidden="1" customHeight="1" outlineLevel="2" x14ac:dyDescent="0.35">
      <c r="B200" s="492"/>
      <c r="C200" s="485"/>
      <c r="D200" s="222" t="s">
        <v>29</v>
      </c>
      <c r="E200" s="275">
        <v>0</v>
      </c>
      <c r="F200" s="275">
        <v>0</v>
      </c>
      <c r="G200" s="275">
        <v>0</v>
      </c>
      <c r="H200" s="275">
        <v>0</v>
      </c>
      <c r="I200" s="219">
        <v>0</v>
      </c>
      <c r="J200" s="321">
        <v>0</v>
      </c>
    </row>
    <row r="201" spans="2:10" outlineLevel="1" collapsed="1" x14ac:dyDescent="0.35">
      <c r="B201" s="492"/>
      <c r="C201" s="485"/>
      <c r="D201" s="221" t="s">
        <v>28</v>
      </c>
      <c r="E201" s="275">
        <v>0</v>
      </c>
      <c r="F201" s="275">
        <v>0</v>
      </c>
      <c r="G201" s="275">
        <v>0</v>
      </c>
      <c r="H201" s="275">
        <v>0</v>
      </c>
      <c r="I201" s="219">
        <v>0</v>
      </c>
      <c r="J201" s="321">
        <v>0</v>
      </c>
    </row>
    <row r="202" spans="2:10" outlineLevel="1" x14ac:dyDescent="0.35">
      <c r="B202" s="492"/>
      <c r="C202" s="485"/>
      <c r="D202" s="221" t="s">
        <v>27</v>
      </c>
      <c r="E202" s="275">
        <v>0</v>
      </c>
      <c r="F202" s="275">
        <v>0</v>
      </c>
      <c r="G202" s="275">
        <v>0</v>
      </c>
      <c r="H202" s="275">
        <v>0</v>
      </c>
      <c r="I202" s="219">
        <v>0</v>
      </c>
      <c r="J202" s="321">
        <v>0</v>
      </c>
    </row>
    <row r="203" spans="2:10" x14ac:dyDescent="0.35">
      <c r="B203" s="493"/>
      <c r="C203" s="494"/>
      <c r="D203" s="213" t="s">
        <v>236</v>
      </c>
      <c r="E203" s="295">
        <f t="shared" ref="E203:J203" si="28">SUM(E202,E201,E197)</f>
        <v>0</v>
      </c>
      <c r="F203" s="295">
        <f t="shared" si="28"/>
        <v>0</v>
      </c>
      <c r="G203" s="295">
        <f t="shared" si="28"/>
        <v>0</v>
      </c>
      <c r="H203" s="295">
        <f t="shared" si="28"/>
        <v>0</v>
      </c>
      <c r="I203" s="294">
        <f t="shared" si="28"/>
        <v>0</v>
      </c>
      <c r="J203" s="293">
        <f t="shared" si="28"/>
        <v>0</v>
      </c>
    </row>
    <row r="204" spans="2:10" ht="15" thickBot="1" x14ac:dyDescent="0.4">
      <c r="B204" s="495" t="s">
        <v>235</v>
      </c>
      <c r="C204" s="496"/>
      <c r="D204" s="206" t="s">
        <v>15</v>
      </c>
      <c r="E204" s="292">
        <f t="shared" ref="E204:J204" si="29">SUM(E203,E186,E121,E108,E75,E41,E116,E196)</f>
        <v>1671</v>
      </c>
      <c r="F204" s="292">
        <f t="shared" si="29"/>
        <v>1502</v>
      </c>
      <c r="G204" s="292">
        <f t="shared" si="29"/>
        <v>4724028297.1199999</v>
      </c>
      <c r="H204" s="292">
        <f t="shared" si="29"/>
        <v>2590127473.9699998</v>
      </c>
      <c r="I204" s="292">
        <f t="shared" si="29"/>
        <v>810241668.50999999</v>
      </c>
      <c r="J204" s="320">
        <f t="shared" si="29"/>
        <v>567710525.79000008</v>
      </c>
    </row>
    <row r="205" spans="2:10" x14ac:dyDescent="0.35">
      <c r="E205" s="197"/>
      <c r="J205" s="196"/>
    </row>
  </sheetData>
  <mergeCells count="23">
    <mergeCell ref="B187:B196"/>
    <mergeCell ref="C187:C196"/>
    <mergeCell ref="B197:B203"/>
    <mergeCell ref="C197:C203"/>
    <mergeCell ref="B204:C204"/>
    <mergeCell ref="H5:H6"/>
    <mergeCell ref="C122:C186"/>
    <mergeCell ref="B7:B41"/>
    <mergeCell ref="C7:C41"/>
    <mergeCell ref="B42:B75"/>
    <mergeCell ref="C42:C75"/>
    <mergeCell ref="B76:B108"/>
    <mergeCell ref="C76:C108"/>
    <mergeCell ref="B109:B116"/>
    <mergeCell ref="C109:C116"/>
    <mergeCell ref="B117:B121"/>
    <mergeCell ref="C117:C121"/>
    <mergeCell ref="B122:B186"/>
    <mergeCell ref="B5:C6"/>
    <mergeCell ref="D5:D6"/>
    <mergeCell ref="E5:E6"/>
    <mergeCell ref="F5:F6"/>
    <mergeCell ref="G5:G6"/>
  </mergeCells>
  <pageMargins left="0.70866141732283472" right="0.70866141732283472" top="0.74803149606299213" bottom="0.74803149606299213" header="0.31496062992125984" footer="0.31496062992125984"/>
  <pageSetup paperSize="8" scale="81" orientation="landscape" r:id="rId1"/>
  <headerFooter alignWithMargins="0">
    <oddHeader>&amp;LSOBHA LLC&amp;C&amp;"Tahoma,Regular"&amp;14
OVERDUE AGEING_ overdue broken up into respective age buckets_180+ Days&amp;R&amp;D</oddHeader>
    <oddFooter>&amp;LCOLLECTIONS&amp;R&amp;P/&amp;N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BE41-C9D7-445C-A0BA-8354C7F9A179}">
  <sheetPr>
    <pageSetUpPr fitToPage="1"/>
  </sheetPr>
  <dimension ref="B3:T207"/>
  <sheetViews>
    <sheetView view="pageBreakPreview" topLeftCell="A102" zoomScale="55" zoomScaleNormal="100" zoomScaleSheetLayoutView="55" workbookViewId="0"/>
  </sheetViews>
  <sheetFormatPr defaultRowHeight="14.5" outlineLevelRow="2" x14ac:dyDescent="0.35"/>
  <cols>
    <col min="2" max="2" width="28.453125" bestFit="1" customWidth="1"/>
    <col min="3" max="3" width="3.26953125" bestFit="1" customWidth="1"/>
    <col min="4" max="4" width="39.7265625" customWidth="1"/>
    <col min="5" max="5" width="23.26953125" style="196" bestFit="1" customWidth="1"/>
    <col min="6" max="6" width="23.54296875" style="196" bestFit="1" customWidth="1"/>
    <col min="7" max="7" width="26.7265625" style="196" bestFit="1" customWidth="1"/>
    <col min="8" max="8" width="32.453125" style="196" bestFit="1" customWidth="1"/>
    <col min="9" max="10" width="17.81640625" style="196" bestFit="1" customWidth="1"/>
    <col min="11" max="11" width="17.453125" style="196" bestFit="1" customWidth="1"/>
    <col min="12" max="12" width="17.81640625" style="196" bestFit="1" customWidth="1"/>
    <col min="13" max="13" width="18.26953125" style="196" bestFit="1" customWidth="1"/>
    <col min="14" max="14" width="19.54296875" style="196" bestFit="1" customWidth="1"/>
    <col min="15" max="15" width="20.453125" style="196" bestFit="1" customWidth="1"/>
    <col min="16" max="16" width="18.26953125" style="196" bestFit="1" customWidth="1"/>
    <col min="17" max="17" width="19.81640625" style="331" bestFit="1" customWidth="1"/>
    <col min="18" max="18" width="12.7265625" style="330" customWidth="1"/>
    <col min="20" max="20" width="2.54296875" bestFit="1" customWidth="1"/>
  </cols>
  <sheetData>
    <row r="3" spans="2:20" x14ac:dyDescent="0.35">
      <c r="B3" s="288">
        <v>46143</v>
      </c>
    </row>
    <row r="4" spans="2:20" ht="15" thickBot="1" x14ac:dyDescent="0.4">
      <c r="T4">
        <f>COUNTIFS(E9:P204,"&lt;0")</f>
        <v>0</v>
      </c>
    </row>
    <row r="5" spans="2:20" x14ac:dyDescent="0.35">
      <c r="B5" s="510" t="s">
        <v>276</v>
      </c>
      <c r="C5" s="511"/>
      <c r="D5" s="514" t="s">
        <v>275</v>
      </c>
      <c r="E5" s="516" t="s">
        <v>274</v>
      </c>
      <c r="F5" s="516" t="s">
        <v>273</v>
      </c>
      <c r="G5" s="518" t="s">
        <v>272</v>
      </c>
      <c r="H5" s="519"/>
      <c r="I5" s="522" t="s">
        <v>271</v>
      </c>
      <c r="J5" s="523"/>
      <c r="K5" s="523"/>
      <c r="L5" s="523"/>
      <c r="M5" s="523"/>
      <c r="N5" s="523"/>
      <c r="O5" s="523"/>
      <c r="P5" s="524"/>
      <c r="Q5" s="340"/>
      <c r="R5" s="233"/>
    </row>
    <row r="6" spans="2:20" x14ac:dyDescent="0.35">
      <c r="B6" s="512"/>
      <c r="C6" s="513"/>
      <c r="D6" s="515"/>
      <c r="E6" s="517"/>
      <c r="F6" s="517"/>
      <c r="G6" s="520"/>
      <c r="H6" s="521"/>
      <c r="I6" s="525"/>
      <c r="J6" s="526"/>
      <c r="K6" s="526"/>
      <c r="L6" s="526"/>
      <c r="M6" s="526"/>
      <c r="N6" s="526"/>
      <c r="O6" s="526"/>
      <c r="P6" s="527"/>
      <c r="Q6" s="340"/>
      <c r="R6" s="233"/>
    </row>
    <row r="7" spans="2:20" ht="28.5" x14ac:dyDescent="0.35">
      <c r="B7" s="378"/>
      <c r="C7" s="357" t="s">
        <v>270</v>
      </c>
      <c r="D7" s="377"/>
      <c r="E7" s="376"/>
      <c r="F7" s="376"/>
      <c r="G7" s="375" t="s">
        <v>223</v>
      </c>
      <c r="H7" s="374" t="s">
        <v>269</v>
      </c>
      <c r="I7" s="373" t="s">
        <v>268</v>
      </c>
      <c r="J7" s="372" t="s">
        <v>267</v>
      </c>
      <c r="K7" s="372" t="s">
        <v>266</v>
      </c>
      <c r="L7" s="372" t="s">
        <v>265</v>
      </c>
      <c r="M7" s="372" t="s">
        <v>264</v>
      </c>
      <c r="N7" s="372" t="s">
        <v>263</v>
      </c>
      <c r="O7" s="372" t="s">
        <v>4</v>
      </c>
      <c r="P7" s="371" t="s">
        <v>262</v>
      </c>
      <c r="Q7" s="340"/>
      <c r="R7" s="233"/>
    </row>
    <row r="8" spans="2:20" s="196" customFormat="1" ht="22.15" customHeight="1" outlineLevel="1" x14ac:dyDescent="0.35">
      <c r="B8" s="486" t="s">
        <v>287</v>
      </c>
      <c r="C8" s="528" t="s">
        <v>260</v>
      </c>
      <c r="D8" s="263" t="s">
        <v>218</v>
      </c>
      <c r="E8" s="219">
        <f t="shared" ref="E8:P8" si="0">SUM(E9:E14)</f>
        <v>1560008516.7500002</v>
      </c>
      <c r="F8" s="350">
        <f t="shared" si="0"/>
        <v>1560555223.2799993</v>
      </c>
      <c r="G8" s="219">
        <f t="shared" si="0"/>
        <v>1557023969.95</v>
      </c>
      <c r="H8" s="218">
        <f t="shared" si="0"/>
        <v>610608.84</v>
      </c>
      <c r="I8" s="266">
        <f t="shared" si="0"/>
        <v>1492.93</v>
      </c>
      <c r="J8" s="234">
        <f t="shared" si="0"/>
        <v>0</v>
      </c>
      <c r="K8" s="234">
        <f t="shared" si="0"/>
        <v>0</v>
      </c>
      <c r="L8" s="234">
        <f t="shared" si="0"/>
        <v>0</v>
      </c>
      <c r="M8" s="234">
        <f t="shared" si="0"/>
        <v>0</v>
      </c>
      <c r="N8" s="363">
        <f t="shared" si="0"/>
        <v>3529760.25</v>
      </c>
      <c r="O8" s="348">
        <f t="shared" si="0"/>
        <v>3531253.18</v>
      </c>
      <c r="P8" s="348">
        <f t="shared" si="0"/>
        <v>17</v>
      </c>
      <c r="Q8" s="340"/>
      <c r="R8" s="233"/>
    </row>
    <row r="9" spans="2:20" s="196" customFormat="1" ht="22.15" hidden="1" customHeight="1" outlineLevel="2" x14ac:dyDescent="0.35">
      <c r="B9" s="487"/>
      <c r="C9" s="529"/>
      <c r="D9" s="242" t="s">
        <v>217</v>
      </c>
      <c r="E9" s="219">
        <v>157655382.09999999</v>
      </c>
      <c r="F9" s="350">
        <v>158328137.53</v>
      </c>
      <c r="G9" s="219">
        <v>157426945.43000001</v>
      </c>
      <c r="H9" s="218">
        <v>0</v>
      </c>
      <c r="I9" s="266">
        <v>674.09999999999991</v>
      </c>
      <c r="J9" s="234">
        <v>0</v>
      </c>
      <c r="K9" s="234">
        <v>0</v>
      </c>
      <c r="L9" s="234">
        <v>0</v>
      </c>
      <c r="M9" s="234">
        <v>0</v>
      </c>
      <c r="N9" s="363">
        <v>900518</v>
      </c>
      <c r="O9" s="348">
        <f t="shared" ref="O9:O15" si="1">SUM(I9:N9)</f>
        <v>901192.1</v>
      </c>
      <c r="P9" s="348">
        <f>_xlfn.XLOOKUP(D9,'Overdue-1'!$D:$D,'Overdue-1'!$P:$P)</f>
        <v>1</v>
      </c>
      <c r="Q9" s="340"/>
      <c r="R9" s="233"/>
    </row>
    <row r="10" spans="2:20" s="196" customFormat="1" ht="22.15" hidden="1" customHeight="1" outlineLevel="2" x14ac:dyDescent="0.35">
      <c r="B10" s="487"/>
      <c r="C10" s="529"/>
      <c r="D10" s="242" t="s">
        <v>216</v>
      </c>
      <c r="E10" s="219">
        <v>199205094.81999999</v>
      </c>
      <c r="F10" s="350">
        <v>199205100.17999998</v>
      </c>
      <c r="G10" s="219">
        <v>199205093.80000001</v>
      </c>
      <c r="H10" s="218">
        <v>3.0199999999999996</v>
      </c>
      <c r="I10" s="266">
        <v>6.38</v>
      </c>
      <c r="J10" s="234">
        <v>0</v>
      </c>
      <c r="K10" s="234">
        <v>0</v>
      </c>
      <c r="L10" s="234">
        <v>0</v>
      </c>
      <c r="M10" s="234">
        <v>0</v>
      </c>
      <c r="N10" s="363">
        <v>0</v>
      </c>
      <c r="O10" s="348">
        <f t="shared" si="1"/>
        <v>6.38</v>
      </c>
      <c r="P10" s="348">
        <f>_xlfn.XLOOKUP(D10,'Overdue-1'!$D:$D,'Overdue-1'!$P:$P)</f>
        <v>0</v>
      </c>
      <c r="Q10" s="340"/>
      <c r="R10" s="233"/>
    </row>
    <row r="11" spans="2:20" s="196" customFormat="1" ht="22.15" hidden="1" customHeight="1" outlineLevel="2" x14ac:dyDescent="0.35">
      <c r="B11" s="487"/>
      <c r="C11" s="529"/>
      <c r="D11" s="242" t="s">
        <v>215</v>
      </c>
      <c r="E11" s="219">
        <v>392533969.24000007</v>
      </c>
      <c r="F11" s="350">
        <v>394043349.16999972</v>
      </c>
      <c r="G11" s="219">
        <v>393770252.58000004</v>
      </c>
      <c r="H11" s="218">
        <v>1.1500000000000001</v>
      </c>
      <c r="I11" s="266">
        <v>11.040000000000001</v>
      </c>
      <c r="J11" s="234">
        <v>0</v>
      </c>
      <c r="K11" s="234">
        <v>0</v>
      </c>
      <c r="L11" s="234">
        <v>0</v>
      </c>
      <c r="M11" s="234">
        <v>0</v>
      </c>
      <c r="N11" s="363">
        <v>273085.5</v>
      </c>
      <c r="O11" s="348">
        <f t="shared" si="1"/>
        <v>273096.53999999998</v>
      </c>
      <c r="P11" s="348">
        <f>_xlfn.XLOOKUP(D11,'Overdue-1'!$D:$D,'Overdue-1'!$P:$P)</f>
        <v>8</v>
      </c>
      <c r="Q11" s="340"/>
      <c r="R11" s="233"/>
    </row>
    <row r="12" spans="2:20" s="196" customFormat="1" ht="22.15" hidden="1" customHeight="1" outlineLevel="2" x14ac:dyDescent="0.35">
      <c r="B12" s="487"/>
      <c r="C12" s="529"/>
      <c r="D12" s="242" t="s">
        <v>214</v>
      </c>
      <c r="E12" s="219">
        <v>161076032.54999998</v>
      </c>
      <c r="F12" s="350">
        <v>161071027.37</v>
      </c>
      <c r="G12" s="219">
        <v>160976325.80999997</v>
      </c>
      <c r="H12" s="218">
        <v>5004.6399999999994</v>
      </c>
      <c r="I12" s="266">
        <v>3.96</v>
      </c>
      <c r="J12" s="234">
        <v>0</v>
      </c>
      <c r="K12" s="234">
        <v>0</v>
      </c>
      <c r="L12" s="234">
        <v>0</v>
      </c>
      <c r="M12" s="234">
        <v>0</v>
      </c>
      <c r="N12" s="363">
        <v>94697.600000000006</v>
      </c>
      <c r="O12" s="348">
        <f t="shared" si="1"/>
        <v>94701.560000000012</v>
      </c>
      <c r="P12" s="348">
        <f>_xlfn.XLOOKUP(D12,'Overdue-1'!$D:$D,'Overdue-1'!$P:$P)</f>
        <v>1</v>
      </c>
      <c r="Q12" s="340"/>
      <c r="R12" s="233"/>
    </row>
    <row r="13" spans="2:20" s="196" customFormat="1" ht="22.15" hidden="1" customHeight="1" outlineLevel="2" x14ac:dyDescent="0.35">
      <c r="B13" s="487"/>
      <c r="C13" s="529"/>
      <c r="D13" s="242" t="s">
        <v>213</v>
      </c>
      <c r="E13" s="219">
        <v>358312432.18999994</v>
      </c>
      <c r="F13" s="350">
        <v>356878589.08999979</v>
      </c>
      <c r="G13" s="219">
        <v>355289739.41999996</v>
      </c>
      <c r="H13" s="218">
        <v>468638.21</v>
      </c>
      <c r="I13" s="266">
        <v>13.930000000000003</v>
      </c>
      <c r="J13" s="234">
        <v>0</v>
      </c>
      <c r="K13" s="234">
        <v>0</v>
      </c>
      <c r="L13" s="234">
        <v>0</v>
      </c>
      <c r="M13" s="234">
        <v>0</v>
      </c>
      <c r="N13" s="363">
        <v>1588835.69</v>
      </c>
      <c r="O13" s="348">
        <f t="shared" si="1"/>
        <v>1588849.6199999999</v>
      </c>
      <c r="P13" s="348">
        <f>_xlfn.XLOOKUP(D13,'Overdue-1'!$D:$D,'Overdue-1'!$P:$P)</f>
        <v>2</v>
      </c>
      <c r="Q13" s="340"/>
      <c r="R13" s="233"/>
    </row>
    <row r="14" spans="2:20" s="196" customFormat="1" ht="22.15" hidden="1" customHeight="1" outlineLevel="2" x14ac:dyDescent="0.35">
      <c r="B14" s="487"/>
      <c r="C14" s="529"/>
      <c r="D14" s="242" t="s">
        <v>212</v>
      </c>
      <c r="E14" s="219">
        <v>291225605.85000008</v>
      </c>
      <c r="F14" s="350">
        <v>291029019.93999976</v>
      </c>
      <c r="G14" s="219">
        <v>290355612.91000009</v>
      </c>
      <c r="H14" s="218">
        <v>136961.81999999998</v>
      </c>
      <c r="I14" s="266">
        <v>783.52000000000021</v>
      </c>
      <c r="J14" s="234">
        <v>0</v>
      </c>
      <c r="K14" s="234">
        <v>0</v>
      </c>
      <c r="L14" s="234">
        <v>0</v>
      </c>
      <c r="M14" s="234">
        <v>0</v>
      </c>
      <c r="N14" s="363">
        <v>672623.46</v>
      </c>
      <c r="O14" s="348">
        <f t="shared" si="1"/>
        <v>673406.98</v>
      </c>
      <c r="P14" s="348">
        <f>_xlfn.XLOOKUP(D14,'Overdue-1'!$D:$D,'Overdue-1'!$P:$P)</f>
        <v>5</v>
      </c>
      <c r="Q14" s="340"/>
      <c r="R14" s="233"/>
    </row>
    <row r="15" spans="2:20" s="196" customFormat="1" ht="22.15" customHeight="1" outlineLevel="1" collapsed="1" x14ac:dyDescent="0.35">
      <c r="B15" s="487"/>
      <c r="C15" s="529"/>
      <c r="D15" s="236" t="s">
        <v>10</v>
      </c>
      <c r="E15" s="219">
        <v>776702862.11999893</v>
      </c>
      <c r="F15" s="350">
        <v>778355329.75999641</v>
      </c>
      <c r="G15" s="219">
        <v>776553473.00999916</v>
      </c>
      <c r="H15" s="218">
        <v>401335.66000000009</v>
      </c>
      <c r="I15" s="266">
        <v>442.03999999999991</v>
      </c>
      <c r="J15" s="234">
        <v>0</v>
      </c>
      <c r="K15" s="234">
        <v>0</v>
      </c>
      <c r="L15" s="234">
        <v>0</v>
      </c>
      <c r="M15" s="234">
        <v>0</v>
      </c>
      <c r="N15" s="363">
        <v>1801414.41</v>
      </c>
      <c r="O15" s="348">
        <f t="shared" si="1"/>
        <v>1801856.45</v>
      </c>
      <c r="P15" s="348">
        <f>_xlfn.XLOOKUP(D15,'Overdue-1'!$D:$D,'Overdue-1'!$P:$P)</f>
        <v>2</v>
      </c>
      <c r="Q15" s="340"/>
      <c r="R15" s="233"/>
    </row>
    <row r="16" spans="2:20" s="196" customFormat="1" ht="22.15" customHeight="1" outlineLevel="1" x14ac:dyDescent="0.35">
      <c r="B16" s="487"/>
      <c r="C16" s="529"/>
      <c r="D16" s="236" t="s">
        <v>211</v>
      </c>
      <c r="E16" s="219">
        <f t="shared" ref="E16:P16" si="2">SUM(E17:E21)</f>
        <v>1875287813.0100002</v>
      </c>
      <c r="F16" s="350">
        <f t="shared" si="2"/>
        <v>1868294679.8599989</v>
      </c>
      <c r="G16" s="219">
        <f t="shared" si="2"/>
        <v>1863774380.1600001</v>
      </c>
      <c r="H16" s="218">
        <f t="shared" si="2"/>
        <v>837382.12</v>
      </c>
      <c r="I16" s="266">
        <f t="shared" si="2"/>
        <v>2872911.2900000005</v>
      </c>
      <c r="J16" s="234">
        <f t="shared" si="2"/>
        <v>0</v>
      </c>
      <c r="K16" s="234">
        <f t="shared" si="2"/>
        <v>24796.2</v>
      </c>
      <c r="L16" s="234">
        <f t="shared" si="2"/>
        <v>0</v>
      </c>
      <c r="M16" s="234">
        <f t="shared" si="2"/>
        <v>0</v>
      </c>
      <c r="N16" s="363">
        <f t="shared" si="2"/>
        <v>1622589.2799999998</v>
      </c>
      <c r="O16" s="348">
        <f t="shared" si="2"/>
        <v>4520296.7700000005</v>
      </c>
      <c r="P16" s="348">
        <f t="shared" si="2"/>
        <v>7</v>
      </c>
      <c r="Q16" s="340"/>
      <c r="R16" s="233"/>
    </row>
    <row r="17" spans="2:18" s="196" customFormat="1" ht="22.15" hidden="1" customHeight="1" outlineLevel="2" x14ac:dyDescent="0.35">
      <c r="B17" s="487"/>
      <c r="C17" s="529"/>
      <c r="D17" s="242" t="s">
        <v>206</v>
      </c>
      <c r="E17" s="219">
        <v>144212647.40999997</v>
      </c>
      <c r="F17" s="350">
        <v>144212647.62000006</v>
      </c>
      <c r="G17" s="219">
        <v>144212640.94999999</v>
      </c>
      <c r="H17" s="218">
        <v>0.27999999999999997</v>
      </c>
      <c r="I17" s="266">
        <v>6.4300000000000006</v>
      </c>
      <c r="J17" s="234">
        <v>0</v>
      </c>
      <c r="K17" s="234">
        <v>0</v>
      </c>
      <c r="L17" s="234">
        <v>0</v>
      </c>
      <c r="M17" s="234">
        <v>0</v>
      </c>
      <c r="N17" s="363">
        <v>0</v>
      </c>
      <c r="O17" s="348">
        <f>SUM(I17:N17)</f>
        <v>6.4300000000000006</v>
      </c>
      <c r="P17" s="348">
        <f>_xlfn.XLOOKUP(D17,'Overdue-1'!$D:$D,'Overdue-1'!$P:$P)</f>
        <v>0</v>
      </c>
      <c r="Q17" s="340"/>
      <c r="R17" s="233"/>
    </row>
    <row r="18" spans="2:18" s="196" customFormat="1" ht="22.15" hidden="1" customHeight="1" outlineLevel="2" x14ac:dyDescent="0.35">
      <c r="B18" s="487"/>
      <c r="C18" s="529"/>
      <c r="D18" s="242" t="s">
        <v>210</v>
      </c>
      <c r="E18" s="219">
        <v>634380816.07000017</v>
      </c>
      <c r="F18" s="350">
        <v>632814460.90999973</v>
      </c>
      <c r="G18" s="219">
        <v>632789049.27999997</v>
      </c>
      <c r="H18" s="218">
        <v>6.6599999999999993</v>
      </c>
      <c r="I18" s="266">
        <v>409.89000000000004</v>
      </c>
      <c r="J18" s="234">
        <v>0</v>
      </c>
      <c r="K18" s="234">
        <v>0</v>
      </c>
      <c r="L18" s="234">
        <v>0</v>
      </c>
      <c r="M18" s="234">
        <v>0</v>
      </c>
      <c r="N18" s="363">
        <v>25001.5</v>
      </c>
      <c r="O18" s="348">
        <f>SUM(I18:N18)</f>
        <v>25411.39</v>
      </c>
      <c r="P18" s="348">
        <f>_xlfn.XLOOKUP(D18,'Overdue-1'!$D:$D,'Overdue-1'!$P:$P)</f>
        <v>1</v>
      </c>
      <c r="Q18" s="340"/>
      <c r="R18" s="233"/>
    </row>
    <row r="19" spans="2:18" s="196" customFormat="1" ht="22.15" hidden="1" customHeight="1" outlineLevel="2" x14ac:dyDescent="0.35">
      <c r="B19" s="487"/>
      <c r="C19" s="529"/>
      <c r="D19" s="242" t="s">
        <v>209</v>
      </c>
      <c r="E19" s="219">
        <v>183681570.45999995</v>
      </c>
      <c r="F19" s="350">
        <v>182844401.50999978</v>
      </c>
      <c r="G19" s="219">
        <v>182794897.88999999</v>
      </c>
      <c r="H19" s="218">
        <v>837172.01</v>
      </c>
      <c r="I19" s="266">
        <v>3.42</v>
      </c>
      <c r="J19" s="234">
        <v>0</v>
      </c>
      <c r="K19" s="234">
        <v>0</v>
      </c>
      <c r="L19" s="234">
        <v>0</v>
      </c>
      <c r="M19" s="234">
        <v>0</v>
      </c>
      <c r="N19" s="363">
        <v>49500.2</v>
      </c>
      <c r="O19" s="348">
        <f>SUM(I19:N19)</f>
        <v>49503.619999999995</v>
      </c>
      <c r="P19" s="348">
        <f>_xlfn.XLOOKUP(D19,'Overdue-1'!$D:$D,'Overdue-1'!$P:$P)</f>
        <v>2</v>
      </c>
      <c r="Q19" s="340"/>
      <c r="R19" s="233"/>
    </row>
    <row r="20" spans="2:18" s="196" customFormat="1" ht="22.15" hidden="1" customHeight="1" outlineLevel="2" x14ac:dyDescent="0.35">
      <c r="B20" s="487"/>
      <c r="C20" s="529"/>
      <c r="D20" s="242" t="s">
        <v>208</v>
      </c>
      <c r="E20" s="219">
        <v>913012779.07000017</v>
      </c>
      <c r="F20" s="350">
        <v>908423169.81999946</v>
      </c>
      <c r="G20" s="219">
        <v>903977792.04000008</v>
      </c>
      <c r="H20" s="218">
        <v>203.16999999999996</v>
      </c>
      <c r="I20" s="266">
        <v>2872491.5500000003</v>
      </c>
      <c r="J20" s="234">
        <v>0</v>
      </c>
      <c r="K20" s="234">
        <v>24796.2</v>
      </c>
      <c r="L20" s="234">
        <v>0</v>
      </c>
      <c r="M20" s="234">
        <v>0</v>
      </c>
      <c r="N20" s="363">
        <v>1548087.5799999998</v>
      </c>
      <c r="O20" s="348">
        <f>SUM(I20:N20)</f>
        <v>4445375.33</v>
      </c>
      <c r="P20" s="348">
        <f>_xlfn.XLOOKUP(D20,'Overdue-1'!$D:$D,'Overdue-1'!$P:$P)</f>
        <v>4</v>
      </c>
      <c r="Q20" s="340"/>
      <c r="R20" s="233"/>
    </row>
    <row r="21" spans="2:18" s="196" customFormat="1" ht="22.15" hidden="1" customHeight="1" outlineLevel="2" x14ac:dyDescent="0.35">
      <c r="B21" s="487"/>
      <c r="C21" s="529"/>
      <c r="D21" s="242" t="s">
        <v>207</v>
      </c>
      <c r="E21" s="219">
        <v>0</v>
      </c>
      <c r="F21" s="350">
        <v>0</v>
      </c>
      <c r="G21" s="219">
        <v>0</v>
      </c>
      <c r="H21" s="218">
        <v>0</v>
      </c>
      <c r="I21" s="266">
        <v>0</v>
      </c>
      <c r="J21" s="234">
        <v>0</v>
      </c>
      <c r="K21" s="234">
        <v>0</v>
      </c>
      <c r="L21" s="234">
        <v>0</v>
      </c>
      <c r="M21" s="234">
        <v>0</v>
      </c>
      <c r="N21" s="363">
        <v>0</v>
      </c>
      <c r="O21" s="348">
        <f>SUM(I21:N21)</f>
        <v>0</v>
      </c>
      <c r="P21" s="348">
        <f>_xlfn.XLOOKUP(D21,'Overdue-1'!$D:$D,'Overdue-1'!$P:$P)</f>
        <v>0</v>
      </c>
      <c r="Q21" s="340"/>
      <c r="R21" s="233"/>
    </row>
    <row r="22" spans="2:18" s="196" customFormat="1" ht="22.15" customHeight="1" outlineLevel="1" collapsed="1" x14ac:dyDescent="0.35">
      <c r="B22" s="487"/>
      <c r="C22" s="529"/>
      <c r="D22" s="236" t="s">
        <v>205</v>
      </c>
      <c r="E22" s="219">
        <f t="shared" ref="E22:P22" si="3">SUM(E23:E26)</f>
        <v>1637639122.6399999</v>
      </c>
      <c r="F22" s="350">
        <f t="shared" si="3"/>
        <v>1634992810.170002</v>
      </c>
      <c r="G22" s="219">
        <f t="shared" si="3"/>
        <v>1632402675.8299994</v>
      </c>
      <c r="H22" s="218">
        <f t="shared" si="3"/>
        <v>373043.070000001</v>
      </c>
      <c r="I22" s="266">
        <f t="shared" si="3"/>
        <v>4395.2100000000009</v>
      </c>
      <c r="J22" s="234">
        <f t="shared" si="3"/>
        <v>0</v>
      </c>
      <c r="K22" s="234">
        <f t="shared" si="3"/>
        <v>0</v>
      </c>
      <c r="L22" s="234">
        <f t="shared" si="3"/>
        <v>0</v>
      </c>
      <c r="M22" s="234">
        <f t="shared" si="3"/>
        <v>179539.6</v>
      </c>
      <c r="N22" s="363">
        <f t="shared" si="3"/>
        <v>2406199.2999999998</v>
      </c>
      <c r="O22" s="348">
        <f t="shared" si="3"/>
        <v>2590134.11</v>
      </c>
      <c r="P22" s="348">
        <f t="shared" si="3"/>
        <v>11</v>
      </c>
      <c r="Q22" s="340"/>
      <c r="R22" s="233"/>
    </row>
    <row r="23" spans="2:18" s="196" customFormat="1" ht="22.15" hidden="1" customHeight="1" outlineLevel="2" x14ac:dyDescent="0.35">
      <c r="B23" s="487"/>
      <c r="C23" s="529"/>
      <c r="D23" s="242" t="s">
        <v>9</v>
      </c>
      <c r="E23" s="359">
        <v>467951965.36000025</v>
      </c>
      <c r="F23" s="350">
        <v>466580405.23000044</v>
      </c>
      <c r="G23" s="359">
        <v>465060661.46999961</v>
      </c>
      <c r="H23" s="358">
        <v>349884.97000000108</v>
      </c>
      <c r="I23" s="266">
        <v>728.76999999999987</v>
      </c>
      <c r="J23" s="234">
        <v>0</v>
      </c>
      <c r="K23" s="234">
        <v>0</v>
      </c>
      <c r="L23" s="234">
        <v>0</v>
      </c>
      <c r="M23" s="234">
        <v>179539.6</v>
      </c>
      <c r="N23" s="363">
        <v>1339475.2</v>
      </c>
      <c r="O23" s="348">
        <f t="shared" ref="O23:O28" si="4">SUM(I23:N23)</f>
        <v>1519743.5699999998</v>
      </c>
      <c r="P23" s="348">
        <f>_xlfn.XLOOKUP(D23,'Overdue-1'!$D:$D,'Overdue-1'!$P:$P)</f>
        <v>7</v>
      </c>
      <c r="Q23" s="340"/>
      <c r="R23" s="233"/>
    </row>
    <row r="24" spans="2:18" s="196" customFormat="1" ht="22.15" hidden="1" customHeight="1" outlineLevel="2" x14ac:dyDescent="0.35">
      <c r="B24" s="487"/>
      <c r="C24" s="529"/>
      <c r="D24" s="242" t="s">
        <v>7</v>
      </c>
      <c r="E24" s="219">
        <v>335073288.11000013</v>
      </c>
      <c r="F24" s="350">
        <v>334629994.64000082</v>
      </c>
      <c r="G24" s="219">
        <v>334271892.27000046</v>
      </c>
      <c r="H24" s="218">
        <v>20608.69999999995</v>
      </c>
      <c r="I24" s="266">
        <v>2566.7500000000005</v>
      </c>
      <c r="J24" s="234">
        <v>0</v>
      </c>
      <c r="K24" s="234">
        <v>0</v>
      </c>
      <c r="L24" s="234">
        <v>0</v>
      </c>
      <c r="M24" s="234">
        <v>0</v>
      </c>
      <c r="N24" s="363">
        <v>355535.62</v>
      </c>
      <c r="O24" s="348">
        <f t="shared" si="4"/>
        <v>358102.37</v>
      </c>
      <c r="P24" s="348">
        <f>_xlfn.XLOOKUP(D24,'Overdue-1'!$D:$D,'Overdue-1'!$P:$P)</f>
        <v>2</v>
      </c>
      <c r="Q24" s="340"/>
      <c r="R24" s="233"/>
    </row>
    <row r="25" spans="2:18" s="196" customFormat="1" ht="22.15" hidden="1" customHeight="1" outlineLevel="2" x14ac:dyDescent="0.35">
      <c r="B25" s="487"/>
      <c r="C25" s="529"/>
      <c r="D25" s="242" t="s">
        <v>13</v>
      </c>
      <c r="E25" s="219">
        <v>407497568.81999987</v>
      </c>
      <c r="F25" s="350">
        <v>407651478.55000055</v>
      </c>
      <c r="G25" s="219">
        <v>407005252.28999984</v>
      </c>
      <c r="H25" s="218">
        <v>3.2200000000000006</v>
      </c>
      <c r="I25" s="266">
        <v>469.24999999999989</v>
      </c>
      <c r="J25" s="234">
        <v>0</v>
      </c>
      <c r="K25" s="234">
        <v>0</v>
      </c>
      <c r="L25" s="234">
        <v>0</v>
      </c>
      <c r="M25" s="234">
        <v>0</v>
      </c>
      <c r="N25" s="363">
        <v>645757</v>
      </c>
      <c r="O25" s="348">
        <f t="shared" si="4"/>
        <v>646226.25</v>
      </c>
      <c r="P25" s="348">
        <f>_xlfn.XLOOKUP(D25,'Overdue-1'!$D:$D,'Overdue-1'!$P:$P)</f>
        <v>1</v>
      </c>
      <c r="Q25" s="340"/>
      <c r="R25" s="233"/>
    </row>
    <row r="26" spans="2:18" s="196" customFormat="1" ht="22.15" hidden="1" customHeight="1" outlineLevel="2" x14ac:dyDescent="0.35">
      <c r="B26" s="487"/>
      <c r="C26" s="529"/>
      <c r="D26" s="242" t="s">
        <v>11</v>
      </c>
      <c r="E26" s="219">
        <v>427116300.34999979</v>
      </c>
      <c r="F26" s="350">
        <v>426130931.75000006</v>
      </c>
      <c r="G26" s="219">
        <v>426064869.79999983</v>
      </c>
      <c r="H26" s="218">
        <v>2546.1800000000012</v>
      </c>
      <c r="I26" s="266">
        <v>630.44000000000005</v>
      </c>
      <c r="J26" s="234">
        <v>0</v>
      </c>
      <c r="K26" s="234">
        <v>0</v>
      </c>
      <c r="L26" s="234">
        <v>0</v>
      </c>
      <c r="M26" s="234">
        <v>0</v>
      </c>
      <c r="N26" s="363">
        <v>65431.479999999996</v>
      </c>
      <c r="O26" s="348">
        <f t="shared" si="4"/>
        <v>66061.919999999998</v>
      </c>
      <c r="P26" s="348">
        <f>_xlfn.XLOOKUP(D26,'Overdue-1'!$D:$D,'Overdue-1'!$P:$P)</f>
        <v>1</v>
      </c>
      <c r="Q26" s="340"/>
      <c r="R26" s="233"/>
    </row>
    <row r="27" spans="2:18" s="196" customFormat="1" ht="22.15" customHeight="1" outlineLevel="1" collapsed="1" x14ac:dyDescent="0.35">
      <c r="B27" s="487"/>
      <c r="C27" s="529"/>
      <c r="D27" s="236" t="s">
        <v>5</v>
      </c>
      <c r="E27" s="219">
        <v>793673521.40999985</v>
      </c>
      <c r="F27" s="350">
        <v>794923048.28999949</v>
      </c>
      <c r="G27" s="219">
        <v>793964919.89999998</v>
      </c>
      <c r="H27" s="218">
        <v>0.22000000000000003</v>
      </c>
      <c r="I27" s="266">
        <v>2900.1299999999997</v>
      </c>
      <c r="J27" s="234">
        <v>0</v>
      </c>
      <c r="K27" s="234">
        <v>0</v>
      </c>
      <c r="L27" s="234">
        <v>0</v>
      </c>
      <c r="M27" s="234">
        <v>0</v>
      </c>
      <c r="N27" s="363">
        <v>955228.17999999993</v>
      </c>
      <c r="O27" s="348">
        <f t="shared" si="4"/>
        <v>958128.30999999994</v>
      </c>
      <c r="P27" s="348">
        <f>_xlfn.XLOOKUP(D27,'Overdue-1'!$D:$D,'Overdue-1'!$P:$P)</f>
        <v>6</v>
      </c>
      <c r="Q27" s="340"/>
      <c r="R27" s="233"/>
    </row>
    <row r="28" spans="2:18" s="196" customFormat="1" ht="22.15" customHeight="1" outlineLevel="1" x14ac:dyDescent="0.35">
      <c r="B28" s="487"/>
      <c r="C28" s="529"/>
      <c r="D28" s="236" t="s">
        <v>6</v>
      </c>
      <c r="E28" s="219">
        <v>797988715.11999989</v>
      </c>
      <c r="F28" s="350">
        <v>798746446.85000002</v>
      </c>
      <c r="G28" s="219">
        <v>797694530.77999938</v>
      </c>
      <c r="H28" s="218">
        <v>0.19000000000000003</v>
      </c>
      <c r="I28" s="266">
        <v>3438.6700000000014</v>
      </c>
      <c r="J28" s="234">
        <v>0</v>
      </c>
      <c r="K28" s="234">
        <v>0</v>
      </c>
      <c r="L28" s="234">
        <v>0</v>
      </c>
      <c r="M28" s="234">
        <v>0</v>
      </c>
      <c r="N28" s="363">
        <v>1048477.27</v>
      </c>
      <c r="O28" s="348">
        <f t="shared" si="4"/>
        <v>1051915.94</v>
      </c>
      <c r="P28" s="348">
        <f>_xlfn.XLOOKUP(D28,'Overdue-1'!$D:$D,'Overdue-1'!$P:$P)</f>
        <v>4</v>
      </c>
      <c r="Q28" s="340"/>
      <c r="R28" s="233"/>
    </row>
    <row r="29" spans="2:18" s="196" customFormat="1" ht="22.15" customHeight="1" outlineLevel="1" x14ac:dyDescent="0.35">
      <c r="B29" s="487"/>
      <c r="C29" s="529"/>
      <c r="D29" s="236" t="s">
        <v>163</v>
      </c>
      <c r="E29" s="219">
        <f t="shared" ref="E29:P29" si="5">SUM(E30:E32)</f>
        <v>1082691659.5900002</v>
      </c>
      <c r="F29" s="350">
        <f t="shared" si="5"/>
        <v>1082691715.1800001</v>
      </c>
      <c r="G29" s="219">
        <f t="shared" si="5"/>
        <v>1082688863.6999998</v>
      </c>
      <c r="H29" s="218">
        <f t="shared" si="5"/>
        <v>0.38</v>
      </c>
      <c r="I29" s="266">
        <f t="shared" si="5"/>
        <v>1190.4999999999998</v>
      </c>
      <c r="J29" s="234">
        <f t="shared" si="5"/>
        <v>0</v>
      </c>
      <c r="K29" s="234">
        <f t="shared" si="5"/>
        <v>0</v>
      </c>
      <c r="L29" s="234">
        <f t="shared" si="5"/>
        <v>0</v>
      </c>
      <c r="M29" s="234">
        <f t="shared" si="5"/>
        <v>0</v>
      </c>
      <c r="N29" s="363">
        <f t="shared" si="5"/>
        <v>1660.6</v>
      </c>
      <c r="O29" s="348">
        <f t="shared" si="5"/>
        <v>2851.1</v>
      </c>
      <c r="P29" s="348">
        <f t="shared" si="5"/>
        <v>0</v>
      </c>
      <c r="Q29" s="340"/>
      <c r="R29" s="233"/>
    </row>
    <row r="30" spans="2:18" s="196" customFormat="1" ht="22.15" hidden="1" customHeight="1" outlineLevel="2" x14ac:dyDescent="0.35">
      <c r="B30" s="487"/>
      <c r="C30" s="529"/>
      <c r="D30" s="242" t="s">
        <v>161</v>
      </c>
      <c r="E30" s="219">
        <v>324150738.41000003</v>
      </c>
      <c r="F30" s="350">
        <v>324150738.40999997</v>
      </c>
      <c r="G30" s="219">
        <v>324150594.84999996</v>
      </c>
      <c r="H30" s="218">
        <v>0.18</v>
      </c>
      <c r="I30" s="266">
        <v>143.37999999999997</v>
      </c>
      <c r="J30" s="234">
        <v>0</v>
      </c>
      <c r="K30" s="234">
        <v>0</v>
      </c>
      <c r="L30" s="234">
        <v>0</v>
      </c>
      <c r="M30" s="234">
        <v>0</v>
      </c>
      <c r="N30" s="363">
        <v>0</v>
      </c>
      <c r="O30" s="348">
        <f>SUM(I30:N30)</f>
        <v>143.37999999999997</v>
      </c>
      <c r="P30" s="348">
        <f>_xlfn.XLOOKUP(D30,'Overdue-1'!$D:$D,'Overdue-1'!$P:$P)</f>
        <v>0</v>
      </c>
      <c r="Q30" s="340"/>
      <c r="R30" s="233"/>
    </row>
    <row r="31" spans="2:18" s="196" customFormat="1" ht="22.15" hidden="1" customHeight="1" outlineLevel="2" x14ac:dyDescent="0.35">
      <c r="B31" s="487"/>
      <c r="C31" s="529"/>
      <c r="D31" s="242" t="s">
        <v>162</v>
      </c>
      <c r="E31" s="219">
        <v>469051097.04999995</v>
      </c>
      <c r="F31" s="350">
        <v>469051152.64000028</v>
      </c>
      <c r="G31" s="219">
        <v>469048976.19999987</v>
      </c>
      <c r="H31" s="218">
        <v>0.2</v>
      </c>
      <c r="I31" s="266">
        <v>515.63999999999987</v>
      </c>
      <c r="J31" s="234">
        <v>0</v>
      </c>
      <c r="K31" s="234">
        <v>0</v>
      </c>
      <c r="L31" s="234">
        <v>0</v>
      </c>
      <c r="M31" s="234">
        <v>0</v>
      </c>
      <c r="N31" s="363">
        <v>1660.6</v>
      </c>
      <c r="O31" s="348">
        <f>SUM(I31:N31)</f>
        <v>2176.2399999999998</v>
      </c>
      <c r="P31" s="348">
        <f>_xlfn.XLOOKUP(D31,'Overdue-1'!$D:$D,'Overdue-1'!$P:$P)</f>
        <v>0</v>
      </c>
      <c r="Q31" s="340"/>
      <c r="R31" s="233"/>
    </row>
    <row r="32" spans="2:18" s="196" customFormat="1" ht="22.15" hidden="1" customHeight="1" outlineLevel="2" x14ac:dyDescent="0.35">
      <c r="B32" s="487"/>
      <c r="C32" s="529"/>
      <c r="D32" s="242" t="s">
        <v>160</v>
      </c>
      <c r="E32" s="359">
        <v>289489824.13</v>
      </c>
      <c r="F32" s="350">
        <v>289489824.12999994</v>
      </c>
      <c r="G32" s="359">
        <v>289489292.64999998</v>
      </c>
      <c r="H32" s="358">
        <v>0</v>
      </c>
      <c r="I32" s="266">
        <v>531.4799999999999</v>
      </c>
      <c r="J32" s="234">
        <v>0</v>
      </c>
      <c r="K32" s="234">
        <v>0</v>
      </c>
      <c r="L32" s="234">
        <v>0</v>
      </c>
      <c r="M32" s="234">
        <v>0</v>
      </c>
      <c r="N32" s="363">
        <v>0</v>
      </c>
      <c r="O32" s="348">
        <f>SUM(I32:N32)</f>
        <v>531.4799999999999</v>
      </c>
      <c r="P32" s="348">
        <f>_xlfn.XLOOKUP(D32,'Overdue-1'!$D:$D,'Overdue-1'!$P:$P)</f>
        <v>0</v>
      </c>
      <c r="Q32" s="340"/>
      <c r="R32" s="233"/>
    </row>
    <row r="33" spans="2:18" s="196" customFormat="1" ht="22.15" customHeight="1" outlineLevel="1" collapsed="1" x14ac:dyDescent="0.35">
      <c r="B33" s="487"/>
      <c r="C33" s="529"/>
      <c r="D33" s="272" t="s">
        <v>204</v>
      </c>
      <c r="E33" s="359">
        <v>802635089.07000005</v>
      </c>
      <c r="F33" s="350">
        <v>677960738.09999609</v>
      </c>
      <c r="G33" s="359">
        <v>666711599.26999962</v>
      </c>
      <c r="H33" s="358">
        <v>57228840.810000025</v>
      </c>
      <c r="I33" s="266">
        <v>1577.46</v>
      </c>
      <c r="J33" s="234">
        <v>0</v>
      </c>
      <c r="K33" s="234">
        <v>0</v>
      </c>
      <c r="L33" s="234">
        <v>0</v>
      </c>
      <c r="M33" s="234">
        <v>8760867.5200000051</v>
      </c>
      <c r="N33" s="363">
        <v>2486693.73</v>
      </c>
      <c r="O33" s="369">
        <f>SUM(I33:N33)</f>
        <v>11249138.710000006</v>
      </c>
      <c r="P33" s="348">
        <f>_xlfn.XLOOKUP(D33,'Overdue-1'!$D:$D,'Overdue-1'!$P:$P)</f>
        <v>15</v>
      </c>
      <c r="Q33" s="340"/>
      <c r="R33" s="233"/>
    </row>
    <row r="34" spans="2:18" s="196" customFormat="1" ht="22.15" customHeight="1" outlineLevel="1" x14ac:dyDescent="0.35">
      <c r="B34" s="487"/>
      <c r="C34" s="529"/>
      <c r="D34" s="263" t="s">
        <v>23</v>
      </c>
      <c r="E34" s="359">
        <f t="shared" ref="E34:P34" si="6">SUM(E35:E39)</f>
        <v>2522248415.8699999</v>
      </c>
      <c r="F34" s="350">
        <f t="shared" si="6"/>
        <v>1769622993.5000036</v>
      </c>
      <c r="G34" s="359">
        <f t="shared" si="6"/>
        <v>1747147409.7400002</v>
      </c>
      <c r="H34" s="358">
        <f t="shared" si="6"/>
        <v>259312334.60000011</v>
      </c>
      <c r="I34" s="266">
        <f t="shared" si="6"/>
        <v>18166.420000000002</v>
      </c>
      <c r="J34" s="234">
        <f t="shared" si="6"/>
        <v>0</v>
      </c>
      <c r="K34" s="234">
        <f t="shared" si="6"/>
        <v>0</v>
      </c>
      <c r="L34" s="234">
        <f t="shared" si="6"/>
        <v>0</v>
      </c>
      <c r="M34" s="234">
        <f t="shared" si="6"/>
        <v>5172377.5600000005</v>
      </c>
      <c r="N34" s="363">
        <f t="shared" si="6"/>
        <v>17285039.129999999</v>
      </c>
      <c r="O34" s="348">
        <f t="shared" si="6"/>
        <v>22475583.110000003</v>
      </c>
      <c r="P34" s="348">
        <f t="shared" si="6"/>
        <v>47</v>
      </c>
      <c r="Q34" s="340"/>
      <c r="R34" s="233"/>
    </row>
    <row r="35" spans="2:18" s="196" customFormat="1" ht="22.15" hidden="1" customHeight="1" outlineLevel="2" x14ac:dyDescent="0.35">
      <c r="B35" s="487"/>
      <c r="C35" s="529"/>
      <c r="D35" s="242" t="s">
        <v>22</v>
      </c>
      <c r="E35" s="219">
        <v>931004042.99000001</v>
      </c>
      <c r="F35" s="350">
        <v>700527491.89000034</v>
      </c>
      <c r="G35" s="219">
        <v>686601398.12999904</v>
      </c>
      <c r="H35" s="218">
        <v>87005617.920000002</v>
      </c>
      <c r="I35" s="266">
        <v>4055.03</v>
      </c>
      <c r="J35" s="234">
        <v>0</v>
      </c>
      <c r="K35" s="234">
        <v>0</v>
      </c>
      <c r="L35" s="234">
        <v>0</v>
      </c>
      <c r="M35" s="234">
        <v>854171.33999999985</v>
      </c>
      <c r="N35" s="363">
        <v>13067866.970000001</v>
      </c>
      <c r="O35" s="348">
        <f t="shared" ref="O35:O40" si="7">SUM(I35:N35)</f>
        <v>13926093.34</v>
      </c>
      <c r="P35" s="348">
        <f>_xlfn.XLOOKUP(D35,'Overdue-1'!$D:$D,'Overdue-1'!$P:$P)</f>
        <v>12</v>
      </c>
      <c r="Q35" s="340"/>
      <c r="R35" s="233"/>
    </row>
    <row r="36" spans="2:18" s="196" customFormat="1" ht="22.15" hidden="1" customHeight="1" outlineLevel="2" x14ac:dyDescent="0.35">
      <c r="B36" s="487"/>
      <c r="C36" s="529"/>
      <c r="D36" s="242" t="s">
        <v>21</v>
      </c>
      <c r="E36" s="219">
        <v>752149129.11000001</v>
      </c>
      <c r="F36" s="350">
        <v>494418440.76000583</v>
      </c>
      <c r="G36" s="219">
        <v>489962750.90000111</v>
      </c>
      <c r="H36" s="218">
        <v>84258762.00000006</v>
      </c>
      <c r="I36" s="266">
        <v>6637.0899999999992</v>
      </c>
      <c r="J36" s="234">
        <v>0</v>
      </c>
      <c r="K36" s="234">
        <v>0</v>
      </c>
      <c r="L36" s="234">
        <v>0</v>
      </c>
      <c r="M36" s="234">
        <v>1504979.3900000001</v>
      </c>
      <c r="N36" s="363">
        <v>2944073.3</v>
      </c>
      <c r="O36" s="348">
        <f t="shared" si="7"/>
        <v>4455689.78</v>
      </c>
      <c r="P36" s="348">
        <f>_xlfn.XLOOKUP(D36,'Overdue-1'!$D:$D,'Overdue-1'!$P:$P)</f>
        <v>12</v>
      </c>
      <c r="Q36" s="340"/>
      <c r="R36" s="233"/>
    </row>
    <row r="37" spans="2:18" s="196" customFormat="1" ht="22.15" hidden="1" customHeight="1" outlineLevel="2" x14ac:dyDescent="0.35">
      <c r="B37" s="487"/>
      <c r="C37" s="529"/>
      <c r="D37" s="242" t="s">
        <v>20</v>
      </c>
      <c r="E37" s="359">
        <v>617559227.33000004</v>
      </c>
      <c r="F37" s="350">
        <v>409634823.2299974</v>
      </c>
      <c r="G37" s="359">
        <v>405920434.42000002</v>
      </c>
      <c r="H37" s="358">
        <v>69375935.360000044</v>
      </c>
      <c r="I37" s="266">
        <v>6175.3500000000022</v>
      </c>
      <c r="J37" s="234">
        <v>0</v>
      </c>
      <c r="K37" s="234">
        <v>0</v>
      </c>
      <c r="L37" s="234">
        <v>0</v>
      </c>
      <c r="M37" s="234">
        <v>2435114.5700000003</v>
      </c>
      <c r="N37" s="363">
        <v>1273098.8599999999</v>
      </c>
      <c r="O37" s="348">
        <f t="shared" si="7"/>
        <v>3714388.7800000003</v>
      </c>
      <c r="P37" s="348">
        <f>_xlfn.XLOOKUP(D37,'Overdue-1'!$D:$D,'Overdue-1'!$P:$P)</f>
        <v>21</v>
      </c>
      <c r="Q37" s="340"/>
      <c r="R37" s="233"/>
    </row>
    <row r="38" spans="2:18" s="196" customFormat="1" ht="22.15" hidden="1" customHeight="1" outlineLevel="2" x14ac:dyDescent="0.35">
      <c r="B38" s="487"/>
      <c r="C38" s="529"/>
      <c r="D38" s="242" t="s">
        <v>19</v>
      </c>
      <c r="E38" s="219">
        <v>175706960.77000001</v>
      </c>
      <c r="F38" s="350">
        <v>117795601.59000002</v>
      </c>
      <c r="G38" s="219">
        <v>117417203.91999996</v>
      </c>
      <c r="H38" s="218">
        <v>18313519.369999997</v>
      </c>
      <c r="I38" s="266">
        <v>285.29000000000002</v>
      </c>
      <c r="J38" s="234">
        <v>0</v>
      </c>
      <c r="K38" s="234">
        <v>0</v>
      </c>
      <c r="L38" s="234">
        <v>0</v>
      </c>
      <c r="M38" s="234">
        <v>378112.26</v>
      </c>
      <c r="N38" s="363">
        <v>0</v>
      </c>
      <c r="O38" s="348">
        <f t="shared" si="7"/>
        <v>378397.55</v>
      </c>
      <c r="P38" s="348">
        <f>_xlfn.XLOOKUP(D38,'Overdue-1'!$D:$D,'Overdue-1'!$P:$P)</f>
        <v>2</v>
      </c>
      <c r="Q38" s="340"/>
      <c r="R38" s="233"/>
    </row>
    <row r="39" spans="2:18" s="196" customFormat="1" ht="22.15" hidden="1" customHeight="1" outlineLevel="2" x14ac:dyDescent="0.35">
      <c r="B39" s="487"/>
      <c r="C39" s="529"/>
      <c r="D39" s="242" t="s">
        <v>18</v>
      </c>
      <c r="E39" s="359">
        <v>45829055.670000002</v>
      </c>
      <c r="F39" s="350">
        <v>47246636.030000016</v>
      </c>
      <c r="G39" s="359">
        <v>47245622.370000005</v>
      </c>
      <c r="H39" s="358">
        <v>358499.95</v>
      </c>
      <c r="I39" s="266">
        <v>1013.66</v>
      </c>
      <c r="J39" s="234">
        <v>0</v>
      </c>
      <c r="K39" s="234">
        <v>0</v>
      </c>
      <c r="L39" s="234">
        <v>0</v>
      </c>
      <c r="M39" s="234">
        <v>0</v>
      </c>
      <c r="N39" s="363">
        <v>0</v>
      </c>
      <c r="O39" s="348">
        <f t="shared" si="7"/>
        <v>1013.66</v>
      </c>
      <c r="P39" s="348">
        <f>_xlfn.XLOOKUP(D39,'Overdue-1'!$D:$D,'Overdue-1'!$P:$P)</f>
        <v>0</v>
      </c>
      <c r="Q39" s="340"/>
      <c r="R39" s="233"/>
    </row>
    <row r="40" spans="2:18" s="196" customFormat="1" ht="22.15" customHeight="1" outlineLevel="1" collapsed="1" x14ac:dyDescent="0.35">
      <c r="B40" s="487"/>
      <c r="C40" s="529"/>
      <c r="D40" s="263" t="s">
        <v>17</v>
      </c>
      <c r="E40" s="359">
        <v>1555013823.03</v>
      </c>
      <c r="F40" s="350">
        <v>1555013778.5400038</v>
      </c>
      <c r="G40" s="359">
        <v>1451205818.9300001</v>
      </c>
      <c r="H40" s="358">
        <v>45.639999999999979</v>
      </c>
      <c r="I40" s="266">
        <v>4.26</v>
      </c>
      <c r="J40" s="234">
        <v>0</v>
      </c>
      <c r="K40" s="234">
        <v>0</v>
      </c>
      <c r="L40" s="234">
        <v>0</v>
      </c>
      <c r="M40" s="234">
        <v>0</v>
      </c>
      <c r="N40" s="363">
        <v>103807954.25</v>
      </c>
      <c r="O40" s="348">
        <f t="shared" si="7"/>
        <v>103807958.51000001</v>
      </c>
      <c r="P40" s="348">
        <f>_xlfn.XLOOKUP(D40,'Overdue-1'!$D:$D,'Overdue-1'!$P:$P)</f>
        <v>3</v>
      </c>
      <c r="Q40" s="340"/>
      <c r="R40" s="233"/>
    </row>
    <row r="41" spans="2:18" s="196" customFormat="1" ht="22.15" customHeight="1" x14ac:dyDescent="0.35">
      <c r="B41" s="487"/>
      <c r="C41" s="529"/>
      <c r="D41" s="370" t="s">
        <v>259</v>
      </c>
      <c r="E41" s="346">
        <f t="shared" ref="E41:P41" si="8">SUM(E8,E15:E16,E27:E29,E22,E33:E34,E40)</f>
        <v>13403889538.609999</v>
      </c>
      <c r="F41" s="346">
        <f t="shared" si="8"/>
        <v>12521156763.530003</v>
      </c>
      <c r="G41" s="346">
        <f t="shared" si="8"/>
        <v>12369167641.269999</v>
      </c>
      <c r="H41" s="345">
        <f t="shared" si="8"/>
        <v>318763591.53000015</v>
      </c>
      <c r="I41" s="346">
        <f t="shared" si="8"/>
        <v>2906518.91</v>
      </c>
      <c r="J41" s="346">
        <f t="shared" si="8"/>
        <v>0</v>
      </c>
      <c r="K41" s="346">
        <f t="shared" si="8"/>
        <v>24796.2</v>
      </c>
      <c r="L41" s="346">
        <f t="shared" si="8"/>
        <v>0</v>
      </c>
      <c r="M41" s="346">
        <f t="shared" si="8"/>
        <v>14112784.680000005</v>
      </c>
      <c r="N41" s="346">
        <f t="shared" si="8"/>
        <v>134945016.40000001</v>
      </c>
      <c r="O41" s="345">
        <f t="shared" si="8"/>
        <v>151989116.19</v>
      </c>
      <c r="P41" s="341">
        <f t="shared" si="8"/>
        <v>112</v>
      </c>
      <c r="Q41" s="340"/>
      <c r="R41" s="233"/>
    </row>
    <row r="42" spans="2:18" s="196" customFormat="1" ht="22.15" customHeight="1" outlineLevel="1" x14ac:dyDescent="0.35">
      <c r="B42" s="237" t="s">
        <v>258</v>
      </c>
      <c r="C42" s="351"/>
      <c r="D42" s="272"/>
      <c r="E42" s="359"/>
      <c r="F42" s="350"/>
      <c r="G42" s="359"/>
      <c r="H42" s="358"/>
      <c r="I42" s="266"/>
      <c r="J42" s="234"/>
      <c r="K42" s="234"/>
      <c r="L42" s="234"/>
      <c r="M42" s="234"/>
      <c r="N42" s="363"/>
      <c r="O42" s="369"/>
      <c r="P42" s="348"/>
      <c r="Q42" s="340"/>
      <c r="R42" s="233"/>
    </row>
    <row r="43" spans="2:18" s="196" customFormat="1" ht="22.15" customHeight="1" outlineLevel="1" x14ac:dyDescent="0.35">
      <c r="B43" s="487"/>
      <c r="C43" s="529"/>
      <c r="D43" s="236" t="s">
        <v>203</v>
      </c>
      <c r="E43" s="359">
        <f t="shared" ref="E43:P43" si="9">SUM(E44:E47)</f>
        <v>2548741854.77</v>
      </c>
      <c r="F43" s="350">
        <f t="shared" si="9"/>
        <v>1860490380.8199992</v>
      </c>
      <c r="G43" s="359">
        <f t="shared" si="9"/>
        <v>1749557552.6000006</v>
      </c>
      <c r="H43" s="358">
        <f t="shared" si="9"/>
        <v>88303513.029999986</v>
      </c>
      <c r="I43" s="266">
        <f t="shared" si="9"/>
        <v>8731.880000000001</v>
      </c>
      <c r="J43" s="234">
        <f t="shared" si="9"/>
        <v>84101286.709999993</v>
      </c>
      <c r="K43" s="234">
        <f t="shared" si="9"/>
        <v>0</v>
      </c>
      <c r="L43" s="234">
        <f t="shared" si="9"/>
        <v>0</v>
      </c>
      <c r="M43" s="234">
        <f t="shared" si="9"/>
        <v>0</v>
      </c>
      <c r="N43" s="363">
        <f t="shared" si="9"/>
        <v>26822808.990000002</v>
      </c>
      <c r="O43" s="348">
        <f t="shared" si="9"/>
        <v>110932827.57999998</v>
      </c>
      <c r="P43" s="348">
        <f t="shared" si="9"/>
        <v>163</v>
      </c>
      <c r="Q43" s="340"/>
      <c r="R43" s="233"/>
    </row>
    <row r="44" spans="2:18" s="196" customFormat="1" ht="22.15" hidden="1" customHeight="1" outlineLevel="2" x14ac:dyDescent="0.35">
      <c r="B44" s="487"/>
      <c r="C44" s="529"/>
      <c r="D44" s="262" t="s">
        <v>202</v>
      </c>
      <c r="E44" s="359">
        <v>862944444.54999995</v>
      </c>
      <c r="F44" s="350">
        <v>635759669.01999819</v>
      </c>
      <c r="G44" s="359">
        <v>591046637.77999961</v>
      </c>
      <c r="H44" s="358">
        <v>23092171.729999993</v>
      </c>
      <c r="I44" s="266">
        <v>1623.2700000000002</v>
      </c>
      <c r="J44" s="234">
        <v>31866275.09</v>
      </c>
      <c r="K44" s="234">
        <v>0</v>
      </c>
      <c r="L44" s="234">
        <v>0</v>
      </c>
      <c r="M44" s="234">
        <v>0</v>
      </c>
      <c r="N44" s="363">
        <v>12845132.780000001</v>
      </c>
      <c r="O44" s="348">
        <f t="shared" ref="O44:O50" si="10">SUM(I44:N44)</f>
        <v>44713031.140000001</v>
      </c>
      <c r="P44" s="348">
        <f>_xlfn.XLOOKUP(D44,'Overdue-1'!$D:$D,'Overdue-1'!$P:$P)</f>
        <v>61</v>
      </c>
      <c r="Q44" s="340"/>
      <c r="R44" s="233"/>
    </row>
    <row r="45" spans="2:18" s="196" customFormat="1" ht="22.15" hidden="1" customHeight="1" outlineLevel="2" x14ac:dyDescent="0.35">
      <c r="B45" s="487"/>
      <c r="C45" s="529"/>
      <c r="D45" s="242" t="s">
        <v>201</v>
      </c>
      <c r="E45" s="359">
        <v>769607765.77999997</v>
      </c>
      <c r="F45" s="350">
        <v>519359967.34999776</v>
      </c>
      <c r="G45" s="359">
        <v>498149880.93000036</v>
      </c>
      <c r="H45" s="358">
        <v>47316206.399999984</v>
      </c>
      <c r="I45" s="266">
        <v>3118.4300000000003</v>
      </c>
      <c r="J45" s="234">
        <v>19616471.039999999</v>
      </c>
      <c r="K45" s="234">
        <v>0</v>
      </c>
      <c r="L45" s="234">
        <v>0</v>
      </c>
      <c r="M45" s="234">
        <v>0</v>
      </c>
      <c r="N45" s="363">
        <v>1590496.66</v>
      </c>
      <c r="O45" s="348">
        <f t="shared" si="10"/>
        <v>21210086.129999999</v>
      </c>
      <c r="P45" s="348">
        <f>_xlfn.XLOOKUP(D45,'Overdue-1'!$D:$D,'Overdue-1'!$P:$P)</f>
        <v>50</v>
      </c>
      <c r="Q45" s="340"/>
      <c r="R45" s="233"/>
    </row>
    <row r="46" spans="2:18" s="196" customFormat="1" ht="22.15" hidden="1" customHeight="1" outlineLevel="2" x14ac:dyDescent="0.35">
      <c r="B46" s="487"/>
      <c r="C46" s="529"/>
      <c r="D46" s="242" t="s">
        <v>200</v>
      </c>
      <c r="E46" s="359">
        <v>868535997.65999997</v>
      </c>
      <c r="F46" s="350">
        <v>658307063.47000301</v>
      </c>
      <c r="G46" s="359">
        <v>614289798.53000057</v>
      </c>
      <c r="H46" s="358">
        <v>17875389.610000003</v>
      </c>
      <c r="I46" s="266">
        <v>2737.9500000000007</v>
      </c>
      <c r="J46" s="234">
        <v>31627347.18999999</v>
      </c>
      <c r="K46" s="234">
        <v>0</v>
      </c>
      <c r="L46" s="234">
        <v>0</v>
      </c>
      <c r="M46" s="234">
        <v>0</v>
      </c>
      <c r="N46" s="363">
        <v>12387179.549999999</v>
      </c>
      <c r="O46" s="348">
        <f t="shared" si="10"/>
        <v>44017264.68999999</v>
      </c>
      <c r="P46" s="348">
        <f>_xlfn.XLOOKUP(D46,'Overdue-1'!$D:$D,'Overdue-1'!$P:$P)</f>
        <v>50</v>
      </c>
      <c r="Q46" s="340"/>
      <c r="R46" s="233"/>
    </row>
    <row r="47" spans="2:18" s="196" customFormat="1" ht="22.15" hidden="1" customHeight="1" outlineLevel="2" x14ac:dyDescent="0.35">
      <c r="B47" s="487"/>
      <c r="C47" s="529"/>
      <c r="D47" s="242" t="s">
        <v>199</v>
      </c>
      <c r="E47" s="359">
        <v>47653646.780000001</v>
      </c>
      <c r="F47" s="350">
        <v>47063680.979999997</v>
      </c>
      <c r="G47" s="359">
        <v>46071235.359999999</v>
      </c>
      <c r="H47" s="358">
        <v>19745.29</v>
      </c>
      <c r="I47" s="266">
        <v>1252.23</v>
      </c>
      <c r="J47" s="234">
        <v>991193.39</v>
      </c>
      <c r="K47" s="234">
        <v>0</v>
      </c>
      <c r="L47" s="234">
        <v>0</v>
      </c>
      <c r="M47" s="234">
        <v>0</v>
      </c>
      <c r="N47" s="363">
        <v>0</v>
      </c>
      <c r="O47" s="348">
        <f t="shared" si="10"/>
        <v>992445.62</v>
      </c>
      <c r="P47" s="348">
        <f>_xlfn.XLOOKUP(D47,'Overdue-1'!$D:$D,'Overdue-1'!$P:$P)</f>
        <v>2</v>
      </c>
      <c r="Q47" s="340"/>
      <c r="R47" s="233"/>
    </row>
    <row r="48" spans="2:18" s="196" customFormat="1" ht="22.15" customHeight="1" outlineLevel="1" collapsed="1" x14ac:dyDescent="0.35">
      <c r="B48" s="487"/>
      <c r="C48" s="529"/>
      <c r="D48" s="263" t="s">
        <v>198</v>
      </c>
      <c r="E48" s="359">
        <v>1007360090.5500002</v>
      </c>
      <c r="F48" s="350">
        <v>598134517.1899991</v>
      </c>
      <c r="G48" s="359">
        <v>588102005.86999953</v>
      </c>
      <c r="H48" s="358">
        <v>101762337.62999991</v>
      </c>
      <c r="I48" s="266">
        <v>5555.0800000000008</v>
      </c>
      <c r="J48" s="234">
        <v>0</v>
      </c>
      <c r="K48" s="234">
        <v>0</v>
      </c>
      <c r="L48" s="234">
        <v>173266.22999999998</v>
      </c>
      <c r="M48" s="234">
        <v>0</v>
      </c>
      <c r="N48" s="363">
        <v>9853689.6500000004</v>
      </c>
      <c r="O48" s="348">
        <f t="shared" si="10"/>
        <v>10032510.960000001</v>
      </c>
      <c r="P48" s="348">
        <f>_xlfn.XLOOKUP(D48,'Overdue-1'!$D:$D,'Overdue-1'!$P:$P)</f>
        <v>17</v>
      </c>
      <c r="Q48" s="340"/>
      <c r="R48" s="233"/>
    </row>
    <row r="49" spans="2:18" s="196" customFormat="1" ht="22.15" customHeight="1" outlineLevel="1" x14ac:dyDescent="0.35">
      <c r="B49" s="487"/>
      <c r="C49" s="529"/>
      <c r="D49" s="236" t="s">
        <v>189</v>
      </c>
      <c r="E49" s="359">
        <v>1535529679.7600019</v>
      </c>
      <c r="F49" s="350">
        <v>891061974.60999799</v>
      </c>
      <c r="G49" s="359">
        <v>863327073.92000043</v>
      </c>
      <c r="H49" s="358">
        <v>62673788.359999962</v>
      </c>
      <c r="I49" s="266">
        <v>4010070.7800000007</v>
      </c>
      <c r="J49" s="234">
        <v>4293896.01</v>
      </c>
      <c r="K49" s="234">
        <v>2374556.9299999997</v>
      </c>
      <c r="L49" s="234">
        <v>398649.36</v>
      </c>
      <c r="M49" s="234">
        <v>1688981.8</v>
      </c>
      <c r="N49" s="363">
        <v>14968745.729999997</v>
      </c>
      <c r="O49" s="348">
        <f t="shared" si="10"/>
        <v>27734900.609999999</v>
      </c>
      <c r="P49" s="348">
        <f>_xlfn.XLOOKUP(D49,'Overdue-1'!$D:$D,'Overdue-1'!$P:$P)</f>
        <v>82</v>
      </c>
      <c r="Q49" s="340"/>
      <c r="R49" s="233"/>
    </row>
    <row r="50" spans="2:18" s="196" customFormat="1" ht="22.15" customHeight="1" outlineLevel="1" x14ac:dyDescent="0.35">
      <c r="B50" s="487"/>
      <c r="C50" s="529"/>
      <c r="D50" s="263" t="s">
        <v>179</v>
      </c>
      <c r="E50" s="359">
        <v>3184231867.099999</v>
      </c>
      <c r="F50" s="350">
        <v>2118963166.0399885</v>
      </c>
      <c r="G50" s="359">
        <v>2004563019.559999</v>
      </c>
      <c r="H50" s="358">
        <v>112387998.13000004</v>
      </c>
      <c r="I50" s="266">
        <v>6956621.3099999996</v>
      </c>
      <c r="J50" s="234">
        <v>9646181.6499999985</v>
      </c>
      <c r="K50" s="234">
        <v>11018341.18</v>
      </c>
      <c r="L50" s="234">
        <v>2282883.61</v>
      </c>
      <c r="M50" s="234">
        <v>5342555.4000000004</v>
      </c>
      <c r="N50" s="363">
        <v>79153561.239999995</v>
      </c>
      <c r="O50" s="348">
        <f t="shared" si="10"/>
        <v>114400144.38999999</v>
      </c>
      <c r="P50" s="348">
        <f>_xlfn.XLOOKUP(D50,'Overdue-1'!$D:$D,'Overdue-1'!$P:$P)</f>
        <v>74</v>
      </c>
      <c r="Q50" s="340"/>
      <c r="R50" s="233"/>
    </row>
    <row r="51" spans="2:18" s="196" customFormat="1" ht="22.15" customHeight="1" outlineLevel="1" x14ac:dyDescent="0.35">
      <c r="B51" s="487"/>
      <c r="C51" s="529"/>
      <c r="D51" s="263" t="s">
        <v>188</v>
      </c>
      <c r="E51" s="359">
        <f t="shared" ref="E51:P51" si="11">SUM(E52:E55)</f>
        <v>2966057520.7600002</v>
      </c>
      <c r="F51" s="350">
        <f t="shared" si="11"/>
        <v>1619130627.4600003</v>
      </c>
      <c r="G51" s="359">
        <f t="shared" si="11"/>
        <v>1505348877.3899999</v>
      </c>
      <c r="H51" s="358">
        <f t="shared" si="11"/>
        <v>214355430.16999999</v>
      </c>
      <c r="I51" s="266">
        <f t="shared" si="11"/>
        <v>8707617.0899999999</v>
      </c>
      <c r="J51" s="234">
        <f t="shared" si="11"/>
        <v>12892764.6</v>
      </c>
      <c r="K51" s="234">
        <f t="shared" si="11"/>
        <v>0</v>
      </c>
      <c r="L51" s="234">
        <f t="shared" si="11"/>
        <v>2706435.06</v>
      </c>
      <c r="M51" s="234">
        <f t="shared" si="11"/>
        <v>9854478.3699999992</v>
      </c>
      <c r="N51" s="363">
        <f t="shared" si="11"/>
        <v>79620453.729999989</v>
      </c>
      <c r="O51" s="348">
        <f t="shared" si="11"/>
        <v>113781748.84999999</v>
      </c>
      <c r="P51" s="348">
        <f t="shared" si="11"/>
        <v>25</v>
      </c>
      <c r="Q51" s="340"/>
      <c r="R51" s="233"/>
    </row>
    <row r="52" spans="2:18" s="196" customFormat="1" ht="22.15" hidden="1" customHeight="1" outlineLevel="2" x14ac:dyDescent="0.35">
      <c r="B52" s="487"/>
      <c r="C52" s="529"/>
      <c r="D52" s="242" t="s">
        <v>186</v>
      </c>
      <c r="E52" s="359">
        <v>1504805394.76</v>
      </c>
      <c r="F52" s="350">
        <v>1063549010.1600002</v>
      </c>
      <c r="G52" s="359">
        <v>1035333504.5200001</v>
      </c>
      <c r="H52" s="358">
        <v>73147086.789999992</v>
      </c>
      <c r="I52" s="266">
        <v>2899833.49</v>
      </c>
      <c r="J52" s="234">
        <v>0</v>
      </c>
      <c r="K52" s="234">
        <v>0</v>
      </c>
      <c r="L52" s="234">
        <v>0</v>
      </c>
      <c r="M52" s="234">
        <v>0</v>
      </c>
      <c r="N52" s="363">
        <v>25315670.93</v>
      </c>
      <c r="O52" s="348">
        <f>SUM(I52:N52)</f>
        <v>28215504.420000002</v>
      </c>
      <c r="P52" s="348">
        <f>_xlfn.XLOOKUP(D52,'Overdue-1'!$D:$D,'Overdue-1'!$P:$P)</f>
        <v>5</v>
      </c>
      <c r="Q52" s="340"/>
      <c r="R52" s="233"/>
    </row>
    <row r="53" spans="2:18" s="196" customFormat="1" ht="22.15" hidden="1" customHeight="1" outlineLevel="2" x14ac:dyDescent="0.35">
      <c r="B53" s="487"/>
      <c r="C53" s="529"/>
      <c r="D53" s="242" t="s">
        <v>184</v>
      </c>
      <c r="E53" s="359">
        <v>130000000</v>
      </c>
      <c r="F53" s="350">
        <v>78000000</v>
      </c>
      <c r="G53" s="359">
        <v>78000000</v>
      </c>
      <c r="H53" s="358">
        <v>0</v>
      </c>
      <c r="I53" s="266">
        <v>0</v>
      </c>
      <c r="J53" s="234">
        <v>0</v>
      </c>
      <c r="K53" s="234">
        <v>0</v>
      </c>
      <c r="L53" s="234">
        <v>0</v>
      </c>
      <c r="M53" s="234">
        <v>0</v>
      </c>
      <c r="N53" s="363">
        <v>0</v>
      </c>
      <c r="O53" s="348">
        <f>SUM(I53:N53)</f>
        <v>0</v>
      </c>
      <c r="P53" s="348">
        <f>_xlfn.XLOOKUP(D53,'Overdue-1'!$D:$D,'Overdue-1'!$P:$P)</f>
        <v>0</v>
      </c>
      <c r="Q53" s="340"/>
      <c r="R53" s="233"/>
    </row>
    <row r="54" spans="2:18" s="196" customFormat="1" ht="22.15" hidden="1" customHeight="1" outlineLevel="2" x14ac:dyDescent="0.35">
      <c r="B54" s="487"/>
      <c r="C54" s="529"/>
      <c r="D54" s="262" t="s">
        <v>182</v>
      </c>
      <c r="E54" s="359">
        <v>1266411551</v>
      </c>
      <c r="F54" s="350">
        <v>471097559.79999995</v>
      </c>
      <c r="G54" s="359">
        <v>385531315.37</v>
      </c>
      <c r="H54" s="358">
        <v>85186085.879999995</v>
      </c>
      <c r="I54" s="266">
        <v>5807783.5999999996</v>
      </c>
      <c r="J54" s="234">
        <v>12892764.6</v>
      </c>
      <c r="K54" s="234">
        <v>0</v>
      </c>
      <c r="L54" s="234">
        <v>2706435.06</v>
      </c>
      <c r="M54" s="234">
        <v>9854478.3699999992</v>
      </c>
      <c r="N54" s="363">
        <v>54304782.799999997</v>
      </c>
      <c r="O54" s="348">
        <f>SUM(I54:N54)</f>
        <v>85566244.429999992</v>
      </c>
      <c r="P54" s="348">
        <f>_xlfn.XLOOKUP(D54,'Overdue-1'!$D:$D,'Overdue-1'!$P:$P)</f>
        <v>20</v>
      </c>
      <c r="Q54" s="340"/>
      <c r="R54" s="233"/>
    </row>
    <row r="55" spans="2:18" s="196" customFormat="1" ht="22.15" hidden="1" customHeight="1" outlineLevel="2" x14ac:dyDescent="0.35">
      <c r="B55" s="487"/>
      <c r="C55" s="529"/>
      <c r="D55" s="262" t="s">
        <v>180</v>
      </c>
      <c r="E55" s="359">
        <v>64840575</v>
      </c>
      <c r="F55" s="350">
        <v>6484057.5</v>
      </c>
      <c r="G55" s="359">
        <v>6484057.5</v>
      </c>
      <c r="H55" s="358">
        <v>56022257.5</v>
      </c>
      <c r="I55" s="266">
        <v>0</v>
      </c>
      <c r="J55" s="234">
        <v>0</v>
      </c>
      <c r="K55" s="234">
        <v>0</v>
      </c>
      <c r="L55" s="234">
        <v>0</v>
      </c>
      <c r="M55" s="234">
        <v>0</v>
      </c>
      <c r="N55" s="363">
        <v>0</v>
      </c>
      <c r="O55" s="348">
        <f>SUM(I55:N55)</f>
        <v>0</v>
      </c>
      <c r="P55" s="348">
        <f>_xlfn.XLOOKUP(D55,'Overdue-1'!$D:$D,'Overdue-1'!$P:$P)</f>
        <v>0</v>
      </c>
      <c r="Q55" s="340"/>
      <c r="R55" s="233"/>
    </row>
    <row r="56" spans="2:18" s="196" customFormat="1" ht="22.15" customHeight="1" outlineLevel="1" collapsed="1" x14ac:dyDescent="0.35">
      <c r="B56" s="487"/>
      <c r="C56" s="529"/>
      <c r="D56" s="246" t="s">
        <v>170</v>
      </c>
      <c r="E56" s="359">
        <f t="shared" ref="E56:P56" si="12">SUM(E57:E62)</f>
        <v>9390845349.4699955</v>
      </c>
      <c r="F56" s="350">
        <f t="shared" si="12"/>
        <v>4905376235.9299879</v>
      </c>
      <c r="G56" s="359">
        <f t="shared" si="12"/>
        <v>4659049754.3500004</v>
      </c>
      <c r="H56" s="358">
        <f t="shared" si="12"/>
        <v>287677889.77999997</v>
      </c>
      <c r="I56" s="266">
        <f t="shared" si="12"/>
        <v>39041838.710000001</v>
      </c>
      <c r="J56" s="234">
        <f t="shared" si="12"/>
        <v>25606986.169999998</v>
      </c>
      <c r="K56" s="234">
        <f t="shared" si="12"/>
        <v>17560437.16</v>
      </c>
      <c r="L56" s="234">
        <f t="shared" si="12"/>
        <v>16056164.220000003</v>
      </c>
      <c r="M56" s="234">
        <f t="shared" si="12"/>
        <v>8053959.8500000006</v>
      </c>
      <c r="N56" s="363">
        <f t="shared" si="12"/>
        <v>140007095.36000001</v>
      </c>
      <c r="O56" s="348">
        <f t="shared" si="12"/>
        <v>246326481.46999997</v>
      </c>
      <c r="P56" s="348">
        <f t="shared" si="12"/>
        <v>902</v>
      </c>
      <c r="Q56" s="340"/>
      <c r="R56" s="233"/>
    </row>
    <row r="57" spans="2:18" s="196" customFormat="1" ht="22.15" hidden="1" customHeight="1" outlineLevel="2" x14ac:dyDescent="0.35">
      <c r="B57" s="487"/>
      <c r="C57" s="529"/>
      <c r="D57" s="242" t="s">
        <v>169</v>
      </c>
      <c r="E57" s="359">
        <v>1540354407.8499997</v>
      </c>
      <c r="F57" s="350">
        <v>824217906.84999704</v>
      </c>
      <c r="G57" s="359">
        <v>784697544.91000104</v>
      </c>
      <c r="H57" s="358">
        <v>46412770.439999983</v>
      </c>
      <c r="I57" s="266">
        <v>8164782.4500000011</v>
      </c>
      <c r="J57" s="234">
        <v>6708015.7400000002</v>
      </c>
      <c r="K57" s="234">
        <v>2872481.3700000006</v>
      </c>
      <c r="L57" s="234">
        <v>1832667.2900000003</v>
      </c>
      <c r="M57" s="234">
        <v>468634.16000000003</v>
      </c>
      <c r="N57" s="363">
        <v>19473780.929999996</v>
      </c>
      <c r="O57" s="348">
        <f t="shared" ref="O57:O62" si="13">SUM(I57:N57)</f>
        <v>39520361.939999998</v>
      </c>
      <c r="P57" s="348">
        <f>_xlfn.XLOOKUP(D57,'Overdue-1'!$D:$D,'Overdue-1'!$P:$P)</f>
        <v>133</v>
      </c>
      <c r="Q57" s="340"/>
      <c r="R57" s="233"/>
    </row>
    <row r="58" spans="2:18" s="196" customFormat="1" ht="22.15" hidden="1" customHeight="1" outlineLevel="2" x14ac:dyDescent="0.35">
      <c r="B58" s="487"/>
      <c r="C58" s="529"/>
      <c r="D58" s="242" t="s">
        <v>168</v>
      </c>
      <c r="E58" s="359">
        <v>1367089433.2900009</v>
      </c>
      <c r="F58" s="350">
        <v>848588296.8199985</v>
      </c>
      <c r="G58" s="359">
        <v>808001355.00999928</v>
      </c>
      <c r="H58" s="358">
        <v>33761593.090000018</v>
      </c>
      <c r="I58" s="266">
        <v>6014007.3800000018</v>
      </c>
      <c r="J58" s="234">
        <v>2154147.19</v>
      </c>
      <c r="K58" s="234">
        <v>2161409.8100000005</v>
      </c>
      <c r="L58" s="234">
        <v>1543673.5</v>
      </c>
      <c r="M58" s="234">
        <v>500159.56</v>
      </c>
      <c r="N58" s="363">
        <v>28213544.370000008</v>
      </c>
      <c r="O58" s="348">
        <f t="shared" si="13"/>
        <v>40586941.81000001</v>
      </c>
      <c r="P58" s="348">
        <f>_xlfn.XLOOKUP(D58,'Overdue-1'!$D:$D,'Overdue-1'!$P:$P)</f>
        <v>143</v>
      </c>
      <c r="Q58" s="340"/>
      <c r="R58" s="233"/>
    </row>
    <row r="59" spans="2:18" s="196" customFormat="1" ht="22.15" hidden="1" customHeight="1" outlineLevel="2" x14ac:dyDescent="0.35">
      <c r="B59" s="487"/>
      <c r="C59" s="529"/>
      <c r="D59" s="242" t="s">
        <v>167</v>
      </c>
      <c r="E59" s="359">
        <v>1408135850.2399991</v>
      </c>
      <c r="F59" s="350">
        <v>743660045.94999814</v>
      </c>
      <c r="G59" s="359">
        <v>712824490.49999988</v>
      </c>
      <c r="H59" s="358">
        <v>32793622.990000006</v>
      </c>
      <c r="I59" s="266">
        <v>3269459.3199999994</v>
      </c>
      <c r="J59" s="234">
        <v>1097653.99</v>
      </c>
      <c r="K59" s="234">
        <v>1762789.5100000002</v>
      </c>
      <c r="L59" s="234">
        <v>1809379.03</v>
      </c>
      <c r="M59" s="234">
        <v>2818158.8599999994</v>
      </c>
      <c r="N59" s="363">
        <v>20078114.740000002</v>
      </c>
      <c r="O59" s="348">
        <f t="shared" si="13"/>
        <v>30835555.450000003</v>
      </c>
      <c r="P59" s="348">
        <f>_xlfn.XLOOKUP(D59,'Overdue-1'!$D:$D,'Overdue-1'!$P:$P)</f>
        <v>124</v>
      </c>
      <c r="Q59" s="340"/>
      <c r="R59" s="233"/>
    </row>
    <row r="60" spans="2:18" s="196" customFormat="1" ht="22.15" hidden="1" customHeight="1" outlineLevel="2" x14ac:dyDescent="0.35">
      <c r="B60" s="487"/>
      <c r="C60" s="529"/>
      <c r="D60" s="242" t="s">
        <v>166</v>
      </c>
      <c r="E60" s="359">
        <v>1792831545.7099993</v>
      </c>
      <c r="F60" s="350">
        <v>886951994.98999655</v>
      </c>
      <c r="G60" s="359">
        <v>830359389.26999915</v>
      </c>
      <c r="H60" s="358">
        <v>65494440.919999957</v>
      </c>
      <c r="I60" s="266">
        <v>7143025.5100000016</v>
      </c>
      <c r="J60" s="234">
        <v>7296043.5200000005</v>
      </c>
      <c r="K60" s="234">
        <v>5767982.0800000001</v>
      </c>
      <c r="L60" s="234">
        <v>2380577.9700000002</v>
      </c>
      <c r="M60" s="234">
        <v>1730246.19</v>
      </c>
      <c r="N60" s="363">
        <v>32274730.449999992</v>
      </c>
      <c r="O60" s="348">
        <f t="shared" si="13"/>
        <v>56592605.719999991</v>
      </c>
      <c r="P60" s="348">
        <f>_xlfn.XLOOKUP(D60,'Overdue-1'!$D:$D,'Overdue-1'!$P:$P)</f>
        <v>193</v>
      </c>
      <c r="Q60" s="340"/>
      <c r="R60" s="233"/>
    </row>
    <row r="61" spans="2:18" s="196" customFormat="1" ht="22.15" hidden="1" customHeight="1" outlineLevel="2" x14ac:dyDescent="0.35">
      <c r="B61" s="487"/>
      <c r="C61" s="529"/>
      <c r="D61" s="261" t="s">
        <v>165</v>
      </c>
      <c r="E61" s="359">
        <v>1468606439.3999984</v>
      </c>
      <c r="F61" s="350">
        <v>759895185.37000251</v>
      </c>
      <c r="G61" s="359">
        <v>732896915.64000058</v>
      </c>
      <c r="H61" s="358">
        <v>57351811.219999999</v>
      </c>
      <c r="I61" s="266">
        <v>5974795.7399999993</v>
      </c>
      <c r="J61" s="234">
        <v>2601457.67</v>
      </c>
      <c r="K61" s="234">
        <v>1135411.6100000001</v>
      </c>
      <c r="L61" s="234">
        <v>3350204.7400000007</v>
      </c>
      <c r="M61" s="234">
        <v>2324196.4700000002</v>
      </c>
      <c r="N61" s="363">
        <v>11612203.430000002</v>
      </c>
      <c r="O61" s="348">
        <f t="shared" si="13"/>
        <v>26998269.660000004</v>
      </c>
      <c r="P61" s="348">
        <f>_xlfn.XLOOKUP(D61,'Overdue-1'!$D:$D,'Overdue-1'!$P:$P)</f>
        <v>118</v>
      </c>
      <c r="Q61" s="340"/>
      <c r="R61" s="233"/>
    </row>
    <row r="62" spans="2:18" s="196" customFormat="1" ht="22.15" hidden="1" customHeight="1" outlineLevel="2" x14ac:dyDescent="0.35">
      <c r="B62" s="487"/>
      <c r="C62" s="529"/>
      <c r="D62" s="261" t="s">
        <v>164</v>
      </c>
      <c r="E62" s="359">
        <v>1813827672.9799988</v>
      </c>
      <c r="F62" s="350">
        <v>842062805.94999528</v>
      </c>
      <c r="G62" s="359">
        <v>790270059.0200007</v>
      </c>
      <c r="H62" s="358">
        <v>51863651.120000012</v>
      </c>
      <c r="I62" s="266">
        <v>8475768.3099999987</v>
      </c>
      <c r="J62" s="234">
        <v>5749668.0599999987</v>
      </c>
      <c r="K62" s="234">
        <v>3860362.78</v>
      </c>
      <c r="L62" s="234">
        <v>5139661.6900000004</v>
      </c>
      <c r="M62" s="234">
        <v>212564.61000000002</v>
      </c>
      <c r="N62" s="363">
        <v>28354721.440000005</v>
      </c>
      <c r="O62" s="348">
        <f t="shared" si="13"/>
        <v>51792746.890000001</v>
      </c>
      <c r="P62" s="348">
        <f>_xlfn.XLOOKUP(D62,'Overdue-1'!$D:$D,'Overdue-1'!$P:$P)</f>
        <v>191</v>
      </c>
      <c r="Q62" s="340"/>
      <c r="R62" s="233"/>
    </row>
    <row r="63" spans="2:18" s="196" customFormat="1" ht="22.15" customHeight="1" outlineLevel="1" collapsed="1" x14ac:dyDescent="0.35">
      <c r="B63" s="487"/>
      <c r="C63" s="529"/>
      <c r="D63" s="324" t="s">
        <v>256</v>
      </c>
      <c r="E63" s="359">
        <f t="shared" ref="E63:P63" si="14">SUM(E64:E66)</f>
        <v>2541198797.9000025</v>
      </c>
      <c r="F63" s="350">
        <f t="shared" si="14"/>
        <v>1548350914.5199885</v>
      </c>
      <c r="G63" s="359">
        <f t="shared" si="14"/>
        <v>1527323781.1800008</v>
      </c>
      <c r="H63" s="358">
        <f t="shared" si="14"/>
        <v>184292194.43000007</v>
      </c>
      <c r="I63" s="266">
        <f t="shared" si="14"/>
        <v>652856.86999999988</v>
      </c>
      <c r="J63" s="234">
        <f t="shared" si="14"/>
        <v>1737346.48</v>
      </c>
      <c r="K63" s="234">
        <f t="shared" si="14"/>
        <v>1682015.1600000001</v>
      </c>
      <c r="L63" s="234">
        <f t="shared" si="14"/>
        <v>567001.69999999995</v>
      </c>
      <c r="M63" s="234">
        <f t="shared" si="14"/>
        <v>2990.35</v>
      </c>
      <c r="N63" s="363">
        <f t="shared" si="14"/>
        <v>16329860.870000001</v>
      </c>
      <c r="O63" s="348">
        <f t="shared" si="14"/>
        <v>20972071.43</v>
      </c>
      <c r="P63" s="348">
        <f t="shared" si="14"/>
        <v>55</v>
      </c>
      <c r="Q63" s="340"/>
      <c r="R63" s="233"/>
    </row>
    <row r="64" spans="2:18" s="196" customFormat="1" ht="16.899999999999999" hidden="1" customHeight="1" outlineLevel="2" x14ac:dyDescent="0.35">
      <c r="B64" s="487"/>
      <c r="C64" s="529"/>
      <c r="D64" s="260" t="s">
        <v>196</v>
      </c>
      <c r="E64" s="359">
        <v>1017869953.77</v>
      </c>
      <c r="F64" s="350">
        <v>626245285.1399982</v>
      </c>
      <c r="G64" s="359">
        <v>617990968.49000013</v>
      </c>
      <c r="H64" s="358">
        <v>67154177.470000044</v>
      </c>
      <c r="I64" s="266">
        <v>37413.679999999993</v>
      </c>
      <c r="J64" s="234">
        <v>152404.48000000001</v>
      </c>
      <c r="K64" s="234">
        <v>0</v>
      </c>
      <c r="L64" s="234">
        <v>177647.61</v>
      </c>
      <c r="M64" s="234">
        <v>0</v>
      </c>
      <c r="N64" s="363">
        <v>7886850.7399999993</v>
      </c>
      <c r="O64" s="348">
        <f>SUM(I64:N64)</f>
        <v>8254316.5099999998</v>
      </c>
      <c r="P64" s="348">
        <f>_xlfn.XLOOKUP(D64,'Overdue-1'!$D:$D,'Overdue-1'!$P:$P)</f>
        <v>21</v>
      </c>
      <c r="Q64" s="340"/>
      <c r="R64" s="233"/>
    </row>
    <row r="65" spans="2:18" s="196" customFormat="1" ht="22.15" hidden="1" customHeight="1" outlineLevel="2" x14ac:dyDescent="0.35">
      <c r="B65" s="487"/>
      <c r="C65" s="529"/>
      <c r="D65" s="260" t="s">
        <v>195</v>
      </c>
      <c r="E65" s="359">
        <v>1470983486.8800027</v>
      </c>
      <c r="F65" s="350">
        <v>889723568.8199904</v>
      </c>
      <c r="G65" s="359">
        <v>877322143.73000073</v>
      </c>
      <c r="H65" s="358">
        <v>108950023.01000005</v>
      </c>
      <c r="I65" s="266">
        <v>615443.18999999994</v>
      </c>
      <c r="J65" s="234">
        <v>1584942</v>
      </c>
      <c r="K65" s="234">
        <v>1682015.1600000001</v>
      </c>
      <c r="L65" s="234">
        <v>389354.09</v>
      </c>
      <c r="M65" s="234">
        <v>2990.35</v>
      </c>
      <c r="N65" s="363">
        <v>8126680.1300000008</v>
      </c>
      <c r="O65" s="348">
        <f>SUM(I65:N65)</f>
        <v>12401424.920000002</v>
      </c>
      <c r="P65" s="348">
        <f>_xlfn.XLOOKUP(D65,'Overdue-1'!$D:$D,'Overdue-1'!$P:$P)</f>
        <v>33</v>
      </c>
      <c r="Q65" s="340"/>
      <c r="R65" s="233"/>
    </row>
    <row r="66" spans="2:18" s="196" customFormat="1" ht="22.15" hidden="1" customHeight="1" outlineLevel="2" x14ac:dyDescent="0.35">
      <c r="B66" s="487"/>
      <c r="C66" s="529"/>
      <c r="D66" s="260" t="s">
        <v>194</v>
      </c>
      <c r="E66" s="359">
        <v>52345357.25</v>
      </c>
      <c r="F66" s="350">
        <v>32382060.560000002</v>
      </c>
      <c r="G66" s="359">
        <v>32010668.960000001</v>
      </c>
      <c r="H66" s="358">
        <v>8187993.9500000002</v>
      </c>
      <c r="I66" s="266">
        <v>0</v>
      </c>
      <c r="J66" s="234">
        <v>0</v>
      </c>
      <c r="K66" s="234">
        <v>0</v>
      </c>
      <c r="L66" s="234">
        <v>0</v>
      </c>
      <c r="M66" s="234">
        <v>0</v>
      </c>
      <c r="N66" s="363">
        <v>316330</v>
      </c>
      <c r="O66" s="348">
        <f>SUM(I66:N66)</f>
        <v>316330</v>
      </c>
      <c r="P66" s="348">
        <f>_xlfn.XLOOKUP(D66,'Overdue-1'!$D:$D,'Overdue-1'!$P:$P)</f>
        <v>1</v>
      </c>
      <c r="Q66" s="340"/>
      <c r="R66" s="233"/>
    </row>
    <row r="67" spans="2:18" s="196" customFormat="1" ht="22.15" customHeight="1" outlineLevel="1" collapsed="1" x14ac:dyDescent="0.35">
      <c r="B67" s="487"/>
      <c r="C67" s="529"/>
      <c r="D67" s="324" t="s">
        <v>178</v>
      </c>
      <c r="E67" s="359">
        <f t="shared" ref="E67:P67" si="15">SUM(E68:E74)</f>
        <v>6987776685.4200001</v>
      </c>
      <c r="F67" s="350">
        <f t="shared" si="15"/>
        <v>3736014218.109992</v>
      </c>
      <c r="G67" s="359">
        <f t="shared" si="15"/>
        <v>3590002271.7599978</v>
      </c>
      <c r="H67" s="358">
        <f t="shared" si="15"/>
        <v>313172768.92999995</v>
      </c>
      <c r="I67" s="266">
        <f t="shared" si="15"/>
        <v>19138024.059999999</v>
      </c>
      <c r="J67" s="234">
        <f t="shared" si="15"/>
        <v>11357740.16</v>
      </c>
      <c r="K67" s="234">
        <f t="shared" si="15"/>
        <v>8350130.79</v>
      </c>
      <c r="L67" s="234">
        <f t="shared" si="15"/>
        <v>10226671.98</v>
      </c>
      <c r="M67" s="234">
        <f t="shared" si="15"/>
        <v>6281420.8399999999</v>
      </c>
      <c r="N67" s="363">
        <f t="shared" si="15"/>
        <v>90657957.999999985</v>
      </c>
      <c r="O67" s="348">
        <f t="shared" si="15"/>
        <v>146011945.82999998</v>
      </c>
      <c r="P67" s="348">
        <f t="shared" si="15"/>
        <v>415</v>
      </c>
      <c r="Q67" s="340"/>
      <c r="R67" s="233"/>
    </row>
    <row r="68" spans="2:18" s="196" customFormat="1" ht="22.15" hidden="1" customHeight="1" outlineLevel="2" x14ac:dyDescent="0.35">
      <c r="B68" s="487"/>
      <c r="C68" s="529"/>
      <c r="D68" s="260" t="s">
        <v>177</v>
      </c>
      <c r="E68" s="359">
        <v>1437789012.3800011</v>
      </c>
      <c r="F68" s="350">
        <v>796240293.83000207</v>
      </c>
      <c r="G68" s="359">
        <v>762980005.54999983</v>
      </c>
      <c r="H68" s="358">
        <v>58937694.339999974</v>
      </c>
      <c r="I68" s="266">
        <v>2556226.85</v>
      </c>
      <c r="J68" s="234">
        <v>1702909.8099999998</v>
      </c>
      <c r="K68" s="234">
        <v>2258655.48</v>
      </c>
      <c r="L68" s="234">
        <v>2357175.9000000004</v>
      </c>
      <c r="M68" s="234">
        <v>427629.99</v>
      </c>
      <c r="N68" s="363">
        <v>23957690.190000005</v>
      </c>
      <c r="O68" s="348">
        <f t="shared" ref="O68:O74" si="16">SUM(I68:N68)</f>
        <v>33260288.220000006</v>
      </c>
      <c r="P68" s="348">
        <f>_xlfn.XLOOKUP(D68,'Overdue-1'!$D:$D,'Overdue-1'!$P:$P)</f>
        <v>95</v>
      </c>
      <c r="Q68" s="340"/>
      <c r="R68" s="233"/>
    </row>
    <row r="69" spans="2:18" s="196" customFormat="1" ht="22.15" hidden="1" customHeight="1" outlineLevel="2" x14ac:dyDescent="0.35">
      <c r="B69" s="487"/>
      <c r="C69" s="529"/>
      <c r="D69" s="260" t="s">
        <v>176</v>
      </c>
      <c r="E69" s="359">
        <v>1649643870.8700001</v>
      </c>
      <c r="F69" s="350">
        <v>893626709.47999382</v>
      </c>
      <c r="G69" s="359">
        <v>871301816.70999885</v>
      </c>
      <c r="H69" s="358">
        <v>71956848.750000015</v>
      </c>
      <c r="I69" s="266">
        <v>1640340.8599999996</v>
      </c>
      <c r="J69" s="234">
        <v>2348524.08</v>
      </c>
      <c r="K69" s="234">
        <v>897520.74</v>
      </c>
      <c r="L69" s="234">
        <v>1204461.23</v>
      </c>
      <c r="M69" s="234">
        <v>1663181.9699999997</v>
      </c>
      <c r="N69" s="363">
        <v>14570863.789999997</v>
      </c>
      <c r="O69" s="348">
        <f t="shared" si="16"/>
        <v>22324892.669999998</v>
      </c>
      <c r="P69" s="348">
        <f>_xlfn.XLOOKUP(D69,'Overdue-1'!$D:$D,'Overdue-1'!$P:$P)</f>
        <v>87</v>
      </c>
      <c r="Q69" s="340"/>
      <c r="R69" s="233"/>
    </row>
    <row r="70" spans="2:18" s="196" customFormat="1" ht="22.15" hidden="1" customHeight="1" outlineLevel="2" x14ac:dyDescent="0.35">
      <c r="B70" s="487"/>
      <c r="C70" s="529"/>
      <c r="D70" s="260" t="s">
        <v>175</v>
      </c>
      <c r="E70" s="359">
        <v>1020475280.3399996</v>
      </c>
      <c r="F70" s="350">
        <v>545044972.50999868</v>
      </c>
      <c r="G70" s="359">
        <v>518691731.61999989</v>
      </c>
      <c r="H70" s="358">
        <v>47445506.089999981</v>
      </c>
      <c r="I70" s="266">
        <v>4628388.38</v>
      </c>
      <c r="J70" s="234">
        <v>720329.59</v>
      </c>
      <c r="K70" s="234">
        <v>480696.22000000003</v>
      </c>
      <c r="L70" s="234">
        <v>654578.54</v>
      </c>
      <c r="M70" s="234">
        <v>1428313.1200000003</v>
      </c>
      <c r="N70" s="363">
        <v>18440935.039999999</v>
      </c>
      <c r="O70" s="348">
        <f t="shared" si="16"/>
        <v>26353240.890000001</v>
      </c>
      <c r="P70" s="348">
        <f>_xlfn.XLOOKUP(D70,'Overdue-1'!$D:$D,'Overdue-1'!$P:$P)</f>
        <v>61</v>
      </c>
      <c r="Q70" s="340"/>
      <c r="R70" s="233"/>
    </row>
    <row r="71" spans="2:18" s="196" customFormat="1" ht="22.15" hidden="1" customHeight="1" outlineLevel="2" x14ac:dyDescent="0.35">
      <c r="B71" s="487"/>
      <c r="C71" s="529"/>
      <c r="D71" s="260" t="s">
        <v>174</v>
      </c>
      <c r="E71" s="359">
        <v>1066287099.3199998</v>
      </c>
      <c r="F71" s="350">
        <v>580504271.9599967</v>
      </c>
      <c r="G71" s="359">
        <v>563112062.14999962</v>
      </c>
      <c r="H71" s="358">
        <v>40491992.799999982</v>
      </c>
      <c r="I71" s="266">
        <v>5434291.9699999988</v>
      </c>
      <c r="J71" s="234">
        <v>1174604.0500000003</v>
      </c>
      <c r="K71" s="234">
        <v>708033.62</v>
      </c>
      <c r="L71" s="234">
        <v>540888.35</v>
      </c>
      <c r="M71" s="234">
        <v>648280.64999999991</v>
      </c>
      <c r="N71" s="363">
        <v>8886111.0100000016</v>
      </c>
      <c r="O71" s="348">
        <f t="shared" si="16"/>
        <v>17392209.649999999</v>
      </c>
      <c r="P71" s="348">
        <f>_xlfn.XLOOKUP(D71,'Overdue-1'!$D:$D,'Overdue-1'!$P:$P)</f>
        <v>74</v>
      </c>
      <c r="Q71" s="340"/>
      <c r="R71" s="233"/>
    </row>
    <row r="72" spans="2:18" s="196" customFormat="1" ht="22.15" hidden="1" customHeight="1" outlineLevel="2" x14ac:dyDescent="0.35">
      <c r="B72" s="487"/>
      <c r="C72" s="529"/>
      <c r="D72" s="260" t="s">
        <v>173</v>
      </c>
      <c r="E72" s="359">
        <v>1165155774.8299992</v>
      </c>
      <c r="F72" s="350">
        <v>624951739.96000111</v>
      </c>
      <c r="G72" s="359">
        <v>595976594.86999953</v>
      </c>
      <c r="H72" s="358">
        <v>58976268.090000004</v>
      </c>
      <c r="I72" s="266">
        <v>2059418.9100000001</v>
      </c>
      <c r="J72" s="234">
        <v>2343777.91</v>
      </c>
      <c r="K72" s="234">
        <v>2892367.24</v>
      </c>
      <c r="L72" s="234">
        <v>1019273.74</v>
      </c>
      <c r="M72" s="234">
        <v>18819.329999999998</v>
      </c>
      <c r="N72" s="363">
        <v>20641487.75999999</v>
      </c>
      <c r="O72" s="348">
        <f t="shared" si="16"/>
        <v>28975144.889999993</v>
      </c>
      <c r="P72" s="348">
        <f>_xlfn.XLOOKUP(D72,'Overdue-1'!$D:$D,'Overdue-1'!$P:$P)</f>
        <v>71</v>
      </c>
      <c r="Q72" s="340"/>
      <c r="R72" s="233"/>
    </row>
    <row r="73" spans="2:18" s="196" customFormat="1" ht="22.15" hidden="1" customHeight="1" outlineLevel="2" x14ac:dyDescent="0.35">
      <c r="B73" s="487"/>
      <c r="C73" s="529"/>
      <c r="D73" s="260" t="s">
        <v>172</v>
      </c>
      <c r="E73" s="359">
        <v>562226720.17999995</v>
      </c>
      <c r="F73" s="350">
        <v>243337504.86999983</v>
      </c>
      <c r="G73" s="359">
        <v>232013439.36000004</v>
      </c>
      <c r="H73" s="358">
        <v>34702400.840000004</v>
      </c>
      <c r="I73" s="266">
        <v>2819357.09</v>
      </c>
      <c r="J73" s="234">
        <v>3067594.72</v>
      </c>
      <c r="K73" s="234">
        <v>1112857.49</v>
      </c>
      <c r="L73" s="234">
        <v>159865.22</v>
      </c>
      <c r="M73" s="234">
        <v>3520.78</v>
      </c>
      <c r="N73" s="363">
        <v>4160870.21</v>
      </c>
      <c r="O73" s="348">
        <f t="shared" si="16"/>
        <v>11324065.510000002</v>
      </c>
      <c r="P73" s="348">
        <f>_xlfn.XLOOKUP(D73,'Overdue-1'!$D:$D,'Overdue-1'!$P:$P)</f>
        <v>24</v>
      </c>
      <c r="Q73" s="340"/>
      <c r="R73" s="233"/>
    </row>
    <row r="74" spans="2:18" s="196" customFormat="1" ht="22.15" hidden="1" customHeight="1" outlineLevel="2" x14ac:dyDescent="0.35">
      <c r="B74" s="487"/>
      <c r="C74" s="529"/>
      <c r="D74" s="260" t="s">
        <v>171</v>
      </c>
      <c r="E74" s="359">
        <v>86198927.5</v>
      </c>
      <c r="F74" s="350">
        <v>52308725.5</v>
      </c>
      <c r="G74" s="359">
        <v>45926621.5</v>
      </c>
      <c r="H74" s="358">
        <v>662058.02</v>
      </c>
      <c r="I74" s="266">
        <v>0</v>
      </c>
      <c r="J74" s="234">
        <v>0</v>
      </c>
      <c r="K74" s="234">
        <v>0</v>
      </c>
      <c r="L74" s="234">
        <v>4290429</v>
      </c>
      <c r="M74" s="234">
        <v>2091675</v>
      </c>
      <c r="N74" s="363">
        <v>0</v>
      </c>
      <c r="O74" s="348">
        <f t="shared" si="16"/>
        <v>6382104</v>
      </c>
      <c r="P74" s="348">
        <f>_xlfn.XLOOKUP(D74,'Overdue-1'!$D:$D,'Overdue-1'!$P:$P)</f>
        <v>3</v>
      </c>
      <c r="Q74" s="340"/>
      <c r="R74" s="233"/>
    </row>
    <row r="75" spans="2:18" s="196" customFormat="1" ht="22.15" customHeight="1" x14ac:dyDescent="0.35">
      <c r="B75" s="488"/>
      <c r="C75" s="530"/>
      <c r="D75" s="356" t="s">
        <v>255</v>
      </c>
      <c r="E75" s="346">
        <f t="shared" ref="E75:P75" si="17">SUM(E43,E48:E51,E56,E63,E67)</f>
        <v>30161741845.729996</v>
      </c>
      <c r="F75" s="346">
        <f t="shared" si="17"/>
        <v>17277522034.679955</v>
      </c>
      <c r="G75" s="346">
        <f t="shared" si="17"/>
        <v>16487274336.629999</v>
      </c>
      <c r="H75" s="345">
        <f t="shared" si="17"/>
        <v>1364625920.46</v>
      </c>
      <c r="I75" s="344">
        <f t="shared" si="17"/>
        <v>78521315.780000001</v>
      </c>
      <c r="J75" s="343">
        <f t="shared" si="17"/>
        <v>149636201.77999997</v>
      </c>
      <c r="K75" s="343">
        <f t="shared" si="17"/>
        <v>40985481.219999999</v>
      </c>
      <c r="L75" s="343">
        <f t="shared" si="17"/>
        <v>32411072.160000004</v>
      </c>
      <c r="M75" s="343">
        <f t="shared" si="17"/>
        <v>31224386.610000003</v>
      </c>
      <c r="N75" s="342">
        <f t="shared" si="17"/>
        <v>457414173.56999999</v>
      </c>
      <c r="O75" s="341">
        <f t="shared" si="17"/>
        <v>790192631.11999989</v>
      </c>
      <c r="P75" s="341">
        <f t="shared" si="17"/>
        <v>1733</v>
      </c>
      <c r="Q75" s="340"/>
      <c r="R75" s="233"/>
    </row>
    <row r="76" spans="2:18" s="196" customFormat="1" ht="22.15" customHeight="1" outlineLevel="1" x14ac:dyDescent="0.35">
      <c r="B76" s="486" t="s">
        <v>254</v>
      </c>
      <c r="C76" s="528" t="s">
        <v>253</v>
      </c>
      <c r="D76" s="368"/>
      <c r="E76" s="284"/>
      <c r="F76" s="284"/>
      <c r="G76" s="284"/>
      <c r="H76" s="367"/>
      <c r="I76" s="366"/>
      <c r="J76" s="284"/>
      <c r="K76" s="284"/>
      <c r="L76" s="284"/>
      <c r="M76" s="284"/>
      <c r="N76" s="365"/>
      <c r="O76" s="364"/>
      <c r="P76" s="264"/>
      <c r="Q76" s="340"/>
      <c r="R76" s="233"/>
    </row>
    <row r="77" spans="2:18" s="196" customFormat="1" ht="22.15" customHeight="1" outlineLevel="1" x14ac:dyDescent="0.35">
      <c r="B77" s="487"/>
      <c r="C77" s="529"/>
      <c r="D77" s="251" t="s">
        <v>252</v>
      </c>
      <c r="E77" s="219">
        <f t="shared" ref="E77:P77" si="18">SUM(E78:E80)</f>
        <v>5301963228.2799997</v>
      </c>
      <c r="F77" s="350">
        <f t="shared" si="18"/>
        <v>3061852349.7400026</v>
      </c>
      <c r="G77" s="219">
        <f t="shared" si="18"/>
        <v>2861273379.0300007</v>
      </c>
      <c r="H77" s="218">
        <f t="shared" si="18"/>
        <v>258975239.60000002</v>
      </c>
      <c r="I77" s="266">
        <f t="shared" si="18"/>
        <v>36848349.5</v>
      </c>
      <c r="J77" s="266">
        <f t="shared" si="18"/>
        <v>33854059.659999996</v>
      </c>
      <c r="K77" s="266">
        <f t="shared" si="18"/>
        <v>10273400.559999999</v>
      </c>
      <c r="L77" s="266">
        <f t="shared" si="18"/>
        <v>6139664.1799999997</v>
      </c>
      <c r="M77" s="266">
        <f t="shared" si="18"/>
        <v>6307403.4800000004</v>
      </c>
      <c r="N77" s="233">
        <f t="shared" si="18"/>
        <v>107156090.73</v>
      </c>
      <c r="O77" s="349">
        <f t="shared" si="18"/>
        <v>200578968.11000001</v>
      </c>
      <c r="P77" s="348">
        <f t="shared" si="18"/>
        <v>176</v>
      </c>
      <c r="Q77" s="340"/>
      <c r="R77" s="233"/>
    </row>
    <row r="78" spans="2:18" s="196" customFormat="1" ht="22.15" hidden="1" customHeight="1" outlineLevel="2" x14ac:dyDescent="0.35">
      <c r="B78" s="487"/>
      <c r="C78" s="529"/>
      <c r="D78" s="250" t="s">
        <v>192</v>
      </c>
      <c r="E78" s="219">
        <v>2615490904.3499999</v>
      </c>
      <c r="F78" s="350">
        <v>1736493994.8900018</v>
      </c>
      <c r="G78" s="219">
        <v>1604216341.1900008</v>
      </c>
      <c r="H78" s="218">
        <v>145719771.67000002</v>
      </c>
      <c r="I78" s="266">
        <v>15780436.950000005</v>
      </c>
      <c r="J78" s="266">
        <v>14921409.850000001</v>
      </c>
      <c r="K78" s="266">
        <v>6578230.6499999994</v>
      </c>
      <c r="L78" s="266">
        <v>296331.92</v>
      </c>
      <c r="M78" s="266">
        <v>4417696.1100000003</v>
      </c>
      <c r="N78" s="233">
        <v>90283546.25</v>
      </c>
      <c r="O78" s="349">
        <f>SUM(I78:N78)</f>
        <v>132277651.73</v>
      </c>
      <c r="P78" s="348">
        <f>_xlfn.XLOOKUP(D78,'Overdue-1'!$D:$D,'Overdue-1'!$P:$P)</f>
        <v>93</v>
      </c>
      <c r="Q78" s="340"/>
      <c r="R78" s="233"/>
    </row>
    <row r="79" spans="2:18" s="196" customFormat="1" ht="22.15" hidden="1" customHeight="1" outlineLevel="2" x14ac:dyDescent="0.35">
      <c r="B79" s="487"/>
      <c r="C79" s="529"/>
      <c r="D79" s="250" t="s">
        <v>191</v>
      </c>
      <c r="E79" s="219">
        <v>1512285647.21</v>
      </c>
      <c r="F79" s="350">
        <v>799332322.49000072</v>
      </c>
      <c r="G79" s="219">
        <v>761723950.79999995</v>
      </c>
      <c r="H79" s="218">
        <v>33855060.810000002</v>
      </c>
      <c r="I79" s="266">
        <v>10914948.799999999</v>
      </c>
      <c r="J79" s="266">
        <v>10151816.77</v>
      </c>
      <c r="K79" s="266">
        <v>1845626.1099999999</v>
      </c>
      <c r="L79" s="266">
        <v>3527891.37</v>
      </c>
      <c r="M79" s="266">
        <v>1257163.1099999999</v>
      </c>
      <c r="N79" s="233">
        <v>9910925.4499999993</v>
      </c>
      <c r="O79" s="349">
        <f>SUM(I79:N79)</f>
        <v>37608371.609999999</v>
      </c>
      <c r="P79" s="348">
        <f>_xlfn.XLOOKUP(D79,'Overdue-1'!$D:$D,'Overdue-1'!$P:$P)</f>
        <v>46</v>
      </c>
      <c r="Q79" s="340"/>
      <c r="R79" s="233"/>
    </row>
    <row r="80" spans="2:18" s="196" customFormat="1" ht="22.15" hidden="1" customHeight="1" outlineLevel="2" x14ac:dyDescent="0.35">
      <c r="B80" s="487"/>
      <c r="C80" s="529"/>
      <c r="D80" s="250" t="s">
        <v>190</v>
      </c>
      <c r="E80" s="219">
        <v>1174186676.72</v>
      </c>
      <c r="F80" s="350">
        <v>526026032.36000037</v>
      </c>
      <c r="G80" s="219">
        <v>495333087.03999996</v>
      </c>
      <c r="H80" s="218">
        <v>79400407.11999999</v>
      </c>
      <c r="I80" s="266">
        <v>10152963.75</v>
      </c>
      <c r="J80" s="266">
        <v>8780833.0399999991</v>
      </c>
      <c r="K80" s="266">
        <v>1849543.7999999998</v>
      </c>
      <c r="L80" s="266">
        <v>2315440.8899999997</v>
      </c>
      <c r="M80" s="266">
        <v>632544.26</v>
      </c>
      <c r="N80" s="233">
        <v>6961619.0300000003</v>
      </c>
      <c r="O80" s="349">
        <f>SUM(I80:N80)</f>
        <v>30692944.770000003</v>
      </c>
      <c r="P80" s="348">
        <f>_xlfn.XLOOKUP(D80,'Overdue-1'!$D:$D,'Overdue-1'!$P:$P)</f>
        <v>37</v>
      </c>
      <c r="Q80" s="340"/>
      <c r="R80" s="233"/>
    </row>
    <row r="81" spans="2:18" s="196" customFormat="1" ht="22.15" customHeight="1" outlineLevel="1" collapsed="1" x14ac:dyDescent="0.35">
      <c r="B81" s="487"/>
      <c r="C81" s="529"/>
      <c r="D81" s="251" t="s">
        <v>158</v>
      </c>
      <c r="E81" s="219">
        <f t="shared" ref="E81:P81" si="19">SUM(E82:E89)</f>
        <v>3738518271.7600002</v>
      </c>
      <c r="F81" s="350">
        <f t="shared" si="19"/>
        <v>1582324083.3500047</v>
      </c>
      <c r="G81" s="219">
        <f t="shared" si="19"/>
        <v>1507701123.5200002</v>
      </c>
      <c r="H81" s="218">
        <f t="shared" si="19"/>
        <v>82998338.939999983</v>
      </c>
      <c r="I81" s="266">
        <f t="shared" si="19"/>
        <v>11869655.43</v>
      </c>
      <c r="J81" s="266">
        <f t="shared" si="19"/>
        <v>15089250.960000003</v>
      </c>
      <c r="K81" s="266">
        <f t="shared" si="19"/>
        <v>2612129.9300000002</v>
      </c>
      <c r="L81" s="266">
        <f t="shared" si="19"/>
        <v>2951613.63</v>
      </c>
      <c r="M81" s="266">
        <f t="shared" si="19"/>
        <v>4149367.7399999998</v>
      </c>
      <c r="N81" s="233">
        <f t="shared" si="19"/>
        <v>37950942.07</v>
      </c>
      <c r="O81" s="349">
        <f t="shared" si="19"/>
        <v>74622959.75999999</v>
      </c>
      <c r="P81" s="348">
        <f t="shared" si="19"/>
        <v>505</v>
      </c>
      <c r="Q81" s="340"/>
      <c r="R81" s="233"/>
    </row>
    <row r="82" spans="2:18" s="196" customFormat="1" ht="22.15" hidden="1" customHeight="1" outlineLevel="2" x14ac:dyDescent="0.35">
      <c r="B82" s="487"/>
      <c r="C82" s="529"/>
      <c r="D82" s="250" t="s">
        <v>157</v>
      </c>
      <c r="E82" s="219">
        <v>732242701.68999994</v>
      </c>
      <c r="F82" s="350">
        <v>379088560.84000438</v>
      </c>
      <c r="G82" s="219">
        <v>357972786.68999982</v>
      </c>
      <c r="H82" s="218">
        <v>12986703.869999994</v>
      </c>
      <c r="I82" s="266">
        <v>1239716.7999999993</v>
      </c>
      <c r="J82" s="266">
        <v>8459549.4000000022</v>
      </c>
      <c r="K82" s="266">
        <v>431521.69</v>
      </c>
      <c r="L82" s="266">
        <v>338346.87</v>
      </c>
      <c r="M82" s="266">
        <v>498433.03</v>
      </c>
      <c r="N82" s="233">
        <v>10148206.359999999</v>
      </c>
      <c r="O82" s="349">
        <f t="shared" ref="O82:O89" si="20">SUM(I82:N82)</f>
        <v>21115774.149999999</v>
      </c>
      <c r="P82" s="348">
        <f>_xlfn.XLOOKUP(D82,'Overdue-1'!$D:$D,'Overdue-1'!$P:$P)</f>
        <v>151</v>
      </c>
      <c r="Q82" s="340"/>
      <c r="R82" s="233"/>
    </row>
    <row r="83" spans="2:18" s="196" customFormat="1" ht="22.15" hidden="1" customHeight="1" outlineLevel="2" x14ac:dyDescent="0.35">
      <c r="B83" s="487"/>
      <c r="C83" s="529"/>
      <c r="D83" s="250" t="s">
        <v>156</v>
      </c>
      <c r="E83" s="219">
        <v>750979306.7300005</v>
      </c>
      <c r="F83" s="350">
        <v>330182519.46000069</v>
      </c>
      <c r="G83" s="219">
        <v>313825041.03999978</v>
      </c>
      <c r="H83" s="218">
        <v>17075733.02999999</v>
      </c>
      <c r="I83" s="266">
        <v>2783515.78</v>
      </c>
      <c r="J83" s="266">
        <v>592294.43000000005</v>
      </c>
      <c r="K83" s="266">
        <v>728622.83</v>
      </c>
      <c r="L83" s="266">
        <v>588190.3899999999</v>
      </c>
      <c r="M83" s="266">
        <v>630764.61999999988</v>
      </c>
      <c r="N83" s="233">
        <v>11034090.370000001</v>
      </c>
      <c r="O83" s="349">
        <f t="shared" si="20"/>
        <v>16357478.420000002</v>
      </c>
      <c r="P83" s="348">
        <f>_xlfn.XLOOKUP(D83,'Overdue-1'!$D:$D,'Overdue-1'!$P:$P)</f>
        <v>100</v>
      </c>
      <c r="Q83" s="340"/>
      <c r="R83" s="233"/>
    </row>
    <row r="84" spans="2:18" s="196" customFormat="1" ht="22.15" hidden="1" customHeight="1" outlineLevel="2" x14ac:dyDescent="0.35">
      <c r="B84" s="487"/>
      <c r="C84" s="529"/>
      <c r="D84" s="250" t="s">
        <v>155</v>
      </c>
      <c r="E84" s="219">
        <v>266342833.88000008</v>
      </c>
      <c r="F84" s="350">
        <v>83851843.330000073</v>
      </c>
      <c r="G84" s="219">
        <v>80472263.659999952</v>
      </c>
      <c r="H84" s="218">
        <v>7763700.129999999</v>
      </c>
      <c r="I84" s="266">
        <v>1010697.47</v>
      </c>
      <c r="J84" s="266">
        <v>220889.85</v>
      </c>
      <c r="K84" s="266">
        <v>178155.58</v>
      </c>
      <c r="L84" s="266">
        <v>501022.24</v>
      </c>
      <c r="M84" s="266">
        <v>600434.27</v>
      </c>
      <c r="N84" s="233">
        <v>868380.26</v>
      </c>
      <c r="O84" s="349">
        <f t="shared" si="20"/>
        <v>3379579.67</v>
      </c>
      <c r="P84" s="348">
        <f>_xlfn.XLOOKUP(D84,'Overdue-1'!$D:$D,'Overdue-1'!$P:$P)</f>
        <v>24</v>
      </c>
      <c r="Q84" s="340"/>
      <c r="R84" s="233"/>
    </row>
    <row r="85" spans="2:18" s="196" customFormat="1" ht="22.15" hidden="1" customHeight="1" outlineLevel="2" x14ac:dyDescent="0.35">
      <c r="B85" s="487"/>
      <c r="C85" s="529"/>
      <c r="D85" s="250" t="s">
        <v>154</v>
      </c>
      <c r="E85" s="219">
        <v>331848722.86999995</v>
      </c>
      <c r="F85" s="350">
        <v>101253982.25999998</v>
      </c>
      <c r="G85" s="219">
        <v>98350674.440000072</v>
      </c>
      <c r="H85" s="218">
        <v>7843520</v>
      </c>
      <c r="I85" s="266">
        <v>730077.02000000014</v>
      </c>
      <c r="J85" s="266">
        <v>893961.73000000021</v>
      </c>
      <c r="K85" s="266">
        <v>184219.44</v>
      </c>
      <c r="L85" s="266">
        <v>294481.14999999997</v>
      </c>
      <c r="M85" s="266">
        <v>513849.73</v>
      </c>
      <c r="N85" s="233">
        <v>286718.75</v>
      </c>
      <c r="O85" s="349">
        <f t="shared" si="20"/>
        <v>2903307.8200000003</v>
      </c>
      <c r="P85" s="348">
        <f>_xlfn.XLOOKUP(D85,'Overdue-1'!$D:$D,'Overdue-1'!$P:$P)</f>
        <v>25</v>
      </c>
      <c r="Q85" s="340"/>
      <c r="R85" s="233"/>
    </row>
    <row r="86" spans="2:18" s="196" customFormat="1" ht="22.15" hidden="1" customHeight="1" outlineLevel="2" x14ac:dyDescent="0.35">
      <c r="B86" s="487"/>
      <c r="C86" s="529"/>
      <c r="D86" s="250" t="s">
        <v>153</v>
      </c>
      <c r="E86" s="219">
        <v>913478656.37999904</v>
      </c>
      <c r="F86" s="350">
        <v>437884662.62999958</v>
      </c>
      <c r="G86" s="219">
        <v>415154034.83000046</v>
      </c>
      <c r="H86" s="218">
        <v>16644972.849999998</v>
      </c>
      <c r="I86" s="266">
        <v>4810348.7499999991</v>
      </c>
      <c r="J86" s="266">
        <v>2870696.7600000007</v>
      </c>
      <c r="K86" s="266">
        <v>664326.53</v>
      </c>
      <c r="L86" s="266">
        <v>663019.97</v>
      </c>
      <c r="M86" s="266">
        <v>838833.64000000013</v>
      </c>
      <c r="N86" s="233">
        <v>12883402.149999999</v>
      </c>
      <c r="O86" s="349">
        <f t="shared" si="20"/>
        <v>22730627.799999997</v>
      </c>
      <c r="P86" s="348">
        <f>_xlfn.XLOOKUP(D86,'Overdue-1'!$D:$D,'Overdue-1'!$P:$P)</f>
        <v>145</v>
      </c>
      <c r="Q86" s="340"/>
      <c r="R86" s="233"/>
    </row>
    <row r="87" spans="2:18" s="196" customFormat="1" ht="22.15" hidden="1" customHeight="1" outlineLevel="2" x14ac:dyDescent="0.35">
      <c r="B87" s="487"/>
      <c r="C87" s="529"/>
      <c r="D87" s="250" t="s">
        <v>152</v>
      </c>
      <c r="E87" s="219">
        <v>335904063.08000004</v>
      </c>
      <c r="F87" s="350">
        <v>114446912.95999986</v>
      </c>
      <c r="G87" s="219">
        <v>109872092.58000001</v>
      </c>
      <c r="H87" s="218">
        <v>11871682.410000002</v>
      </c>
      <c r="I87" s="266">
        <v>738276.13000000024</v>
      </c>
      <c r="J87" s="266">
        <v>1789377.98</v>
      </c>
      <c r="K87" s="266">
        <v>4705.71</v>
      </c>
      <c r="L87" s="266">
        <v>115790.9</v>
      </c>
      <c r="M87" s="266">
        <v>431233.96</v>
      </c>
      <c r="N87" s="233">
        <v>1495435.7</v>
      </c>
      <c r="O87" s="349">
        <f t="shared" si="20"/>
        <v>4574820.38</v>
      </c>
      <c r="P87" s="348">
        <f>_xlfn.XLOOKUP(D87,'Overdue-1'!$D:$D,'Overdue-1'!$P:$P)</f>
        <v>31</v>
      </c>
      <c r="Q87" s="340"/>
      <c r="R87" s="233"/>
    </row>
    <row r="88" spans="2:18" s="196" customFormat="1" ht="22.15" hidden="1" customHeight="1" outlineLevel="2" x14ac:dyDescent="0.35">
      <c r="B88" s="487"/>
      <c r="C88" s="529"/>
      <c r="D88" s="250" t="s">
        <v>151</v>
      </c>
      <c r="E88" s="219">
        <v>303141987.13000035</v>
      </c>
      <c r="F88" s="350">
        <v>110019604.87000006</v>
      </c>
      <c r="G88" s="219">
        <v>106749138.38000001</v>
      </c>
      <c r="H88" s="218">
        <v>8213276.389999995</v>
      </c>
      <c r="I88" s="266">
        <v>547392.98</v>
      </c>
      <c r="J88" s="266">
        <v>256376.22999999998</v>
      </c>
      <c r="K88" s="266">
        <v>395874.65</v>
      </c>
      <c r="L88" s="266">
        <v>450762.11</v>
      </c>
      <c r="M88" s="266">
        <v>385351.97</v>
      </c>
      <c r="N88" s="233">
        <v>1234708.48</v>
      </c>
      <c r="O88" s="349">
        <f t="shared" si="20"/>
        <v>3270466.42</v>
      </c>
      <c r="P88" s="348">
        <f>_xlfn.XLOOKUP(D88,'Overdue-1'!$D:$D,'Overdue-1'!$P:$P)</f>
        <v>26</v>
      </c>
      <c r="Q88" s="340"/>
      <c r="R88" s="233"/>
    </row>
    <row r="89" spans="2:18" s="196" customFormat="1" ht="22.15" hidden="1" customHeight="1" outlineLevel="2" x14ac:dyDescent="0.35">
      <c r="B89" s="487"/>
      <c r="C89" s="529"/>
      <c r="D89" s="250" t="s">
        <v>150</v>
      </c>
      <c r="E89" s="219">
        <v>104580000</v>
      </c>
      <c r="F89" s="350">
        <v>25595997</v>
      </c>
      <c r="G89" s="219">
        <v>25305091.899999999</v>
      </c>
      <c r="H89" s="218">
        <v>598750.26</v>
      </c>
      <c r="I89" s="266">
        <v>9630.5</v>
      </c>
      <c r="J89" s="266">
        <v>6104.58</v>
      </c>
      <c r="K89" s="266">
        <v>24703.5</v>
      </c>
      <c r="L89" s="266">
        <v>0</v>
      </c>
      <c r="M89" s="266">
        <v>250466.52</v>
      </c>
      <c r="N89" s="233">
        <v>0</v>
      </c>
      <c r="O89" s="349">
        <f t="shared" si="20"/>
        <v>290905.09999999998</v>
      </c>
      <c r="P89" s="348">
        <f>_xlfn.XLOOKUP(D89,'Overdue-1'!$D:$D,'Overdue-1'!$P:$P)</f>
        <v>3</v>
      </c>
      <c r="Q89" s="340"/>
      <c r="R89" s="233"/>
    </row>
    <row r="90" spans="2:18" s="196" customFormat="1" ht="22.15" customHeight="1" outlineLevel="1" collapsed="1" x14ac:dyDescent="0.35">
      <c r="B90" s="487"/>
      <c r="C90" s="529"/>
      <c r="D90" s="251" t="s">
        <v>149</v>
      </c>
      <c r="E90" s="219">
        <f t="shared" ref="E90:P90" si="21">SUM(E91:E93)</f>
        <v>3839886319.8000002</v>
      </c>
      <c r="F90" s="350">
        <f t="shared" si="21"/>
        <v>1045588601.7500001</v>
      </c>
      <c r="G90" s="219">
        <f t="shared" si="21"/>
        <v>1005409411.4799995</v>
      </c>
      <c r="H90" s="218">
        <f t="shared" si="21"/>
        <v>150309394.14999992</v>
      </c>
      <c r="I90" s="266">
        <f t="shared" si="21"/>
        <v>6219589.2700000005</v>
      </c>
      <c r="J90" s="266">
        <f t="shared" si="21"/>
        <v>6160209.4000000004</v>
      </c>
      <c r="K90" s="266">
        <f t="shared" si="21"/>
        <v>3703202.21</v>
      </c>
      <c r="L90" s="266">
        <f t="shared" si="21"/>
        <v>4620725.34</v>
      </c>
      <c r="M90" s="266">
        <f t="shared" si="21"/>
        <v>3243178.4</v>
      </c>
      <c r="N90" s="233">
        <f t="shared" si="21"/>
        <v>16232285.530000001</v>
      </c>
      <c r="O90" s="349">
        <f t="shared" si="21"/>
        <v>40179190.149999999</v>
      </c>
      <c r="P90" s="348">
        <f t="shared" si="21"/>
        <v>155</v>
      </c>
      <c r="Q90" s="340"/>
      <c r="R90" s="233"/>
    </row>
    <row r="91" spans="2:18" s="196" customFormat="1" ht="22.15" hidden="1" customHeight="1" outlineLevel="2" x14ac:dyDescent="0.35">
      <c r="B91" s="487"/>
      <c r="C91" s="529"/>
      <c r="D91" s="250" t="s">
        <v>148</v>
      </c>
      <c r="E91" s="219">
        <v>1204568671.5399995</v>
      </c>
      <c r="F91" s="350">
        <v>324248300.53999984</v>
      </c>
      <c r="G91" s="219">
        <v>313302488.40999979</v>
      </c>
      <c r="H91" s="218">
        <v>67276427.449999988</v>
      </c>
      <c r="I91" s="266">
        <v>2686854.9099999997</v>
      </c>
      <c r="J91" s="266">
        <v>1783391.63</v>
      </c>
      <c r="K91" s="266">
        <v>1079674.99</v>
      </c>
      <c r="L91" s="266">
        <v>697079.66999999993</v>
      </c>
      <c r="M91" s="266">
        <v>988735.7</v>
      </c>
      <c r="N91" s="233">
        <v>3710075.1099999985</v>
      </c>
      <c r="O91" s="349">
        <f t="shared" ref="O91:O96" si="22">SUM(I91:N91)</f>
        <v>10945812.009999998</v>
      </c>
      <c r="P91" s="348">
        <f>_xlfn.XLOOKUP(D91,'Overdue-1'!$D:$D,'Overdue-1'!$P:$P)</f>
        <v>50</v>
      </c>
      <c r="Q91" s="340"/>
      <c r="R91" s="233"/>
    </row>
    <row r="92" spans="2:18" s="196" customFormat="1" ht="22.15" hidden="1" customHeight="1" outlineLevel="2" x14ac:dyDescent="0.35">
      <c r="B92" s="487"/>
      <c r="C92" s="529"/>
      <c r="D92" s="250" t="s">
        <v>147</v>
      </c>
      <c r="E92" s="219">
        <v>934429390.42000055</v>
      </c>
      <c r="F92" s="350">
        <v>255367785.73999977</v>
      </c>
      <c r="G92" s="219">
        <v>248328378.34999999</v>
      </c>
      <c r="H92" s="218">
        <v>36450225.639999986</v>
      </c>
      <c r="I92" s="266">
        <v>1450057.7800000003</v>
      </c>
      <c r="J92" s="266">
        <v>1498917.85</v>
      </c>
      <c r="K92" s="266">
        <v>953198.11</v>
      </c>
      <c r="L92" s="266">
        <v>1339251.4100000001</v>
      </c>
      <c r="M92" s="266">
        <v>342789.66000000003</v>
      </c>
      <c r="N92" s="233">
        <v>1455192.5799999998</v>
      </c>
      <c r="O92" s="349">
        <f t="shared" si="22"/>
        <v>7039407.3900000006</v>
      </c>
      <c r="P92" s="348">
        <f>_xlfn.XLOOKUP(D92,'Overdue-1'!$D:$D,'Overdue-1'!$P:$P)</f>
        <v>40</v>
      </c>
      <c r="Q92" s="340"/>
      <c r="R92" s="233"/>
    </row>
    <row r="93" spans="2:18" s="196" customFormat="1" ht="22.15" hidden="1" customHeight="1" outlineLevel="2" x14ac:dyDescent="0.35">
      <c r="B93" s="487"/>
      <c r="C93" s="529"/>
      <c r="D93" s="250" t="s">
        <v>146</v>
      </c>
      <c r="E93" s="359">
        <v>1700888257.8400002</v>
      </c>
      <c r="F93" s="350">
        <v>465972515.47000051</v>
      </c>
      <c r="G93" s="359">
        <v>443778544.71999985</v>
      </c>
      <c r="H93" s="358">
        <v>46582741.059999958</v>
      </c>
      <c r="I93" s="266">
        <v>2082676.5800000008</v>
      </c>
      <c r="J93" s="266">
        <v>2877899.9200000004</v>
      </c>
      <c r="K93" s="266">
        <v>1670329.1099999999</v>
      </c>
      <c r="L93" s="266">
        <v>2584394.2599999998</v>
      </c>
      <c r="M93" s="266">
        <v>1911653.04</v>
      </c>
      <c r="N93" s="233">
        <v>11067017.840000002</v>
      </c>
      <c r="O93" s="348">
        <f t="shared" si="22"/>
        <v>22193970.75</v>
      </c>
      <c r="P93" s="348">
        <f>_xlfn.XLOOKUP(D93,'Overdue-1'!$D:$D,'Overdue-1'!$P:$P)</f>
        <v>65</v>
      </c>
      <c r="Q93" s="340"/>
      <c r="R93" s="233"/>
    </row>
    <row r="94" spans="2:18" s="196" customFormat="1" ht="22.15" customHeight="1" outlineLevel="1" collapsed="1" x14ac:dyDescent="0.35">
      <c r="B94" s="487"/>
      <c r="C94" s="529"/>
      <c r="D94" s="324" t="s">
        <v>133</v>
      </c>
      <c r="E94" s="359">
        <v>948166135.37000036</v>
      </c>
      <c r="F94" s="350">
        <v>242744868.43000039</v>
      </c>
      <c r="G94" s="359">
        <v>223599095.42999998</v>
      </c>
      <c r="H94" s="358">
        <v>19307987.160000004</v>
      </c>
      <c r="I94" s="266">
        <v>6518829.9100000001</v>
      </c>
      <c r="J94" s="234">
        <v>4508121.42</v>
      </c>
      <c r="K94" s="234">
        <v>3376045.85</v>
      </c>
      <c r="L94" s="234">
        <v>509983.81</v>
      </c>
      <c r="M94" s="234">
        <v>318063.61</v>
      </c>
      <c r="N94" s="363">
        <v>3914728.4</v>
      </c>
      <c r="O94" s="348">
        <f t="shared" si="22"/>
        <v>19145773</v>
      </c>
      <c r="P94" s="348">
        <f>_xlfn.XLOOKUP(D94,'Overdue-1'!$D:$D,'Overdue-1'!$P:$P)</f>
        <v>54</v>
      </c>
      <c r="Q94" s="340"/>
      <c r="R94" s="233"/>
    </row>
    <row r="95" spans="2:18" s="196" customFormat="1" ht="22.15" customHeight="1" outlineLevel="1" x14ac:dyDescent="0.35">
      <c r="B95" s="487"/>
      <c r="C95" s="529"/>
      <c r="D95" s="236" t="s">
        <v>140</v>
      </c>
      <c r="E95" s="359">
        <v>1954312376.55</v>
      </c>
      <c r="F95" s="350">
        <v>768457079.78999925</v>
      </c>
      <c r="G95" s="359">
        <v>701877883.23999989</v>
      </c>
      <c r="H95" s="358">
        <v>59776025.799999997</v>
      </c>
      <c r="I95" s="266">
        <v>18044989.52</v>
      </c>
      <c r="J95" s="266">
        <v>3840361.94</v>
      </c>
      <c r="K95" s="266">
        <v>6242486.4800000004</v>
      </c>
      <c r="L95" s="266">
        <v>28894.179999999997</v>
      </c>
      <c r="M95" s="266">
        <v>1096616.5</v>
      </c>
      <c r="N95" s="233">
        <v>37325847.93</v>
      </c>
      <c r="O95" s="349">
        <f t="shared" si="22"/>
        <v>66579196.549999997</v>
      </c>
      <c r="P95" s="348">
        <f>_xlfn.XLOOKUP(D95,'Overdue-1'!$D:$D,'Overdue-1'!$P:$P)</f>
        <v>52</v>
      </c>
      <c r="Q95" s="340"/>
      <c r="R95" s="233"/>
    </row>
    <row r="96" spans="2:18" s="196" customFormat="1" ht="22.15" customHeight="1" outlineLevel="1" x14ac:dyDescent="0.35">
      <c r="B96" s="487"/>
      <c r="C96" s="529"/>
      <c r="D96" s="236" t="s">
        <v>139</v>
      </c>
      <c r="E96" s="359">
        <v>294914060</v>
      </c>
      <c r="F96" s="350">
        <v>57991284</v>
      </c>
      <c r="G96" s="359">
        <v>50210980</v>
      </c>
      <c r="H96" s="358">
        <v>9851943.7400000002</v>
      </c>
      <c r="I96" s="266">
        <v>3182814</v>
      </c>
      <c r="J96" s="266">
        <v>4597490</v>
      </c>
      <c r="K96" s="266">
        <v>0</v>
      </c>
      <c r="L96" s="266">
        <v>0</v>
      </c>
      <c r="M96" s="266">
        <v>0</v>
      </c>
      <c r="N96" s="233">
        <v>0</v>
      </c>
      <c r="O96" s="349">
        <f t="shared" si="22"/>
        <v>7780304</v>
      </c>
      <c r="P96" s="348">
        <f>_xlfn.XLOOKUP(D96,'Overdue-1'!$D:$D,'Overdue-1'!$P:$P)</f>
        <v>9</v>
      </c>
      <c r="Q96" s="340"/>
      <c r="R96" s="233"/>
    </row>
    <row r="97" spans="2:18" s="196" customFormat="1" ht="22.15" customHeight="1" outlineLevel="1" x14ac:dyDescent="0.35">
      <c r="B97" s="487"/>
      <c r="C97" s="529"/>
      <c r="D97" s="236" t="s">
        <v>138</v>
      </c>
      <c r="E97" s="359">
        <f t="shared" ref="E97:P97" si="23">SUM(E98:E101)</f>
        <v>2655913536.2199993</v>
      </c>
      <c r="F97" s="350">
        <f t="shared" si="23"/>
        <v>843400732.57999992</v>
      </c>
      <c r="G97" s="359">
        <f t="shared" si="23"/>
        <v>802824204.00999975</v>
      </c>
      <c r="H97" s="358">
        <f t="shared" si="23"/>
        <v>52176492.309999995</v>
      </c>
      <c r="I97" s="266">
        <f t="shared" si="23"/>
        <v>8435065.5499999989</v>
      </c>
      <c r="J97" s="266">
        <f t="shared" si="23"/>
        <v>7803055.46</v>
      </c>
      <c r="K97" s="266">
        <f t="shared" si="23"/>
        <v>2360371.5199999996</v>
      </c>
      <c r="L97" s="266">
        <f t="shared" si="23"/>
        <v>3575631.06</v>
      </c>
      <c r="M97" s="266">
        <f t="shared" si="23"/>
        <v>5890716.4499999993</v>
      </c>
      <c r="N97" s="233">
        <f t="shared" si="23"/>
        <v>12511688.449999996</v>
      </c>
      <c r="O97" s="349">
        <f t="shared" si="23"/>
        <v>40576528.489999995</v>
      </c>
      <c r="P97" s="348">
        <f t="shared" si="23"/>
        <v>335</v>
      </c>
      <c r="Q97" s="340"/>
      <c r="R97" s="233"/>
    </row>
    <row r="98" spans="2:18" s="196" customFormat="1" ht="22.15" hidden="1" customHeight="1" outlineLevel="2" x14ac:dyDescent="0.35">
      <c r="B98" s="487"/>
      <c r="C98" s="529"/>
      <c r="D98" s="242" t="s">
        <v>137</v>
      </c>
      <c r="E98" s="359">
        <v>872847820.75999939</v>
      </c>
      <c r="F98" s="350">
        <v>306736410.64999938</v>
      </c>
      <c r="G98" s="359">
        <v>292047027.54999977</v>
      </c>
      <c r="H98" s="358">
        <v>18155469.450000003</v>
      </c>
      <c r="I98" s="266">
        <v>2603913.1499999994</v>
      </c>
      <c r="J98" s="266">
        <v>2187190.33</v>
      </c>
      <c r="K98" s="266">
        <v>948593.8899999999</v>
      </c>
      <c r="L98" s="266">
        <v>531686.20000000007</v>
      </c>
      <c r="M98" s="266">
        <v>1999458.15</v>
      </c>
      <c r="N98" s="233">
        <v>6418541.379999999</v>
      </c>
      <c r="O98" s="349">
        <f>SUM(I98:N98)</f>
        <v>14689383.099999998</v>
      </c>
      <c r="P98" s="348">
        <f>_xlfn.XLOOKUP(D98,'Overdue-1'!$D:$D,'Overdue-1'!$P:$P)</f>
        <v>125</v>
      </c>
      <c r="Q98" s="340"/>
      <c r="R98" s="233"/>
    </row>
    <row r="99" spans="2:18" s="196" customFormat="1" ht="22.15" hidden="1" customHeight="1" outlineLevel="2" x14ac:dyDescent="0.35">
      <c r="B99" s="487"/>
      <c r="C99" s="529"/>
      <c r="D99" s="242" t="s">
        <v>136</v>
      </c>
      <c r="E99" s="359">
        <v>752157920.16000009</v>
      </c>
      <c r="F99" s="350">
        <v>227399445.8400006</v>
      </c>
      <c r="G99" s="359">
        <v>217912823.7100001</v>
      </c>
      <c r="H99" s="358">
        <v>16447481.040000001</v>
      </c>
      <c r="I99" s="266">
        <v>2844680.49</v>
      </c>
      <c r="J99" s="266">
        <v>2044600.78</v>
      </c>
      <c r="K99" s="266">
        <v>607226.10999999987</v>
      </c>
      <c r="L99" s="266">
        <v>1448799.28</v>
      </c>
      <c r="M99" s="266">
        <v>1175323.1999999997</v>
      </c>
      <c r="N99" s="233">
        <v>1365992.19</v>
      </c>
      <c r="O99" s="349">
        <f>SUM(I99:N99)</f>
        <v>9486622.0500000007</v>
      </c>
      <c r="P99" s="348">
        <f>_xlfn.XLOOKUP(D99,'Overdue-1'!$D:$D,'Overdue-1'!$P:$P)</f>
        <v>86</v>
      </c>
      <c r="Q99" s="340"/>
      <c r="R99" s="233"/>
    </row>
    <row r="100" spans="2:18" s="196" customFormat="1" ht="22.15" hidden="1" customHeight="1" outlineLevel="2" x14ac:dyDescent="0.35">
      <c r="B100" s="487"/>
      <c r="C100" s="529"/>
      <c r="D100" s="242" t="s">
        <v>135</v>
      </c>
      <c r="E100" s="359">
        <v>588273562.0200001</v>
      </c>
      <c r="F100" s="350">
        <v>173728307.50000012</v>
      </c>
      <c r="G100" s="359">
        <v>166835480.58999985</v>
      </c>
      <c r="H100" s="358">
        <v>7709442.9399999967</v>
      </c>
      <c r="I100" s="266">
        <v>1058043.0499999996</v>
      </c>
      <c r="J100" s="266">
        <v>1752409.63</v>
      </c>
      <c r="K100" s="266">
        <v>600168.27</v>
      </c>
      <c r="L100" s="266">
        <v>288482.28999999998</v>
      </c>
      <c r="M100" s="266">
        <v>1781720.46</v>
      </c>
      <c r="N100" s="233">
        <v>1412003.21</v>
      </c>
      <c r="O100" s="349">
        <f>SUM(I100:N100)</f>
        <v>6892826.9099999992</v>
      </c>
      <c r="P100" s="348">
        <f>_xlfn.XLOOKUP(D100,'Overdue-1'!$D:$D,'Overdue-1'!$P:$P)</f>
        <v>60</v>
      </c>
      <c r="Q100" s="340"/>
      <c r="R100" s="233"/>
    </row>
    <row r="101" spans="2:18" s="196" customFormat="1" ht="22.15" hidden="1" customHeight="1" outlineLevel="2" x14ac:dyDescent="0.35">
      <c r="B101" s="487"/>
      <c r="C101" s="529"/>
      <c r="D101" s="242" t="s">
        <v>134</v>
      </c>
      <c r="E101" s="359">
        <v>442634233.27999991</v>
      </c>
      <c r="F101" s="350">
        <v>135536568.58999974</v>
      </c>
      <c r="G101" s="359">
        <v>126028872.16000004</v>
      </c>
      <c r="H101" s="358">
        <v>9864098.8799999971</v>
      </c>
      <c r="I101" s="266">
        <v>1928428.8599999999</v>
      </c>
      <c r="J101" s="266">
        <v>1818854.7199999997</v>
      </c>
      <c r="K101" s="266">
        <v>204383.25</v>
      </c>
      <c r="L101" s="266">
        <v>1306663.29</v>
      </c>
      <c r="M101" s="266">
        <v>934214.64</v>
      </c>
      <c r="N101" s="233">
        <v>3315151.669999999</v>
      </c>
      <c r="O101" s="349">
        <f>SUM(I101:N101)</f>
        <v>9507696.4299999978</v>
      </c>
      <c r="P101" s="348">
        <f>_xlfn.XLOOKUP(D101,'Overdue-1'!$D:$D,'Overdue-1'!$P:$P)</f>
        <v>64</v>
      </c>
      <c r="Q101" s="340"/>
      <c r="R101" s="233"/>
    </row>
    <row r="102" spans="2:18" s="196" customFormat="1" ht="22.15" customHeight="1" outlineLevel="1" collapsed="1" x14ac:dyDescent="0.35">
      <c r="B102" s="487"/>
      <c r="C102" s="529"/>
      <c r="D102" s="236" t="s">
        <v>132</v>
      </c>
      <c r="E102" s="359">
        <f t="shared" ref="E102:P102" si="24">SUM(E103:E106)</f>
        <v>4707104548.2700014</v>
      </c>
      <c r="F102" s="350">
        <f t="shared" si="24"/>
        <v>1201503819.1500008</v>
      </c>
      <c r="G102" s="359">
        <f t="shared" si="24"/>
        <v>1110390649.8599992</v>
      </c>
      <c r="H102" s="358">
        <f t="shared" si="24"/>
        <v>85541920.189999968</v>
      </c>
      <c r="I102" s="266">
        <f t="shared" si="24"/>
        <v>31476485.340000004</v>
      </c>
      <c r="J102" s="266">
        <f t="shared" si="24"/>
        <v>26701537.409999996</v>
      </c>
      <c r="K102" s="266">
        <f t="shared" si="24"/>
        <v>6232133.5099999998</v>
      </c>
      <c r="L102" s="266">
        <f t="shared" si="24"/>
        <v>7653079.4900000002</v>
      </c>
      <c r="M102" s="266">
        <f t="shared" si="24"/>
        <v>5457654.6700000009</v>
      </c>
      <c r="N102" s="233">
        <f t="shared" si="24"/>
        <v>13592278.810000001</v>
      </c>
      <c r="O102" s="349">
        <f t="shared" si="24"/>
        <v>91113169.230000004</v>
      </c>
      <c r="P102" s="348">
        <f t="shared" si="24"/>
        <v>447</v>
      </c>
      <c r="Q102" s="340"/>
      <c r="R102" s="233"/>
    </row>
    <row r="103" spans="2:18" s="196" customFormat="1" ht="22.15" hidden="1" customHeight="1" outlineLevel="2" x14ac:dyDescent="0.35">
      <c r="B103" s="487"/>
      <c r="C103" s="529"/>
      <c r="D103" s="241" t="s">
        <v>131</v>
      </c>
      <c r="E103" s="359">
        <v>1368413533.6900022</v>
      </c>
      <c r="F103" s="350">
        <v>398485949.59000134</v>
      </c>
      <c r="G103" s="359">
        <v>381136194.98999941</v>
      </c>
      <c r="H103" s="358">
        <v>25459825.039999984</v>
      </c>
      <c r="I103" s="266">
        <v>1167777.5699999998</v>
      </c>
      <c r="J103" s="266">
        <v>2753939.6100000003</v>
      </c>
      <c r="K103" s="266">
        <v>1601383.27</v>
      </c>
      <c r="L103" s="266">
        <v>2570400</v>
      </c>
      <c r="M103" s="266">
        <v>4474434.0100000007</v>
      </c>
      <c r="N103" s="233">
        <v>4781820.1399999997</v>
      </c>
      <c r="O103" s="349">
        <f>SUM(I103:N103)</f>
        <v>17349754.600000001</v>
      </c>
      <c r="P103" s="348">
        <f>_xlfn.XLOOKUP(D103,'Overdue-1'!$D:$D,'Overdue-1'!$P:$P)</f>
        <v>95</v>
      </c>
      <c r="Q103" s="340"/>
      <c r="R103" s="233"/>
    </row>
    <row r="104" spans="2:18" s="196" customFormat="1" ht="22.15" hidden="1" customHeight="1" outlineLevel="2" x14ac:dyDescent="0.35">
      <c r="B104" s="487"/>
      <c r="C104" s="529"/>
      <c r="D104" s="241" t="s">
        <v>130</v>
      </c>
      <c r="E104" s="359">
        <v>943836669.27999902</v>
      </c>
      <c r="F104" s="350">
        <v>258471428.14999917</v>
      </c>
      <c r="G104" s="359">
        <v>238303679.15999991</v>
      </c>
      <c r="H104" s="358">
        <v>29859692.299999993</v>
      </c>
      <c r="I104" s="266">
        <v>4124772.9999999995</v>
      </c>
      <c r="J104" s="266">
        <v>11603099.719999999</v>
      </c>
      <c r="K104" s="266">
        <v>3459889.5599999996</v>
      </c>
      <c r="L104" s="266">
        <v>296928.25</v>
      </c>
      <c r="M104" s="266">
        <v>131892.53</v>
      </c>
      <c r="N104" s="233">
        <v>551165.93000000005</v>
      </c>
      <c r="O104" s="349">
        <f>SUM(I104:N104)</f>
        <v>20167748.989999998</v>
      </c>
      <c r="P104" s="348">
        <f>_xlfn.XLOOKUP(D104,'Overdue-1'!$D:$D,'Overdue-1'!$P:$P)</f>
        <v>117</v>
      </c>
      <c r="Q104" s="340"/>
      <c r="R104" s="233"/>
    </row>
    <row r="105" spans="2:18" s="196" customFormat="1" ht="22.15" hidden="1" customHeight="1" outlineLevel="2" x14ac:dyDescent="0.35">
      <c r="B105" s="487"/>
      <c r="C105" s="529"/>
      <c r="D105" s="241" t="s">
        <v>129</v>
      </c>
      <c r="E105" s="359">
        <v>1486271076.660001</v>
      </c>
      <c r="F105" s="350">
        <v>376678878.78000033</v>
      </c>
      <c r="G105" s="359">
        <v>335092426.60999995</v>
      </c>
      <c r="H105" s="358">
        <v>23472938.319999993</v>
      </c>
      <c r="I105" s="266">
        <v>21219284.870000005</v>
      </c>
      <c r="J105" s="266">
        <v>9443546.9299999997</v>
      </c>
      <c r="K105" s="266">
        <v>9991.2900000000009</v>
      </c>
      <c r="L105" s="266">
        <v>2298612.54</v>
      </c>
      <c r="M105" s="266">
        <v>355723.74000000005</v>
      </c>
      <c r="N105" s="233">
        <v>8259292.7400000012</v>
      </c>
      <c r="O105" s="349">
        <f>SUM(I105:N105)</f>
        <v>41586452.109999999</v>
      </c>
      <c r="P105" s="348">
        <f>_xlfn.XLOOKUP(D105,'Overdue-1'!$D:$D,'Overdue-1'!$P:$P)</f>
        <v>174</v>
      </c>
      <c r="Q105" s="340"/>
      <c r="R105" s="233"/>
    </row>
    <row r="106" spans="2:18" s="196" customFormat="1" ht="22.15" hidden="1" customHeight="1" outlineLevel="2" x14ac:dyDescent="0.35">
      <c r="B106" s="487"/>
      <c r="C106" s="529"/>
      <c r="D106" s="241" t="s">
        <v>128</v>
      </c>
      <c r="E106" s="359">
        <v>908583268.63999951</v>
      </c>
      <c r="F106" s="350">
        <v>167867562.63000005</v>
      </c>
      <c r="G106" s="359">
        <v>155858349.09999996</v>
      </c>
      <c r="H106" s="358">
        <v>6749464.5299999975</v>
      </c>
      <c r="I106" s="266">
        <v>4964649.9000000004</v>
      </c>
      <c r="J106" s="266">
        <v>2900951.15</v>
      </c>
      <c r="K106" s="266">
        <v>1160869.3900000001</v>
      </c>
      <c r="L106" s="266">
        <v>2487138.6999999997</v>
      </c>
      <c r="M106" s="266">
        <v>495604.39</v>
      </c>
      <c r="N106" s="233">
        <v>0</v>
      </c>
      <c r="O106" s="349">
        <f>SUM(I106:N106)</f>
        <v>12009213.530000001</v>
      </c>
      <c r="P106" s="348">
        <f>_xlfn.XLOOKUP(D106,'Overdue-1'!$D:$D,'Overdue-1'!$P:$P)</f>
        <v>61</v>
      </c>
      <c r="Q106" s="340"/>
      <c r="R106" s="233"/>
    </row>
    <row r="107" spans="2:18" s="196" customFormat="1" ht="22.15" customHeight="1" outlineLevel="1" collapsed="1" x14ac:dyDescent="0.35">
      <c r="B107" s="487"/>
      <c r="C107" s="529"/>
      <c r="D107" s="236" t="s">
        <v>41</v>
      </c>
      <c r="E107" s="359">
        <v>563398526</v>
      </c>
      <c r="F107" s="350">
        <v>103535608.13000007</v>
      </c>
      <c r="G107" s="359">
        <v>98389626.309999973</v>
      </c>
      <c r="H107" s="358">
        <v>12176372.290000003</v>
      </c>
      <c r="I107" s="266">
        <v>1597821.5599999998</v>
      </c>
      <c r="J107" s="266">
        <v>256891.28</v>
      </c>
      <c r="K107" s="266">
        <v>787649.21</v>
      </c>
      <c r="L107" s="266">
        <v>1911551.3199999998</v>
      </c>
      <c r="M107" s="266">
        <v>241502.85</v>
      </c>
      <c r="N107" s="233">
        <v>350565.6</v>
      </c>
      <c r="O107" s="349">
        <f>SUM(I107:N107)</f>
        <v>5145981.8199999984</v>
      </c>
      <c r="P107" s="348">
        <f>_xlfn.XLOOKUP(D107,'Overdue-1'!$D:$D,'Overdue-1'!$P:$P)</f>
        <v>16</v>
      </c>
      <c r="Q107" s="340"/>
      <c r="R107" s="233"/>
    </row>
    <row r="108" spans="2:18" s="196" customFormat="1" ht="22.15" customHeight="1" x14ac:dyDescent="0.35">
      <c r="B108" s="488"/>
      <c r="C108" s="530"/>
      <c r="D108" s="362" t="s">
        <v>251</v>
      </c>
      <c r="E108" s="346">
        <f t="shared" ref="E108:P108" si="25">SUM(E102,E107,E97,E96,E94,E90,E81,E77,E95)</f>
        <v>24004177002.25</v>
      </c>
      <c r="F108" s="346">
        <f t="shared" si="25"/>
        <v>8907398426.9200077</v>
      </c>
      <c r="G108" s="346">
        <f t="shared" si="25"/>
        <v>8361676352.8799992</v>
      </c>
      <c r="H108" s="345">
        <f t="shared" si="25"/>
        <v>731113714.17999983</v>
      </c>
      <c r="I108" s="344">
        <f t="shared" si="25"/>
        <v>124193600.08</v>
      </c>
      <c r="J108" s="343">
        <f t="shared" si="25"/>
        <v>102810977.53</v>
      </c>
      <c r="K108" s="343">
        <f t="shared" si="25"/>
        <v>35587419.269999996</v>
      </c>
      <c r="L108" s="343">
        <f t="shared" si="25"/>
        <v>27391143.010000002</v>
      </c>
      <c r="M108" s="343">
        <f t="shared" si="25"/>
        <v>26704503.699999999</v>
      </c>
      <c r="N108" s="361">
        <f t="shared" si="25"/>
        <v>229034427.51999998</v>
      </c>
      <c r="O108" s="360">
        <f t="shared" si="25"/>
        <v>545722071.11000001</v>
      </c>
      <c r="P108" s="341">
        <f t="shared" si="25"/>
        <v>1749</v>
      </c>
      <c r="Q108" s="340"/>
      <c r="R108" s="233"/>
    </row>
    <row r="109" spans="2:18" s="196" customFormat="1" ht="22.15" customHeight="1" outlineLevel="1" x14ac:dyDescent="0.35">
      <c r="B109" s="487" t="s">
        <v>250</v>
      </c>
      <c r="C109" s="529" t="s">
        <v>249</v>
      </c>
      <c r="D109" s="236" t="s">
        <v>123</v>
      </c>
      <c r="E109" s="359">
        <v>1599366651.0000005</v>
      </c>
      <c r="F109" s="350">
        <v>315579971.6600005</v>
      </c>
      <c r="G109" s="359">
        <v>309757309.13999975</v>
      </c>
      <c r="H109" s="358">
        <v>47734481.490000054</v>
      </c>
      <c r="I109" s="266">
        <v>2536499.669999999</v>
      </c>
      <c r="J109" s="266">
        <v>1039051.72</v>
      </c>
      <c r="K109" s="266">
        <v>202872.16</v>
      </c>
      <c r="L109" s="266">
        <v>555853.28</v>
      </c>
      <c r="M109" s="266">
        <v>122963.68</v>
      </c>
      <c r="N109" s="233">
        <v>1365421.81</v>
      </c>
      <c r="O109" s="349">
        <f t="shared" ref="O109:O115" si="26">SUM(I109:N109)</f>
        <v>5822662.3199999984</v>
      </c>
      <c r="P109" s="348">
        <f>_xlfn.XLOOKUP(D109,'Overdue-1'!$D:$D,'Overdue-1'!$P:$P)</f>
        <v>24</v>
      </c>
      <c r="Q109" s="340"/>
      <c r="R109" s="233"/>
    </row>
    <row r="110" spans="2:18" s="196" customFormat="1" ht="22.15" customHeight="1" outlineLevel="1" x14ac:dyDescent="0.35">
      <c r="B110" s="487"/>
      <c r="C110" s="529"/>
      <c r="D110" s="236" t="s">
        <v>122</v>
      </c>
      <c r="E110" s="359">
        <v>815006748.8999995</v>
      </c>
      <c r="F110" s="350">
        <v>162408311.98000008</v>
      </c>
      <c r="G110" s="359">
        <v>159823019.47000015</v>
      </c>
      <c r="H110" s="358">
        <v>9155167.0500000026</v>
      </c>
      <c r="I110" s="266">
        <v>5606.4700000000012</v>
      </c>
      <c r="J110" s="266">
        <v>6865.1</v>
      </c>
      <c r="K110" s="266">
        <v>479105.04000000004</v>
      </c>
      <c r="L110" s="266">
        <v>269833.8</v>
      </c>
      <c r="M110" s="266">
        <v>785913.07</v>
      </c>
      <c r="N110" s="233">
        <v>1037969.03</v>
      </c>
      <c r="O110" s="349">
        <f t="shared" si="26"/>
        <v>2585292.5099999998</v>
      </c>
      <c r="P110" s="348">
        <f>_xlfn.XLOOKUP(D110,'Overdue-1'!$D:$D,'Overdue-1'!$P:$P)</f>
        <v>15</v>
      </c>
      <c r="Q110" s="340"/>
      <c r="R110" s="233"/>
    </row>
    <row r="111" spans="2:18" s="196" customFormat="1" ht="22.15" customHeight="1" outlineLevel="1" x14ac:dyDescent="0.35">
      <c r="B111" s="487"/>
      <c r="C111" s="529"/>
      <c r="D111" s="236" t="s">
        <v>48</v>
      </c>
      <c r="E111" s="359">
        <v>767755653.95999968</v>
      </c>
      <c r="F111" s="350">
        <v>155502596.26000002</v>
      </c>
      <c r="G111" s="359">
        <v>153559126.75000009</v>
      </c>
      <c r="H111" s="358">
        <v>13542202.470000001</v>
      </c>
      <c r="I111" s="266">
        <v>240134.23</v>
      </c>
      <c r="J111" s="266">
        <v>198850.58000000002</v>
      </c>
      <c r="K111" s="266">
        <v>203976.85</v>
      </c>
      <c r="L111" s="266">
        <v>0</v>
      </c>
      <c r="M111" s="266">
        <v>462780.04000000004</v>
      </c>
      <c r="N111" s="233">
        <v>837727.80999999982</v>
      </c>
      <c r="O111" s="349">
        <f t="shared" si="26"/>
        <v>1943469.51</v>
      </c>
      <c r="P111" s="348">
        <f>_xlfn.XLOOKUP(D111,'Overdue-1'!$D:$D,'Overdue-1'!$P:$P)</f>
        <v>16</v>
      </c>
      <c r="Q111" s="340"/>
      <c r="R111" s="233"/>
    </row>
    <row r="112" spans="2:18" s="196" customFormat="1" ht="22.15" customHeight="1" outlineLevel="1" x14ac:dyDescent="0.35">
      <c r="B112" s="487"/>
      <c r="C112" s="529"/>
      <c r="D112" s="236" t="s">
        <v>47</v>
      </c>
      <c r="E112" s="359">
        <v>806869395.10000038</v>
      </c>
      <c r="F112" s="350">
        <v>160057195.97000006</v>
      </c>
      <c r="G112" s="359">
        <v>155620981.19000006</v>
      </c>
      <c r="H112" s="358">
        <v>10338128.229999999</v>
      </c>
      <c r="I112" s="266">
        <v>615130.90999999992</v>
      </c>
      <c r="J112" s="266">
        <v>556036.67999999993</v>
      </c>
      <c r="K112" s="266">
        <v>826081.24</v>
      </c>
      <c r="L112" s="266">
        <v>1054097.02</v>
      </c>
      <c r="M112" s="266">
        <v>1372485.05</v>
      </c>
      <c r="N112" s="233">
        <v>12383.880000000001</v>
      </c>
      <c r="O112" s="349">
        <f t="shared" si="26"/>
        <v>4436214.7799999993</v>
      </c>
      <c r="P112" s="348">
        <f>_xlfn.XLOOKUP(D112,'Overdue-1'!$D:$D,'Overdue-1'!$P:$P)</f>
        <v>24</v>
      </c>
      <c r="Q112" s="340"/>
      <c r="R112" s="233"/>
    </row>
    <row r="113" spans="2:18" s="196" customFormat="1" ht="22.15" customHeight="1" outlineLevel="1" x14ac:dyDescent="0.35">
      <c r="B113" s="487"/>
      <c r="C113" s="529"/>
      <c r="D113" s="236" t="s">
        <v>40</v>
      </c>
      <c r="E113" s="359">
        <v>553930211.53999996</v>
      </c>
      <c r="F113" s="350">
        <v>104035900.91000003</v>
      </c>
      <c r="G113" s="359">
        <v>96424495.040000007</v>
      </c>
      <c r="H113" s="358">
        <v>1992951.0300000003</v>
      </c>
      <c r="I113" s="266">
        <v>2522953.42</v>
      </c>
      <c r="J113" s="266">
        <v>2304788.14</v>
      </c>
      <c r="K113" s="266">
        <v>2669198.6100000003</v>
      </c>
      <c r="L113" s="266">
        <v>29010.349999999995</v>
      </c>
      <c r="M113" s="266">
        <v>85455.349999999991</v>
      </c>
      <c r="N113" s="233">
        <v>0</v>
      </c>
      <c r="O113" s="349">
        <f t="shared" si="26"/>
        <v>7611405.8700000001</v>
      </c>
      <c r="P113" s="348">
        <f>_xlfn.XLOOKUP(D113,'Overdue-1'!$D:$D,'Overdue-1'!$P:$P)</f>
        <v>30</v>
      </c>
      <c r="Q113" s="340"/>
      <c r="R113" s="233"/>
    </row>
    <row r="114" spans="2:18" s="196" customFormat="1" ht="22.15" customHeight="1" outlineLevel="1" x14ac:dyDescent="0.35">
      <c r="B114" s="487"/>
      <c r="C114" s="529"/>
      <c r="D114" s="236" t="s">
        <v>39</v>
      </c>
      <c r="E114" s="359">
        <v>665379462.88999987</v>
      </c>
      <c r="F114" s="350">
        <v>111574574.38999985</v>
      </c>
      <c r="G114" s="359">
        <v>96740655.38000001</v>
      </c>
      <c r="H114" s="358">
        <v>3690545.0200000009</v>
      </c>
      <c r="I114" s="266">
        <v>9369613.2800000012</v>
      </c>
      <c r="J114" s="266">
        <v>4013105.4499999993</v>
      </c>
      <c r="K114" s="266">
        <v>438593.37</v>
      </c>
      <c r="L114" s="266">
        <v>388363.49999999994</v>
      </c>
      <c r="M114" s="266">
        <v>624243.41</v>
      </c>
      <c r="N114" s="233">
        <v>0</v>
      </c>
      <c r="O114" s="349">
        <f t="shared" si="26"/>
        <v>14833919.01</v>
      </c>
      <c r="P114" s="348">
        <f>_xlfn.XLOOKUP(D114,'Overdue-1'!$D:$D,'Overdue-1'!$P:$P)</f>
        <v>68</v>
      </c>
      <c r="Q114" s="340"/>
      <c r="R114" s="233"/>
    </row>
    <row r="115" spans="2:18" s="196" customFormat="1" ht="22.15" customHeight="1" outlineLevel="1" x14ac:dyDescent="0.35">
      <c r="B115" s="487"/>
      <c r="C115" s="529"/>
      <c r="D115" s="236" t="s">
        <v>38</v>
      </c>
      <c r="E115" s="359">
        <v>393210660.60000002</v>
      </c>
      <c r="F115" s="350">
        <v>70714827.00999999</v>
      </c>
      <c r="G115" s="359">
        <v>63994980.059999995</v>
      </c>
      <c r="H115" s="358">
        <v>2456825.4799999995</v>
      </c>
      <c r="I115" s="266">
        <v>4489058.41</v>
      </c>
      <c r="J115" s="266">
        <v>0</v>
      </c>
      <c r="K115" s="266">
        <v>16587.05</v>
      </c>
      <c r="L115" s="266">
        <v>1312206.44</v>
      </c>
      <c r="M115" s="266">
        <v>901995.05</v>
      </c>
      <c r="N115" s="233">
        <v>0</v>
      </c>
      <c r="O115" s="349">
        <f t="shared" si="26"/>
        <v>6719846.9500000002</v>
      </c>
      <c r="P115" s="348">
        <f>_xlfn.XLOOKUP(D115,'Overdue-1'!$D:$D,'Overdue-1'!$P:$P)</f>
        <v>20</v>
      </c>
      <c r="Q115" s="340"/>
      <c r="R115" s="233"/>
    </row>
    <row r="116" spans="2:18" s="196" customFormat="1" ht="22.15" customHeight="1" x14ac:dyDescent="0.35">
      <c r="B116" s="488"/>
      <c r="C116" s="530"/>
      <c r="D116" s="356" t="s">
        <v>248</v>
      </c>
      <c r="E116" s="346">
        <f t="shared" ref="E116:P116" si="27">SUM(E109:E115)</f>
        <v>5601518783.9899998</v>
      </c>
      <c r="F116" s="346">
        <f t="shared" si="27"/>
        <v>1079873378.1800005</v>
      </c>
      <c r="G116" s="346">
        <f t="shared" si="27"/>
        <v>1035920567.03</v>
      </c>
      <c r="H116" s="345">
        <f t="shared" si="27"/>
        <v>88910300.77000007</v>
      </c>
      <c r="I116" s="344">
        <f t="shared" si="27"/>
        <v>19778996.390000001</v>
      </c>
      <c r="J116" s="343">
        <f t="shared" si="27"/>
        <v>8118697.669999999</v>
      </c>
      <c r="K116" s="343">
        <f t="shared" si="27"/>
        <v>4836414.32</v>
      </c>
      <c r="L116" s="343">
        <f t="shared" si="27"/>
        <v>3609364.39</v>
      </c>
      <c r="M116" s="343">
        <f t="shared" si="27"/>
        <v>4355835.6500000004</v>
      </c>
      <c r="N116" s="342">
        <f t="shared" si="27"/>
        <v>3253502.5299999993</v>
      </c>
      <c r="O116" s="341">
        <f t="shared" si="27"/>
        <v>43952810.950000003</v>
      </c>
      <c r="P116" s="341">
        <f t="shared" si="27"/>
        <v>197</v>
      </c>
      <c r="Q116" s="340"/>
      <c r="R116" s="233"/>
    </row>
    <row r="117" spans="2:18" s="196" customFormat="1" ht="22.15" customHeight="1" outlineLevel="1" x14ac:dyDescent="0.35">
      <c r="B117" s="487" t="s">
        <v>247</v>
      </c>
      <c r="C117" s="529" t="s">
        <v>246</v>
      </c>
      <c r="D117" s="236" t="s">
        <v>36</v>
      </c>
      <c r="E117" s="359">
        <v>589121955.75999999</v>
      </c>
      <c r="F117" s="350">
        <v>91549118.429999962</v>
      </c>
      <c r="G117" s="359">
        <v>71670445.779999956</v>
      </c>
      <c r="H117" s="358">
        <v>4684299.3500000006</v>
      </c>
      <c r="I117" s="266">
        <v>16383753.210000003</v>
      </c>
      <c r="J117" s="266">
        <v>1572472.1600000001</v>
      </c>
      <c r="K117" s="266">
        <v>556996.6</v>
      </c>
      <c r="L117" s="266">
        <v>1365450.68</v>
      </c>
      <c r="M117" s="266">
        <v>0</v>
      </c>
      <c r="N117" s="233">
        <v>0</v>
      </c>
      <c r="O117" s="349">
        <f>SUM(I117:N117)</f>
        <v>19878672.650000006</v>
      </c>
      <c r="P117" s="348">
        <f>_xlfn.XLOOKUP(D117,'Overdue-1'!$D:$D,'Overdue-1'!$P:$P)</f>
        <v>46</v>
      </c>
      <c r="Q117" s="340"/>
      <c r="R117" s="233"/>
    </row>
    <row r="118" spans="2:18" s="196" customFormat="1" ht="22.15" customHeight="1" outlineLevel="1" x14ac:dyDescent="0.35">
      <c r="B118" s="487"/>
      <c r="C118" s="529"/>
      <c r="D118" s="236" t="s">
        <v>35</v>
      </c>
      <c r="E118" s="359">
        <v>521314715.09999996</v>
      </c>
      <c r="F118" s="350">
        <v>89618196.749999911</v>
      </c>
      <c r="G118" s="359">
        <v>74222719.939999983</v>
      </c>
      <c r="H118" s="358">
        <v>7221461.1300000027</v>
      </c>
      <c r="I118" s="266">
        <v>10882833.060000002</v>
      </c>
      <c r="J118" s="266">
        <v>1651189.5</v>
      </c>
      <c r="K118" s="266">
        <v>1392250.19</v>
      </c>
      <c r="L118" s="266">
        <v>1469204.06</v>
      </c>
      <c r="M118" s="266">
        <v>0</v>
      </c>
      <c r="N118" s="233">
        <v>0</v>
      </c>
      <c r="O118" s="349">
        <f>SUM(I118:N118)</f>
        <v>15395476.810000002</v>
      </c>
      <c r="P118" s="348">
        <f>_xlfn.XLOOKUP(D118,'Overdue-1'!$D:$D,'Overdue-1'!$P:$P)</f>
        <v>34</v>
      </c>
      <c r="Q118" s="340"/>
      <c r="R118" s="233"/>
    </row>
    <row r="119" spans="2:18" s="196" customFormat="1" ht="22.15" customHeight="1" outlineLevel="1" x14ac:dyDescent="0.35">
      <c r="B119" s="487"/>
      <c r="C119" s="529"/>
      <c r="D119" s="236" t="s">
        <v>34</v>
      </c>
      <c r="E119" s="359">
        <v>144763149.75</v>
      </c>
      <c r="F119" s="350">
        <v>24360571.329999998</v>
      </c>
      <c r="G119" s="359">
        <v>20670062.550000001</v>
      </c>
      <c r="H119" s="358">
        <v>200094.85</v>
      </c>
      <c r="I119" s="266">
        <v>3690508.7800000003</v>
      </c>
      <c r="J119" s="266">
        <v>0</v>
      </c>
      <c r="K119" s="266">
        <v>0</v>
      </c>
      <c r="L119" s="266">
        <v>0</v>
      </c>
      <c r="M119" s="266">
        <v>0</v>
      </c>
      <c r="N119" s="233">
        <v>0</v>
      </c>
      <c r="O119" s="349">
        <f>SUM(I119:N119)</f>
        <v>3690508.7800000003</v>
      </c>
      <c r="P119" s="348">
        <f>_xlfn.XLOOKUP(D119,'Overdue-1'!$D:$D,'Overdue-1'!$P:$P)</f>
        <v>4</v>
      </c>
      <c r="Q119" s="340"/>
      <c r="R119" s="233"/>
    </row>
    <row r="120" spans="2:18" s="196" customFormat="1" ht="22.15" customHeight="1" outlineLevel="1" x14ac:dyDescent="0.35">
      <c r="B120" s="487"/>
      <c r="C120" s="529"/>
      <c r="D120" s="236" t="s">
        <v>33</v>
      </c>
      <c r="E120" s="359">
        <v>360850556.36000001</v>
      </c>
      <c r="F120" s="350">
        <v>44678724.109999985</v>
      </c>
      <c r="G120" s="359">
        <v>33227696.970000014</v>
      </c>
      <c r="H120" s="358">
        <v>5388781.5600000015</v>
      </c>
      <c r="I120" s="266">
        <v>9246772.8400000017</v>
      </c>
      <c r="J120" s="266">
        <v>2204254.3000000003</v>
      </c>
      <c r="K120" s="266">
        <v>0</v>
      </c>
      <c r="L120" s="266">
        <v>0</v>
      </c>
      <c r="M120" s="266">
        <v>0</v>
      </c>
      <c r="N120" s="233">
        <v>0</v>
      </c>
      <c r="O120" s="349">
        <f>SUM(I120:N120)</f>
        <v>11451027.140000002</v>
      </c>
      <c r="P120" s="348">
        <f>_xlfn.XLOOKUP(D120,'Overdue-1'!$D:$D,'Overdue-1'!$P:$P)</f>
        <v>29</v>
      </c>
      <c r="Q120" s="340"/>
      <c r="R120" s="233"/>
    </row>
    <row r="121" spans="2:18" s="196" customFormat="1" ht="22.15" customHeight="1" x14ac:dyDescent="0.35">
      <c r="B121" s="488"/>
      <c r="C121" s="530"/>
      <c r="D121" s="356" t="s">
        <v>245</v>
      </c>
      <c r="E121" s="346">
        <f t="shared" ref="E121:P121" si="28">SUM(E117:E120)</f>
        <v>1616050376.9699998</v>
      </c>
      <c r="F121" s="346">
        <f t="shared" si="28"/>
        <v>250206610.61999986</v>
      </c>
      <c r="G121" s="346">
        <f t="shared" si="28"/>
        <v>199790925.23999995</v>
      </c>
      <c r="H121" s="345">
        <f t="shared" si="28"/>
        <v>17494636.890000004</v>
      </c>
      <c r="I121" s="344">
        <f t="shared" si="28"/>
        <v>40203867.890000008</v>
      </c>
      <c r="J121" s="343">
        <f t="shared" si="28"/>
        <v>5427915.9600000009</v>
      </c>
      <c r="K121" s="343">
        <f t="shared" si="28"/>
        <v>1949246.79</v>
      </c>
      <c r="L121" s="343">
        <f t="shared" si="28"/>
        <v>2834654.74</v>
      </c>
      <c r="M121" s="343">
        <f t="shared" si="28"/>
        <v>0</v>
      </c>
      <c r="N121" s="342">
        <f t="shared" si="28"/>
        <v>0</v>
      </c>
      <c r="O121" s="341">
        <f t="shared" si="28"/>
        <v>50415685.38000001</v>
      </c>
      <c r="P121" s="341">
        <f t="shared" si="28"/>
        <v>113</v>
      </c>
      <c r="Q121" s="340"/>
      <c r="R121" s="233"/>
    </row>
    <row r="122" spans="2:18" s="196" customFormat="1" ht="22.15" customHeight="1" outlineLevel="1" x14ac:dyDescent="0.35">
      <c r="B122" s="497" t="s">
        <v>144</v>
      </c>
      <c r="C122" s="528" t="s">
        <v>244</v>
      </c>
      <c r="D122" s="231"/>
      <c r="E122" s="354"/>
      <c r="F122" s="354"/>
      <c r="G122" s="354"/>
      <c r="H122" s="352"/>
      <c r="I122" s="355"/>
      <c r="J122" s="354"/>
      <c r="K122" s="354"/>
      <c r="L122" s="354"/>
      <c r="M122" s="354"/>
      <c r="N122" s="353"/>
      <c r="O122" s="352"/>
      <c r="P122" s="352"/>
      <c r="Q122" s="340"/>
      <c r="R122" s="233"/>
    </row>
    <row r="123" spans="2:18" s="196" customFormat="1" ht="22.15" customHeight="1" outlineLevel="1" x14ac:dyDescent="0.35">
      <c r="B123" s="492"/>
      <c r="C123" s="529"/>
      <c r="D123" s="225" t="s">
        <v>145</v>
      </c>
      <c r="E123" s="219">
        <f t="shared" ref="E123:P123" si="29">SUM(E124:E127)</f>
        <v>2576602179.7700005</v>
      </c>
      <c r="F123" s="350">
        <f t="shared" si="29"/>
        <v>756395215.1499989</v>
      </c>
      <c r="G123" s="219">
        <f t="shared" si="29"/>
        <v>681960575.27999997</v>
      </c>
      <c r="H123" s="218">
        <f t="shared" si="29"/>
        <v>49385303.180000007</v>
      </c>
      <c r="I123" s="266">
        <f t="shared" si="29"/>
        <v>6518051.4100000001</v>
      </c>
      <c r="J123" s="234">
        <f t="shared" si="29"/>
        <v>14013442.960000001</v>
      </c>
      <c r="K123" s="234">
        <f t="shared" si="29"/>
        <v>10217809.710000001</v>
      </c>
      <c r="L123" s="234">
        <f t="shared" si="29"/>
        <v>10939222.859999999</v>
      </c>
      <c r="M123" s="234">
        <f t="shared" si="29"/>
        <v>10217569.77</v>
      </c>
      <c r="N123" s="235">
        <f t="shared" si="29"/>
        <v>22528543.159999996</v>
      </c>
      <c r="O123" s="349">
        <f t="shared" si="29"/>
        <v>74434639.870000005</v>
      </c>
      <c r="P123" s="348">
        <f t="shared" si="29"/>
        <v>47</v>
      </c>
      <c r="Q123" s="340"/>
      <c r="R123" s="233"/>
    </row>
    <row r="124" spans="2:18" s="196" customFormat="1" ht="22.15" hidden="1" customHeight="1" outlineLevel="2" x14ac:dyDescent="0.35">
      <c r="B124" s="492"/>
      <c r="C124" s="529"/>
      <c r="D124" s="222" t="s">
        <v>144</v>
      </c>
      <c r="E124" s="219">
        <v>1849700766.1800001</v>
      </c>
      <c r="F124" s="350">
        <v>557175564.50999892</v>
      </c>
      <c r="G124" s="219">
        <v>504545324.44000006</v>
      </c>
      <c r="H124" s="218">
        <v>25258580.270000003</v>
      </c>
      <c r="I124" s="266">
        <v>5094841.7299999995</v>
      </c>
      <c r="J124" s="234">
        <v>12292534.07</v>
      </c>
      <c r="K124" s="234">
        <v>2121448.7999999998</v>
      </c>
      <c r="L124" s="234">
        <v>7742980.7999999998</v>
      </c>
      <c r="M124" s="234">
        <v>6671830.6899999995</v>
      </c>
      <c r="N124" s="235">
        <v>18706603.979999997</v>
      </c>
      <c r="O124" s="349">
        <f>SUM(I124:N124)</f>
        <v>52630240.07</v>
      </c>
      <c r="P124" s="348">
        <f>_xlfn.XLOOKUP(D124,'Overdue-1'!$D:$D,'Overdue-1'!$P:$P)</f>
        <v>34</v>
      </c>
      <c r="Q124" s="340"/>
      <c r="R124" s="233"/>
    </row>
    <row r="125" spans="2:18" s="196" customFormat="1" ht="22.15" hidden="1" customHeight="1" outlineLevel="2" x14ac:dyDescent="0.35">
      <c r="B125" s="492"/>
      <c r="C125" s="529"/>
      <c r="D125" s="223" t="s">
        <v>143</v>
      </c>
      <c r="E125" s="219">
        <v>408560860.88999999</v>
      </c>
      <c r="F125" s="350">
        <v>105301636.58999993</v>
      </c>
      <c r="G125" s="219">
        <v>92337579.919999987</v>
      </c>
      <c r="H125" s="218">
        <v>11313254.830000002</v>
      </c>
      <c r="I125" s="266">
        <v>1423209.32</v>
      </c>
      <c r="J125" s="234">
        <v>1720908.89</v>
      </c>
      <c r="K125" s="234">
        <v>5082470.12</v>
      </c>
      <c r="L125" s="234">
        <v>470457.66000000003</v>
      </c>
      <c r="M125" s="234">
        <v>3545739.08</v>
      </c>
      <c r="N125" s="235">
        <v>721271.6</v>
      </c>
      <c r="O125" s="349">
        <f>SUM(I125:N125)</f>
        <v>12964056.67</v>
      </c>
      <c r="P125" s="348">
        <f>_xlfn.XLOOKUP(D125,'Overdue-1'!$D:$D,'Overdue-1'!$P:$P)</f>
        <v>9</v>
      </c>
      <c r="Q125" s="340"/>
      <c r="R125" s="233"/>
    </row>
    <row r="126" spans="2:18" s="196" customFormat="1" ht="22.15" hidden="1" customHeight="1" outlineLevel="2" x14ac:dyDescent="0.35">
      <c r="B126" s="492"/>
      <c r="C126" s="529"/>
      <c r="D126" s="223" t="s">
        <v>142</v>
      </c>
      <c r="E126" s="219">
        <v>318340552.70000005</v>
      </c>
      <c r="F126" s="350">
        <v>93918014.050000012</v>
      </c>
      <c r="G126" s="219">
        <v>85077670.919999987</v>
      </c>
      <c r="H126" s="218">
        <v>12813468.08</v>
      </c>
      <c r="I126" s="266">
        <v>0.36</v>
      </c>
      <c r="J126" s="234">
        <v>0</v>
      </c>
      <c r="K126" s="234">
        <v>3013890.79</v>
      </c>
      <c r="L126" s="234">
        <v>2725784.4</v>
      </c>
      <c r="M126" s="234">
        <v>0</v>
      </c>
      <c r="N126" s="235">
        <v>3100667.58</v>
      </c>
      <c r="O126" s="349">
        <f>SUM(I126:N126)</f>
        <v>8840343.129999999</v>
      </c>
      <c r="P126" s="348">
        <f>_xlfn.XLOOKUP(D126,'Overdue-1'!$D:$D,'Overdue-1'!$P:$P)</f>
        <v>4</v>
      </c>
      <c r="Q126" s="340"/>
      <c r="R126" s="233"/>
    </row>
    <row r="127" spans="2:18" s="196" customFormat="1" ht="22.15" hidden="1" customHeight="1" outlineLevel="2" x14ac:dyDescent="0.35">
      <c r="B127" s="492"/>
      <c r="C127" s="529"/>
      <c r="D127" s="223" t="s">
        <v>141</v>
      </c>
      <c r="E127" s="219">
        <v>0</v>
      </c>
      <c r="F127" s="350">
        <v>0</v>
      </c>
      <c r="G127" s="219">
        <v>0</v>
      </c>
      <c r="H127" s="218">
        <v>0</v>
      </c>
      <c r="I127" s="266">
        <v>0</v>
      </c>
      <c r="J127" s="234">
        <v>0</v>
      </c>
      <c r="K127" s="234">
        <v>0</v>
      </c>
      <c r="L127" s="234">
        <v>0</v>
      </c>
      <c r="M127" s="234">
        <v>0</v>
      </c>
      <c r="N127" s="235">
        <v>0</v>
      </c>
      <c r="O127" s="349">
        <f>SUM(I127:N127)</f>
        <v>0</v>
      </c>
      <c r="P127" s="348">
        <f>_xlfn.XLOOKUP(D127,'Overdue-1'!$D:$D,'Overdue-1'!$P:$P)</f>
        <v>0</v>
      </c>
      <c r="Q127" s="340"/>
      <c r="R127" s="233"/>
    </row>
    <row r="128" spans="2:18" s="196" customFormat="1" ht="22.15" customHeight="1" outlineLevel="1" collapsed="1" x14ac:dyDescent="0.35">
      <c r="B128" s="492"/>
      <c r="C128" s="529"/>
      <c r="D128" s="221" t="s">
        <v>121</v>
      </c>
      <c r="E128" s="219">
        <f t="shared" ref="E128:P128" si="30">SUM(E129:E162)</f>
        <v>6111875456.7699995</v>
      </c>
      <c r="F128" s="350">
        <f t="shared" si="30"/>
        <v>2297616634.4300003</v>
      </c>
      <c r="G128" s="219">
        <f t="shared" si="30"/>
        <v>2192217726.7499995</v>
      </c>
      <c r="H128" s="218">
        <f t="shared" si="30"/>
        <v>148563911.60000005</v>
      </c>
      <c r="I128" s="266">
        <f t="shared" si="30"/>
        <v>31191851.289999999</v>
      </c>
      <c r="J128" s="234">
        <f t="shared" si="30"/>
        <v>16692370.620000001</v>
      </c>
      <c r="K128" s="234">
        <f t="shared" si="30"/>
        <v>7826394.7400000002</v>
      </c>
      <c r="L128" s="234">
        <f t="shared" si="30"/>
        <v>3986894.57</v>
      </c>
      <c r="M128" s="234">
        <f t="shared" si="30"/>
        <v>9232933.3100000005</v>
      </c>
      <c r="N128" s="235">
        <f t="shared" si="30"/>
        <v>36560852.550000004</v>
      </c>
      <c r="O128" s="349">
        <f t="shared" si="30"/>
        <v>105491297.07999998</v>
      </c>
      <c r="P128" s="348">
        <f t="shared" si="30"/>
        <v>587</v>
      </c>
      <c r="Q128" s="340"/>
      <c r="R128" s="233"/>
    </row>
    <row r="129" spans="2:18" s="196" customFormat="1" ht="22.15" hidden="1" customHeight="1" outlineLevel="2" x14ac:dyDescent="0.35">
      <c r="B129" s="492"/>
      <c r="C129" s="529"/>
      <c r="D129" s="224" t="s">
        <v>119</v>
      </c>
      <c r="E129" s="219">
        <v>170716643.01999995</v>
      </c>
      <c r="F129" s="350">
        <v>77822635.330000117</v>
      </c>
      <c r="G129" s="219">
        <v>74900557.380000025</v>
      </c>
      <c r="H129" s="218">
        <v>1929415.8199999998</v>
      </c>
      <c r="I129" s="266">
        <v>479684.77999999997</v>
      </c>
      <c r="J129" s="234">
        <v>597330.80000000005</v>
      </c>
      <c r="K129" s="234">
        <v>224264.74</v>
      </c>
      <c r="L129" s="234">
        <v>0</v>
      </c>
      <c r="M129" s="234">
        <v>403809.89</v>
      </c>
      <c r="N129" s="235">
        <v>1216987.7400000002</v>
      </c>
      <c r="O129" s="349">
        <f t="shared" ref="O129:O162" si="31">SUM(I129:N129)</f>
        <v>2922077.95</v>
      </c>
      <c r="P129" s="348">
        <f>_xlfn.XLOOKUP(D129,'Overdue-1'!$D:$D,'Overdue-1'!$P:$P)</f>
        <v>16</v>
      </c>
      <c r="Q129" s="340"/>
      <c r="R129" s="233"/>
    </row>
    <row r="130" spans="2:18" s="196" customFormat="1" ht="22.15" hidden="1" customHeight="1" outlineLevel="2" x14ac:dyDescent="0.35">
      <c r="B130" s="492"/>
      <c r="C130" s="529"/>
      <c r="D130" s="223" t="s">
        <v>118</v>
      </c>
      <c r="E130" s="219">
        <v>406691809.55999959</v>
      </c>
      <c r="F130" s="350">
        <v>187198845.75999978</v>
      </c>
      <c r="G130" s="219">
        <v>179308748.24000004</v>
      </c>
      <c r="H130" s="218">
        <v>4535574.1499999994</v>
      </c>
      <c r="I130" s="266">
        <v>614873.28</v>
      </c>
      <c r="J130" s="234">
        <v>397611.70999999996</v>
      </c>
      <c r="K130" s="234">
        <v>1628166.4199999997</v>
      </c>
      <c r="L130" s="234">
        <v>644334.83000000007</v>
      </c>
      <c r="M130" s="234">
        <v>368754.77</v>
      </c>
      <c r="N130" s="235">
        <v>4236356.51</v>
      </c>
      <c r="O130" s="349">
        <f t="shared" si="31"/>
        <v>7890097.5199999996</v>
      </c>
      <c r="P130" s="348">
        <f>_xlfn.XLOOKUP(D130,'Overdue-1'!$D:$D,'Overdue-1'!$P:$P)</f>
        <v>48</v>
      </c>
      <c r="Q130" s="340"/>
      <c r="R130" s="233"/>
    </row>
    <row r="131" spans="2:18" s="196" customFormat="1" ht="22.15" hidden="1" customHeight="1" outlineLevel="2" x14ac:dyDescent="0.35">
      <c r="B131" s="492"/>
      <c r="C131" s="529"/>
      <c r="D131" s="223" t="s">
        <v>117</v>
      </c>
      <c r="E131" s="219">
        <v>173058462.76000002</v>
      </c>
      <c r="F131" s="350">
        <v>78637602.500000224</v>
      </c>
      <c r="G131" s="219">
        <v>75648736.50000003</v>
      </c>
      <c r="H131" s="218">
        <v>3575929.5300000007</v>
      </c>
      <c r="I131" s="266">
        <v>240153.64000000004</v>
      </c>
      <c r="J131" s="234">
        <v>478042.29000000004</v>
      </c>
      <c r="K131" s="234">
        <v>715839.94</v>
      </c>
      <c r="L131" s="234">
        <v>454237.39</v>
      </c>
      <c r="M131" s="234">
        <v>0</v>
      </c>
      <c r="N131" s="235">
        <v>1100592.74</v>
      </c>
      <c r="O131" s="349">
        <f t="shared" si="31"/>
        <v>2988866</v>
      </c>
      <c r="P131" s="348">
        <f>_xlfn.XLOOKUP(D131,'Overdue-1'!$D:$D,'Overdue-1'!$P:$P)</f>
        <v>21</v>
      </c>
      <c r="Q131" s="340"/>
      <c r="R131" s="233"/>
    </row>
    <row r="132" spans="2:18" s="196" customFormat="1" ht="22.15" hidden="1" customHeight="1" outlineLevel="2" x14ac:dyDescent="0.35">
      <c r="B132" s="492"/>
      <c r="C132" s="529"/>
      <c r="D132" s="223" t="s">
        <v>116</v>
      </c>
      <c r="E132" s="219">
        <v>101524028.48000002</v>
      </c>
      <c r="F132" s="350">
        <v>46109658.340000048</v>
      </c>
      <c r="G132" s="219">
        <v>44749633.82</v>
      </c>
      <c r="H132" s="218">
        <v>3655976.63</v>
      </c>
      <c r="I132" s="266">
        <v>429140.72</v>
      </c>
      <c r="J132" s="234">
        <v>930883.8</v>
      </c>
      <c r="K132" s="234">
        <v>0</v>
      </c>
      <c r="L132" s="234">
        <v>0</v>
      </c>
      <c r="M132" s="234">
        <v>0</v>
      </c>
      <c r="N132" s="235">
        <v>0</v>
      </c>
      <c r="O132" s="349">
        <f t="shared" si="31"/>
        <v>1360024.52</v>
      </c>
      <c r="P132" s="348">
        <f>_xlfn.XLOOKUP(D132,'Overdue-1'!$D:$D,'Overdue-1'!$P:$P)</f>
        <v>3</v>
      </c>
      <c r="Q132" s="340"/>
      <c r="R132" s="233"/>
    </row>
    <row r="133" spans="2:18" s="196" customFormat="1" ht="22.15" hidden="1" customHeight="1" outlineLevel="2" x14ac:dyDescent="0.35">
      <c r="B133" s="492"/>
      <c r="C133" s="529"/>
      <c r="D133" s="224" t="s">
        <v>114</v>
      </c>
      <c r="E133" s="219">
        <v>179682374.32000008</v>
      </c>
      <c r="F133" s="350">
        <v>72327716.710000038</v>
      </c>
      <c r="G133" s="219">
        <v>69967058.99000001</v>
      </c>
      <c r="H133" s="218">
        <v>6384912.3500000034</v>
      </c>
      <c r="I133" s="266">
        <v>797864.63000000012</v>
      </c>
      <c r="J133" s="234">
        <v>418086.95999999996</v>
      </c>
      <c r="K133" s="234">
        <v>0</v>
      </c>
      <c r="L133" s="234">
        <v>0</v>
      </c>
      <c r="M133" s="234">
        <v>355384.26</v>
      </c>
      <c r="N133" s="235">
        <v>789321.87000000011</v>
      </c>
      <c r="O133" s="349">
        <f t="shared" si="31"/>
        <v>2360657.7200000002</v>
      </c>
      <c r="P133" s="348">
        <f>_xlfn.XLOOKUP(D133,'Overdue-1'!$D:$D,'Overdue-1'!$P:$P)</f>
        <v>20</v>
      </c>
      <c r="Q133" s="340"/>
      <c r="R133" s="233"/>
    </row>
    <row r="134" spans="2:18" s="196" customFormat="1" ht="22.15" hidden="1" customHeight="1" outlineLevel="2" x14ac:dyDescent="0.35">
      <c r="B134" s="492"/>
      <c r="C134" s="529"/>
      <c r="D134" s="223" t="s">
        <v>113</v>
      </c>
      <c r="E134" s="219">
        <v>447949529.65999949</v>
      </c>
      <c r="F134" s="350">
        <v>201561126.69000044</v>
      </c>
      <c r="G134" s="219">
        <v>191170320.72000009</v>
      </c>
      <c r="H134" s="218">
        <v>8429377.5600000005</v>
      </c>
      <c r="I134" s="266">
        <v>655024.28</v>
      </c>
      <c r="J134" s="234">
        <v>2708786.64</v>
      </c>
      <c r="K134" s="234">
        <v>1363330.59</v>
      </c>
      <c r="L134" s="234">
        <v>0</v>
      </c>
      <c r="M134" s="234">
        <v>394911.55</v>
      </c>
      <c r="N134" s="235">
        <v>5268752.9099999992</v>
      </c>
      <c r="O134" s="349">
        <f t="shared" si="31"/>
        <v>10390805.969999999</v>
      </c>
      <c r="P134" s="348">
        <f>_xlfn.XLOOKUP(D134,'Overdue-1'!$D:$D,'Overdue-1'!$P:$P)</f>
        <v>64</v>
      </c>
      <c r="Q134" s="340"/>
      <c r="R134" s="233"/>
    </row>
    <row r="135" spans="2:18" s="196" customFormat="1" ht="22.15" hidden="1" customHeight="1" outlineLevel="2" x14ac:dyDescent="0.35">
      <c r="B135" s="492"/>
      <c r="C135" s="529"/>
      <c r="D135" s="223" t="s">
        <v>112</v>
      </c>
      <c r="E135" s="219">
        <v>189209765.97</v>
      </c>
      <c r="F135" s="350">
        <v>81575394.610000029</v>
      </c>
      <c r="G135" s="219">
        <v>75503179.379999995</v>
      </c>
      <c r="H135" s="218">
        <v>4921086.6499999985</v>
      </c>
      <c r="I135" s="266">
        <v>1569315.63</v>
      </c>
      <c r="J135" s="234">
        <v>1617550.1099999999</v>
      </c>
      <c r="K135" s="234">
        <v>108225.47</v>
      </c>
      <c r="L135" s="234">
        <v>0</v>
      </c>
      <c r="M135" s="234">
        <v>245078.19</v>
      </c>
      <c r="N135" s="235">
        <v>2532045.83</v>
      </c>
      <c r="O135" s="349">
        <f t="shared" si="31"/>
        <v>6072215.2300000004</v>
      </c>
      <c r="P135" s="348">
        <f>_xlfn.XLOOKUP(D135,'Overdue-1'!$D:$D,'Overdue-1'!$P:$P)</f>
        <v>32</v>
      </c>
      <c r="Q135" s="340"/>
      <c r="R135" s="233"/>
    </row>
    <row r="136" spans="2:18" s="196" customFormat="1" ht="22.15" hidden="1" customHeight="1" outlineLevel="2" x14ac:dyDescent="0.35">
      <c r="B136" s="492"/>
      <c r="C136" s="529"/>
      <c r="D136" s="223" t="s">
        <v>111</v>
      </c>
      <c r="E136" s="219">
        <v>87260599.070000023</v>
      </c>
      <c r="F136" s="350">
        <v>36270715.649999984</v>
      </c>
      <c r="G136" s="219">
        <v>33652924.710000008</v>
      </c>
      <c r="H136" s="218">
        <v>858971.82</v>
      </c>
      <c r="I136" s="266">
        <v>1671225.6500000001</v>
      </c>
      <c r="J136" s="234">
        <v>0</v>
      </c>
      <c r="K136" s="234">
        <v>0</v>
      </c>
      <c r="L136" s="234">
        <v>0</v>
      </c>
      <c r="M136" s="234">
        <v>0</v>
      </c>
      <c r="N136" s="235">
        <v>946565.29</v>
      </c>
      <c r="O136" s="349">
        <f t="shared" si="31"/>
        <v>2617790.9400000004</v>
      </c>
      <c r="P136" s="348">
        <f>_xlfn.XLOOKUP(D136,'Overdue-1'!$D:$D,'Overdue-1'!$P:$P)</f>
        <v>9</v>
      </c>
      <c r="Q136" s="340"/>
      <c r="R136" s="233"/>
    </row>
    <row r="137" spans="2:18" s="196" customFormat="1" ht="22.15" hidden="1" customHeight="1" outlineLevel="2" x14ac:dyDescent="0.35">
      <c r="B137" s="492"/>
      <c r="C137" s="529"/>
      <c r="D137" s="222" t="s">
        <v>109</v>
      </c>
      <c r="E137" s="219">
        <v>186078654.75</v>
      </c>
      <c r="F137" s="350">
        <v>75568932.190000042</v>
      </c>
      <c r="G137" s="219">
        <v>70157493.609999999</v>
      </c>
      <c r="H137" s="218">
        <v>4858485.6500000032</v>
      </c>
      <c r="I137" s="266">
        <v>1812997.47</v>
      </c>
      <c r="J137" s="234">
        <v>88524.4</v>
      </c>
      <c r="K137" s="234">
        <v>240925.6</v>
      </c>
      <c r="L137" s="234">
        <v>365356.99</v>
      </c>
      <c r="M137" s="234">
        <v>157417.94999999998</v>
      </c>
      <c r="N137" s="235">
        <v>2746216.17</v>
      </c>
      <c r="O137" s="349">
        <f t="shared" si="31"/>
        <v>5411438.5800000001</v>
      </c>
      <c r="P137" s="348">
        <f>_xlfn.XLOOKUP(D137,'Overdue-1'!$D:$D,'Overdue-1'!$P:$P)</f>
        <v>27</v>
      </c>
      <c r="Q137" s="340"/>
      <c r="R137" s="233"/>
    </row>
    <row r="138" spans="2:18" s="196" customFormat="1" ht="22.15" hidden="1" customHeight="1" outlineLevel="2" x14ac:dyDescent="0.35">
      <c r="B138" s="492"/>
      <c r="C138" s="529"/>
      <c r="D138" s="222" t="s">
        <v>108</v>
      </c>
      <c r="E138" s="219">
        <v>473235445.00999999</v>
      </c>
      <c r="F138" s="350">
        <v>207732705.86999968</v>
      </c>
      <c r="G138" s="219">
        <v>195864041.14999986</v>
      </c>
      <c r="H138" s="218">
        <v>13530319.850000005</v>
      </c>
      <c r="I138" s="266">
        <v>6742210.5999999968</v>
      </c>
      <c r="J138" s="234">
        <v>392129.2</v>
      </c>
      <c r="K138" s="234">
        <v>4111.17</v>
      </c>
      <c r="L138" s="234">
        <v>247209.39</v>
      </c>
      <c r="M138" s="234">
        <v>276063.17</v>
      </c>
      <c r="N138" s="235">
        <v>4206941.1899999995</v>
      </c>
      <c r="O138" s="349">
        <f t="shared" si="31"/>
        <v>11868664.719999995</v>
      </c>
      <c r="P138" s="348">
        <f>_xlfn.XLOOKUP(D138,'Overdue-1'!$D:$D,'Overdue-1'!$P:$P)</f>
        <v>82</v>
      </c>
      <c r="Q138" s="340"/>
      <c r="R138" s="233"/>
    </row>
    <row r="139" spans="2:18" s="196" customFormat="1" ht="22.15" hidden="1" customHeight="1" outlineLevel="2" x14ac:dyDescent="0.35">
      <c r="B139" s="492"/>
      <c r="C139" s="529"/>
      <c r="D139" s="222" t="s">
        <v>107</v>
      </c>
      <c r="E139" s="219">
        <v>195265056.10000002</v>
      </c>
      <c r="F139" s="350">
        <v>78472159.149999991</v>
      </c>
      <c r="G139" s="219">
        <v>74471808.770000011</v>
      </c>
      <c r="H139" s="218">
        <v>4610959.2399999993</v>
      </c>
      <c r="I139" s="266">
        <v>2009981.31</v>
      </c>
      <c r="J139" s="234">
        <v>251526.53</v>
      </c>
      <c r="K139" s="234">
        <v>127765.67</v>
      </c>
      <c r="L139" s="234">
        <v>158104.31</v>
      </c>
      <c r="M139" s="234">
        <v>291439.33</v>
      </c>
      <c r="N139" s="235">
        <v>1161533.23</v>
      </c>
      <c r="O139" s="349">
        <f t="shared" si="31"/>
        <v>4000350.38</v>
      </c>
      <c r="P139" s="348">
        <f>_xlfn.XLOOKUP(D139,'Overdue-1'!$D:$D,'Overdue-1'!$P:$P)</f>
        <v>27</v>
      </c>
      <c r="Q139" s="340"/>
      <c r="R139" s="233"/>
    </row>
    <row r="140" spans="2:18" s="196" customFormat="1" ht="22.15" hidden="1" customHeight="1" outlineLevel="2" x14ac:dyDescent="0.35">
      <c r="B140" s="492"/>
      <c r="C140" s="529"/>
      <c r="D140" s="222" t="s">
        <v>106</v>
      </c>
      <c r="E140" s="219">
        <v>111611376.25</v>
      </c>
      <c r="F140" s="350">
        <v>41174044.570000008</v>
      </c>
      <c r="G140" s="219">
        <v>39012544.640000008</v>
      </c>
      <c r="H140" s="218">
        <v>1496489.03</v>
      </c>
      <c r="I140" s="266">
        <v>1771137.1600000001</v>
      </c>
      <c r="J140" s="234">
        <v>0</v>
      </c>
      <c r="K140" s="234">
        <v>0</v>
      </c>
      <c r="L140" s="234">
        <v>388612</v>
      </c>
      <c r="M140" s="234">
        <v>1750.77</v>
      </c>
      <c r="N140" s="235">
        <v>0</v>
      </c>
      <c r="O140" s="349">
        <f t="shared" si="31"/>
        <v>2161499.9300000002</v>
      </c>
      <c r="P140" s="348">
        <f>_xlfn.XLOOKUP(D140,'Overdue-1'!$D:$D,'Overdue-1'!$P:$P)</f>
        <v>5</v>
      </c>
      <c r="Q140" s="340"/>
      <c r="R140" s="233"/>
    </row>
    <row r="141" spans="2:18" s="196" customFormat="1" ht="22.15" hidden="1" customHeight="1" outlineLevel="2" x14ac:dyDescent="0.35">
      <c r="B141" s="492"/>
      <c r="C141" s="529"/>
      <c r="D141" s="222" t="s">
        <v>104</v>
      </c>
      <c r="E141" s="219">
        <v>181742042.34999999</v>
      </c>
      <c r="F141" s="350">
        <v>67445258.920000106</v>
      </c>
      <c r="G141" s="219">
        <v>66529391.869999997</v>
      </c>
      <c r="H141" s="218">
        <v>2980704.68</v>
      </c>
      <c r="I141" s="266">
        <v>157743.57000000004</v>
      </c>
      <c r="J141" s="234">
        <v>237643.4</v>
      </c>
      <c r="K141" s="234">
        <v>0</v>
      </c>
      <c r="L141" s="234">
        <v>2580.7199999999998</v>
      </c>
      <c r="M141" s="234">
        <v>22101.71</v>
      </c>
      <c r="N141" s="235">
        <v>495797.65</v>
      </c>
      <c r="O141" s="349">
        <f t="shared" si="31"/>
        <v>915867.05</v>
      </c>
      <c r="P141" s="348">
        <f>_xlfn.XLOOKUP(D141,'Overdue-1'!$D:$D,'Overdue-1'!$P:$P)</f>
        <v>5</v>
      </c>
      <c r="Q141" s="340"/>
      <c r="R141" s="233"/>
    </row>
    <row r="142" spans="2:18" s="196" customFormat="1" ht="22.15" hidden="1" customHeight="1" outlineLevel="2" x14ac:dyDescent="0.35">
      <c r="B142" s="492"/>
      <c r="C142" s="529"/>
      <c r="D142" s="222" t="s">
        <v>103</v>
      </c>
      <c r="E142" s="219">
        <v>470711136.28000015</v>
      </c>
      <c r="F142" s="350">
        <v>177451329.09999993</v>
      </c>
      <c r="G142" s="219">
        <v>173156837.50999993</v>
      </c>
      <c r="H142" s="218">
        <v>12937618.359999999</v>
      </c>
      <c r="I142" s="266">
        <v>604405.25999999989</v>
      </c>
      <c r="J142" s="234">
        <v>121931.01</v>
      </c>
      <c r="K142" s="234">
        <v>151356.75999999998</v>
      </c>
      <c r="L142" s="234">
        <v>126010.8</v>
      </c>
      <c r="M142" s="234">
        <v>867202.92999999993</v>
      </c>
      <c r="N142" s="235">
        <v>2423584.83</v>
      </c>
      <c r="O142" s="349">
        <f t="shared" si="31"/>
        <v>4294491.59</v>
      </c>
      <c r="P142" s="348">
        <f>_xlfn.XLOOKUP(D142,'Overdue-1'!$D:$D,'Overdue-1'!$P:$P)</f>
        <v>27</v>
      </c>
      <c r="Q142" s="340"/>
      <c r="R142" s="233"/>
    </row>
    <row r="143" spans="2:18" s="196" customFormat="1" ht="22.15" hidden="1" customHeight="1" outlineLevel="2" x14ac:dyDescent="0.35">
      <c r="B143" s="492"/>
      <c r="C143" s="529"/>
      <c r="D143" s="222" t="s">
        <v>102</v>
      </c>
      <c r="E143" s="219">
        <v>201490444.67000002</v>
      </c>
      <c r="F143" s="350">
        <v>73728897.019999921</v>
      </c>
      <c r="G143" s="219">
        <v>71827425.580000013</v>
      </c>
      <c r="H143" s="218">
        <v>6775656.7599999988</v>
      </c>
      <c r="I143" s="266">
        <v>216796.36999999997</v>
      </c>
      <c r="J143" s="234">
        <v>288762.73</v>
      </c>
      <c r="K143" s="234">
        <v>129262.7</v>
      </c>
      <c r="L143" s="234">
        <v>0</v>
      </c>
      <c r="M143" s="234">
        <v>463044.37</v>
      </c>
      <c r="N143" s="235">
        <v>803605.27</v>
      </c>
      <c r="O143" s="349">
        <f t="shared" si="31"/>
        <v>1901471.44</v>
      </c>
      <c r="P143" s="348">
        <f>_xlfn.XLOOKUP(D143,'Overdue-1'!$D:$D,'Overdue-1'!$P:$P)</f>
        <v>12</v>
      </c>
      <c r="Q143" s="340"/>
      <c r="R143" s="233"/>
    </row>
    <row r="144" spans="2:18" s="196" customFormat="1" ht="22.15" hidden="1" customHeight="1" outlineLevel="2" x14ac:dyDescent="0.35">
      <c r="B144" s="492"/>
      <c r="C144" s="529"/>
      <c r="D144" s="222" t="s">
        <v>101</v>
      </c>
      <c r="E144" s="219">
        <v>89188139</v>
      </c>
      <c r="F144" s="350">
        <v>31428312.409999993</v>
      </c>
      <c r="G144" s="219">
        <v>31209492.520000003</v>
      </c>
      <c r="H144" s="218">
        <v>1633312.54</v>
      </c>
      <c r="I144" s="266">
        <v>1334.59</v>
      </c>
      <c r="J144" s="234">
        <v>0</v>
      </c>
      <c r="K144" s="234">
        <v>0</v>
      </c>
      <c r="L144" s="234">
        <v>0</v>
      </c>
      <c r="M144" s="234">
        <v>217485.3</v>
      </c>
      <c r="N144" s="235">
        <v>0</v>
      </c>
      <c r="O144" s="349">
        <f t="shared" si="31"/>
        <v>218819.88999999998</v>
      </c>
      <c r="P144" s="348">
        <f>_xlfn.XLOOKUP(D144,'Overdue-1'!$D:$D,'Overdue-1'!$P:$P)</f>
        <v>1</v>
      </c>
      <c r="Q144" s="340"/>
      <c r="R144" s="233"/>
    </row>
    <row r="145" spans="2:18" s="196" customFormat="1" ht="22.15" hidden="1" customHeight="1" outlineLevel="2" x14ac:dyDescent="0.35">
      <c r="B145" s="492"/>
      <c r="C145" s="529"/>
      <c r="D145" s="223" t="s">
        <v>99</v>
      </c>
      <c r="E145" s="219">
        <v>214412498.4300001</v>
      </c>
      <c r="F145" s="350">
        <v>72666188.329999954</v>
      </c>
      <c r="G145" s="219">
        <v>70179506.779999971</v>
      </c>
      <c r="H145" s="218">
        <v>3589538.0800000005</v>
      </c>
      <c r="I145" s="266">
        <v>765059.39</v>
      </c>
      <c r="J145" s="234">
        <v>647249.9</v>
      </c>
      <c r="K145" s="234">
        <v>0</v>
      </c>
      <c r="L145" s="234">
        <v>129371.92000000001</v>
      </c>
      <c r="M145" s="234">
        <v>441289.59</v>
      </c>
      <c r="N145" s="235">
        <v>503710.75</v>
      </c>
      <c r="O145" s="349">
        <f t="shared" si="31"/>
        <v>2486681.5499999998</v>
      </c>
      <c r="P145" s="348">
        <f>_xlfn.XLOOKUP(D145,'Overdue-1'!$D:$D,'Overdue-1'!$P:$P)</f>
        <v>14</v>
      </c>
      <c r="Q145" s="340"/>
      <c r="R145" s="233"/>
    </row>
    <row r="146" spans="2:18" s="196" customFormat="1" ht="22.15" hidden="1" customHeight="1" outlineLevel="2" x14ac:dyDescent="0.35">
      <c r="B146" s="492"/>
      <c r="C146" s="529"/>
      <c r="D146" s="223" t="s">
        <v>98</v>
      </c>
      <c r="E146" s="219">
        <v>121459172.51999998</v>
      </c>
      <c r="F146" s="350">
        <v>41261658.699999981</v>
      </c>
      <c r="G146" s="219">
        <v>40338141.430000015</v>
      </c>
      <c r="H146" s="218">
        <v>3366734.4799999991</v>
      </c>
      <c r="I146" s="266">
        <v>111010.82</v>
      </c>
      <c r="J146" s="234">
        <v>402741.49</v>
      </c>
      <c r="K146" s="234">
        <v>0</v>
      </c>
      <c r="L146" s="234">
        <v>0</v>
      </c>
      <c r="M146" s="234">
        <v>258837.68</v>
      </c>
      <c r="N146" s="235">
        <v>150927.28</v>
      </c>
      <c r="O146" s="349">
        <f t="shared" si="31"/>
        <v>923517.27</v>
      </c>
      <c r="P146" s="348">
        <f>_xlfn.XLOOKUP(D146,'Overdue-1'!$D:$D,'Overdue-1'!$P:$P)</f>
        <v>6</v>
      </c>
      <c r="Q146" s="340"/>
      <c r="R146" s="233"/>
    </row>
    <row r="147" spans="2:18" s="196" customFormat="1" ht="22.15" hidden="1" customHeight="1" outlineLevel="2" x14ac:dyDescent="0.35">
      <c r="B147" s="492"/>
      <c r="C147" s="529"/>
      <c r="D147" s="223" t="s">
        <v>97</v>
      </c>
      <c r="E147" s="219">
        <v>119708422.34</v>
      </c>
      <c r="F147" s="350">
        <v>41476719.639999978</v>
      </c>
      <c r="G147" s="219">
        <v>40014394.380000003</v>
      </c>
      <c r="H147" s="218">
        <v>5442665.450000002</v>
      </c>
      <c r="I147" s="266">
        <v>200470.26</v>
      </c>
      <c r="J147" s="234">
        <v>157044.96</v>
      </c>
      <c r="K147" s="234">
        <v>0</v>
      </c>
      <c r="L147" s="234">
        <v>0</v>
      </c>
      <c r="M147" s="234">
        <v>149467.12</v>
      </c>
      <c r="N147" s="235">
        <v>955342.92</v>
      </c>
      <c r="O147" s="349">
        <f t="shared" si="31"/>
        <v>1462325.26</v>
      </c>
      <c r="P147" s="348">
        <f>_xlfn.XLOOKUP(D147,'Overdue-1'!$D:$D,'Overdue-1'!$P:$P)</f>
        <v>6</v>
      </c>
      <c r="Q147" s="340"/>
      <c r="R147" s="233"/>
    </row>
    <row r="148" spans="2:18" s="196" customFormat="1" ht="22.15" hidden="1" customHeight="1" outlineLevel="2" x14ac:dyDescent="0.35">
      <c r="B148" s="492"/>
      <c r="C148" s="529"/>
      <c r="D148" s="223" t="s">
        <v>96</v>
      </c>
      <c r="E148" s="219">
        <v>218453650.02999997</v>
      </c>
      <c r="F148" s="350">
        <v>81423024.169999987</v>
      </c>
      <c r="G148" s="219">
        <v>78917156.61999999</v>
      </c>
      <c r="H148" s="218">
        <v>10852247.520000003</v>
      </c>
      <c r="I148" s="266">
        <v>2301.2199999999998</v>
      </c>
      <c r="J148" s="234">
        <v>930541.61</v>
      </c>
      <c r="K148" s="234">
        <v>272226.69</v>
      </c>
      <c r="L148" s="234">
        <v>74461.47</v>
      </c>
      <c r="M148" s="234">
        <v>227397.54</v>
      </c>
      <c r="N148" s="235">
        <v>998939.02</v>
      </c>
      <c r="O148" s="349">
        <f t="shared" si="31"/>
        <v>2505867.5499999998</v>
      </c>
      <c r="P148" s="348">
        <f>_xlfn.XLOOKUP(D148,'Overdue-1'!$D:$D,'Overdue-1'!$P:$P)</f>
        <v>11</v>
      </c>
      <c r="Q148" s="340"/>
      <c r="R148" s="233"/>
    </row>
    <row r="149" spans="2:18" s="196" customFormat="1" ht="22.15" hidden="1" customHeight="1" outlineLevel="2" x14ac:dyDescent="0.35">
      <c r="B149" s="492"/>
      <c r="C149" s="529"/>
      <c r="D149" s="223" t="s">
        <v>94</v>
      </c>
      <c r="E149" s="219">
        <v>207226554.46000004</v>
      </c>
      <c r="F149" s="350">
        <v>72066632.439999983</v>
      </c>
      <c r="G149" s="219">
        <v>68844865.349999979</v>
      </c>
      <c r="H149" s="218">
        <v>2920284.68</v>
      </c>
      <c r="I149" s="266">
        <v>321846.70999999996</v>
      </c>
      <c r="J149" s="234">
        <v>1601673.5</v>
      </c>
      <c r="K149" s="234">
        <v>0</v>
      </c>
      <c r="L149" s="234">
        <v>279543.19</v>
      </c>
      <c r="M149" s="234">
        <v>159881</v>
      </c>
      <c r="N149" s="235">
        <v>858822.69000000006</v>
      </c>
      <c r="O149" s="349">
        <f t="shared" si="31"/>
        <v>3221767.09</v>
      </c>
      <c r="P149" s="348">
        <f>_xlfn.XLOOKUP(D149,'Overdue-1'!$D:$D,'Overdue-1'!$P:$P)</f>
        <v>13</v>
      </c>
      <c r="Q149" s="340"/>
      <c r="R149" s="233"/>
    </row>
    <row r="150" spans="2:18" s="196" customFormat="1" ht="22.15" hidden="1" customHeight="1" outlineLevel="2" x14ac:dyDescent="0.35">
      <c r="B150" s="492"/>
      <c r="C150" s="529"/>
      <c r="D150" s="223" t="s">
        <v>93</v>
      </c>
      <c r="E150" s="219">
        <v>127611774.5</v>
      </c>
      <c r="F150" s="350">
        <v>43367893.540000014</v>
      </c>
      <c r="G150" s="219">
        <v>41894222.710000008</v>
      </c>
      <c r="H150" s="218">
        <v>5869249.4500000002</v>
      </c>
      <c r="I150" s="266">
        <v>399307.17000000004</v>
      </c>
      <c r="J150" s="234">
        <v>9094</v>
      </c>
      <c r="K150" s="234">
        <v>383422.38</v>
      </c>
      <c r="L150" s="234">
        <v>63307.51</v>
      </c>
      <c r="M150" s="234">
        <v>201593.4</v>
      </c>
      <c r="N150" s="235">
        <v>416946.37</v>
      </c>
      <c r="O150" s="349">
        <f t="shared" si="31"/>
        <v>1473670.83</v>
      </c>
      <c r="P150" s="348">
        <f>_xlfn.XLOOKUP(D150,'Overdue-1'!$D:$D,'Overdue-1'!$P:$P)</f>
        <v>9</v>
      </c>
      <c r="Q150" s="340"/>
      <c r="R150" s="233"/>
    </row>
    <row r="151" spans="2:18" s="196" customFormat="1" ht="22.15" hidden="1" customHeight="1" outlineLevel="2" x14ac:dyDescent="0.35">
      <c r="B151" s="492"/>
      <c r="C151" s="529"/>
      <c r="D151" s="223" t="s">
        <v>92</v>
      </c>
      <c r="E151" s="219">
        <v>135215901.75</v>
      </c>
      <c r="F151" s="350">
        <v>42957328.639999978</v>
      </c>
      <c r="G151" s="219">
        <v>41416507.840000018</v>
      </c>
      <c r="H151" s="218">
        <v>4993790.5300000031</v>
      </c>
      <c r="I151" s="266">
        <v>407424.83</v>
      </c>
      <c r="J151" s="234">
        <v>7275</v>
      </c>
      <c r="K151" s="234">
        <v>241869.03000000003</v>
      </c>
      <c r="L151" s="234">
        <v>146456.09</v>
      </c>
      <c r="M151" s="234">
        <v>494833.85</v>
      </c>
      <c r="N151" s="235">
        <v>242962</v>
      </c>
      <c r="O151" s="349">
        <f t="shared" si="31"/>
        <v>1540820.8</v>
      </c>
      <c r="P151" s="348">
        <f>_xlfn.XLOOKUP(D151,'Overdue-1'!$D:$D,'Overdue-1'!$P:$P)</f>
        <v>8</v>
      </c>
      <c r="Q151" s="340"/>
      <c r="R151" s="233"/>
    </row>
    <row r="152" spans="2:18" s="196" customFormat="1" ht="22.15" hidden="1" customHeight="1" outlineLevel="2" x14ac:dyDescent="0.35">
      <c r="B152" s="492"/>
      <c r="C152" s="529"/>
      <c r="D152" s="223" t="s">
        <v>91</v>
      </c>
      <c r="E152" s="219">
        <v>197632624.47</v>
      </c>
      <c r="F152" s="350">
        <v>67099207.720000058</v>
      </c>
      <c r="G152" s="219">
        <v>62357180.459999986</v>
      </c>
      <c r="H152" s="218">
        <v>8512208.2299999986</v>
      </c>
      <c r="I152" s="266">
        <v>685326.48</v>
      </c>
      <c r="J152" s="234">
        <v>1036899.1499999999</v>
      </c>
      <c r="K152" s="234">
        <v>1021417.2</v>
      </c>
      <c r="L152" s="234">
        <v>123158.44</v>
      </c>
      <c r="M152" s="234">
        <v>29796.7</v>
      </c>
      <c r="N152" s="235">
        <v>1937818.6900000002</v>
      </c>
      <c r="O152" s="349">
        <f t="shared" si="31"/>
        <v>4834416.66</v>
      </c>
      <c r="P152" s="348">
        <f>_xlfn.XLOOKUP(D152,'Overdue-1'!$D:$D,'Overdue-1'!$P:$P)</f>
        <v>21</v>
      </c>
      <c r="Q152" s="340"/>
      <c r="R152" s="233"/>
    </row>
    <row r="153" spans="2:18" s="196" customFormat="1" ht="22.15" hidden="1" customHeight="1" outlineLevel="2" x14ac:dyDescent="0.35">
      <c r="B153" s="492"/>
      <c r="C153" s="529"/>
      <c r="D153" s="223" t="s">
        <v>89</v>
      </c>
      <c r="E153" s="219">
        <v>201300176.35000002</v>
      </c>
      <c r="F153" s="350">
        <v>62684203.290000029</v>
      </c>
      <c r="G153" s="219">
        <v>58336936.729999989</v>
      </c>
      <c r="H153" s="218">
        <v>3158798.4200000004</v>
      </c>
      <c r="I153" s="266">
        <v>1844392.74</v>
      </c>
      <c r="J153" s="234">
        <v>1563531.3499999999</v>
      </c>
      <c r="K153" s="234">
        <v>224786.09</v>
      </c>
      <c r="L153" s="234">
        <v>0</v>
      </c>
      <c r="M153" s="234">
        <v>327897.62</v>
      </c>
      <c r="N153" s="235">
        <v>386658.76</v>
      </c>
      <c r="O153" s="349">
        <f t="shared" si="31"/>
        <v>4347266.5599999996</v>
      </c>
      <c r="P153" s="348">
        <f>_xlfn.XLOOKUP(D153,'Overdue-1'!$D:$D,'Overdue-1'!$P:$P)</f>
        <v>26</v>
      </c>
      <c r="Q153" s="340"/>
      <c r="R153" s="233"/>
    </row>
    <row r="154" spans="2:18" s="196" customFormat="1" ht="22.15" hidden="1" customHeight="1" outlineLevel="2" x14ac:dyDescent="0.35">
      <c r="B154" s="492"/>
      <c r="C154" s="529"/>
      <c r="D154" s="223" t="s">
        <v>88</v>
      </c>
      <c r="E154" s="219">
        <v>112257735.09000003</v>
      </c>
      <c r="F154" s="350">
        <v>36492658.950000025</v>
      </c>
      <c r="G154" s="219">
        <v>32366518.909999996</v>
      </c>
      <c r="H154" s="218">
        <v>1006992.0999999996</v>
      </c>
      <c r="I154" s="266">
        <v>1178701.2500000002</v>
      </c>
      <c r="J154" s="234">
        <v>924451.20000000007</v>
      </c>
      <c r="K154" s="234">
        <v>0</v>
      </c>
      <c r="L154" s="234">
        <v>129068.53</v>
      </c>
      <c r="M154" s="234">
        <v>1099029.42</v>
      </c>
      <c r="N154" s="235">
        <v>794889.64</v>
      </c>
      <c r="O154" s="349">
        <f t="shared" si="31"/>
        <v>4126140.04</v>
      </c>
      <c r="P154" s="348">
        <f>_xlfn.XLOOKUP(D154,'Overdue-1'!$D:$D,'Overdue-1'!$P:$P)</f>
        <v>15</v>
      </c>
      <c r="Q154" s="340"/>
      <c r="R154" s="233"/>
    </row>
    <row r="155" spans="2:18" s="196" customFormat="1" ht="22.15" hidden="1" customHeight="1" outlineLevel="2" x14ac:dyDescent="0.35">
      <c r="B155" s="492"/>
      <c r="C155" s="529"/>
      <c r="D155" s="223" t="s">
        <v>87</v>
      </c>
      <c r="E155" s="219">
        <v>114038368.36000001</v>
      </c>
      <c r="F155" s="350">
        <v>38018449.589999989</v>
      </c>
      <c r="G155" s="219">
        <v>35671626.07</v>
      </c>
      <c r="H155" s="218">
        <v>3919148.5100000012</v>
      </c>
      <c r="I155" s="266">
        <v>1788220.9800000002</v>
      </c>
      <c r="J155" s="234">
        <v>237103.21</v>
      </c>
      <c r="K155" s="234">
        <v>0</v>
      </c>
      <c r="L155" s="234">
        <v>0</v>
      </c>
      <c r="M155" s="234">
        <v>160591.88</v>
      </c>
      <c r="N155" s="235">
        <v>160907.45000000001</v>
      </c>
      <c r="O155" s="349">
        <f t="shared" si="31"/>
        <v>2346823.5200000005</v>
      </c>
      <c r="P155" s="348">
        <f>_xlfn.XLOOKUP(D155,'Overdue-1'!$D:$D,'Overdue-1'!$P:$P)</f>
        <v>12</v>
      </c>
      <c r="Q155" s="340"/>
      <c r="R155" s="233"/>
    </row>
    <row r="156" spans="2:18" s="196" customFormat="1" ht="22.15" hidden="1" customHeight="1" outlineLevel="2" x14ac:dyDescent="0.35">
      <c r="B156" s="492"/>
      <c r="C156" s="529"/>
      <c r="D156" s="223" t="s">
        <v>86</v>
      </c>
      <c r="E156" s="219">
        <v>134825410.69000003</v>
      </c>
      <c r="F156" s="350">
        <v>42108257.269999996</v>
      </c>
      <c r="G156" s="219">
        <v>39402178.100000009</v>
      </c>
      <c r="H156" s="218">
        <v>4082207.8800000008</v>
      </c>
      <c r="I156" s="266">
        <v>1482347.07</v>
      </c>
      <c r="J156" s="234">
        <v>252201.65999999997</v>
      </c>
      <c r="K156" s="234">
        <v>0</v>
      </c>
      <c r="L156" s="234">
        <v>0</v>
      </c>
      <c r="M156" s="234">
        <v>0</v>
      </c>
      <c r="N156" s="235">
        <v>971530.44</v>
      </c>
      <c r="O156" s="349">
        <f t="shared" si="31"/>
        <v>2706079.17</v>
      </c>
      <c r="P156" s="348">
        <f>_xlfn.XLOOKUP(D156,'Overdue-1'!$D:$D,'Overdue-1'!$P:$P)</f>
        <v>14</v>
      </c>
      <c r="Q156" s="340"/>
      <c r="R156" s="233"/>
    </row>
    <row r="157" spans="2:18" s="196" customFormat="1" ht="22.15" hidden="1" customHeight="1" outlineLevel="2" x14ac:dyDescent="0.35">
      <c r="B157" s="492"/>
      <c r="C157" s="529"/>
      <c r="D157" s="223" t="s">
        <v>84</v>
      </c>
      <c r="E157" s="219">
        <v>176125043.90999994</v>
      </c>
      <c r="F157" s="350">
        <v>40825980.520000026</v>
      </c>
      <c r="G157" s="219">
        <v>39231055.38000001</v>
      </c>
      <c r="H157" s="218">
        <v>2729059.36</v>
      </c>
      <c r="I157" s="266">
        <v>454687.32</v>
      </c>
      <c r="J157" s="234">
        <v>142165.37</v>
      </c>
      <c r="K157" s="234">
        <v>0</v>
      </c>
      <c r="L157" s="234">
        <v>637153.76</v>
      </c>
      <c r="M157" s="234">
        <v>251489.9</v>
      </c>
      <c r="N157" s="235">
        <v>109428.79</v>
      </c>
      <c r="O157" s="349">
        <f t="shared" si="31"/>
        <v>1594925.14</v>
      </c>
      <c r="P157" s="348">
        <f>_xlfn.XLOOKUP(D157,'Overdue-1'!$D:$D,'Overdue-1'!$P:$P)</f>
        <v>9</v>
      </c>
      <c r="Q157" s="340"/>
      <c r="R157" s="233"/>
    </row>
    <row r="158" spans="2:18" s="196" customFormat="1" ht="22.15" hidden="1" customHeight="1" outlineLevel="2" x14ac:dyDescent="0.35">
      <c r="B158" s="492"/>
      <c r="C158" s="529"/>
      <c r="D158" s="223" t="s">
        <v>83</v>
      </c>
      <c r="E158" s="219">
        <v>85991289.330000043</v>
      </c>
      <c r="F158" s="350">
        <v>21373973.089999996</v>
      </c>
      <c r="G158" s="219">
        <v>20380330.900000006</v>
      </c>
      <c r="H158" s="218">
        <v>279333.83</v>
      </c>
      <c r="I158" s="266">
        <v>580.69000000000005</v>
      </c>
      <c r="J158" s="234">
        <v>8091.69</v>
      </c>
      <c r="K158" s="234">
        <v>285176.77</v>
      </c>
      <c r="L158" s="234">
        <v>0</v>
      </c>
      <c r="M158" s="234">
        <v>699793.04</v>
      </c>
      <c r="N158" s="235">
        <v>0</v>
      </c>
      <c r="O158" s="349">
        <f t="shared" si="31"/>
        <v>993642.19000000006</v>
      </c>
      <c r="P158" s="348">
        <f>_xlfn.XLOOKUP(D158,'Overdue-1'!$D:$D,'Overdue-1'!$P:$P)</f>
        <v>4</v>
      </c>
      <c r="Q158" s="340"/>
      <c r="R158" s="233"/>
    </row>
    <row r="159" spans="2:18" s="196" customFormat="1" ht="22.15" hidden="1" customHeight="1" outlineLevel="2" x14ac:dyDescent="0.35">
      <c r="B159" s="492"/>
      <c r="C159" s="529"/>
      <c r="D159" s="223" t="s">
        <v>82</v>
      </c>
      <c r="E159" s="219">
        <v>98725716.030000031</v>
      </c>
      <c r="F159" s="350">
        <v>23074265.02999999</v>
      </c>
      <c r="G159" s="219">
        <v>22387401.060000006</v>
      </c>
      <c r="H159" s="218">
        <v>3195463.6299999994</v>
      </c>
      <c r="I159" s="266">
        <v>34846.360000000008</v>
      </c>
      <c r="J159" s="234">
        <v>0</v>
      </c>
      <c r="K159" s="234">
        <v>0</v>
      </c>
      <c r="L159" s="234">
        <v>17927.23</v>
      </c>
      <c r="M159" s="234">
        <v>634090.38</v>
      </c>
      <c r="N159" s="235">
        <v>0</v>
      </c>
      <c r="O159" s="349">
        <f t="shared" si="31"/>
        <v>686863.97</v>
      </c>
      <c r="P159" s="348">
        <f>_xlfn.XLOOKUP(D159,'Overdue-1'!$D:$D,'Overdue-1'!$P:$P)</f>
        <v>4</v>
      </c>
      <c r="Q159" s="340"/>
      <c r="R159" s="233"/>
    </row>
    <row r="160" spans="2:18" s="196" customFormat="1" ht="22.15" hidden="1" customHeight="1" outlineLevel="2" x14ac:dyDescent="0.35">
      <c r="B160" s="492"/>
      <c r="C160" s="529"/>
      <c r="D160" s="223" t="s">
        <v>81</v>
      </c>
      <c r="E160" s="219">
        <v>107966002.66999999</v>
      </c>
      <c r="F160" s="350">
        <v>27471236.640000027</v>
      </c>
      <c r="G160" s="219">
        <v>26356440.720000003</v>
      </c>
      <c r="H160" s="218">
        <v>1484391.73</v>
      </c>
      <c r="I160" s="266">
        <v>234381.88</v>
      </c>
      <c r="J160" s="234">
        <v>0</v>
      </c>
      <c r="K160" s="234">
        <v>704247.52</v>
      </c>
      <c r="L160" s="234">
        <v>0</v>
      </c>
      <c r="M160" s="234">
        <v>32500</v>
      </c>
      <c r="N160" s="235">
        <v>143666.51999999999</v>
      </c>
      <c r="O160" s="349">
        <f t="shared" si="31"/>
        <v>1114795.92</v>
      </c>
      <c r="P160" s="348">
        <f>_xlfn.XLOOKUP(D160,'Overdue-1'!$D:$D,'Overdue-1'!$P:$P)</f>
        <v>5</v>
      </c>
      <c r="Q160" s="340"/>
      <c r="R160" s="233"/>
    </row>
    <row r="161" spans="2:18" s="196" customFormat="1" ht="22.15" hidden="1" customHeight="1" outlineLevel="2" x14ac:dyDescent="0.35">
      <c r="B161" s="492"/>
      <c r="C161" s="529"/>
      <c r="D161" s="223" t="s">
        <v>79</v>
      </c>
      <c r="E161" s="219">
        <v>69342013.700000018</v>
      </c>
      <c r="F161" s="350">
        <v>8326862.5600000005</v>
      </c>
      <c r="G161" s="219">
        <v>6576308.4299999978</v>
      </c>
      <c r="H161" s="218">
        <v>47007.1</v>
      </c>
      <c r="I161" s="266">
        <v>1507057.18</v>
      </c>
      <c r="J161" s="234">
        <v>243496.95</v>
      </c>
      <c r="K161" s="234">
        <v>0</v>
      </c>
      <c r="L161" s="234">
        <v>0</v>
      </c>
      <c r="M161" s="234">
        <v>0</v>
      </c>
      <c r="N161" s="235">
        <v>0</v>
      </c>
      <c r="O161" s="349">
        <f t="shared" si="31"/>
        <v>1750554.13</v>
      </c>
      <c r="P161" s="348">
        <f>_xlfn.XLOOKUP(D161,'Overdue-1'!$D:$D,'Overdue-1'!$P:$P)</f>
        <v>11</v>
      </c>
      <c r="Q161" s="340"/>
      <c r="R161" s="233"/>
    </row>
    <row r="162" spans="2:18" s="196" customFormat="1" ht="22.15" hidden="1" customHeight="1" outlineLevel="2" x14ac:dyDescent="0.35">
      <c r="B162" s="492"/>
      <c r="C162" s="529"/>
      <c r="D162" s="223" t="s">
        <v>78</v>
      </c>
      <c r="E162" s="219">
        <v>4167594.89</v>
      </c>
      <c r="F162" s="350">
        <v>416759.49</v>
      </c>
      <c r="G162" s="219">
        <v>416759.49</v>
      </c>
      <c r="H162" s="218">
        <v>0</v>
      </c>
      <c r="I162" s="266">
        <v>0</v>
      </c>
      <c r="J162" s="234">
        <v>0</v>
      </c>
      <c r="K162" s="234">
        <v>0</v>
      </c>
      <c r="L162" s="234">
        <v>0</v>
      </c>
      <c r="M162" s="234">
        <v>0</v>
      </c>
      <c r="N162" s="235">
        <v>0</v>
      </c>
      <c r="O162" s="349">
        <f t="shared" si="31"/>
        <v>0</v>
      </c>
      <c r="P162" s="348">
        <f>_xlfn.XLOOKUP(D162,'Overdue-1'!$D:$D,'Overdue-1'!$P:$P)</f>
        <v>0</v>
      </c>
      <c r="Q162" s="340"/>
      <c r="R162" s="233"/>
    </row>
    <row r="163" spans="2:18" s="196" customFormat="1" ht="22.15" customHeight="1" outlineLevel="1" collapsed="1" x14ac:dyDescent="0.35">
      <c r="B163" s="492"/>
      <c r="C163" s="529"/>
      <c r="D163" s="221" t="s">
        <v>77</v>
      </c>
      <c r="E163" s="219">
        <f t="shared" ref="E163:P163" si="32">SUM(E164:E185)</f>
        <v>2631180043.4400001</v>
      </c>
      <c r="F163" s="350">
        <f t="shared" si="32"/>
        <v>730412781.33999932</v>
      </c>
      <c r="G163" s="219">
        <f t="shared" si="32"/>
        <v>696055803.0200001</v>
      </c>
      <c r="H163" s="218">
        <f t="shared" si="32"/>
        <v>47311001.079999998</v>
      </c>
      <c r="I163" s="266">
        <f t="shared" si="32"/>
        <v>10975924.219999999</v>
      </c>
      <c r="J163" s="234">
        <f t="shared" si="32"/>
        <v>7093936.6999999993</v>
      </c>
      <c r="K163" s="234">
        <f t="shared" si="32"/>
        <v>4341420.459999999</v>
      </c>
      <c r="L163" s="234">
        <f t="shared" si="32"/>
        <v>3272166.2499999995</v>
      </c>
      <c r="M163" s="234">
        <f t="shared" si="32"/>
        <v>2821027.67</v>
      </c>
      <c r="N163" s="235">
        <f t="shared" si="32"/>
        <v>5852503.0200000005</v>
      </c>
      <c r="O163" s="349">
        <f t="shared" si="32"/>
        <v>34356978.319999993</v>
      </c>
      <c r="P163" s="348">
        <f t="shared" si="32"/>
        <v>233</v>
      </c>
      <c r="Q163" s="340"/>
      <c r="R163" s="233"/>
    </row>
    <row r="164" spans="2:18" s="196" customFormat="1" ht="22.15" hidden="1" customHeight="1" outlineLevel="2" x14ac:dyDescent="0.35">
      <c r="B164" s="492"/>
      <c r="C164" s="529"/>
      <c r="D164" s="222" t="s">
        <v>75</v>
      </c>
      <c r="E164" s="219">
        <v>112606324.23999998</v>
      </c>
      <c r="F164" s="350">
        <v>37974444.980000004</v>
      </c>
      <c r="G164" s="219">
        <v>36373697.230000004</v>
      </c>
      <c r="H164" s="218">
        <v>2320045.87</v>
      </c>
      <c r="I164" s="266">
        <v>432288.14</v>
      </c>
      <c r="J164" s="234">
        <v>533567.19999999995</v>
      </c>
      <c r="K164" s="234">
        <v>223529.69</v>
      </c>
      <c r="L164" s="234">
        <v>138444.84</v>
      </c>
      <c r="M164" s="234">
        <v>0</v>
      </c>
      <c r="N164" s="235">
        <v>272917.88</v>
      </c>
      <c r="O164" s="349">
        <f t="shared" ref="O164:O185" si="33">SUM(I164:N164)</f>
        <v>1600747.75</v>
      </c>
      <c r="P164" s="348">
        <f>_xlfn.XLOOKUP(D164,'Overdue-1'!$D:$D,'Overdue-1'!$P:$P)</f>
        <v>12</v>
      </c>
      <c r="Q164" s="340"/>
      <c r="R164" s="233"/>
    </row>
    <row r="165" spans="2:18" s="196" customFormat="1" ht="22.15" hidden="1" customHeight="1" outlineLevel="2" x14ac:dyDescent="0.35">
      <c r="B165" s="492"/>
      <c r="C165" s="529"/>
      <c r="D165" s="222" t="s">
        <v>74</v>
      </c>
      <c r="E165" s="219">
        <v>302508355.49000013</v>
      </c>
      <c r="F165" s="350">
        <v>105636555.49999987</v>
      </c>
      <c r="G165" s="219">
        <v>100144763.56000005</v>
      </c>
      <c r="H165" s="218">
        <v>6166448.4899999993</v>
      </c>
      <c r="I165" s="266">
        <v>2312794.1799999997</v>
      </c>
      <c r="J165" s="234">
        <v>136484.14000000001</v>
      </c>
      <c r="K165" s="234">
        <v>960865.90999999992</v>
      </c>
      <c r="L165" s="234">
        <v>839442.91</v>
      </c>
      <c r="M165" s="234">
        <v>172944.46</v>
      </c>
      <c r="N165" s="235">
        <v>1069260.3400000001</v>
      </c>
      <c r="O165" s="349">
        <f t="shared" si="33"/>
        <v>5491791.9399999995</v>
      </c>
      <c r="P165" s="348">
        <f>_xlfn.XLOOKUP(D165,'Overdue-1'!$D:$D,'Overdue-1'!$P:$P)</f>
        <v>37</v>
      </c>
      <c r="Q165" s="340"/>
      <c r="R165" s="233"/>
    </row>
    <row r="166" spans="2:18" s="196" customFormat="1" ht="22.15" hidden="1" customHeight="1" outlineLevel="2" x14ac:dyDescent="0.35">
      <c r="B166" s="492"/>
      <c r="C166" s="529"/>
      <c r="D166" s="222" t="s">
        <v>73</v>
      </c>
      <c r="E166" s="219">
        <v>109349382.32999995</v>
      </c>
      <c r="F166" s="350">
        <v>34886771.150000021</v>
      </c>
      <c r="G166" s="219">
        <v>32588515.139999993</v>
      </c>
      <c r="H166" s="218">
        <v>410796.92999999988</v>
      </c>
      <c r="I166" s="266">
        <v>369265.70999999996</v>
      </c>
      <c r="J166" s="234">
        <v>896733.21</v>
      </c>
      <c r="K166" s="234">
        <v>272565.89</v>
      </c>
      <c r="L166" s="234">
        <v>334478.28000000003</v>
      </c>
      <c r="M166" s="234">
        <v>0</v>
      </c>
      <c r="N166" s="235">
        <v>425212.92</v>
      </c>
      <c r="O166" s="349">
        <f t="shared" si="33"/>
        <v>2298256.0100000002</v>
      </c>
      <c r="P166" s="348">
        <f>_xlfn.XLOOKUP(D166,'Overdue-1'!$D:$D,'Overdue-1'!$P:$P)</f>
        <v>11</v>
      </c>
      <c r="Q166" s="340"/>
      <c r="R166" s="233"/>
    </row>
    <row r="167" spans="2:18" s="196" customFormat="1" ht="22.15" hidden="1" customHeight="1" outlineLevel="2" x14ac:dyDescent="0.35">
      <c r="B167" s="492"/>
      <c r="C167" s="529"/>
      <c r="D167" s="222" t="s">
        <v>72</v>
      </c>
      <c r="E167" s="219">
        <v>7169339.9299999997</v>
      </c>
      <c r="F167" s="350">
        <v>1967334.9100000001</v>
      </c>
      <c r="G167" s="219">
        <v>1896741.7</v>
      </c>
      <c r="H167" s="218">
        <v>0</v>
      </c>
      <c r="I167" s="266">
        <v>7.0000000000000007E-2</v>
      </c>
      <c r="J167" s="234">
        <v>70593.14</v>
      </c>
      <c r="K167" s="234">
        <v>0</v>
      </c>
      <c r="L167" s="234">
        <v>0</v>
      </c>
      <c r="M167" s="234">
        <v>0</v>
      </c>
      <c r="N167" s="235">
        <v>0</v>
      </c>
      <c r="O167" s="349">
        <f t="shared" si="33"/>
        <v>70593.210000000006</v>
      </c>
      <c r="P167" s="348">
        <f>_xlfn.XLOOKUP(D167,'Overdue-1'!$D:$D,'Overdue-1'!$P:$P)</f>
        <v>1</v>
      </c>
      <c r="Q167" s="340"/>
      <c r="R167" s="233"/>
    </row>
    <row r="168" spans="2:18" s="196" customFormat="1" ht="22.15" hidden="1" customHeight="1" outlineLevel="2" x14ac:dyDescent="0.35">
      <c r="B168" s="492"/>
      <c r="C168" s="529"/>
      <c r="D168" s="222" t="s">
        <v>70</v>
      </c>
      <c r="E168" s="219">
        <v>98654797.970000014</v>
      </c>
      <c r="F168" s="350">
        <v>30439836.579999998</v>
      </c>
      <c r="G168" s="219">
        <v>27696749.899999995</v>
      </c>
      <c r="H168" s="218">
        <v>2625300.0599999996</v>
      </c>
      <c r="I168" s="266">
        <v>1069683.3399999999</v>
      </c>
      <c r="J168" s="234">
        <v>500395.56</v>
      </c>
      <c r="K168" s="234">
        <v>0</v>
      </c>
      <c r="L168" s="234">
        <v>220668.16</v>
      </c>
      <c r="M168" s="234">
        <v>0</v>
      </c>
      <c r="N168" s="235">
        <v>952339.62</v>
      </c>
      <c r="O168" s="349">
        <f t="shared" si="33"/>
        <v>2743086.6799999997</v>
      </c>
      <c r="P168" s="348">
        <f>_xlfn.XLOOKUP(D168,'Overdue-1'!$D:$D,'Overdue-1'!$P:$P)</f>
        <v>17</v>
      </c>
      <c r="Q168" s="340"/>
      <c r="R168" s="233"/>
    </row>
    <row r="169" spans="2:18" s="196" customFormat="1" ht="22.15" hidden="1" customHeight="1" outlineLevel="2" x14ac:dyDescent="0.35">
      <c r="B169" s="492"/>
      <c r="C169" s="529"/>
      <c r="D169" s="222" t="s">
        <v>69</v>
      </c>
      <c r="E169" s="219">
        <v>333473985.47999972</v>
      </c>
      <c r="F169" s="350">
        <v>119475814.84999962</v>
      </c>
      <c r="G169" s="219">
        <v>115139880.64000009</v>
      </c>
      <c r="H169" s="218">
        <v>4560908.5099999988</v>
      </c>
      <c r="I169" s="266">
        <v>715164.35000000009</v>
      </c>
      <c r="J169" s="234">
        <v>1590586.0899999999</v>
      </c>
      <c r="K169" s="234">
        <v>625213.54</v>
      </c>
      <c r="L169" s="234">
        <v>136266.29999999999</v>
      </c>
      <c r="M169" s="234">
        <v>0</v>
      </c>
      <c r="N169" s="235">
        <v>1268703.93</v>
      </c>
      <c r="O169" s="349">
        <f t="shared" si="33"/>
        <v>4335934.21</v>
      </c>
      <c r="P169" s="348">
        <f>_xlfn.XLOOKUP(D169,'Overdue-1'!$D:$D,'Overdue-1'!$P:$P)</f>
        <v>28</v>
      </c>
      <c r="Q169" s="340"/>
      <c r="R169" s="233"/>
    </row>
    <row r="170" spans="2:18" s="196" customFormat="1" ht="22.15" hidden="1" customHeight="1" outlineLevel="2" x14ac:dyDescent="0.35">
      <c r="B170" s="492"/>
      <c r="C170" s="529"/>
      <c r="D170" s="222" t="s">
        <v>68</v>
      </c>
      <c r="E170" s="219">
        <v>118950515.39999996</v>
      </c>
      <c r="F170" s="350">
        <v>41038581.800000004</v>
      </c>
      <c r="G170" s="219">
        <v>39505361.680000015</v>
      </c>
      <c r="H170" s="218">
        <v>7264257.0600000015</v>
      </c>
      <c r="I170" s="266">
        <v>993219.98999999987</v>
      </c>
      <c r="J170" s="234">
        <v>14553.35</v>
      </c>
      <c r="K170" s="234">
        <v>0</v>
      </c>
      <c r="L170" s="234">
        <v>0</v>
      </c>
      <c r="M170" s="234">
        <v>40629.130000000005</v>
      </c>
      <c r="N170" s="235">
        <v>484817.65</v>
      </c>
      <c r="O170" s="349">
        <f t="shared" si="33"/>
        <v>1533220.1199999999</v>
      </c>
      <c r="P170" s="348">
        <f>_xlfn.XLOOKUP(D170,'Overdue-1'!$D:$D,'Overdue-1'!$P:$P)</f>
        <v>11</v>
      </c>
      <c r="Q170" s="340"/>
      <c r="R170" s="233"/>
    </row>
    <row r="171" spans="2:18" s="196" customFormat="1" ht="22.15" hidden="1" customHeight="1" outlineLevel="2" x14ac:dyDescent="0.35">
      <c r="B171" s="492"/>
      <c r="C171" s="529"/>
      <c r="D171" s="222" t="s">
        <v>67</v>
      </c>
      <c r="E171" s="219">
        <v>0</v>
      </c>
      <c r="F171" s="350">
        <v>0</v>
      </c>
      <c r="G171" s="219">
        <v>0</v>
      </c>
      <c r="H171" s="218">
        <v>0</v>
      </c>
      <c r="I171" s="266">
        <v>0</v>
      </c>
      <c r="J171" s="234">
        <v>0</v>
      </c>
      <c r="K171" s="234">
        <v>0</v>
      </c>
      <c r="L171" s="234">
        <v>0</v>
      </c>
      <c r="M171" s="234">
        <v>0</v>
      </c>
      <c r="N171" s="235">
        <v>0</v>
      </c>
      <c r="O171" s="349">
        <f t="shared" si="33"/>
        <v>0</v>
      </c>
      <c r="P171" s="348">
        <f>_xlfn.XLOOKUP(D171,'Overdue-1'!$D:$D,'Overdue-1'!$P:$P)</f>
        <v>0</v>
      </c>
      <c r="Q171" s="340"/>
      <c r="R171" s="233"/>
    </row>
    <row r="172" spans="2:18" s="196" customFormat="1" ht="22.15" hidden="1" customHeight="1" outlineLevel="2" x14ac:dyDescent="0.35">
      <c r="B172" s="492"/>
      <c r="C172" s="529"/>
      <c r="D172" s="222" t="s">
        <v>65</v>
      </c>
      <c r="E172" s="219">
        <v>43066656.010000005</v>
      </c>
      <c r="F172" s="350">
        <v>9628019.339999998</v>
      </c>
      <c r="G172" s="219">
        <v>9508056.1400000006</v>
      </c>
      <c r="H172" s="218">
        <v>3265976.4800000004</v>
      </c>
      <c r="I172" s="266">
        <v>51213.86</v>
      </c>
      <c r="J172" s="234">
        <v>68749.34</v>
      </c>
      <c r="K172" s="234">
        <v>0</v>
      </c>
      <c r="L172" s="234">
        <v>0</v>
      </c>
      <c r="M172" s="234">
        <v>0</v>
      </c>
      <c r="N172" s="235">
        <v>0</v>
      </c>
      <c r="O172" s="349">
        <f t="shared" si="33"/>
        <v>119963.2</v>
      </c>
      <c r="P172" s="348">
        <f>_xlfn.XLOOKUP(D172,'Overdue-1'!$D:$D,'Overdue-1'!$P:$P)</f>
        <v>2</v>
      </c>
      <c r="Q172" s="340"/>
      <c r="R172" s="233"/>
    </row>
    <row r="173" spans="2:18" s="196" customFormat="1" ht="22.15" hidden="1" customHeight="1" outlineLevel="2" x14ac:dyDescent="0.35">
      <c r="B173" s="492"/>
      <c r="C173" s="529"/>
      <c r="D173" s="222" t="s">
        <v>64</v>
      </c>
      <c r="E173" s="219">
        <v>307742223.7100001</v>
      </c>
      <c r="F173" s="350">
        <v>85076248.469999969</v>
      </c>
      <c r="G173" s="219">
        <v>82282178.769999996</v>
      </c>
      <c r="H173" s="218">
        <v>6098937.8099999968</v>
      </c>
      <c r="I173" s="266">
        <v>133519.60999999999</v>
      </c>
      <c r="J173" s="234">
        <v>930985.40000000014</v>
      </c>
      <c r="K173" s="234">
        <v>343643.28</v>
      </c>
      <c r="L173" s="234">
        <v>800855.02</v>
      </c>
      <c r="M173" s="234">
        <v>109083.67</v>
      </c>
      <c r="N173" s="235">
        <v>475982.72</v>
      </c>
      <c r="O173" s="349">
        <f t="shared" si="33"/>
        <v>2794069.7</v>
      </c>
      <c r="P173" s="348">
        <f>_xlfn.XLOOKUP(D173,'Overdue-1'!$D:$D,'Overdue-1'!$P:$P)</f>
        <v>19</v>
      </c>
      <c r="Q173" s="340"/>
      <c r="R173" s="233"/>
    </row>
    <row r="174" spans="2:18" s="196" customFormat="1" ht="22.15" hidden="1" customHeight="1" outlineLevel="2" x14ac:dyDescent="0.35">
      <c r="B174" s="492"/>
      <c r="C174" s="529"/>
      <c r="D174" s="222" t="s">
        <v>63</v>
      </c>
      <c r="E174" s="219">
        <v>73852394.799999997</v>
      </c>
      <c r="F174" s="350">
        <v>16463257.750000004</v>
      </c>
      <c r="G174" s="219">
        <v>15852553.280000003</v>
      </c>
      <c r="H174" s="218">
        <v>1232222.76</v>
      </c>
      <c r="I174" s="266">
        <v>287757.65999999997</v>
      </c>
      <c r="J174" s="234">
        <v>0</v>
      </c>
      <c r="K174" s="234">
        <v>178299.73</v>
      </c>
      <c r="L174" s="234">
        <v>144647.07999999999</v>
      </c>
      <c r="M174" s="234">
        <v>0</v>
      </c>
      <c r="N174" s="235">
        <v>0</v>
      </c>
      <c r="O174" s="349">
        <f t="shared" si="33"/>
        <v>610704.47</v>
      </c>
      <c r="P174" s="348">
        <f>_xlfn.XLOOKUP(D174,'Overdue-1'!$D:$D,'Overdue-1'!$P:$P)</f>
        <v>4</v>
      </c>
      <c r="Q174" s="340"/>
      <c r="R174" s="233"/>
    </row>
    <row r="175" spans="2:18" s="196" customFormat="1" ht="22.15" hidden="1" customHeight="1" outlineLevel="2" x14ac:dyDescent="0.35">
      <c r="B175" s="492"/>
      <c r="C175" s="529"/>
      <c r="D175" s="222" t="s">
        <v>62</v>
      </c>
      <c r="E175" s="219">
        <v>0</v>
      </c>
      <c r="F175" s="350">
        <v>0</v>
      </c>
      <c r="G175" s="219">
        <v>0</v>
      </c>
      <c r="H175" s="218">
        <v>0</v>
      </c>
      <c r="I175" s="266">
        <v>0</v>
      </c>
      <c r="J175" s="234">
        <v>0</v>
      </c>
      <c r="K175" s="234">
        <v>0</v>
      </c>
      <c r="L175" s="234">
        <v>0</v>
      </c>
      <c r="M175" s="234">
        <v>0</v>
      </c>
      <c r="N175" s="235">
        <v>0</v>
      </c>
      <c r="O175" s="349">
        <f t="shared" si="33"/>
        <v>0</v>
      </c>
      <c r="P175" s="348">
        <f>_xlfn.XLOOKUP(D175,'Overdue-1'!$D:$D,'Overdue-1'!$P:$P)</f>
        <v>0</v>
      </c>
      <c r="Q175" s="340"/>
      <c r="R175" s="233"/>
    </row>
    <row r="176" spans="2:18" s="196" customFormat="1" ht="22.15" hidden="1" customHeight="1" outlineLevel="2" x14ac:dyDescent="0.35">
      <c r="B176" s="492"/>
      <c r="C176" s="529"/>
      <c r="D176" s="222" t="s">
        <v>60</v>
      </c>
      <c r="E176" s="219">
        <v>102178718.46000002</v>
      </c>
      <c r="F176" s="350">
        <v>24300364.609999992</v>
      </c>
      <c r="G176" s="219">
        <v>23147070.129999995</v>
      </c>
      <c r="H176" s="218">
        <v>353036.02</v>
      </c>
      <c r="I176" s="266">
        <v>214871.25</v>
      </c>
      <c r="J176" s="234">
        <v>524660.30999999994</v>
      </c>
      <c r="K176" s="234">
        <v>0</v>
      </c>
      <c r="L176" s="234">
        <v>0</v>
      </c>
      <c r="M176" s="234">
        <v>285428.09999999998</v>
      </c>
      <c r="N176" s="235">
        <v>128334.81999999999</v>
      </c>
      <c r="O176" s="349">
        <f t="shared" si="33"/>
        <v>1153294.48</v>
      </c>
      <c r="P176" s="348">
        <f>_xlfn.XLOOKUP(D176,'Overdue-1'!$D:$D,'Overdue-1'!$P:$P)</f>
        <v>11</v>
      </c>
      <c r="Q176" s="340"/>
      <c r="R176" s="233"/>
    </row>
    <row r="177" spans="2:18" s="196" customFormat="1" ht="22.15" hidden="1" customHeight="1" outlineLevel="2" x14ac:dyDescent="0.35">
      <c r="B177" s="492"/>
      <c r="C177" s="529"/>
      <c r="D177" s="222" t="s">
        <v>59</v>
      </c>
      <c r="E177" s="219">
        <v>323752706.84000003</v>
      </c>
      <c r="F177" s="350">
        <v>74770331.420000017</v>
      </c>
      <c r="G177" s="219">
        <v>69922866.560000002</v>
      </c>
      <c r="H177" s="218">
        <v>5048056.8400000008</v>
      </c>
      <c r="I177" s="266">
        <v>1857888.38</v>
      </c>
      <c r="J177" s="234">
        <v>622921.01</v>
      </c>
      <c r="K177" s="234">
        <v>224777.06</v>
      </c>
      <c r="L177" s="234">
        <v>406185.05000000005</v>
      </c>
      <c r="M177" s="234">
        <v>1191149.7200000002</v>
      </c>
      <c r="N177" s="235">
        <v>544543.64</v>
      </c>
      <c r="O177" s="349">
        <f t="shared" si="33"/>
        <v>4847464.8600000003</v>
      </c>
      <c r="P177" s="348">
        <f>_xlfn.XLOOKUP(D177,'Overdue-1'!$D:$D,'Overdue-1'!$P:$P)</f>
        <v>35</v>
      </c>
      <c r="Q177" s="340"/>
      <c r="R177" s="233"/>
    </row>
    <row r="178" spans="2:18" s="196" customFormat="1" ht="22.15" hidden="1" customHeight="1" outlineLevel="2" x14ac:dyDescent="0.35">
      <c r="B178" s="492"/>
      <c r="C178" s="529"/>
      <c r="D178" s="222" t="s">
        <v>58</v>
      </c>
      <c r="E178" s="219">
        <v>111338667.5</v>
      </c>
      <c r="F178" s="350">
        <v>24038995.709999975</v>
      </c>
      <c r="G178" s="219">
        <v>22581778.540000007</v>
      </c>
      <c r="H178" s="218">
        <v>1005545.4000000001</v>
      </c>
      <c r="I178" s="266">
        <v>586761.4</v>
      </c>
      <c r="J178" s="234">
        <v>470021.87</v>
      </c>
      <c r="K178" s="234">
        <v>170044.4</v>
      </c>
      <c r="L178" s="234">
        <v>0</v>
      </c>
      <c r="M178" s="234">
        <v>0</v>
      </c>
      <c r="N178" s="235">
        <v>230389.5</v>
      </c>
      <c r="O178" s="349">
        <f t="shared" si="33"/>
        <v>1457217.17</v>
      </c>
      <c r="P178" s="348">
        <f>_xlfn.XLOOKUP(D178,'Overdue-1'!$D:$D,'Overdue-1'!$P:$P)</f>
        <v>9</v>
      </c>
      <c r="Q178" s="340"/>
      <c r="R178" s="233"/>
    </row>
    <row r="179" spans="2:18" s="196" customFormat="1" ht="22.15" hidden="1" customHeight="1" outlineLevel="2" x14ac:dyDescent="0.35">
      <c r="B179" s="492"/>
      <c r="C179" s="529"/>
      <c r="D179" s="222" t="s">
        <v>57</v>
      </c>
      <c r="E179" s="219">
        <v>0</v>
      </c>
      <c r="F179" s="350">
        <v>0</v>
      </c>
      <c r="G179" s="219">
        <v>0</v>
      </c>
      <c r="H179" s="218">
        <v>0</v>
      </c>
      <c r="I179" s="266">
        <v>0</v>
      </c>
      <c r="J179" s="234">
        <v>0</v>
      </c>
      <c r="K179" s="234">
        <v>0</v>
      </c>
      <c r="L179" s="234">
        <v>0</v>
      </c>
      <c r="M179" s="234">
        <v>0</v>
      </c>
      <c r="N179" s="235">
        <v>0</v>
      </c>
      <c r="O179" s="349">
        <f t="shared" si="33"/>
        <v>0</v>
      </c>
      <c r="P179" s="348">
        <f>_xlfn.XLOOKUP(D179,'Overdue-1'!$D:$D,'Overdue-1'!$P:$P)</f>
        <v>0</v>
      </c>
      <c r="Q179" s="340"/>
      <c r="R179" s="233"/>
    </row>
    <row r="180" spans="2:18" s="196" customFormat="1" ht="22.15" hidden="1" customHeight="1" outlineLevel="2" x14ac:dyDescent="0.35">
      <c r="B180" s="492"/>
      <c r="C180" s="529"/>
      <c r="D180" s="222" t="s">
        <v>55</v>
      </c>
      <c r="E180" s="219">
        <v>110209124.58999997</v>
      </c>
      <c r="F180" s="350">
        <v>23758499.370000012</v>
      </c>
      <c r="G180" s="219">
        <v>22756758.549999993</v>
      </c>
      <c r="H180" s="218">
        <v>3097533.3599999989</v>
      </c>
      <c r="I180" s="266">
        <v>751770.87</v>
      </c>
      <c r="J180" s="234">
        <v>0</v>
      </c>
      <c r="K180" s="234">
        <v>1885.92</v>
      </c>
      <c r="L180" s="234">
        <v>0</v>
      </c>
      <c r="M180" s="234">
        <v>248084.03</v>
      </c>
      <c r="N180" s="235">
        <v>0</v>
      </c>
      <c r="O180" s="349">
        <f t="shared" si="33"/>
        <v>1001740.8200000001</v>
      </c>
      <c r="P180" s="348">
        <f>_xlfn.XLOOKUP(D180,'Overdue-1'!$D:$D,'Overdue-1'!$P:$P)</f>
        <v>5</v>
      </c>
      <c r="Q180" s="340"/>
      <c r="R180" s="233"/>
    </row>
    <row r="181" spans="2:18" s="196" customFormat="1" ht="22.15" hidden="1" customHeight="1" outlineLevel="2" x14ac:dyDescent="0.35">
      <c r="B181" s="492"/>
      <c r="C181" s="529"/>
      <c r="D181" s="222" t="s">
        <v>54</v>
      </c>
      <c r="E181" s="219">
        <v>318684536.71000028</v>
      </c>
      <c r="F181" s="350">
        <v>69298705.819999963</v>
      </c>
      <c r="G181" s="219">
        <v>66356771.520000033</v>
      </c>
      <c r="H181" s="218">
        <v>3000215.5600000005</v>
      </c>
      <c r="I181" s="266">
        <v>595000.15</v>
      </c>
      <c r="J181" s="234">
        <v>570016.25000000012</v>
      </c>
      <c r="K181" s="234">
        <v>1004422.99</v>
      </c>
      <c r="L181" s="234">
        <v>139920.69</v>
      </c>
      <c r="M181" s="234">
        <v>632574.22</v>
      </c>
      <c r="N181" s="235">
        <v>0</v>
      </c>
      <c r="O181" s="349">
        <f t="shared" si="33"/>
        <v>2941934.3</v>
      </c>
      <c r="P181" s="348">
        <f>_xlfn.XLOOKUP(D181,'Overdue-1'!$D:$D,'Overdue-1'!$P:$P)</f>
        <v>18</v>
      </c>
      <c r="Q181" s="340"/>
      <c r="R181" s="233"/>
    </row>
    <row r="182" spans="2:18" s="196" customFormat="1" ht="22.15" hidden="1" customHeight="1" outlineLevel="2" x14ac:dyDescent="0.35">
      <c r="B182" s="492"/>
      <c r="C182" s="529"/>
      <c r="D182" s="222" t="s">
        <v>53</v>
      </c>
      <c r="E182" s="219">
        <v>0</v>
      </c>
      <c r="F182" s="350">
        <v>0</v>
      </c>
      <c r="G182" s="219">
        <v>0</v>
      </c>
      <c r="H182" s="218">
        <v>0</v>
      </c>
      <c r="I182" s="266">
        <v>0</v>
      </c>
      <c r="J182" s="234">
        <v>0</v>
      </c>
      <c r="K182" s="234">
        <v>0</v>
      </c>
      <c r="L182" s="234">
        <v>0</v>
      </c>
      <c r="M182" s="234">
        <v>0</v>
      </c>
      <c r="N182" s="235">
        <v>0</v>
      </c>
      <c r="O182" s="349">
        <f t="shared" si="33"/>
        <v>0</v>
      </c>
      <c r="P182" s="348">
        <f>_xlfn.XLOOKUP(D182,'Overdue-1'!$D:$D,'Overdue-1'!$P:$P)</f>
        <v>0</v>
      </c>
      <c r="Q182" s="340"/>
      <c r="R182" s="233"/>
    </row>
    <row r="183" spans="2:18" s="196" customFormat="1" ht="22.15" hidden="1" customHeight="1" outlineLevel="2" x14ac:dyDescent="0.35">
      <c r="B183" s="492"/>
      <c r="C183" s="529"/>
      <c r="D183" s="222" t="s">
        <v>52</v>
      </c>
      <c r="E183" s="219">
        <v>0</v>
      </c>
      <c r="F183" s="350">
        <v>0</v>
      </c>
      <c r="G183" s="219">
        <v>0</v>
      </c>
      <c r="H183" s="218">
        <v>0</v>
      </c>
      <c r="I183" s="266">
        <v>0</v>
      </c>
      <c r="J183" s="234">
        <v>0</v>
      </c>
      <c r="K183" s="234">
        <v>0</v>
      </c>
      <c r="L183" s="234">
        <v>0</v>
      </c>
      <c r="M183" s="234">
        <v>0</v>
      </c>
      <c r="N183" s="235">
        <v>0</v>
      </c>
      <c r="O183" s="349">
        <f t="shared" si="33"/>
        <v>0</v>
      </c>
      <c r="P183" s="348">
        <f>_xlfn.XLOOKUP(D183,'Overdue-1'!$D:$D,'Overdue-1'!$P:$P)</f>
        <v>0</v>
      </c>
      <c r="Q183" s="340"/>
      <c r="R183" s="233"/>
    </row>
    <row r="184" spans="2:18" s="196" customFormat="1" ht="22.15" hidden="1" customHeight="1" outlineLevel="2" x14ac:dyDescent="0.35">
      <c r="B184" s="492"/>
      <c r="C184" s="529"/>
      <c r="D184" s="222" t="s">
        <v>50</v>
      </c>
      <c r="E184" s="219">
        <v>68528303.86999999</v>
      </c>
      <c r="F184" s="350">
        <v>13143215.820000004</v>
      </c>
      <c r="G184" s="219">
        <v>12382868.470000003</v>
      </c>
      <c r="H184" s="218">
        <v>407963.62999999995</v>
      </c>
      <c r="I184" s="266">
        <v>156183.66999999998</v>
      </c>
      <c r="J184" s="234">
        <v>163669.83000000002</v>
      </c>
      <c r="K184" s="234">
        <v>190279.99</v>
      </c>
      <c r="L184" s="234">
        <v>111257.92</v>
      </c>
      <c r="M184" s="234">
        <v>138955.94</v>
      </c>
      <c r="N184" s="235">
        <v>0</v>
      </c>
      <c r="O184" s="349">
        <f t="shared" si="33"/>
        <v>760347.35000000009</v>
      </c>
      <c r="P184" s="348">
        <f>_xlfn.XLOOKUP(D184,'Overdue-1'!$D:$D,'Overdue-1'!$P:$P)</f>
        <v>9</v>
      </c>
      <c r="Q184" s="340"/>
      <c r="R184" s="233"/>
    </row>
    <row r="185" spans="2:18" s="196" customFormat="1" ht="22.15" hidden="1" customHeight="1" outlineLevel="2" x14ac:dyDescent="0.35">
      <c r="B185" s="492"/>
      <c r="C185" s="529"/>
      <c r="D185" s="222" t="s">
        <v>49</v>
      </c>
      <c r="E185" s="219">
        <v>89114010.109999999</v>
      </c>
      <c r="F185" s="350">
        <v>18515803.25999999</v>
      </c>
      <c r="G185" s="219">
        <v>17919191.210000001</v>
      </c>
      <c r="H185" s="218">
        <v>453756.29999999993</v>
      </c>
      <c r="I185" s="266">
        <v>448541.58999999991</v>
      </c>
      <c r="J185" s="234">
        <v>0</v>
      </c>
      <c r="K185" s="234">
        <v>145892.06</v>
      </c>
      <c r="L185" s="234">
        <v>0</v>
      </c>
      <c r="M185" s="234">
        <v>2178.4</v>
      </c>
      <c r="N185" s="235">
        <v>0</v>
      </c>
      <c r="O185" s="349">
        <f t="shared" si="33"/>
        <v>596612.04999999993</v>
      </c>
      <c r="P185" s="348">
        <f>_xlfn.XLOOKUP(D185,'Overdue-1'!$D:$D,'Overdue-1'!$P:$P)</f>
        <v>4</v>
      </c>
      <c r="Q185" s="340"/>
      <c r="R185" s="233"/>
    </row>
    <row r="186" spans="2:18" s="196" customFormat="1" ht="22.15" customHeight="1" x14ac:dyDescent="0.35">
      <c r="B186" s="492"/>
      <c r="C186" s="529"/>
      <c r="D186" s="347" t="s">
        <v>243</v>
      </c>
      <c r="E186" s="346">
        <f t="shared" ref="E186:P186" si="34">SUM(E163,E128,E123)</f>
        <v>11319657679.98</v>
      </c>
      <c r="F186" s="346">
        <f t="shared" si="34"/>
        <v>3784424630.9199982</v>
      </c>
      <c r="G186" s="346">
        <f t="shared" si="34"/>
        <v>3570234105.0499992</v>
      </c>
      <c r="H186" s="345">
        <f t="shared" si="34"/>
        <v>245260215.86000007</v>
      </c>
      <c r="I186" s="344">
        <f t="shared" si="34"/>
        <v>48685826.920000002</v>
      </c>
      <c r="J186" s="343">
        <f t="shared" si="34"/>
        <v>37799750.280000001</v>
      </c>
      <c r="K186" s="343">
        <f t="shared" si="34"/>
        <v>22385624.91</v>
      </c>
      <c r="L186" s="343">
        <f t="shared" si="34"/>
        <v>18198283.68</v>
      </c>
      <c r="M186" s="343">
        <f t="shared" si="34"/>
        <v>22271530.75</v>
      </c>
      <c r="N186" s="342">
        <f t="shared" si="34"/>
        <v>64941898.730000004</v>
      </c>
      <c r="O186" s="341">
        <f t="shared" si="34"/>
        <v>214282915.26999998</v>
      </c>
      <c r="P186" s="341">
        <f t="shared" si="34"/>
        <v>867</v>
      </c>
      <c r="Q186" s="340"/>
      <c r="R186" s="233"/>
    </row>
    <row r="187" spans="2:18" s="196" customFormat="1" ht="22.15" customHeight="1" outlineLevel="1" x14ac:dyDescent="0.35">
      <c r="B187" s="492" t="s">
        <v>242</v>
      </c>
      <c r="C187" s="490" t="s">
        <v>241</v>
      </c>
      <c r="D187" s="221" t="s">
        <v>240</v>
      </c>
      <c r="E187" s="219">
        <f t="shared" ref="E187:P187" si="35">SUM(E188:E190)</f>
        <v>1000236910.3999999</v>
      </c>
      <c r="F187" s="350">
        <f t="shared" si="35"/>
        <v>278916052.25000012</v>
      </c>
      <c r="G187" s="219">
        <f t="shared" si="35"/>
        <v>262910344.92999995</v>
      </c>
      <c r="H187" s="218">
        <f t="shared" si="35"/>
        <v>28797548.059999991</v>
      </c>
      <c r="I187" s="266">
        <f t="shared" si="35"/>
        <v>8494773.5899999961</v>
      </c>
      <c r="J187" s="234">
        <f t="shared" si="35"/>
        <v>715942.72</v>
      </c>
      <c r="K187" s="234">
        <f t="shared" si="35"/>
        <v>761110.91999999993</v>
      </c>
      <c r="L187" s="234">
        <f t="shared" si="35"/>
        <v>1572009.52</v>
      </c>
      <c r="M187" s="234">
        <f t="shared" si="35"/>
        <v>1762251.8099999998</v>
      </c>
      <c r="N187" s="235">
        <f t="shared" si="35"/>
        <v>2699618.73</v>
      </c>
      <c r="O187" s="349">
        <f t="shared" si="35"/>
        <v>16005707.289999995</v>
      </c>
      <c r="P187" s="348">
        <f t="shared" si="35"/>
        <v>121</v>
      </c>
      <c r="Q187" s="340"/>
      <c r="R187" s="233"/>
    </row>
    <row r="188" spans="2:18" s="196" customFormat="1" ht="22.15" hidden="1" customHeight="1" outlineLevel="2" x14ac:dyDescent="0.35">
      <c r="B188" s="492"/>
      <c r="C188" s="490"/>
      <c r="D188" s="222" t="s">
        <v>126</v>
      </c>
      <c r="E188" s="219">
        <v>432495610.51000011</v>
      </c>
      <c r="F188" s="350">
        <v>117738816.98000003</v>
      </c>
      <c r="G188" s="219">
        <v>111460705.22999994</v>
      </c>
      <c r="H188" s="218">
        <v>17410617.129999992</v>
      </c>
      <c r="I188" s="266">
        <v>2666204.8599999985</v>
      </c>
      <c r="J188" s="234">
        <v>277945.93</v>
      </c>
      <c r="K188" s="234">
        <v>59747.16</v>
      </c>
      <c r="L188" s="234">
        <v>551531.16999999993</v>
      </c>
      <c r="M188" s="234">
        <v>948953.99999999988</v>
      </c>
      <c r="N188" s="235">
        <v>1773728.5999999999</v>
      </c>
      <c r="O188" s="349">
        <f>SUM(I188:N188)</f>
        <v>6278111.7199999979</v>
      </c>
      <c r="P188" s="348">
        <f>_xlfn.XLOOKUP(D188,'Overdue-1'!$D:$D,'Overdue-1'!$P:$P)</f>
        <v>45</v>
      </c>
      <c r="Q188" s="340"/>
      <c r="R188" s="233"/>
    </row>
    <row r="189" spans="2:18" s="196" customFormat="1" ht="22.15" hidden="1" customHeight="1" outlineLevel="2" x14ac:dyDescent="0.35">
      <c r="B189" s="492"/>
      <c r="C189" s="490"/>
      <c r="D189" s="222" t="s">
        <v>125</v>
      </c>
      <c r="E189" s="219">
        <v>301629919.64999968</v>
      </c>
      <c r="F189" s="350">
        <v>82270210.280000076</v>
      </c>
      <c r="G189" s="219">
        <v>78228180.019999981</v>
      </c>
      <c r="H189" s="218">
        <v>6266361.2000000011</v>
      </c>
      <c r="I189" s="266">
        <v>1991253.7499999998</v>
      </c>
      <c r="J189" s="234">
        <v>379214.07999999996</v>
      </c>
      <c r="K189" s="234">
        <v>507028.80999999994</v>
      </c>
      <c r="L189" s="234">
        <v>540460.55000000005</v>
      </c>
      <c r="M189" s="234">
        <v>613960.87999999989</v>
      </c>
      <c r="N189" s="235">
        <v>10112.19</v>
      </c>
      <c r="O189" s="349">
        <f>SUM(I189:N189)</f>
        <v>4042030.2599999993</v>
      </c>
      <c r="P189" s="348">
        <f>_xlfn.XLOOKUP(D189,'Overdue-1'!$D:$D,'Overdue-1'!$P:$P)</f>
        <v>32</v>
      </c>
      <c r="Q189" s="340"/>
      <c r="R189" s="233"/>
    </row>
    <row r="190" spans="2:18" s="196" customFormat="1" ht="22.15" hidden="1" customHeight="1" outlineLevel="2" x14ac:dyDescent="0.35">
      <c r="B190" s="492"/>
      <c r="C190" s="490"/>
      <c r="D190" s="222" t="s">
        <v>124</v>
      </c>
      <c r="E190" s="219">
        <v>266111380.24000001</v>
      </c>
      <c r="F190" s="350">
        <v>78907024.99000001</v>
      </c>
      <c r="G190" s="219">
        <v>73221459.680000007</v>
      </c>
      <c r="H190" s="218">
        <v>5120569.7300000014</v>
      </c>
      <c r="I190" s="266">
        <v>3837314.9799999986</v>
      </c>
      <c r="J190" s="234">
        <v>58782.71</v>
      </c>
      <c r="K190" s="234">
        <v>194334.94999999998</v>
      </c>
      <c r="L190" s="234">
        <v>480017.8</v>
      </c>
      <c r="M190" s="234">
        <v>199336.93</v>
      </c>
      <c r="N190" s="235">
        <v>915777.94000000006</v>
      </c>
      <c r="O190" s="349">
        <f>SUM(I190:N190)</f>
        <v>5685565.3099999987</v>
      </c>
      <c r="P190" s="348">
        <f>_xlfn.XLOOKUP(D190,'Overdue-1'!$D:$D,'Overdue-1'!$P:$P)</f>
        <v>44</v>
      </c>
      <c r="Q190" s="340"/>
      <c r="R190" s="233"/>
    </row>
    <row r="191" spans="2:18" s="196" customFormat="1" ht="22.15" customHeight="1" outlineLevel="1" collapsed="1" x14ac:dyDescent="0.35">
      <c r="B191" s="492"/>
      <c r="C191" s="490"/>
      <c r="D191" s="221" t="s">
        <v>46</v>
      </c>
      <c r="E191" s="219">
        <f t="shared" ref="E191:P191" si="36">SUM(E192:E195)</f>
        <v>169893891.99000001</v>
      </c>
      <c r="F191" s="350">
        <f t="shared" si="36"/>
        <v>34194183.979999989</v>
      </c>
      <c r="G191" s="219">
        <f t="shared" si="36"/>
        <v>32980287.309999995</v>
      </c>
      <c r="H191" s="218">
        <f t="shared" si="36"/>
        <v>3441448.71</v>
      </c>
      <c r="I191" s="266">
        <f t="shared" si="36"/>
        <v>856885.76000000001</v>
      </c>
      <c r="J191" s="234">
        <f t="shared" si="36"/>
        <v>131954.4</v>
      </c>
      <c r="K191" s="234">
        <f t="shared" si="36"/>
        <v>225056.51</v>
      </c>
      <c r="L191" s="234">
        <f t="shared" si="36"/>
        <v>0</v>
      </c>
      <c r="M191" s="234">
        <f t="shared" si="36"/>
        <v>0</v>
      </c>
      <c r="N191" s="235">
        <f t="shared" si="36"/>
        <v>0</v>
      </c>
      <c r="O191" s="349">
        <f t="shared" si="36"/>
        <v>1213896.6700000002</v>
      </c>
      <c r="P191" s="348">
        <f t="shared" si="36"/>
        <v>11</v>
      </c>
      <c r="Q191" s="340"/>
      <c r="R191" s="233"/>
    </row>
    <row r="192" spans="2:18" s="196" customFormat="1" ht="22.15" hidden="1" customHeight="1" outlineLevel="2" x14ac:dyDescent="0.35">
      <c r="B192" s="492"/>
      <c r="C192" s="490"/>
      <c r="D192" s="222" t="s">
        <v>45</v>
      </c>
      <c r="E192" s="219">
        <v>85143839.729999989</v>
      </c>
      <c r="F192" s="350">
        <v>17562072.729999986</v>
      </c>
      <c r="G192" s="219">
        <v>17318672.849999994</v>
      </c>
      <c r="H192" s="218">
        <v>2718916.61</v>
      </c>
      <c r="I192" s="266">
        <v>146158.43999999997</v>
      </c>
      <c r="J192" s="234">
        <v>0</v>
      </c>
      <c r="K192" s="234">
        <v>97241.44</v>
      </c>
      <c r="L192" s="234">
        <v>0</v>
      </c>
      <c r="M192" s="234">
        <v>0</v>
      </c>
      <c r="N192" s="235">
        <v>0</v>
      </c>
      <c r="O192" s="349">
        <f>SUM(I192:N192)</f>
        <v>243399.87999999998</v>
      </c>
      <c r="P192" s="348">
        <f>_xlfn.XLOOKUP(D192,'Overdue-1'!$D:$D,'Overdue-1'!$P:$P)</f>
        <v>3</v>
      </c>
      <c r="Q192" s="340"/>
      <c r="R192" s="233"/>
    </row>
    <row r="193" spans="2:18" s="196" customFormat="1" ht="22.15" hidden="1" customHeight="1" outlineLevel="2" x14ac:dyDescent="0.35">
      <c r="B193" s="492"/>
      <c r="C193" s="490"/>
      <c r="D193" s="222" t="s">
        <v>44</v>
      </c>
      <c r="E193" s="219">
        <v>0</v>
      </c>
      <c r="F193" s="350">
        <v>0</v>
      </c>
      <c r="G193" s="219">
        <v>0</v>
      </c>
      <c r="H193" s="218">
        <v>0</v>
      </c>
      <c r="I193" s="266">
        <v>0</v>
      </c>
      <c r="J193" s="234">
        <v>0</v>
      </c>
      <c r="K193" s="234">
        <v>0</v>
      </c>
      <c r="L193" s="234">
        <v>0</v>
      </c>
      <c r="M193" s="234">
        <v>0</v>
      </c>
      <c r="N193" s="235">
        <v>0</v>
      </c>
      <c r="O193" s="349">
        <f>SUM(I193:N193)</f>
        <v>0</v>
      </c>
      <c r="P193" s="348">
        <f>_xlfn.XLOOKUP(D193,'Overdue-1'!$D:$D,'Overdue-1'!$P:$P)</f>
        <v>0</v>
      </c>
      <c r="Q193" s="340"/>
      <c r="R193" s="233"/>
    </row>
    <row r="194" spans="2:18" s="196" customFormat="1" ht="22.15" hidden="1" customHeight="1" outlineLevel="2" x14ac:dyDescent="0.35">
      <c r="B194" s="492"/>
      <c r="C194" s="490"/>
      <c r="D194" s="222" t="s">
        <v>43</v>
      </c>
      <c r="E194" s="219">
        <v>46691549.93</v>
      </c>
      <c r="F194" s="350">
        <v>9606307.1000000015</v>
      </c>
      <c r="G194" s="219">
        <v>8963610.4699999969</v>
      </c>
      <c r="H194" s="218">
        <v>381877.16999999993</v>
      </c>
      <c r="I194" s="266">
        <v>514881.56000000006</v>
      </c>
      <c r="J194" s="234">
        <v>0</v>
      </c>
      <c r="K194" s="234">
        <v>127815.07</v>
      </c>
      <c r="L194" s="234">
        <v>0</v>
      </c>
      <c r="M194" s="234">
        <v>0</v>
      </c>
      <c r="N194" s="235">
        <v>0</v>
      </c>
      <c r="O194" s="349">
        <f>SUM(I194:N194)</f>
        <v>642696.63000000012</v>
      </c>
      <c r="P194" s="348">
        <f>_xlfn.XLOOKUP(D194,'Overdue-1'!$D:$D,'Overdue-1'!$P:$P)</f>
        <v>5</v>
      </c>
      <c r="Q194" s="340"/>
      <c r="R194" s="233"/>
    </row>
    <row r="195" spans="2:18" s="196" customFormat="1" ht="22.15" hidden="1" customHeight="1" outlineLevel="2" x14ac:dyDescent="0.35">
      <c r="B195" s="492"/>
      <c r="C195" s="490"/>
      <c r="D195" s="222" t="s">
        <v>42</v>
      </c>
      <c r="E195" s="219">
        <v>38058502.330000006</v>
      </c>
      <c r="F195" s="350">
        <v>7025804.1499999994</v>
      </c>
      <c r="G195" s="219">
        <v>6698003.9900000012</v>
      </c>
      <c r="H195" s="218">
        <v>340654.93</v>
      </c>
      <c r="I195" s="266">
        <v>195845.76000000001</v>
      </c>
      <c r="J195" s="234">
        <v>131954.4</v>
      </c>
      <c r="K195" s="234">
        <v>0</v>
      </c>
      <c r="L195" s="234">
        <v>0</v>
      </c>
      <c r="M195" s="234">
        <v>0</v>
      </c>
      <c r="N195" s="235">
        <v>0</v>
      </c>
      <c r="O195" s="349">
        <f>SUM(I195:N195)</f>
        <v>327800.16000000003</v>
      </c>
      <c r="P195" s="348">
        <f>_xlfn.XLOOKUP(D195,'Overdue-1'!$D:$D,'Overdue-1'!$P:$P)</f>
        <v>3</v>
      </c>
      <c r="Q195" s="340"/>
      <c r="R195" s="233"/>
    </row>
    <row r="196" spans="2:18" s="196" customFormat="1" ht="22.15" customHeight="1" x14ac:dyDescent="0.35">
      <c r="B196" s="493"/>
      <c r="C196" s="531"/>
      <c r="D196" s="347" t="s">
        <v>239</v>
      </c>
      <c r="E196" s="346">
        <f t="shared" ref="E196:P196" si="37">SUM(E191,E187)</f>
        <v>1170130802.3899999</v>
      </c>
      <c r="F196" s="346">
        <f t="shared" si="37"/>
        <v>313110236.23000014</v>
      </c>
      <c r="G196" s="346">
        <f t="shared" si="37"/>
        <v>295890632.23999995</v>
      </c>
      <c r="H196" s="345">
        <f t="shared" si="37"/>
        <v>32238996.769999992</v>
      </c>
      <c r="I196" s="344">
        <f t="shared" si="37"/>
        <v>9351659.3499999959</v>
      </c>
      <c r="J196" s="343">
        <f t="shared" si="37"/>
        <v>847897.12</v>
      </c>
      <c r="K196" s="343">
        <f t="shared" si="37"/>
        <v>986167.42999999993</v>
      </c>
      <c r="L196" s="343">
        <f t="shared" si="37"/>
        <v>1572009.52</v>
      </c>
      <c r="M196" s="343">
        <f t="shared" si="37"/>
        <v>1762251.8099999998</v>
      </c>
      <c r="N196" s="342">
        <f t="shared" si="37"/>
        <v>2699618.73</v>
      </c>
      <c r="O196" s="341">
        <f t="shared" si="37"/>
        <v>17219603.959999997</v>
      </c>
      <c r="P196" s="341">
        <f t="shared" si="37"/>
        <v>132</v>
      </c>
      <c r="Q196" s="340"/>
      <c r="R196" s="233"/>
    </row>
    <row r="197" spans="2:18" s="196" customFormat="1" ht="22.15" customHeight="1" outlineLevel="1" x14ac:dyDescent="0.35">
      <c r="B197" s="492" t="s">
        <v>238</v>
      </c>
      <c r="C197" s="490" t="s">
        <v>237</v>
      </c>
      <c r="D197" s="221" t="s">
        <v>32</v>
      </c>
      <c r="E197" s="219">
        <f t="shared" ref="E197:P197" si="38">SUM(E198:E200)</f>
        <v>603661803.08999979</v>
      </c>
      <c r="F197" s="350">
        <f t="shared" si="38"/>
        <v>84138755.400000006</v>
      </c>
      <c r="G197" s="219">
        <f t="shared" si="38"/>
        <v>31913755.829999994</v>
      </c>
      <c r="H197" s="218">
        <f t="shared" si="38"/>
        <v>1306157.04</v>
      </c>
      <c r="I197" s="266">
        <f t="shared" si="38"/>
        <v>52224999.569999978</v>
      </c>
      <c r="J197" s="234">
        <f t="shared" si="38"/>
        <v>0</v>
      </c>
      <c r="K197" s="234">
        <f t="shared" si="38"/>
        <v>0</v>
      </c>
      <c r="L197" s="234">
        <f t="shared" si="38"/>
        <v>0</v>
      </c>
      <c r="M197" s="234">
        <f t="shared" si="38"/>
        <v>0</v>
      </c>
      <c r="N197" s="235">
        <f t="shared" si="38"/>
        <v>0</v>
      </c>
      <c r="O197" s="349">
        <f t="shared" si="38"/>
        <v>52224999.569999978</v>
      </c>
      <c r="P197" s="348">
        <f t="shared" si="38"/>
        <v>247</v>
      </c>
      <c r="Q197" s="340"/>
      <c r="R197" s="233"/>
    </row>
    <row r="198" spans="2:18" s="196" customFormat="1" ht="22.15" hidden="1" customHeight="1" outlineLevel="2" x14ac:dyDescent="0.35">
      <c r="B198" s="492"/>
      <c r="C198" s="490"/>
      <c r="D198" s="222" t="s">
        <v>31</v>
      </c>
      <c r="E198" s="219">
        <v>260682085.55999997</v>
      </c>
      <c r="F198" s="350">
        <v>36644605.539999999</v>
      </c>
      <c r="G198" s="219">
        <v>13984786.189999998</v>
      </c>
      <c r="H198" s="218">
        <v>736888.9800000001</v>
      </c>
      <c r="I198" s="266">
        <v>22659819.349999987</v>
      </c>
      <c r="J198" s="234">
        <v>0</v>
      </c>
      <c r="K198" s="234">
        <v>0</v>
      </c>
      <c r="L198" s="234">
        <v>0</v>
      </c>
      <c r="M198" s="234">
        <v>0</v>
      </c>
      <c r="N198" s="235">
        <v>0</v>
      </c>
      <c r="O198" s="349">
        <f>SUM(I198:N198)</f>
        <v>22659819.349999987</v>
      </c>
      <c r="P198" s="348">
        <f>_xlfn.XLOOKUP(D198,'Overdue-1'!$D:$D,'Overdue-1'!$P:$P)</f>
        <v>106</v>
      </c>
      <c r="Q198" s="340"/>
      <c r="R198" s="233"/>
    </row>
    <row r="199" spans="2:18" s="196" customFormat="1" ht="22.15" hidden="1" customHeight="1" outlineLevel="2" x14ac:dyDescent="0.35">
      <c r="B199" s="492"/>
      <c r="C199" s="490"/>
      <c r="D199" s="222" t="s">
        <v>30</v>
      </c>
      <c r="E199" s="219">
        <v>217336656.76999989</v>
      </c>
      <c r="F199" s="350">
        <v>31188493.250000011</v>
      </c>
      <c r="G199" s="219">
        <v>14741408.739999998</v>
      </c>
      <c r="H199" s="218">
        <v>459695.71999999991</v>
      </c>
      <c r="I199" s="266">
        <v>16447084.50999999</v>
      </c>
      <c r="J199" s="234">
        <v>0</v>
      </c>
      <c r="K199" s="234">
        <v>0</v>
      </c>
      <c r="L199" s="234">
        <v>0</v>
      </c>
      <c r="M199" s="234">
        <v>0</v>
      </c>
      <c r="N199" s="235">
        <v>0</v>
      </c>
      <c r="O199" s="349">
        <f>SUM(I199:N199)</f>
        <v>16447084.50999999</v>
      </c>
      <c r="P199" s="348">
        <f>_xlfn.XLOOKUP(D199,'Overdue-1'!$D:$D,'Overdue-1'!$P:$P)</f>
        <v>79</v>
      </c>
      <c r="Q199" s="340"/>
      <c r="R199" s="233"/>
    </row>
    <row r="200" spans="2:18" s="196" customFormat="1" ht="22.15" hidden="1" customHeight="1" outlineLevel="2" x14ac:dyDescent="0.35">
      <c r="B200" s="492"/>
      <c r="C200" s="490"/>
      <c r="D200" s="222" t="s">
        <v>29</v>
      </c>
      <c r="E200" s="219">
        <v>125643060.75999998</v>
      </c>
      <c r="F200" s="350">
        <v>16305656.610000007</v>
      </c>
      <c r="G200" s="219">
        <v>3187560.9</v>
      </c>
      <c r="H200" s="218">
        <v>109572.34</v>
      </c>
      <c r="I200" s="266">
        <v>13118095.710000001</v>
      </c>
      <c r="J200" s="234">
        <v>0</v>
      </c>
      <c r="K200" s="234">
        <v>0</v>
      </c>
      <c r="L200" s="234">
        <v>0</v>
      </c>
      <c r="M200" s="234">
        <v>0</v>
      </c>
      <c r="N200" s="235">
        <v>0</v>
      </c>
      <c r="O200" s="349">
        <f>SUM(I200:N200)</f>
        <v>13118095.710000001</v>
      </c>
      <c r="P200" s="348">
        <f>_xlfn.XLOOKUP(D200,'Overdue-1'!$D:$D,'Overdue-1'!$P:$P)</f>
        <v>62</v>
      </c>
      <c r="Q200" s="340"/>
      <c r="R200" s="233"/>
    </row>
    <row r="201" spans="2:18" s="196" customFormat="1" ht="22.15" customHeight="1" outlineLevel="1" collapsed="1" x14ac:dyDescent="0.35">
      <c r="B201" s="492"/>
      <c r="C201" s="490"/>
      <c r="D201" s="221" t="s">
        <v>28</v>
      </c>
      <c r="E201" s="219">
        <v>230752586.9199999</v>
      </c>
      <c r="F201" s="350">
        <v>31239338.439999994</v>
      </c>
      <c r="G201" s="219">
        <v>15079433.340000004</v>
      </c>
      <c r="H201" s="218">
        <v>1142253.1499999999</v>
      </c>
      <c r="I201" s="266">
        <v>16159905.100000001</v>
      </c>
      <c r="J201" s="234">
        <v>0</v>
      </c>
      <c r="K201" s="234">
        <v>0</v>
      </c>
      <c r="L201" s="234">
        <v>0</v>
      </c>
      <c r="M201" s="234">
        <v>0</v>
      </c>
      <c r="N201" s="235">
        <v>0</v>
      </c>
      <c r="O201" s="349">
        <f>SUM(I201:N201)</f>
        <v>16159905.100000001</v>
      </c>
      <c r="P201" s="348">
        <f>_xlfn.XLOOKUP(D201,'Overdue-1'!$D:$D,'Overdue-1'!$P:$P)</f>
        <v>28</v>
      </c>
      <c r="Q201" s="340"/>
      <c r="R201" s="233"/>
    </row>
    <row r="202" spans="2:18" s="196" customFormat="1" ht="22.15" customHeight="1" outlineLevel="1" x14ac:dyDescent="0.35">
      <c r="B202" s="492"/>
      <c r="C202" s="490"/>
      <c r="D202" s="221" t="s">
        <v>27</v>
      </c>
      <c r="E202" s="219">
        <v>157448458.45999998</v>
      </c>
      <c r="F202" s="350">
        <v>18031500.77</v>
      </c>
      <c r="G202" s="219">
        <v>6411356.21</v>
      </c>
      <c r="H202" s="218">
        <v>1.79</v>
      </c>
      <c r="I202" s="266">
        <v>11620144.559999999</v>
      </c>
      <c r="J202" s="234">
        <v>0</v>
      </c>
      <c r="K202" s="234">
        <v>0</v>
      </c>
      <c r="L202" s="234">
        <v>0</v>
      </c>
      <c r="M202" s="234">
        <v>0</v>
      </c>
      <c r="N202" s="235">
        <v>0</v>
      </c>
      <c r="O202" s="349">
        <f>SUM(I202:N202)</f>
        <v>11620144.559999999</v>
      </c>
      <c r="P202" s="348">
        <f>_xlfn.XLOOKUP(D202,'Overdue-1'!$D:$D,'Overdue-1'!$P:$P)</f>
        <v>11</v>
      </c>
      <c r="Q202" s="340"/>
      <c r="R202" s="233"/>
    </row>
    <row r="203" spans="2:18" s="196" customFormat="1" ht="22.15" customHeight="1" x14ac:dyDescent="0.35">
      <c r="B203" s="493"/>
      <c r="C203" s="531"/>
      <c r="D203" s="347" t="s">
        <v>236</v>
      </c>
      <c r="E203" s="346">
        <f t="shared" ref="E203:P203" si="39">SUM(E202,E201,E197)</f>
        <v>991862848.46999967</v>
      </c>
      <c r="F203" s="346">
        <f t="shared" si="39"/>
        <v>133409594.61</v>
      </c>
      <c r="G203" s="346">
        <f t="shared" si="39"/>
        <v>53404545.379999995</v>
      </c>
      <c r="H203" s="345">
        <f t="shared" si="39"/>
        <v>2448411.98</v>
      </c>
      <c r="I203" s="344">
        <f t="shared" si="39"/>
        <v>80005049.229999974</v>
      </c>
      <c r="J203" s="343">
        <f t="shared" si="39"/>
        <v>0</v>
      </c>
      <c r="K203" s="343">
        <f t="shared" si="39"/>
        <v>0</v>
      </c>
      <c r="L203" s="343">
        <f t="shared" si="39"/>
        <v>0</v>
      </c>
      <c r="M203" s="343">
        <f t="shared" si="39"/>
        <v>0</v>
      </c>
      <c r="N203" s="342">
        <f t="shared" si="39"/>
        <v>0</v>
      </c>
      <c r="O203" s="341">
        <f t="shared" si="39"/>
        <v>80005049.229999974</v>
      </c>
      <c r="P203" s="341">
        <f t="shared" si="39"/>
        <v>286</v>
      </c>
      <c r="Q203" s="340"/>
      <c r="R203" s="233"/>
    </row>
    <row r="204" spans="2:18" s="196" customFormat="1" ht="22.15" customHeight="1" thickBot="1" x14ac:dyDescent="0.4">
      <c r="B204" s="532" t="s">
        <v>235</v>
      </c>
      <c r="C204" s="533"/>
      <c r="D204" s="339" t="s">
        <v>15</v>
      </c>
      <c r="E204" s="338">
        <f t="shared" ref="E204:P204" si="40">SUM(E203,E186,E121,E108,E75,E41,E116,E196)</f>
        <v>88269028878.389999</v>
      </c>
      <c r="F204" s="338">
        <f t="shared" si="40"/>
        <v>44267101675.689972</v>
      </c>
      <c r="G204" s="338">
        <f t="shared" si="40"/>
        <v>42373359105.719994</v>
      </c>
      <c r="H204" s="337">
        <f t="shared" si="40"/>
        <v>2800855788.4400001</v>
      </c>
      <c r="I204" s="336">
        <f t="shared" si="40"/>
        <v>403646834.55000001</v>
      </c>
      <c r="J204" s="335">
        <f t="shared" si="40"/>
        <v>304641440.33999997</v>
      </c>
      <c r="K204" s="335">
        <f t="shared" si="40"/>
        <v>106755150.14000002</v>
      </c>
      <c r="L204" s="335">
        <f t="shared" si="40"/>
        <v>86016527.5</v>
      </c>
      <c r="M204" s="335">
        <f t="shared" si="40"/>
        <v>100431293.20000002</v>
      </c>
      <c r="N204" s="334">
        <f t="shared" si="40"/>
        <v>892288637.4799999</v>
      </c>
      <c r="O204" s="333">
        <f t="shared" si="40"/>
        <v>1893779883.21</v>
      </c>
      <c r="P204" s="333">
        <f t="shared" si="40"/>
        <v>5189</v>
      </c>
      <c r="Q204" s="332"/>
      <c r="R204" s="233"/>
    </row>
    <row r="206" spans="2:18" x14ac:dyDescent="0.35">
      <c r="E206" s="196" cm="1">
        <f t="array" ref="E206:H206">'Overdue-1'!E204:H204</f>
        <v>88269028878.389999</v>
      </c>
      <c r="F206" s="196">
        <v>44267101675.689972</v>
      </c>
      <c r="G206" s="196">
        <v>42373359105.719994</v>
      </c>
      <c r="H206" s="196">
        <v>2800855788.4400001</v>
      </c>
      <c r="O206" s="196">
        <f>'Overdue-1'!O204</f>
        <v>1893779883.2100003</v>
      </c>
      <c r="P206" s="196">
        <f>'Overdue-1'!P204</f>
        <v>5189</v>
      </c>
    </row>
    <row r="207" spans="2:18" x14ac:dyDescent="0.35">
      <c r="E207" s="196" t="b">
        <f>E206=E204</f>
        <v>1</v>
      </c>
      <c r="F207" s="196" t="b">
        <f>F206=F204</f>
        <v>1</v>
      </c>
      <c r="G207" s="196" t="b">
        <f>G206=G204</f>
        <v>1</v>
      </c>
      <c r="H207" s="196" t="b">
        <f>H206=H204</f>
        <v>1</v>
      </c>
      <c r="O207" s="196" t="b">
        <f>O206=O204</f>
        <v>1</v>
      </c>
      <c r="P207" s="196" t="b">
        <f>P206=P204</f>
        <v>1</v>
      </c>
    </row>
  </sheetData>
  <mergeCells count="23">
    <mergeCell ref="B187:B196"/>
    <mergeCell ref="C187:C196"/>
    <mergeCell ref="B197:B203"/>
    <mergeCell ref="C197:C203"/>
    <mergeCell ref="B204:C204"/>
    <mergeCell ref="I5:P6"/>
    <mergeCell ref="C122:C186"/>
    <mergeCell ref="B8:B41"/>
    <mergeCell ref="C8:C41"/>
    <mergeCell ref="B43:B75"/>
    <mergeCell ref="C43:C75"/>
    <mergeCell ref="B76:B108"/>
    <mergeCell ref="C76:C108"/>
    <mergeCell ref="B109:B116"/>
    <mergeCell ref="C109:C116"/>
    <mergeCell ref="B117:B121"/>
    <mergeCell ref="C117:C121"/>
    <mergeCell ref="B122:B186"/>
    <mergeCell ref="B5:C6"/>
    <mergeCell ref="D5:D6"/>
    <mergeCell ref="E5:E6"/>
    <mergeCell ref="F5:F6"/>
    <mergeCell ref="G5:H6"/>
  </mergeCells>
  <pageMargins left="0.70866141732283505" right="0.70866141732283505" top="1.4980314960000001" bottom="0.74803149606299202" header="0.31496062992126" footer="0.31496062992126"/>
  <pageSetup paperSize="8" scale="50" orientation="landscape" r:id="rId1"/>
  <headerFooter alignWithMargins="0">
    <oddHeader>&amp;L&amp;12SOBHA LLC&amp;C&amp;"Tahoma,Regular"&amp;12
&amp;13
OVERDUE AGEING _ Age calc. from first date of Deliquency&amp;R&amp;12&amp;D</oddHeader>
    <oddFooter>&amp;L&amp;12COLLECTIONS&amp;R&amp;12&amp;P/&amp;N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0F77-9620-42F0-82DE-0D57C93EA4A5}">
  <sheetPr>
    <pageSetUpPr fitToPage="1"/>
  </sheetPr>
  <dimension ref="B2:M206"/>
  <sheetViews>
    <sheetView view="pageBreakPreview" topLeftCell="A48" zoomScale="55" zoomScaleNormal="100" zoomScaleSheetLayoutView="55" workbookViewId="0"/>
  </sheetViews>
  <sheetFormatPr defaultRowHeight="14.5" outlineLevelRow="2" x14ac:dyDescent="0.35"/>
  <cols>
    <col min="2" max="2" width="28.453125" bestFit="1" customWidth="1"/>
    <col min="3" max="3" width="6" bestFit="1" customWidth="1"/>
    <col min="4" max="4" width="39.7265625" customWidth="1"/>
    <col min="5" max="5" width="15.7265625" customWidth="1"/>
    <col min="6" max="6" width="22.81640625" bestFit="1" customWidth="1"/>
    <col min="7" max="7" width="21.453125" bestFit="1" customWidth="1"/>
    <col min="8" max="8" width="19.7265625" bestFit="1" customWidth="1"/>
    <col min="9" max="9" width="25.54296875" customWidth="1"/>
    <col min="10" max="10" width="27.26953125" bestFit="1" customWidth="1"/>
    <col min="11" max="11" width="7" bestFit="1" customWidth="1"/>
    <col min="12" max="12" width="6.26953125" bestFit="1" customWidth="1"/>
    <col min="13" max="13" width="15.7265625" bestFit="1" customWidth="1"/>
  </cols>
  <sheetData>
    <row r="2" spans="2:13" x14ac:dyDescent="0.35">
      <c r="M2" s="196">
        <v>402602882.31999856</v>
      </c>
    </row>
    <row r="3" spans="2:13" x14ac:dyDescent="0.35">
      <c r="B3" s="288">
        <v>46143</v>
      </c>
      <c r="C3" t="s">
        <v>268</v>
      </c>
    </row>
    <row r="4" spans="2:13" ht="15" thickBot="1" x14ac:dyDescent="0.4"/>
    <row r="5" spans="2:13" x14ac:dyDescent="0.35">
      <c r="B5" s="510" t="s">
        <v>276</v>
      </c>
      <c r="C5" s="541"/>
      <c r="D5" s="543" t="s">
        <v>275</v>
      </c>
      <c r="E5" s="534" t="s">
        <v>281</v>
      </c>
      <c r="F5" s="536" t="s">
        <v>280</v>
      </c>
      <c r="G5" s="534" t="s">
        <v>274</v>
      </c>
      <c r="H5" s="516" t="s">
        <v>273</v>
      </c>
      <c r="I5" s="539" t="s">
        <v>288</v>
      </c>
      <c r="J5" s="387" t="s">
        <v>279</v>
      </c>
    </row>
    <row r="6" spans="2:13" x14ac:dyDescent="0.35">
      <c r="B6" s="512"/>
      <c r="C6" s="542"/>
      <c r="D6" s="544"/>
      <c r="E6" s="535"/>
      <c r="F6" s="537"/>
      <c r="G6" s="535"/>
      <c r="H6" s="538"/>
      <c r="I6" s="540"/>
      <c r="J6" s="386"/>
    </row>
    <row r="7" spans="2:13" outlineLevel="1" x14ac:dyDescent="0.35">
      <c r="B7" s="502" t="s">
        <v>261</v>
      </c>
      <c r="C7" s="489" t="s">
        <v>260</v>
      </c>
      <c r="D7" s="272"/>
      <c r="E7" s="219"/>
      <c r="F7" s="219"/>
      <c r="G7" s="219"/>
      <c r="H7" s="219"/>
      <c r="I7" s="219"/>
      <c r="J7" s="385"/>
    </row>
    <row r="8" spans="2:13" outlineLevel="1" x14ac:dyDescent="0.35">
      <c r="B8" s="503"/>
      <c r="C8" s="490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85">
        <f t="shared" si="0"/>
        <v>0</v>
      </c>
      <c r="K8" t="s">
        <v>277</v>
      </c>
      <c r="L8">
        <v>1500</v>
      </c>
    </row>
    <row r="9" spans="2:13" hidden="1" outlineLevel="2" x14ac:dyDescent="0.35">
      <c r="B9" s="503"/>
      <c r="C9" s="490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85">
        <v>0</v>
      </c>
    </row>
    <row r="10" spans="2:13" hidden="1" outlineLevel="2" x14ac:dyDescent="0.35">
      <c r="B10" s="503"/>
      <c r="C10" s="490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85">
        <v>0</v>
      </c>
    </row>
    <row r="11" spans="2:13" hidden="1" outlineLevel="2" x14ac:dyDescent="0.35">
      <c r="B11" s="503"/>
      <c r="C11" s="490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85">
        <v>0</v>
      </c>
    </row>
    <row r="12" spans="2:13" hidden="1" outlineLevel="2" x14ac:dyDescent="0.35">
      <c r="B12" s="503"/>
      <c r="C12" s="490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85">
        <v>0</v>
      </c>
    </row>
    <row r="13" spans="2:13" hidden="1" outlineLevel="2" x14ac:dyDescent="0.35">
      <c r="B13" s="503"/>
      <c r="C13" s="490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85">
        <v>0</v>
      </c>
    </row>
    <row r="14" spans="2:13" hidden="1" outlineLevel="2" x14ac:dyDescent="0.35">
      <c r="B14" s="503"/>
      <c r="C14" s="490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85">
        <v>0</v>
      </c>
    </row>
    <row r="15" spans="2:13" outlineLevel="1" collapsed="1" x14ac:dyDescent="0.35">
      <c r="B15" s="503"/>
      <c r="C15" s="490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85">
        <v>0</v>
      </c>
    </row>
    <row r="16" spans="2:13" outlineLevel="1" x14ac:dyDescent="0.35">
      <c r="B16" s="503"/>
      <c r="C16" s="490"/>
      <c r="D16" s="236" t="s">
        <v>211</v>
      </c>
      <c r="E16" s="219">
        <f t="shared" ref="E16:J16" si="1">SUM(E17:E21)</f>
        <v>1</v>
      </c>
      <c r="F16" s="219">
        <f t="shared" si="1"/>
        <v>1</v>
      </c>
      <c r="G16" s="219">
        <f t="shared" si="1"/>
        <v>17919096.5</v>
      </c>
      <c r="H16" s="219">
        <f t="shared" si="1"/>
        <v>17919096</v>
      </c>
      <c r="I16" s="219">
        <f t="shared" si="1"/>
        <v>15046608.609999999</v>
      </c>
      <c r="J16" s="385">
        <f t="shared" si="1"/>
        <v>2872487.39</v>
      </c>
    </row>
    <row r="17" spans="2:10" hidden="1" outlineLevel="2" x14ac:dyDescent="0.35">
      <c r="B17" s="503"/>
      <c r="C17" s="490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85">
        <v>0</v>
      </c>
    </row>
    <row r="18" spans="2:10" hidden="1" outlineLevel="2" x14ac:dyDescent="0.35">
      <c r="B18" s="503"/>
      <c r="C18" s="490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85">
        <v>0</v>
      </c>
    </row>
    <row r="19" spans="2:10" hidden="1" outlineLevel="2" x14ac:dyDescent="0.35">
      <c r="B19" s="503"/>
      <c r="C19" s="490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85">
        <v>0</v>
      </c>
    </row>
    <row r="20" spans="2:10" hidden="1" outlineLevel="2" x14ac:dyDescent="0.35">
      <c r="B20" s="503"/>
      <c r="C20" s="490"/>
      <c r="D20" s="242" t="s">
        <v>208</v>
      </c>
      <c r="E20" s="219">
        <v>1</v>
      </c>
      <c r="F20" s="219">
        <v>1</v>
      </c>
      <c r="G20" s="219">
        <v>17919096.5</v>
      </c>
      <c r="H20" s="219">
        <v>17919096</v>
      </c>
      <c r="I20" s="219">
        <v>15046608.609999999</v>
      </c>
      <c r="J20" s="385">
        <v>2872487.39</v>
      </c>
    </row>
    <row r="21" spans="2:10" hidden="1" outlineLevel="2" x14ac:dyDescent="0.35">
      <c r="B21" s="503"/>
      <c r="C21" s="490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85">
        <v>0</v>
      </c>
    </row>
    <row r="22" spans="2:10" outlineLevel="1" collapsed="1" x14ac:dyDescent="0.35">
      <c r="B22" s="503"/>
      <c r="C22" s="490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85">
        <f t="shared" si="2"/>
        <v>0</v>
      </c>
    </row>
    <row r="23" spans="2:10" hidden="1" outlineLevel="2" x14ac:dyDescent="0.35">
      <c r="B23" s="503"/>
      <c r="C23" s="490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01">
        <v>0</v>
      </c>
    </row>
    <row r="24" spans="2:10" hidden="1" outlineLevel="2" x14ac:dyDescent="0.35">
      <c r="B24" s="503"/>
      <c r="C24" s="490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01">
        <v>0</v>
      </c>
    </row>
    <row r="25" spans="2:10" hidden="1" outlineLevel="2" x14ac:dyDescent="0.35">
      <c r="B25" s="503"/>
      <c r="C25" s="490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01">
        <v>0</v>
      </c>
    </row>
    <row r="26" spans="2:10" hidden="1" outlineLevel="2" x14ac:dyDescent="0.35">
      <c r="B26" s="503"/>
      <c r="C26" s="490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01">
        <v>0</v>
      </c>
    </row>
    <row r="27" spans="2:10" outlineLevel="1" collapsed="1" x14ac:dyDescent="0.35">
      <c r="B27" s="503"/>
      <c r="C27" s="490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01">
        <v>0</v>
      </c>
    </row>
    <row r="28" spans="2:10" outlineLevel="1" x14ac:dyDescent="0.35">
      <c r="B28" s="503"/>
      <c r="C28" s="490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01">
        <v>0</v>
      </c>
    </row>
    <row r="29" spans="2:10" outlineLevel="1" x14ac:dyDescent="0.35">
      <c r="B29" s="503"/>
      <c r="C29" s="490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01">
        <f t="shared" si="3"/>
        <v>0</v>
      </c>
    </row>
    <row r="30" spans="2:10" hidden="1" outlineLevel="2" x14ac:dyDescent="0.35">
      <c r="B30" s="503"/>
      <c r="C30" s="490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01">
        <v>0</v>
      </c>
    </row>
    <row r="31" spans="2:10" hidden="1" outlineLevel="2" x14ac:dyDescent="0.35">
      <c r="B31" s="503"/>
      <c r="C31" s="490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01">
        <v>0</v>
      </c>
    </row>
    <row r="32" spans="2:10" hidden="1" outlineLevel="2" x14ac:dyDescent="0.35">
      <c r="B32" s="503"/>
      <c r="C32" s="490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01">
        <v>0</v>
      </c>
    </row>
    <row r="33" spans="2:10" outlineLevel="1" collapsed="1" x14ac:dyDescent="0.35">
      <c r="B33" s="503"/>
      <c r="C33" s="490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01">
        <v>0</v>
      </c>
    </row>
    <row r="34" spans="2:10" outlineLevel="1" x14ac:dyDescent="0.35">
      <c r="B34" s="503"/>
      <c r="C34" s="490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01">
        <f t="shared" si="4"/>
        <v>0</v>
      </c>
    </row>
    <row r="35" spans="2:10" hidden="1" outlineLevel="2" x14ac:dyDescent="0.35">
      <c r="B35" s="503"/>
      <c r="C35" s="490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01">
        <v>0</v>
      </c>
    </row>
    <row r="36" spans="2:10" hidden="1" outlineLevel="2" x14ac:dyDescent="0.35">
      <c r="B36" s="503"/>
      <c r="C36" s="490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01">
        <v>0</v>
      </c>
    </row>
    <row r="37" spans="2:10" hidden="1" outlineLevel="2" x14ac:dyDescent="0.35">
      <c r="B37" s="503"/>
      <c r="C37" s="490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01">
        <v>0</v>
      </c>
    </row>
    <row r="38" spans="2:10" hidden="1" outlineLevel="2" x14ac:dyDescent="0.35">
      <c r="B38" s="503"/>
      <c r="C38" s="490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01">
        <v>0</v>
      </c>
    </row>
    <row r="39" spans="2:10" hidden="1" outlineLevel="2" x14ac:dyDescent="0.35">
      <c r="B39" s="503"/>
      <c r="C39" s="490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01">
        <v>0</v>
      </c>
    </row>
    <row r="40" spans="2:10" outlineLevel="1" collapsed="1" x14ac:dyDescent="0.35">
      <c r="B40" s="503"/>
      <c r="C40" s="490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01">
        <v>0</v>
      </c>
    </row>
    <row r="41" spans="2:10" x14ac:dyDescent="0.35">
      <c r="B41" s="504"/>
      <c r="C41" s="490"/>
      <c r="D41" s="347" t="s">
        <v>259</v>
      </c>
      <c r="E41" s="383">
        <f t="shared" ref="E41:J41" si="5">SUM(E8,E15:E16,E27:E29,E22,E33:E34,E40)</f>
        <v>1</v>
      </c>
      <c r="F41" s="383">
        <f t="shared" si="5"/>
        <v>1</v>
      </c>
      <c r="G41" s="383">
        <f t="shared" si="5"/>
        <v>17919096.5</v>
      </c>
      <c r="H41" s="383">
        <f t="shared" si="5"/>
        <v>17919096</v>
      </c>
      <c r="I41" s="382">
        <f t="shared" si="5"/>
        <v>15046608.609999999</v>
      </c>
      <c r="J41" s="381">
        <f t="shared" si="5"/>
        <v>2872487.39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0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0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0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0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0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01">
        <v>0</v>
      </c>
    </row>
    <row r="49" spans="2:10" outlineLevel="1" x14ac:dyDescent="0.35">
      <c r="B49" s="487"/>
      <c r="C49" s="490"/>
      <c r="D49" s="236" t="s">
        <v>189</v>
      </c>
      <c r="E49" s="219">
        <v>20</v>
      </c>
      <c r="F49" s="219">
        <v>20</v>
      </c>
      <c r="G49" s="219">
        <v>49675807.399999999</v>
      </c>
      <c r="H49" s="219">
        <v>29379423.289999995</v>
      </c>
      <c r="I49" s="219">
        <v>25376075.57</v>
      </c>
      <c r="J49" s="301">
        <v>4003347.7199999993</v>
      </c>
    </row>
    <row r="50" spans="2:10" outlineLevel="1" x14ac:dyDescent="0.35">
      <c r="B50" s="487"/>
      <c r="C50" s="490"/>
      <c r="D50" s="263" t="s">
        <v>179</v>
      </c>
      <c r="E50" s="219">
        <v>9</v>
      </c>
      <c r="F50" s="219">
        <v>9</v>
      </c>
      <c r="G50" s="219">
        <v>84650705.770000011</v>
      </c>
      <c r="H50" s="219">
        <v>59496194.130000003</v>
      </c>
      <c r="I50" s="219">
        <v>52542799.939999998</v>
      </c>
      <c r="J50" s="301">
        <v>6953394.1899999995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3</v>
      </c>
      <c r="F51" s="219">
        <f t="shared" si="7"/>
        <v>3</v>
      </c>
      <c r="G51" s="219">
        <f t="shared" si="7"/>
        <v>124132171.5</v>
      </c>
      <c r="H51" s="219">
        <f t="shared" si="7"/>
        <v>59612051.700000003</v>
      </c>
      <c r="I51" s="219">
        <f t="shared" si="7"/>
        <v>50905839</v>
      </c>
      <c r="J51" s="301">
        <f t="shared" si="7"/>
        <v>8706212.6999999993</v>
      </c>
    </row>
    <row r="52" spans="2:10" hidden="1" outlineLevel="2" x14ac:dyDescent="0.35">
      <c r="B52" s="487"/>
      <c r="C52" s="490"/>
      <c r="D52" s="242" t="s">
        <v>186</v>
      </c>
      <c r="E52" s="219">
        <v>1</v>
      </c>
      <c r="F52" s="219">
        <v>1</v>
      </c>
      <c r="G52" s="219">
        <v>66002287.5</v>
      </c>
      <c r="H52" s="219">
        <v>39601372.5</v>
      </c>
      <c r="I52" s="219">
        <v>36701794</v>
      </c>
      <c r="J52" s="301">
        <v>2899578.5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01">
        <v>0</v>
      </c>
    </row>
    <row r="54" spans="2:10" hidden="1" outlineLevel="2" x14ac:dyDescent="0.35">
      <c r="B54" s="487"/>
      <c r="C54" s="490"/>
      <c r="D54" s="262" t="s">
        <v>182</v>
      </c>
      <c r="E54" s="219">
        <v>2</v>
      </c>
      <c r="F54" s="219">
        <v>2</v>
      </c>
      <c r="G54" s="219">
        <v>58129884</v>
      </c>
      <c r="H54" s="219">
        <v>20010679.199999999</v>
      </c>
      <c r="I54" s="219">
        <v>14204045</v>
      </c>
      <c r="J54" s="301">
        <v>5806634.2000000002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0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215</v>
      </c>
      <c r="F56" s="219">
        <f t="shared" si="8"/>
        <v>209</v>
      </c>
      <c r="G56" s="219">
        <f t="shared" si="8"/>
        <v>456701503.13</v>
      </c>
      <c r="H56" s="219">
        <f t="shared" si="8"/>
        <v>253598019.56999999</v>
      </c>
      <c r="I56" s="219">
        <f t="shared" si="8"/>
        <v>214777222.43000001</v>
      </c>
      <c r="J56" s="301">
        <f t="shared" si="8"/>
        <v>38820797.140000001</v>
      </c>
    </row>
    <row r="57" spans="2:10" hidden="1" outlineLevel="2" x14ac:dyDescent="0.35">
      <c r="B57" s="487"/>
      <c r="C57" s="490"/>
      <c r="D57" s="242" t="s">
        <v>169</v>
      </c>
      <c r="E57" s="219">
        <v>44</v>
      </c>
      <c r="F57" s="219">
        <v>43</v>
      </c>
      <c r="G57" s="219">
        <v>108327194.86</v>
      </c>
      <c r="H57" s="219">
        <v>66052696.820000008</v>
      </c>
      <c r="I57" s="219">
        <v>57910858.260000005</v>
      </c>
      <c r="J57" s="301">
        <v>8141838.5599999996</v>
      </c>
    </row>
    <row r="58" spans="2:10" hidden="1" outlineLevel="2" x14ac:dyDescent="0.35">
      <c r="B58" s="487"/>
      <c r="C58" s="490"/>
      <c r="D58" s="242" t="s">
        <v>168</v>
      </c>
      <c r="E58" s="219">
        <v>38</v>
      </c>
      <c r="F58" s="219">
        <v>36</v>
      </c>
      <c r="G58" s="219">
        <v>70182828.210000008</v>
      </c>
      <c r="H58" s="219">
        <v>45951311.770000003</v>
      </c>
      <c r="I58" s="219">
        <v>39981229.250000007</v>
      </c>
      <c r="J58" s="301">
        <v>5970082.5199999996</v>
      </c>
    </row>
    <row r="59" spans="2:10" hidden="1" outlineLevel="2" x14ac:dyDescent="0.35">
      <c r="B59" s="487"/>
      <c r="C59" s="490"/>
      <c r="D59" s="242" t="s">
        <v>167</v>
      </c>
      <c r="E59" s="219">
        <v>17</v>
      </c>
      <c r="F59" s="219">
        <v>16</v>
      </c>
      <c r="G59" s="219">
        <v>33898659.100000009</v>
      </c>
      <c r="H59" s="219">
        <v>15906263.579999998</v>
      </c>
      <c r="I59" s="219">
        <v>12683664.680000002</v>
      </c>
      <c r="J59" s="301">
        <v>3222598.9</v>
      </c>
    </row>
    <row r="60" spans="2:10" hidden="1" outlineLevel="2" x14ac:dyDescent="0.35">
      <c r="B60" s="487"/>
      <c r="C60" s="490"/>
      <c r="D60" s="242" t="s">
        <v>166</v>
      </c>
      <c r="E60" s="219">
        <v>37</v>
      </c>
      <c r="F60" s="219">
        <v>36</v>
      </c>
      <c r="G60" s="219">
        <v>78393177.850000009</v>
      </c>
      <c r="H60" s="219">
        <v>41628573.309999995</v>
      </c>
      <c r="I60" s="219">
        <v>34521939.18</v>
      </c>
      <c r="J60" s="301">
        <v>7106634.1299999999</v>
      </c>
    </row>
    <row r="61" spans="2:10" hidden="1" outlineLevel="2" x14ac:dyDescent="0.35">
      <c r="B61" s="487"/>
      <c r="C61" s="490"/>
      <c r="D61" s="261" t="s">
        <v>165</v>
      </c>
      <c r="E61" s="219">
        <v>34</v>
      </c>
      <c r="F61" s="219">
        <v>33</v>
      </c>
      <c r="G61" s="219">
        <v>73457856.899999976</v>
      </c>
      <c r="H61" s="219">
        <v>37552539.089999989</v>
      </c>
      <c r="I61" s="219">
        <v>31609512.359999992</v>
      </c>
      <c r="J61" s="301">
        <v>5943026.7299999986</v>
      </c>
    </row>
    <row r="62" spans="2:10" hidden="1" outlineLevel="2" x14ac:dyDescent="0.35">
      <c r="B62" s="487"/>
      <c r="C62" s="490"/>
      <c r="D62" s="261" t="s">
        <v>164</v>
      </c>
      <c r="E62" s="219">
        <v>45</v>
      </c>
      <c r="F62" s="219">
        <v>45</v>
      </c>
      <c r="G62" s="219">
        <v>92441786.209999993</v>
      </c>
      <c r="H62" s="219">
        <v>46506635</v>
      </c>
      <c r="I62" s="219">
        <v>38070018.699999996</v>
      </c>
      <c r="J62" s="301">
        <v>8436616.3000000007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2</v>
      </c>
      <c r="F63" s="219">
        <f t="shared" si="9"/>
        <v>2</v>
      </c>
      <c r="G63" s="219">
        <f t="shared" si="9"/>
        <v>3382717.1799999997</v>
      </c>
      <c r="H63" s="219">
        <f t="shared" si="9"/>
        <v>1428918</v>
      </c>
      <c r="I63" s="219">
        <f t="shared" si="9"/>
        <v>844282</v>
      </c>
      <c r="J63" s="301">
        <f t="shared" si="9"/>
        <v>584636</v>
      </c>
    </row>
    <row r="64" spans="2:10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01">
        <v>0</v>
      </c>
    </row>
    <row r="65" spans="2:10" hidden="1" outlineLevel="2" x14ac:dyDescent="0.35">
      <c r="B65" s="487"/>
      <c r="C65" s="490"/>
      <c r="D65" s="260" t="s">
        <v>195</v>
      </c>
      <c r="E65" s="219">
        <v>2</v>
      </c>
      <c r="F65" s="219">
        <v>2</v>
      </c>
      <c r="G65" s="219">
        <v>3382717.1799999997</v>
      </c>
      <c r="H65" s="219">
        <v>1428918</v>
      </c>
      <c r="I65" s="219">
        <v>844282</v>
      </c>
      <c r="J65" s="301">
        <v>584636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01">
        <v>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86</v>
      </c>
      <c r="F67" s="219">
        <f t="shared" si="10"/>
        <v>70</v>
      </c>
      <c r="G67" s="219">
        <f t="shared" si="10"/>
        <v>231739985.47999999</v>
      </c>
      <c r="H67" s="219">
        <f t="shared" si="10"/>
        <v>117967263.13999999</v>
      </c>
      <c r="I67" s="219">
        <f t="shared" si="10"/>
        <v>98953499.690000013</v>
      </c>
      <c r="J67" s="301">
        <f t="shared" si="10"/>
        <v>19013763.449999999</v>
      </c>
    </row>
    <row r="68" spans="2:10" hidden="1" outlineLevel="2" x14ac:dyDescent="0.35">
      <c r="B68" s="487"/>
      <c r="C68" s="490"/>
      <c r="D68" s="260" t="s">
        <v>177</v>
      </c>
      <c r="E68" s="219">
        <v>14</v>
      </c>
      <c r="F68" s="219">
        <v>14</v>
      </c>
      <c r="G68" s="219">
        <v>30882031.909999996</v>
      </c>
      <c r="H68" s="219">
        <v>16451273.830000002</v>
      </c>
      <c r="I68" s="219">
        <v>13935046.260000002</v>
      </c>
      <c r="J68" s="301">
        <v>2516227.5699999998</v>
      </c>
    </row>
    <row r="69" spans="2:10" hidden="1" outlineLevel="2" x14ac:dyDescent="0.35">
      <c r="B69" s="487"/>
      <c r="C69" s="490"/>
      <c r="D69" s="260" t="s">
        <v>176</v>
      </c>
      <c r="E69" s="219">
        <v>9</v>
      </c>
      <c r="F69" s="219">
        <v>9</v>
      </c>
      <c r="G69" s="219">
        <v>20063714.5</v>
      </c>
      <c r="H69" s="219">
        <v>9165617.7400000021</v>
      </c>
      <c r="I69" s="219">
        <v>7567025.9400000004</v>
      </c>
      <c r="J69" s="301">
        <v>1598591.8</v>
      </c>
    </row>
    <row r="70" spans="2:10" hidden="1" outlineLevel="2" x14ac:dyDescent="0.35">
      <c r="B70" s="487"/>
      <c r="C70" s="490"/>
      <c r="D70" s="260" t="s">
        <v>175</v>
      </c>
      <c r="E70" s="219">
        <v>18</v>
      </c>
      <c r="F70" s="219">
        <v>16</v>
      </c>
      <c r="G70" s="219">
        <v>59632432.469999999</v>
      </c>
      <c r="H70" s="219">
        <v>28941842.109999996</v>
      </c>
      <c r="I70" s="219">
        <v>24328782.870000001</v>
      </c>
      <c r="J70" s="301">
        <v>4613059.24</v>
      </c>
    </row>
    <row r="71" spans="2:10" hidden="1" outlineLevel="2" x14ac:dyDescent="0.35">
      <c r="B71" s="487"/>
      <c r="C71" s="490"/>
      <c r="D71" s="260" t="s">
        <v>174</v>
      </c>
      <c r="E71" s="219">
        <v>29</v>
      </c>
      <c r="F71" s="219">
        <v>15</v>
      </c>
      <c r="G71" s="219">
        <v>61490188.749999985</v>
      </c>
      <c r="H71" s="219">
        <v>34829467.390000001</v>
      </c>
      <c r="I71" s="219">
        <v>29409503.239999998</v>
      </c>
      <c r="J71" s="301">
        <v>5419964.1499999994</v>
      </c>
    </row>
    <row r="72" spans="2:10" hidden="1" outlineLevel="2" x14ac:dyDescent="0.35">
      <c r="B72" s="487"/>
      <c r="C72" s="490"/>
      <c r="D72" s="260" t="s">
        <v>173</v>
      </c>
      <c r="E72" s="219">
        <v>9</v>
      </c>
      <c r="F72" s="219">
        <v>9</v>
      </c>
      <c r="G72" s="219">
        <v>23673836.850000001</v>
      </c>
      <c r="H72" s="219">
        <v>13693382.77</v>
      </c>
      <c r="I72" s="219">
        <v>11646161.150000002</v>
      </c>
      <c r="J72" s="301">
        <v>2047221.62</v>
      </c>
    </row>
    <row r="73" spans="2:10" hidden="1" outlineLevel="2" x14ac:dyDescent="0.35">
      <c r="B73" s="487"/>
      <c r="C73" s="490"/>
      <c r="D73" s="260" t="s">
        <v>172</v>
      </c>
      <c r="E73" s="219">
        <v>7</v>
      </c>
      <c r="F73" s="219">
        <v>7</v>
      </c>
      <c r="G73" s="219">
        <v>35997781</v>
      </c>
      <c r="H73" s="219">
        <v>14885679.300000001</v>
      </c>
      <c r="I73" s="219">
        <v>12066980.23</v>
      </c>
      <c r="J73" s="301">
        <v>2818699.07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01">
        <v>0</v>
      </c>
    </row>
    <row r="75" spans="2:10" x14ac:dyDescent="0.35">
      <c r="B75" s="488"/>
      <c r="C75" s="491"/>
      <c r="D75" s="347" t="s">
        <v>255</v>
      </c>
      <c r="E75" s="383">
        <f t="shared" ref="E75:J75" si="11">SUM(E43,E48:E51,E56,E63,E67)</f>
        <v>335</v>
      </c>
      <c r="F75" s="383">
        <f t="shared" si="11"/>
        <v>313</v>
      </c>
      <c r="G75" s="383">
        <f t="shared" si="11"/>
        <v>950282890.45999992</v>
      </c>
      <c r="H75" s="383">
        <f t="shared" si="11"/>
        <v>521481869.82999998</v>
      </c>
      <c r="I75" s="382">
        <f t="shared" si="11"/>
        <v>443399718.63</v>
      </c>
      <c r="J75" s="381">
        <f t="shared" si="11"/>
        <v>78082151.200000003</v>
      </c>
    </row>
    <row r="76" spans="2:10" outlineLevel="1" x14ac:dyDescent="0.35">
      <c r="B76" s="486" t="s">
        <v>254</v>
      </c>
      <c r="C76" s="489" t="s">
        <v>253</v>
      </c>
      <c r="D76" s="251"/>
      <c r="E76" s="219"/>
      <c r="F76" s="219"/>
      <c r="G76" s="219"/>
      <c r="H76" s="219"/>
      <c r="I76" s="219"/>
      <c r="J76" s="301"/>
    </row>
    <row r="77" spans="2:10" outlineLevel="1" x14ac:dyDescent="0.35">
      <c r="B77" s="487"/>
      <c r="C77" s="490"/>
      <c r="D77" s="384" t="s">
        <v>252</v>
      </c>
      <c r="E77" s="219">
        <f t="shared" ref="E77:J77" si="12">SUM(E78:E80)</f>
        <v>63</v>
      </c>
      <c r="F77" s="219">
        <f t="shared" si="12"/>
        <v>50</v>
      </c>
      <c r="G77" s="219">
        <f t="shared" si="12"/>
        <v>452656636</v>
      </c>
      <c r="H77" s="219">
        <f t="shared" si="12"/>
        <v>277316913.34999996</v>
      </c>
      <c r="I77" s="219">
        <f t="shared" si="12"/>
        <v>240479130.55000001</v>
      </c>
      <c r="J77" s="301">
        <f t="shared" si="12"/>
        <v>36837782.800000004</v>
      </c>
    </row>
    <row r="78" spans="2:10" hidden="1" outlineLevel="2" x14ac:dyDescent="0.35">
      <c r="B78" s="487"/>
      <c r="C78" s="490"/>
      <c r="D78" s="250" t="s">
        <v>192</v>
      </c>
      <c r="E78" s="219">
        <v>25</v>
      </c>
      <c r="F78" s="219">
        <v>20</v>
      </c>
      <c r="G78" s="219">
        <v>179881556</v>
      </c>
      <c r="H78" s="219">
        <v>138844885.89999998</v>
      </c>
      <c r="I78" s="219">
        <v>123068294.67999999</v>
      </c>
      <c r="J78" s="301">
        <v>15776591.220000003</v>
      </c>
    </row>
    <row r="79" spans="2:10" hidden="1" outlineLevel="2" x14ac:dyDescent="0.35">
      <c r="B79" s="487"/>
      <c r="C79" s="490"/>
      <c r="D79" s="250" t="s">
        <v>191</v>
      </c>
      <c r="E79" s="219">
        <v>19</v>
      </c>
      <c r="F79" s="219">
        <v>19</v>
      </c>
      <c r="G79" s="219">
        <v>139716661</v>
      </c>
      <c r="H79" s="219">
        <v>81728237.349999994</v>
      </c>
      <c r="I79" s="219">
        <v>70818863.189999998</v>
      </c>
      <c r="J79" s="301">
        <v>10909374.159999998</v>
      </c>
    </row>
    <row r="80" spans="2:10" hidden="1" outlineLevel="2" x14ac:dyDescent="0.35">
      <c r="B80" s="487"/>
      <c r="C80" s="490"/>
      <c r="D80" s="250" t="s">
        <v>190</v>
      </c>
      <c r="E80" s="219">
        <v>19</v>
      </c>
      <c r="F80" s="219">
        <v>11</v>
      </c>
      <c r="G80" s="219">
        <v>133058419</v>
      </c>
      <c r="H80" s="219">
        <v>56743790.100000001</v>
      </c>
      <c r="I80" s="219">
        <v>46591972.68</v>
      </c>
      <c r="J80" s="301">
        <v>10151817.42</v>
      </c>
    </row>
    <row r="81" spans="2:10" outlineLevel="1" collapsed="1" x14ac:dyDescent="0.35">
      <c r="B81" s="487"/>
      <c r="C81" s="490"/>
      <c r="D81" s="251" t="s">
        <v>158</v>
      </c>
      <c r="E81" s="219">
        <f t="shared" ref="E81:J81" si="13">SUM(E82:E89)</f>
        <v>121</v>
      </c>
      <c r="F81" s="219">
        <f t="shared" si="13"/>
        <v>114</v>
      </c>
      <c r="G81" s="219">
        <f t="shared" si="13"/>
        <v>155056070.13999999</v>
      </c>
      <c r="H81" s="219">
        <f t="shared" si="13"/>
        <v>77458513.459999979</v>
      </c>
      <c r="I81" s="219">
        <f t="shared" si="13"/>
        <v>65676280.040000007</v>
      </c>
      <c r="J81" s="301">
        <f t="shared" si="13"/>
        <v>11782233.419999996</v>
      </c>
    </row>
    <row r="82" spans="2:10" hidden="1" outlineLevel="2" x14ac:dyDescent="0.35">
      <c r="B82" s="487"/>
      <c r="C82" s="490"/>
      <c r="D82" s="250" t="s">
        <v>157</v>
      </c>
      <c r="E82" s="219">
        <v>14</v>
      </c>
      <c r="F82" s="219">
        <v>13</v>
      </c>
      <c r="G82" s="219">
        <v>14953033.449999999</v>
      </c>
      <c r="H82" s="219">
        <v>8262256.5299999993</v>
      </c>
      <c r="I82" s="219">
        <v>7043227.4100000001</v>
      </c>
      <c r="J82" s="301">
        <v>1219029.1200000001</v>
      </c>
    </row>
    <row r="83" spans="2:10" hidden="1" outlineLevel="2" x14ac:dyDescent="0.35">
      <c r="B83" s="487"/>
      <c r="C83" s="490"/>
      <c r="D83" s="250" t="s">
        <v>156</v>
      </c>
      <c r="E83" s="219">
        <v>33</v>
      </c>
      <c r="F83" s="219">
        <v>32</v>
      </c>
      <c r="G83" s="219">
        <v>39973478.210000001</v>
      </c>
      <c r="H83" s="219">
        <v>20399468.919999998</v>
      </c>
      <c r="I83" s="219">
        <v>17634756.260000002</v>
      </c>
      <c r="J83" s="301">
        <v>2764712.6599999997</v>
      </c>
    </row>
    <row r="84" spans="2:10" hidden="1" outlineLevel="2" x14ac:dyDescent="0.35">
      <c r="B84" s="487"/>
      <c r="C84" s="490"/>
      <c r="D84" s="250" t="s">
        <v>155</v>
      </c>
      <c r="E84" s="219">
        <v>7</v>
      </c>
      <c r="F84" s="219">
        <v>7</v>
      </c>
      <c r="G84" s="219">
        <v>13850888.15</v>
      </c>
      <c r="H84" s="219">
        <v>4144225.34</v>
      </c>
      <c r="I84" s="219">
        <v>3136777.6500000004</v>
      </c>
      <c r="J84" s="301">
        <v>1007447.6900000001</v>
      </c>
    </row>
    <row r="85" spans="2:10" hidden="1" outlineLevel="2" x14ac:dyDescent="0.35">
      <c r="B85" s="487"/>
      <c r="C85" s="490"/>
      <c r="D85" s="250" t="s">
        <v>154</v>
      </c>
      <c r="E85" s="219">
        <v>5</v>
      </c>
      <c r="F85" s="219">
        <v>5</v>
      </c>
      <c r="G85" s="219">
        <v>6486883.6799999997</v>
      </c>
      <c r="H85" s="219">
        <v>2276450.92</v>
      </c>
      <c r="I85" s="219">
        <v>1550502.49</v>
      </c>
      <c r="J85" s="301">
        <v>725948.42999999993</v>
      </c>
    </row>
    <row r="86" spans="2:10" hidden="1" outlineLevel="2" x14ac:dyDescent="0.35">
      <c r="B86" s="487"/>
      <c r="C86" s="490"/>
      <c r="D86" s="250" t="s">
        <v>153</v>
      </c>
      <c r="E86" s="219">
        <v>50</v>
      </c>
      <c r="F86" s="219">
        <v>47</v>
      </c>
      <c r="G86" s="219">
        <v>60014485.950000003</v>
      </c>
      <c r="H86" s="219">
        <v>32928266.719999988</v>
      </c>
      <c r="I86" s="219">
        <v>28147519.180000003</v>
      </c>
      <c r="J86" s="301">
        <v>4780747.5399999991</v>
      </c>
    </row>
    <row r="87" spans="2:10" hidden="1" outlineLevel="2" x14ac:dyDescent="0.35">
      <c r="B87" s="487"/>
      <c r="C87" s="490"/>
      <c r="D87" s="250" t="s">
        <v>152</v>
      </c>
      <c r="E87" s="219">
        <v>6</v>
      </c>
      <c r="F87" s="219">
        <v>4</v>
      </c>
      <c r="G87" s="219">
        <v>8410081.5</v>
      </c>
      <c r="H87" s="219">
        <v>4314962.3599999994</v>
      </c>
      <c r="I87" s="219">
        <v>3580233.66</v>
      </c>
      <c r="J87" s="301">
        <v>734728.70000000007</v>
      </c>
    </row>
    <row r="88" spans="2:10" hidden="1" outlineLevel="2" x14ac:dyDescent="0.35">
      <c r="B88" s="487"/>
      <c r="C88" s="490"/>
      <c r="D88" s="250" t="s">
        <v>151</v>
      </c>
      <c r="E88" s="219">
        <v>5</v>
      </c>
      <c r="F88" s="219">
        <v>5</v>
      </c>
      <c r="G88" s="219">
        <v>6280719.1999999993</v>
      </c>
      <c r="H88" s="219">
        <v>2996552.67</v>
      </c>
      <c r="I88" s="219">
        <v>2456563.39</v>
      </c>
      <c r="J88" s="301">
        <v>539989.27999999991</v>
      </c>
    </row>
    <row r="89" spans="2:10" hidden="1" outlineLevel="2" x14ac:dyDescent="0.35">
      <c r="B89" s="487"/>
      <c r="C89" s="490"/>
      <c r="D89" s="250" t="s">
        <v>150</v>
      </c>
      <c r="E89" s="219">
        <v>1</v>
      </c>
      <c r="F89" s="219">
        <v>1</v>
      </c>
      <c r="G89" s="219">
        <v>5086500</v>
      </c>
      <c r="H89" s="219">
        <v>2136330</v>
      </c>
      <c r="I89" s="219">
        <v>2126700</v>
      </c>
      <c r="J89" s="301">
        <v>9630</v>
      </c>
    </row>
    <row r="90" spans="2:10" outlineLevel="1" collapsed="1" x14ac:dyDescent="0.35">
      <c r="B90" s="487"/>
      <c r="C90" s="490"/>
      <c r="D90" s="251" t="s">
        <v>149</v>
      </c>
      <c r="E90" s="219">
        <f t="shared" ref="E90:J90" si="14">SUM(E91:E93)</f>
        <v>27</v>
      </c>
      <c r="F90" s="219">
        <f t="shared" si="14"/>
        <v>27</v>
      </c>
      <c r="G90" s="219">
        <f t="shared" si="14"/>
        <v>77070753.449999988</v>
      </c>
      <c r="H90" s="219">
        <f t="shared" si="14"/>
        <v>17959425.490000002</v>
      </c>
      <c r="I90" s="219">
        <f t="shared" si="14"/>
        <v>11795454.489999998</v>
      </c>
      <c r="J90" s="301">
        <f t="shared" si="14"/>
        <v>6163971</v>
      </c>
    </row>
    <row r="91" spans="2:10" hidden="1" outlineLevel="2" x14ac:dyDescent="0.35">
      <c r="B91" s="487"/>
      <c r="C91" s="490"/>
      <c r="D91" s="250" t="s">
        <v>148</v>
      </c>
      <c r="E91" s="219">
        <v>11</v>
      </c>
      <c r="F91" s="219">
        <v>11</v>
      </c>
      <c r="G91" s="219">
        <v>30050029.5</v>
      </c>
      <c r="H91" s="219">
        <v>6307135.8300000001</v>
      </c>
      <c r="I91" s="219">
        <v>3632220.1</v>
      </c>
      <c r="J91" s="301">
        <v>2674915.73</v>
      </c>
    </row>
    <row r="92" spans="2:10" hidden="1" outlineLevel="2" x14ac:dyDescent="0.35">
      <c r="B92" s="487"/>
      <c r="C92" s="490"/>
      <c r="D92" s="250" t="s">
        <v>147</v>
      </c>
      <c r="E92" s="219">
        <v>7</v>
      </c>
      <c r="F92" s="219">
        <v>7</v>
      </c>
      <c r="G92" s="219">
        <v>18858489.849999998</v>
      </c>
      <c r="H92" s="219">
        <v>4431242.51</v>
      </c>
      <c r="I92" s="219">
        <v>2995127.9699999997</v>
      </c>
      <c r="J92" s="301">
        <v>1436114.54</v>
      </c>
    </row>
    <row r="93" spans="2:10" hidden="1" outlineLevel="2" x14ac:dyDescent="0.35">
      <c r="B93" s="487"/>
      <c r="C93" s="490"/>
      <c r="D93" s="250" t="s">
        <v>146</v>
      </c>
      <c r="E93" s="219">
        <v>9</v>
      </c>
      <c r="F93" s="219">
        <v>9</v>
      </c>
      <c r="G93" s="219">
        <v>28162234.100000001</v>
      </c>
      <c r="H93" s="219">
        <v>7221047.1500000004</v>
      </c>
      <c r="I93" s="219">
        <v>5168106.419999999</v>
      </c>
      <c r="J93" s="301">
        <v>2052940.7300000002</v>
      </c>
    </row>
    <row r="94" spans="2:10" outlineLevel="1" collapsed="1" x14ac:dyDescent="0.35">
      <c r="B94" s="487"/>
      <c r="C94" s="490"/>
      <c r="D94" s="324" t="s">
        <v>133</v>
      </c>
      <c r="E94" s="219">
        <v>20</v>
      </c>
      <c r="F94" s="219">
        <v>19</v>
      </c>
      <c r="G94" s="219">
        <v>68857565.25</v>
      </c>
      <c r="H94" s="219">
        <v>18181132.109999999</v>
      </c>
      <c r="I94" s="219">
        <v>11666789.77</v>
      </c>
      <c r="J94" s="301">
        <v>6514342.3399999999</v>
      </c>
    </row>
    <row r="95" spans="2:10" outlineLevel="1" x14ac:dyDescent="0.35">
      <c r="B95" s="487"/>
      <c r="C95" s="490"/>
      <c r="D95" s="236" t="s">
        <v>140</v>
      </c>
      <c r="E95" s="219">
        <v>16</v>
      </c>
      <c r="F95" s="219">
        <v>12</v>
      </c>
      <c r="G95" s="219">
        <v>136578142.5</v>
      </c>
      <c r="H95" s="219">
        <v>62313333.699999996</v>
      </c>
      <c r="I95" s="219">
        <v>44271393.639999993</v>
      </c>
      <c r="J95" s="301">
        <v>18041940.059999999</v>
      </c>
    </row>
    <row r="96" spans="2:10" outlineLevel="1" x14ac:dyDescent="0.35">
      <c r="B96" s="487"/>
      <c r="C96" s="490"/>
      <c r="D96" s="236" t="s">
        <v>139</v>
      </c>
      <c r="E96" s="219">
        <v>3</v>
      </c>
      <c r="F96" s="219">
        <v>3</v>
      </c>
      <c r="G96" s="219">
        <v>33196320</v>
      </c>
      <c r="H96" s="219">
        <v>6639264</v>
      </c>
      <c r="I96" s="219">
        <v>3456450</v>
      </c>
      <c r="J96" s="301">
        <v>3182814</v>
      </c>
    </row>
    <row r="97" spans="2:10" outlineLevel="1" x14ac:dyDescent="0.35">
      <c r="B97" s="487"/>
      <c r="C97" s="490"/>
      <c r="D97" s="236" t="s">
        <v>138</v>
      </c>
      <c r="E97" s="219">
        <f t="shared" ref="E97:J97" si="15">SUM(E98:E101)</f>
        <v>72</v>
      </c>
      <c r="F97" s="219">
        <f t="shared" si="15"/>
        <v>70</v>
      </c>
      <c r="G97" s="219">
        <f t="shared" si="15"/>
        <v>99132027.849999994</v>
      </c>
      <c r="H97" s="219">
        <f t="shared" si="15"/>
        <v>33248586.990000002</v>
      </c>
      <c r="I97" s="219">
        <f t="shared" si="15"/>
        <v>24859511.100000001</v>
      </c>
      <c r="J97" s="301">
        <f t="shared" si="15"/>
        <v>8389075.8900000006</v>
      </c>
    </row>
    <row r="98" spans="2:10" hidden="1" outlineLevel="2" x14ac:dyDescent="0.35">
      <c r="B98" s="487"/>
      <c r="C98" s="490"/>
      <c r="D98" s="242" t="s">
        <v>137</v>
      </c>
      <c r="E98" s="219">
        <v>22</v>
      </c>
      <c r="F98" s="219">
        <v>22</v>
      </c>
      <c r="G98" s="219">
        <v>29488720.799999997</v>
      </c>
      <c r="H98" s="219">
        <v>11303804.080000002</v>
      </c>
      <c r="I98" s="219">
        <v>8720261.7699999996</v>
      </c>
      <c r="J98" s="301">
        <v>2583542.3100000005</v>
      </c>
    </row>
    <row r="99" spans="2:10" hidden="1" outlineLevel="2" x14ac:dyDescent="0.35">
      <c r="B99" s="487"/>
      <c r="C99" s="490"/>
      <c r="D99" s="242" t="s">
        <v>136</v>
      </c>
      <c r="E99" s="219">
        <v>23</v>
      </c>
      <c r="F99" s="219">
        <v>21</v>
      </c>
      <c r="G99" s="219">
        <v>31834626.800000001</v>
      </c>
      <c r="H99" s="219">
        <v>10562735.74</v>
      </c>
      <c r="I99" s="219">
        <v>7724197.4600000009</v>
      </c>
      <c r="J99" s="301">
        <v>2838538.2800000003</v>
      </c>
    </row>
    <row r="100" spans="2:10" hidden="1" outlineLevel="2" x14ac:dyDescent="0.35">
      <c r="B100" s="487"/>
      <c r="C100" s="490"/>
      <c r="D100" s="242" t="s">
        <v>135</v>
      </c>
      <c r="E100" s="219">
        <v>10</v>
      </c>
      <c r="F100" s="219">
        <v>10</v>
      </c>
      <c r="G100" s="219">
        <v>12495806.799999999</v>
      </c>
      <c r="H100" s="219">
        <v>3642792.39</v>
      </c>
      <c r="I100" s="219">
        <v>2593075.54</v>
      </c>
      <c r="J100" s="301">
        <v>1049716.8500000001</v>
      </c>
    </row>
    <row r="101" spans="2:10" hidden="1" outlineLevel="2" x14ac:dyDescent="0.35">
      <c r="B101" s="487"/>
      <c r="C101" s="490"/>
      <c r="D101" s="242" t="s">
        <v>134</v>
      </c>
      <c r="E101" s="219">
        <v>17</v>
      </c>
      <c r="F101" s="219">
        <v>17</v>
      </c>
      <c r="G101" s="219">
        <v>25312873.449999996</v>
      </c>
      <c r="H101" s="219">
        <v>7739254.7799999993</v>
      </c>
      <c r="I101" s="219">
        <v>5821976.3300000001</v>
      </c>
      <c r="J101" s="301">
        <v>1917278.4499999997</v>
      </c>
    </row>
    <row r="102" spans="2:10" ht="13.15" customHeight="1" outlineLevel="1" collapsed="1" x14ac:dyDescent="0.35">
      <c r="B102" s="487"/>
      <c r="C102" s="490"/>
      <c r="D102" s="236" t="s">
        <v>132</v>
      </c>
      <c r="E102" s="219">
        <f t="shared" ref="E102:J102" si="16">SUM(E103:E106)</f>
        <v>155</v>
      </c>
      <c r="F102" s="219">
        <f t="shared" si="16"/>
        <v>143</v>
      </c>
      <c r="G102" s="219">
        <f t="shared" si="16"/>
        <v>375009244.88</v>
      </c>
      <c r="H102" s="219">
        <f t="shared" si="16"/>
        <v>103209528.02</v>
      </c>
      <c r="I102" s="219">
        <f t="shared" si="16"/>
        <v>71828212.610000014</v>
      </c>
      <c r="J102" s="301">
        <f t="shared" si="16"/>
        <v>31381315.410000004</v>
      </c>
    </row>
    <row r="103" spans="2:10" hidden="1" outlineLevel="2" x14ac:dyDescent="0.35">
      <c r="B103" s="487"/>
      <c r="C103" s="490"/>
      <c r="D103" s="242" t="s">
        <v>131</v>
      </c>
      <c r="E103" s="219">
        <v>7</v>
      </c>
      <c r="F103" s="219">
        <v>7</v>
      </c>
      <c r="G103" s="219">
        <v>17098359.25</v>
      </c>
      <c r="H103" s="219">
        <v>5129507.8099999996</v>
      </c>
      <c r="I103" s="219">
        <v>3985934.21</v>
      </c>
      <c r="J103" s="301">
        <v>1143573.5999999999</v>
      </c>
    </row>
    <row r="104" spans="2:10" hidden="1" outlineLevel="2" x14ac:dyDescent="0.35">
      <c r="B104" s="487"/>
      <c r="C104" s="490"/>
      <c r="D104" s="242" t="s">
        <v>130</v>
      </c>
      <c r="E104" s="219">
        <v>22</v>
      </c>
      <c r="F104" s="219">
        <v>21</v>
      </c>
      <c r="G104" s="219">
        <v>55536510.100000001</v>
      </c>
      <c r="H104" s="219">
        <v>16432158.849999998</v>
      </c>
      <c r="I104" s="219">
        <v>12323454.02</v>
      </c>
      <c r="J104" s="301">
        <v>4108704.83</v>
      </c>
    </row>
    <row r="105" spans="2:10" hidden="1" outlineLevel="2" x14ac:dyDescent="0.35">
      <c r="B105" s="487"/>
      <c r="C105" s="490"/>
      <c r="D105" s="242" t="s">
        <v>129</v>
      </c>
      <c r="E105" s="219">
        <v>104</v>
      </c>
      <c r="F105" s="219">
        <v>96</v>
      </c>
      <c r="G105" s="219">
        <v>250009258.15000001</v>
      </c>
      <c r="H105" s="219">
        <v>73201699.659999996</v>
      </c>
      <c r="I105" s="219">
        <v>52016236.830000013</v>
      </c>
      <c r="J105" s="301">
        <v>21185462.830000002</v>
      </c>
    </row>
    <row r="106" spans="2:10" hidden="1" outlineLevel="2" x14ac:dyDescent="0.35">
      <c r="B106" s="487"/>
      <c r="C106" s="490"/>
      <c r="D106" s="242" t="s">
        <v>128</v>
      </c>
      <c r="E106" s="219">
        <v>22</v>
      </c>
      <c r="F106" s="219">
        <v>19</v>
      </c>
      <c r="G106" s="219">
        <v>52365117.380000003</v>
      </c>
      <c r="H106" s="219">
        <v>8446161.6999999993</v>
      </c>
      <c r="I106" s="219">
        <v>3502587.55</v>
      </c>
      <c r="J106" s="301">
        <v>4943574.1500000004</v>
      </c>
    </row>
    <row r="107" spans="2:10" ht="13.15" customHeight="1" outlineLevel="1" collapsed="1" x14ac:dyDescent="0.35">
      <c r="B107" s="487"/>
      <c r="C107" s="490"/>
      <c r="D107" s="236" t="s">
        <v>41</v>
      </c>
      <c r="E107" s="219">
        <v>3</v>
      </c>
      <c r="F107" s="219">
        <v>3</v>
      </c>
      <c r="G107" s="219">
        <v>20455224.5</v>
      </c>
      <c r="H107" s="219">
        <v>4091044.9</v>
      </c>
      <c r="I107" s="219">
        <v>2496599.7599999998</v>
      </c>
      <c r="J107" s="301">
        <v>1594445.1400000001</v>
      </c>
    </row>
    <row r="108" spans="2:10" x14ac:dyDescent="0.35">
      <c r="B108" s="488"/>
      <c r="C108" s="491"/>
      <c r="D108" s="347" t="s">
        <v>251</v>
      </c>
      <c r="E108" s="383">
        <f t="shared" ref="E108:J108" si="17">SUM(E102,E107,E97,E96,E94,E90,E81,E77,E95)</f>
        <v>480</v>
      </c>
      <c r="F108" s="383">
        <f t="shared" si="17"/>
        <v>441</v>
      </c>
      <c r="G108" s="383">
        <f t="shared" si="17"/>
        <v>1418011984.5700002</v>
      </c>
      <c r="H108" s="383">
        <f t="shared" si="17"/>
        <v>600417742.01999998</v>
      </c>
      <c r="I108" s="382">
        <f t="shared" si="17"/>
        <v>476529821.96000004</v>
      </c>
      <c r="J108" s="381">
        <f t="shared" si="17"/>
        <v>123887920.06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19">
        <v>9</v>
      </c>
      <c r="F109" s="219">
        <v>9</v>
      </c>
      <c r="G109" s="219">
        <v>25833882.649999999</v>
      </c>
      <c r="H109" s="219">
        <v>4571244.1500000004</v>
      </c>
      <c r="I109" s="219">
        <v>2079520.79</v>
      </c>
      <c r="J109" s="301">
        <v>2491723.36</v>
      </c>
    </row>
    <row r="110" spans="2:10" outlineLevel="1" x14ac:dyDescent="0.35">
      <c r="B110" s="487"/>
      <c r="C110" s="490"/>
      <c r="D110" s="236" t="s">
        <v>122</v>
      </c>
      <c r="E110" s="219">
        <v>0</v>
      </c>
      <c r="F110" s="219">
        <v>0</v>
      </c>
      <c r="G110" s="219">
        <v>0</v>
      </c>
      <c r="H110" s="219">
        <v>0</v>
      </c>
      <c r="I110" s="219">
        <v>0</v>
      </c>
      <c r="J110" s="301">
        <v>0</v>
      </c>
    </row>
    <row r="111" spans="2:10" outlineLevel="1" x14ac:dyDescent="0.35">
      <c r="B111" s="487"/>
      <c r="C111" s="490"/>
      <c r="D111" s="236" t="s">
        <v>48</v>
      </c>
      <c r="E111" s="219">
        <v>3</v>
      </c>
      <c r="F111" s="219">
        <v>3</v>
      </c>
      <c r="G111" s="219">
        <v>7171491.75</v>
      </c>
      <c r="H111" s="219">
        <v>974139.67999999993</v>
      </c>
      <c r="I111" s="219">
        <v>753119.71</v>
      </c>
      <c r="J111" s="301">
        <v>221019.97</v>
      </c>
    </row>
    <row r="112" spans="2:10" outlineLevel="1" x14ac:dyDescent="0.35">
      <c r="B112" s="487"/>
      <c r="C112" s="490"/>
      <c r="D112" s="236" t="s">
        <v>47</v>
      </c>
      <c r="E112" s="219">
        <v>3</v>
      </c>
      <c r="F112" s="219">
        <v>3</v>
      </c>
      <c r="G112" s="219">
        <v>6597233.1500000004</v>
      </c>
      <c r="H112" s="219">
        <v>1065034.6399999999</v>
      </c>
      <c r="I112" s="219">
        <v>456313.44</v>
      </c>
      <c r="J112" s="301">
        <v>608721.19999999995</v>
      </c>
    </row>
    <row r="113" spans="2:11" outlineLevel="1" x14ac:dyDescent="0.35">
      <c r="B113" s="487"/>
      <c r="C113" s="490"/>
      <c r="D113" s="236" t="s">
        <v>40</v>
      </c>
      <c r="E113" s="219">
        <v>11</v>
      </c>
      <c r="F113" s="219">
        <v>11</v>
      </c>
      <c r="G113" s="219">
        <v>27467334.5</v>
      </c>
      <c r="H113" s="219">
        <v>4035955.5200000009</v>
      </c>
      <c r="I113" s="219">
        <v>1523614.98</v>
      </c>
      <c r="J113" s="301">
        <v>2512340.54</v>
      </c>
    </row>
    <row r="114" spans="2:11" outlineLevel="1" x14ac:dyDescent="0.35">
      <c r="B114" s="487"/>
      <c r="C114" s="490"/>
      <c r="D114" s="236" t="s">
        <v>39</v>
      </c>
      <c r="E114" s="219">
        <v>43</v>
      </c>
      <c r="F114" s="219">
        <v>42</v>
      </c>
      <c r="G114" s="219">
        <v>101447004.35000004</v>
      </c>
      <c r="H114" s="219">
        <v>18123470.130000006</v>
      </c>
      <c r="I114" s="219">
        <v>8787708.2800000012</v>
      </c>
      <c r="J114" s="301">
        <v>9335761.8500000015</v>
      </c>
    </row>
    <row r="115" spans="2:11" outlineLevel="1" x14ac:dyDescent="0.35">
      <c r="B115" s="487"/>
      <c r="C115" s="490"/>
      <c r="D115" s="236" t="s">
        <v>38</v>
      </c>
      <c r="E115" s="219">
        <v>12</v>
      </c>
      <c r="F115" s="219">
        <v>12</v>
      </c>
      <c r="G115" s="219">
        <v>88527800</v>
      </c>
      <c r="H115" s="219">
        <v>15522332.359999999</v>
      </c>
      <c r="I115" s="219">
        <v>11033577.100000001</v>
      </c>
      <c r="J115" s="301">
        <v>4488755.26</v>
      </c>
    </row>
    <row r="116" spans="2:11" x14ac:dyDescent="0.35">
      <c r="B116" s="488"/>
      <c r="C116" s="491"/>
      <c r="D116" s="347" t="s">
        <v>248</v>
      </c>
      <c r="E116" s="383">
        <f t="shared" ref="E116:J116" si="18">SUM(E109:E115)</f>
        <v>81</v>
      </c>
      <c r="F116" s="383">
        <f t="shared" si="18"/>
        <v>80</v>
      </c>
      <c r="G116" s="383">
        <f t="shared" si="18"/>
        <v>257044746.40000004</v>
      </c>
      <c r="H116" s="383">
        <f t="shared" si="18"/>
        <v>44292176.480000004</v>
      </c>
      <c r="I116" s="382">
        <f t="shared" si="18"/>
        <v>24633854.300000004</v>
      </c>
      <c r="J116" s="381">
        <f t="shared" si="18"/>
        <v>19658322.18</v>
      </c>
    </row>
    <row r="117" spans="2:11" outlineLevel="1" x14ac:dyDescent="0.35">
      <c r="B117" s="487" t="s">
        <v>247</v>
      </c>
      <c r="C117" s="490" t="s">
        <v>246</v>
      </c>
      <c r="D117" s="236" t="s">
        <v>36</v>
      </c>
      <c r="E117" s="219">
        <v>38</v>
      </c>
      <c r="F117" s="219">
        <v>34</v>
      </c>
      <c r="G117" s="219">
        <v>170554042.68000001</v>
      </c>
      <c r="H117" s="219">
        <v>30064869.470000014</v>
      </c>
      <c r="I117" s="219">
        <v>13683028.170000002</v>
      </c>
      <c r="J117" s="301">
        <v>16381841.300000004</v>
      </c>
    </row>
    <row r="118" spans="2:11" outlineLevel="1" x14ac:dyDescent="0.35">
      <c r="B118" s="487"/>
      <c r="C118" s="490"/>
      <c r="D118" s="236" t="s">
        <v>35</v>
      </c>
      <c r="E118" s="219">
        <v>24</v>
      </c>
      <c r="F118" s="219">
        <v>24</v>
      </c>
      <c r="G118" s="219">
        <v>130468822.59999999</v>
      </c>
      <c r="H118" s="219">
        <v>21612949.300000001</v>
      </c>
      <c r="I118" s="219">
        <v>10732159.969999999</v>
      </c>
      <c r="J118" s="301">
        <v>10880789.330000002</v>
      </c>
    </row>
    <row r="119" spans="2:11" outlineLevel="1" x14ac:dyDescent="0.35">
      <c r="B119" s="487"/>
      <c r="C119" s="490"/>
      <c r="D119" s="236" t="s">
        <v>34</v>
      </c>
      <c r="E119" s="219">
        <v>4</v>
      </c>
      <c r="F119" s="219">
        <v>4</v>
      </c>
      <c r="G119" s="219">
        <v>43254646.5</v>
      </c>
      <c r="H119" s="219">
        <v>6420901.5000000009</v>
      </c>
      <c r="I119" s="219">
        <v>2730395.25</v>
      </c>
      <c r="J119" s="301">
        <v>3690506.25</v>
      </c>
    </row>
    <row r="120" spans="2:11" outlineLevel="1" x14ac:dyDescent="0.35">
      <c r="B120" s="487"/>
      <c r="C120" s="490"/>
      <c r="D120" s="236" t="s">
        <v>33</v>
      </c>
      <c r="E120" s="219">
        <v>23</v>
      </c>
      <c r="F120" s="219">
        <v>22</v>
      </c>
      <c r="G120" s="219">
        <v>101301498.5</v>
      </c>
      <c r="H120" s="219">
        <v>12895982.100000001</v>
      </c>
      <c r="I120" s="219">
        <v>3649250.4699999997</v>
      </c>
      <c r="J120" s="301">
        <v>9246731.6300000008</v>
      </c>
    </row>
    <row r="121" spans="2:11" x14ac:dyDescent="0.35">
      <c r="B121" s="488"/>
      <c r="C121" s="491"/>
      <c r="D121" s="347" t="s">
        <v>245</v>
      </c>
      <c r="E121" s="383">
        <f t="shared" ref="E121:J121" si="19">SUM(E117:E120)</f>
        <v>89</v>
      </c>
      <c r="F121" s="383">
        <f t="shared" si="19"/>
        <v>84</v>
      </c>
      <c r="G121" s="383">
        <f t="shared" si="19"/>
        <v>445579010.27999997</v>
      </c>
      <c r="H121" s="383">
        <f t="shared" si="19"/>
        <v>70994702.370000005</v>
      </c>
      <c r="I121" s="382">
        <f t="shared" si="19"/>
        <v>30794833.859999999</v>
      </c>
      <c r="J121" s="381">
        <f t="shared" si="19"/>
        <v>40199868.510000005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298"/>
      <c r="K122" s="297"/>
    </row>
    <row r="123" spans="2:11" outlineLevel="1" x14ac:dyDescent="0.35">
      <c r="B123" s="492"/>
      <c r="C123" s="485"/>
      <c r="D123" s="225" t="s">
        <v>145</v>
      </c>
      <c r="E123" s="219">
        <f t="shared" ref="E123:J123" si="20">SUM(E124:E127)</f>
        <v>8</v>
      </c>
      <c r="F123" s="219">
        <f t="shared" si="20"/>
        <v>7</v>
      </c>
      <c r="G123" s="219">
        <f t="shared" si="20"/>
        <v>99709079</v>
      </c>
      <c r="H123" s="219">
        <f t="shared" si="20"/>
        <v>23110165.599999998</v>
      </c>
      <c r="I123" s="219">
        <f t="shared" si="20"/>
        <v>16593191.329999998</v>
      </c>
      <c r="J123" s="296">
        <f t="shared" si="20"/>
        <v>6516974.2700000005</v>
      </c>
    </row>
    <row r="124" spans="2:11" hidden="1" outlineLevel="2" x14ac:dyDescent="0.35">
      <c r="B124" s="492"/>
      <c r="C124" s="485"/>
      <c r="D124" s="222" t="s">
        <v>144</v>
      </c>
      <c r="E124" s="219">
        <v>7</v>
      </c>
      <c r="F124" s="219">
        <v>6</v>
      </c>
      <c r="G124" s="219">
        <v>81978863</v>
      </c>
      <c r="H124" s="219">
        <v>19564122.399999999</v>
      </c>
      <c r="I124" s="219">
        <v>14470169.329999998</v>
      </c>
      <c r="J124" s="296">
        <v>5093953.07</v>
      </c>
    </row>
    <row r="125" spans="2:11" hidden="1" outlineLevel="2" x14ac:dyDescent="0.35">
      <c r="B125" s="492"/>
      <c r="C125" s="485"/>
      <c r="D125" s="223" t="s">
        <v>143</v>
      </c>
      <c r="E125" s="219">
        <v>1</v>
      </c>
      <c r="F125" s="219">
        <v>1</v>
      </c>
      <c r="G125" s="219">
        <v>17730216</v>
      </c>
      <c r="H125" s="219">
        <v>3546043.2</v>
      </c>
      <c r="I125" s="219">
        <v>2123022</v>
      </c>
      <c r="J125" s="296">
        <v>1423021.2</v>
      </c>
    </row>
    <row r="126" spans="2:11" hidden="1" outlineLevel="2" x14ac:dyDescent="0.35">
      <c r="B126" s="492"/>
      <c r="C126" s="485"/>
      <c r="D126" s="223" t="s">
        <v>142</v>
      </c>
      <c r="E126" s="219">
        <v>0</v>
      </c>
      <c r="F126" s="219">
        <v>0</v>
      </c>
      <c r="G126" s="219">
        <v>0</v>
      </c>
      <c r="H126" s="219">
        <v>0</v>
      </c>
      <c r="I126" s="219">
        <v>0</v>
      </c>
      <c r="J126" s="296">
        <v>0</v>
      </c>
    </row>
    <row r="127" spans="2:11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296">
        <v>0</v>
      </c>
    </row>
    <row r="128" spans="2:11" outlineLevel="1" collapsed="1" x14ac:dyDescent="0.35">
      <c r="B128" s="492"/>
      <c r="C128" s="485"/>
      <c r="D128" s="221" t="s">
        <v>121</v>
      </c>
      <c r="E128" s="219">
        <f t="shared" ref="E128:J128" si="21">SUM(E129:E162)</f>
        <v>470</v>
      </c>
      <c r="F128" s="219">
        <f t="shared" si="21"/>
        <v>191</v>
      </c>
      <c r="G128" s="219">
        <f t="shared" si="21"/>
        <v>362375393.20999992</v>
      </c>
      <c r="H128" s="219">
        <f t="shared" si="21"/>
        <v>143017760.98000005</v>
      </c>
      <c r="I128" s="219">
        <f t="shared" si="21"/>
        <v>111928361.77000001</v>
      </c>
      <c r="J128" s="296">
        <f t="shared" si="21"/>
        <v>31089399.210000001</v>
      </c>
    </row>
    <row r="129" spans="2:10" hidden="1" outlineLevel="2" x14ac:dyDescent="0.35">
      <c r="B129" s="492"/>
      <c r="C129" s="485"/>
      <c r="D129" s="224" t="s">
        <v>119</v>
      </c>
      <c r="E129" s="219">
        <f>SUM(E130:E163)</f>
        <v>276</v>
      </c>
      <c r="F129" s="219">
        <v>3</v>
      </c>
      <c r="G129" s="219">
        <v>4762578.09</v>
      </c>
      <c r="H129" s="219">
        <v>2163095.9900000002</v>
      </c>
      <c r="I129" s="219">
        <v>1687743.23</v>
      </c>
      <c r="J129" s="296">
        <v>475352.76</v>
      </c>
    </row>
    <row r="130" spans="2:10" hidden="1" outlineLevel="2" x14ac:dyDescent="0.35">
      <c r="B130" s="492"/>
      <c r="C130" s="485"/>
      <c r="D130" s="223" t="s">
        <v>118</v>
      </c>
      <c r="E130" s="219">
        <v>5</v>
      </c>
      <c r="F130" s="219">
        <v>5</v>
      </c>
      <c r="G130" s="219">
        <v>6953135.6099999994</v>
      </c>
      <c r="H130" s="219">
        <v>2638434.46</v>
      </c>
      <c r="I130" s="219">
        <v>2038195.99</v>
      </c>
      <c r="J130" s="296">
        <v>600238.47</v>
      </c>
    </row>
    <row r="131" spans="2:10" hidden="1" outlineLevel="2" x14ac:dyDescent="0.35">
      <c r="B131" s="492"/>
      <c r="C131" s="485"/>
      <c r="D131" s="223" t="s">
        <v>117</v>
      </c>
      <c r="E131" s="219">
        <v>2</v>
      </c>
      <c r="F131" s="219">
        <v>2</v>
      </c>
      <c r="G131" s="219">
        <v>2355454.86</v>
      </c>
      <c r="H131" s="219">
        <v>1177727.3999999999</v>
      </c>
      <c r="I131" s="219">
        <v>941981.7</v>
      </c>
      <c r="J131" s="296">
        <v>235745.7</v>
      </c>
    </row>
    <row r="132" spans="2:10" hidden="1" outlineLevel="2" x14ac:dyDescent="0.35">
      <c r="B132" s="492"/>
      <c r="C132" s="485"/>
      <c r="D132" s="223" t="s">
        <v>116</v>
      </c>
      <c r="E132" s="219">
        <v>1</v>
      </c>
      <c r="F132" s="219">
        <v>1</v>
      </c>
      <c r="G132" s="219">
        <v>4291441.7</v>
      </c>
      <c r="H132" s="219">
        <v>858288.34</v>
      </c>
      <c r="I132" s="219">
        <v>429148.84</v>
      </c>
      <c r="J132" s="296">
        <v>429139.5</v>
      </c>
    </row>
    <row r="133" spans="2:10" hidden="1" outlineLevel="2" x14ac:dyDescent="0.35">
      <c r="B133" s="492"/>
      <c r="C133" s="485"/>
      <c r="D133" s="223" t="s">
        <v>114</v>
      </c>
      <c r="E133" s="219">
        <v>8</v>
      </c>
      <c r="F133" s="219">
        <v>8</v>
      </c>
      <c r="G133" s="219">
        <v>9780582.9299999997</v>
      </c>
      <c r="H133" s="219">
        <v>3970724.9699999997</v>
      </c>
      <c r="I133" s="219">
        <v>3177560.7700000005</v>
      </c>
      <c r="J133" s="296">
        <v>793164.20000000007</v>
      </c>
    </row>
    <row r="134" spans="2:10" hidden="1" outlineLevel="2" x14ac:dyDescent="0.35">
      <c r="B134" s="492"/>
      <c r="C134" s="485"/>
      <c r="D134" s="223" t="s">
        <v>113</v>
      </c>
      <c r="E134" s="219">
        <v>5</v>
      </c>
      <c r="F134" s="219">
        <v>5</v>
      </c>
      <c r="G134" s="219">
        <v>6604740.5600000005</v>
      </c>
      <c r="H134" s="219">
        <v>3302370.3000000003</v>
      </c>
      <c r="I134" s="219">
        <v>2665218.1899999995</v>
      </c>
      <c r="J134" s="296">
        <v>637152.11</v>
      </c>
    </row>
    <row r="135" spans="2:10" hidden="1" outlineLevel="2" x14ac:dyDescent="0.35">
      <c r="B135" s="492"/>
      <c r="C135" s="485"/>
      <c r="D135" s="223" t="s">
        <v>112</v>
      </c>
      <c r="E135" s="219">
        <v>9</v>
      </c>
      <c r="F135" s="219">
        <v>9</v>
      </c>
      <c r="G135" s="219">
        <v>17301839.509999998</v>
      </c>
      <c r="H135" s="219">
        <v>8292296.0700000003</v>
      </c>
      <c r="I135" s="219">
        <v>6726492.3700000001</v>
      </c>
      <c r="J135" s="296">
        <v>1565803.7000000002</v>
      </c>
    </row>
    <row r="136" spans="2:10" hidden="1" outlineLevel="2" x14ac:dyDescent="0.35">
      <c r="B136" s="492"/>
      <c r="C136" s="485"/>
      <c r="D136" s="223" t="s">
        <v>111</v>
      </c>
      <c r="E136" s="219">
        <v>6</v>
      </c>
      <c r="F136" s="219">
        <v>5</v>
      </c>
      <c r="G136" s="219">
        <v>19856451.199999999</v>
      </c>
      <c r="H136" s="219">
        <v>8273150.0699999984</v>
      </c>
      <c r="I136" s="219">
        <v>6603820.0899999999</v>
      </c>
      <c r="J136" s="296">
        <v>1669329.9800000002</v>
      </c>
    </row>
    <row r="137" spans="2:10" hidden="1" outlineLevel="2" x14ac:dyDescent="0.35">
      <c r="B137" s="492"/>
      <c r="C137" s="485"/>
      <c r="D137" s="222" t="s">
        <v>109</v>
      </c>
      <c r="E137" s="219">
        <v>14</v>
      </c>
      <c r="F137" s="219">
        <v>13</v>
      </c>
      <c r="G137" s="219">
        <v>19927584.75</v>
      </c>
      <c r="H137" s="219">
        <v>9062395.1900000013</v>
      </c>
      <c r="I137" s="219">
        <v>7250289.1499999994</v>
      </c>
      <c r="J137" s="296">
        <v>1812106.04</v>
      </c>
    </row>
    <row r="138" spans="2:10" hidden="1" outlineLevel="2" x14ac:dyDescent="0.35">
      <c r="B138" s="492"/>
      <c r="C138" s="485"/>
      <c r="D138" s="222" t="s">
        <v>108</v>
      </c>
      <c r="E138" s="219">
        <v>54</v>
      </c>
      <c r="F138" s="219">
        <v>52</v>
      </c>
      <c r="G138" s="219">
        <v>75123599.969999999</v>
      </c>
      <c r="H138" s="219">
        <v>36610692.720000006</v>
      </c>
      <c r="I138" s="219">
        <v>29872681.389999993</v>
      </c>
      <c r="J138" s="296">
        <v>6738011.3299999991</v>
      </c>
    </row>
    <row r="139" spans="2:10" hidden="1" outlineLevel="2" x14ac:dyDescent="0.35">
      <c r="B139" s="492"/>
      <c r="C139" s="485"/>
      <c r="D139" s="222" t="s">
        <v>107</v>
      </c>
      <c r="E139" s="219">
        <v>15</v>
      </c>
      <c r="F139" s="219">
        <v>15</v>
      </c>
      <c r="G139" s="219">
        <v>21721891.829999998</v>
      </c>
      <c r="H139" s="219">
        <v>10465948.91</v>
      </c>
      <c r="I139" s="219">
        <v>8457657.7799999993</v>
      </c>
      <c r="J139" s="296">
        <v>2008291.13</v>
      </c>
    </row>
    <row r="140" spans="2:10" hidden="1" outlineLevel="2" x14ac:dyDescent="0.35">
      <c r="B140" s="492"/>
      <c r="C140" s="485"/>
      <c r="D140" s="222" t="s">
        <v>106</v>
      </c>
      <c r="E140" s="219">
        <v>4</v>
      </c>
      <c r="F140" s="219">
        <v>4</v>
      </c>
      <c r="G140" s="219">
        <v>17757471.25</v>
      </c>
      <c r="H140" s="219">
        <v>6638305.5600000005</v>
      </c>
      <c r="I140" s="219">
        <v>4867189.78</v>
      </c>
      <c r="J140" s="296">
        <v>1771115.78</v>
      </c>
    </row>
    <row r="141" spans="2:10" hidden="1" outlineLevel="2" x14ac:dyDescent="0.35">
      <c r="B141" s="492"/>
      <c r="C141" s="485"/>
      <c r="D141" s="222" t="s">
        <v>104</v>
      </c>
      <c r="E141" s="219">
        <v>1</v>
      </c>
      <c r="F141" s="219">
        <v>1</v>
      </c>
      <c r="G141" s="219">
        <v>1552520.18</v>
      </c>
      <c r="H141" s="219">
        <v>310504.03999999998</v>
      </c>
      <c r="I141" s="219">
        <v>155621.62</v>
      </c>
      <c r="J141" s="296">
        <v>154882.42000000001</v>
      </c>
    </row>
    <row r="142" spans="2:10" hidden="1" outlineLevel="2" x14ac:dyDescent="0.35">
      <c r="B142" s="492"/>
      <c r="C142" s="485"/>
      <c r="D142" s="222" t="s">
        <v>103</v>
      </c>
      <c r="E142" s="219">
        <v>3</v>
      </c>
      <c r="F142" s="219">
        <v>3</v>
      </c>
      <c r="G142" s="219">
        <v>7328969.6800000006</v>
      </c>
      <c r="H142" s="219">
        <v>2931587.84</v>
      </c>
      <c r="I142" s="219">
        <v>2333890.4500000002</v>
      </c>
      <c r="J142" s="296">
        <v>597697.39</v>
      </c>
    </row>
    <row r="143" spans="2:10" hidden="1" outlineLevel="2" x14ac:dyDescent="0.35">
      <c r="B143" s="492"/>
      <c r="C143" s="485"/>
      <c r="D143" s="222" t="s">
        <v>102</v>
      </c>
      <c r="E143" s="219">
        <v>1</v>
      </c>
      <c r="F143" s="219">
        <v>1</v>
      </c>
      <c r="G143" s="219">
        <v>2159445.4900000002</v>
      </c>
      <c r="H143" s="219">
        <v>863778.2</v>
      </c>
      <c r="I143" s="219">
        <v>649984.1</v>
      </c>
      <c r="J143" s="296">
        <v>213794.1</v>
      </c>
    </row>
    <row r="144" spans="2:10" hidden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296">
        <v>0</v>
      </c>
    </row>
    <row r="145" spans="2:10" hidden="1" outlineLevel="2" x14ac:dyDescent="0.35">
      <c r="B145" s="492"/>
      <c r="C145" s="485"/>
      <c r="D145" s="223" t="s">
        <v>99</v>
      </c>
      <c r="E145" s="219">
        <v>5</v>
      </c>
      <c r="F145" s="219">
        <v>5</v>
      </c>
      <c r="G145" s="219">
        <v>9307162.3900000006</v>
      </c>
      <c r="H145" s="219">
        <v>3264824.4899999998</v>
      </c>
      <c r="I145" s="219">
        <v>2504792.3899999997</v>
      </c>
      <c r="J145" s="296">
        <v>760032.1</v>
      </c>
    </row>
    <row r="146" spans="2:10" hidden="1" outlineLevel="2" x14ac:dyDescent="0.35">
      <c r="B146" s="492"/>
      <c r="C146" s="485"/>
      <c r="D146" s="223" t="s">
        <v>98</v>
      </c>
      <c r="E146" s="219">
        <v>2</v>
      </c>
      <c r="F146" s="219">
        <v>2</v>
      </c>
      <c r="G146" s="219">
        <v>2690385.48</v>
      </c>
      <c r="H146" s="219">
        <v>1076154.2</v>
      </c>
      <c r="I146" s="219">
        <v>965360.55</v>
      </c>
      <c r="J146" s="296">
        <v>110793.65000000001</v>
      </c>
    </row>
    <row r="147" spans="2:10" hidden="1" outlineLevel="2" x14ac:dyDescent="0.35">
      <c r="B147" s="492"/>
      <c r="C147" s="485"/>
      <c r="D147" s="223" t="s">
        <v>97</v>
      </c>
      <c r="E147" s="219">
        <v>2</v>
      </c>
      <c r="F147" s="219">
        <v>2</v>
      </c>
      <c r="G147" s="219">
        <v>3989061.99</v>
      </c>
      <c r="H147" s="219">
        <v>1398322.33</v>
      </c>
      <c r="I147" s="219">
        <v>1199052.81</v>
      </c>
      <c r="J147" s="296">
        <v>199269.52000000002</v>
      </c>
    </row>
    <row r="148" spans="2:10" hidden="1" outlineLevel="2" x14ac:dyDescent="0.35">
      <c r="B148" s="492"/>
      <c r="C148" s="485"/>
      <c r="D148" s="223" t="s">
        <v>96</v>
      </c>
      <c r="E148" s="219">
        <v>0</v>
      </c>
      <c r="F148" s="219">
        <v>0</v>
      </c>
      <c r="G148" s="219">
        <v>0</v>
      </c>
      <c r="H148" s="219">
        <v>0</v>
      </c>
      <c r="I148" s="219">
        <v>0</v>
      </c>
      <c r="J148" s="296">
        <v>0</v>
      </c>
    </row>
    <row r="149" spans="2:10" hidden="1" outlineLevel="2" x14ac:dyDescent="0.35">
      <c r="B149" s="492"/>
      <c r="C149" s="485"/>
      <c r="D149" s="223" t="s">
        <v>94</v>
      </c>
      <c r="E149" s="219">
        <v>2</v>
      </c>
      <c r="F149" s="219">
        <v>2</v>
      </c>
      <c r="G149" s="219">
        <v>3226502.48</v>
      </c>
      <c r="H149" s="219">
        <v>1290601</v>
      </c>
      <c r="I149" s="219">
        <v>969951.09</v>
      </c>
      <c r="J149" s="296">
        <v>320649.90999999997</v>
      </c>
    </row>
    <row r="150" spans="2:10" hidden="1" outlineLevel="2" x14ac:dyDescent="0.35">
      <c r="B150" s="492"/>
      <c r="C150" s="485"/>
      <c r="D150" s="223" t="s">
        <v>93</v>
      </c>
      <c r="E150" s="219">
        <v>2</v>
      </c>
      <c r="F150" s="219">
        <v>2</v>
      </c>
      <c r="G150" s="219">
        <v>3988826</v>
      </c>
      <c r="H150" s="219">
        <v>1398252.6</v>
      </c>
      <c r="I150" s="219">
        <v>999977.78999999992</v>
      </c>
      <c r="J150" s="296">
        <v>398274.81</v>
      </c>
    </row>
    <row r="151" spans="2:10" hidden="1" outlineLevel="2" x14ac:dyDescent="0.35">
      <c r="B151" s="492"/>
      <c r="C151" s="485"/>
      <c r="D151" s="223" t="s">
        <v>92</v>
      </c>
      <c r="E151" s="219">
        <v>2</v>
      </c>
      <c r="F151" s="219">
        <v>2</v>
      </c>
      <c r="G151" s="219">
        <v>6558762.5</v>
      </c>
      <c r="H151" s="219">
        <v>1626805.76</v>
      </c>
      <c r="I151" s="219">
        <v>1222005</v>
      </c>
      <c r="J151" s="296">
        <v>404800.76</v>
      </c>
    </row>
    <row r="152" spans="2:10" hidden="1" outlineLevel="2" x14ac:dyDescent="0.35">
      <c r="B152" s="492"/>
      <c r="C152" s="485"/>
      <c r="D152" s="223" t="s">
        <v>91</v>
      </c>
      <c r="E152" s="219">
        <v>5</v>
      </c>
      <c r="F152" s="219">
        <v>5</v>
      </c>
      <c r="G152" s="219">
        <v>12857841</v>
      </c>
      <c r="H152" s="219">
        <v>4245007.5</v>
      </c>
      <c r="I152" s="219">
        <v>3564568.54</v>
      </c>
      <c r="J152" s="296">
        <v>680438.96</v>
      </c>
    </row>
    <row r="153" spans="2:10" hidden="1" outlineLevel="2" x14ac:dyDescent="0.35">
      <c r="B153" s="492"/>
      <c r="C153" s="485"/>
      <c r="D153" s="223" t="s">
        <v>89</v>
      </c>
      <c r="E153" s="219">
        <v>8</v>
      </c>
      <c r="F153" s="219">
        <v>7</v>
      </c>
      <c r="G153" s="219">
        <v>23412834.260000002</v>
      </c>
      <c r="H153" s="219">
        <v>7586397.8599999994</v>
      </c>
      <c r="I153" s="219">
        <v>5745720.5</v>
      </c>
      <c r="J153" s="296">
        <v>1840677.36</v>
      </c>
    </row>
    <row r="154" spans="2:10" hidden="1" outlineLevel="2" x14ac:dyDescent="0.35">
      <c r="B154" s="492"/>
      <c r="C154" s="485"/>
      <c r="D154" s="223" t="s">
        <v>88</v>
      </c>
      <c r="E154" s="219">
        <v>8</v>
      </c>
      <c r="F154" s="219">
        <v>8</v>
      </c>
      <c r="G154" s="219">
        <v>12323848.15</v>
      </c>
      <c r="H154" s="219">
        <v>4929539.24</v>
      </c>
      <c r="I154" s="219">
        <v>3751966.52</v>
      </c>
      <c r="J154" s="296">
        <v>1177572.72</v>
      </c>
    </row>
    <row r="155" spans="2:10" hidden="1" outlineLevel="2" x14ac:dyDescent="0.35">
      <c r="B155" s="492"/>
      <c r="C155" s="485"/>
      <c r="D155" s="223" t="s">
        <v>87</v>
      </c>
      <c r="E155" s="219">
        <v>7</v>
      </c>
      <c r="F155" s="219">
        <v>6</v>
      </c>
      <c r="G155" s="219">
        <v>19241409.460000001</v>
      </c>
      <c r="H155" s="219">
        <v>6300379.6699999999</v>
      </c>
      <c r="I155" s="219">
        <v>4513714.49</v>
      </c>
      <c r="J155" s="296">
        <v>1786665.18</v>
      </c>
    </row>
    <row r="156" spans="2:10" hidden="1" outlineLevel="2" x14ac:dyDescent="0.35">
      <c r="B156" s="492"/>
      <c r="C156" s="485"/>
      <c r="D156" s="223" t="s">
        <v>86</v>
      </c>
      <c r="E156" s="219">
        <v>8</v>
      </c>
      <c r="F156" s="219">
        <v>8</v>
      </c>
      <c r="G156" s="219">
        <v>17831100.439999998</v>
      </c>
      <c r="H156" s="219">
        <v>7132440.1699999999</v>
      </c>
      <c r="I156" s="219">
        <v>5651988.4299999997</v>
      </c>
      <c r="J156" s="296">
        <v>1480451.74</v>
      </c>
    </row>
    <row r="157" spans="2:10" hidden="1" outlineLevel="2" x14ac:dyDescent="0.35">
      <c r="B157" s="492"/>
      <c r="C157" s="485"/>
      <c r="D157" s="223" t="s">
        <v>84</v>
      </c>
      <c r="E157" s="219">
        <v>4</v>
      </c>
      <c r="F157" s="219">
        <v>4</v>
      </c>
      <c r="G157" s="219">
        <v>9896052.9299999997</v>
      </c>
      <c r="H157" s="219">
        <v>2348925.08</v>
      </c>
      <c r="I157" s="219">
        <v>1895784.28</v>
      </c>
      <c r="J157" s="296">
        <v>453140.8</v>
      </c>
    </row>
    <row r="158" spans="2:10" hidden="1" outlineLevel="2" x14ac:dyDescent="0.35">
      <c r="B158" s="492"/>
      <c r="C158" s="485"/>
      <c r="D158" s="223" t="s">
        <v>83</v>
      </c>
      <c r="E158" s="219">
        <v>0</v>
      </c>
      <c r="F158" s="219">
        <v>0</v>
      </c>
      <c r="G158" s="219">
        <v>0</v>
      </c>
      <c r="H158" s="219">
        <v>0</v>
      </c>
      <c r="I158" s="219">
        <v>0</v>
      </c>
      <c r="J158" s="296">
        <v>0</v>
      </c>
    </row>
    <row r="159" spans="2:10" hidden="1" outlineLevel="2" x14ac:dyDescent="0.35">
      <c r="B159" s="492"/>
      <c r="C159" s="485"/>
      <c r="D159" s="223" t="s">
        <v>82</v>
      </c>
      <c r="E159" s="219">
        <v>1</v>
      </c>
      <c r="F159" s="219">
        <v>1</v>
      </c>
      <c r="G159" s="219">
        <v>2351139.33</v>
      </c>
      <c r="H159" s="219">
        <v>470227.87</v>
      </c>
      <c r="I159" s="219">
        <v>435413.93</v>
      </c>
      <c r="J159" s="296">
        <v>34813.94</v>
      </c>
    </row>
    <row r="160" spans="2:10" hidden="1" outlineLevel="2" x14ac:dyDescent="0.35">
      <c r="B160" s="492"/>
      <c r="C160" s="485"/>
      <c r="D160" s="223" t="s">
        <v>81</v>
      </c>
      <c r="E160" s="219">
        <v>1</v>
      </c>
      <c r="F160" s="219">
        <v>1</v>
      </c>
      <c r="G160" s="219">
        <v>2350235.17</v>
      </c>
      <c r="H160" s="219">
        <v>470047.04</v>
      </c>
      <c r="I160" s="219">
        <v>235963</v>
      </c>
      <c r="J160" s="296">
        <v>234084.04</v>
      </c>
    </row>
    <row r="161" spans="2:10" hidden="1" outlineLevel="2" x14ac:dyDescent="0.35">
      <c r="B161" s="492"/>
      <c r="C161" s="485"/>
      <c r="D161" s="223" t="s">
        <v>79</v>
      </c>
      <c r="E161" s="219">
        <v>9</v>
      </c>
      <c r="F161" s="219">
        <v>9</v>
      </c>
      <c r="G161" s="219">
        <v>14872524.02</v>
      </c>
      <c r="H161" s="219">
        <v>1920536.1099999999</v>
      </c>
      <c r="I161" s="219">
        <v>414627</v>
      </c>
      <c r="J161" s="296">
        <v>1505909.1099999999</v>
      </c>
    </row>
    <row r="162" spans="2:10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296">
        <v>0</v>
      </c>
    </row>
    <row r="163" spans="2:10" outlineLevel="1" collapsed="1" x14ac:dyDescent="0.35">
      <c r="B163" s="492"/>
      <c r="C163" s="485"/>
      <c r="D163" s="221" t="s">
        <v>77</v>
      </c>
      <c r="E163" s="219">
        <f t="shared" ref="E163:J163" si="22">SUM(E164:E185)</f>
        <v>82</v>
      </c>
      <c r="F163" s="219">
        <f t="shared" si="22"/>
        <v>73</v>
      </c>
      <c r="G163" s="219">
        <f t="shared" si="22"/>
        <v>132179180.96999997</v>
      </c>
      <c r="H163" s="219">
        <f t="shared" si="22"/>
        <v>36682952.099999994</v>
      </c>
      <c r="I163" s="219">
        <f t="shared" si="22"/>
        <v>25735213.300000001</v>
      </c>
      <c r="J163" s="296">
        <f t="shared" si="22"/>
        <v>10947738.799999997</v>
      </c>
    </row>
    <row r="164" spans="2:10" hidden="1" outlineLevel="2" x14ac:dyDescent="0.35">
      <c r="B164" s="492"/>
      <c r="C164" s="485"/>
      <c r="D164" s="222" t="s">
        <v>75</v>
      </c>
      <c r="E164" s="219">
        <v>5</v>
      </c>
      <c r="F164" s="219">
        <v>4</v>
      </c>
      <c r="G164" s="219">
        <v>7622398.2799999993</v>
      </c>
      <c r="H164" s="219">
        <v>2483566.14</v>
      </c>
      <c r="I164" s="219">
        <v>2051933.53</v>
      </c>
      <c r="J164" s="296">
        <v>431632.61</v>
      </c>
    </row>
    <row r="165" spans="2:10" hidden="1" outlineLevel="2" x14ac:dyDescent="0.35">
      <c r="B165" s="492"/>
      <c r="C165" s="485"/>
      <c r="D165" s="222" t="s">
        <v>74</v>
      </c>
      <c r="E165" s="219">
        <v>16</v>
      </c>
      <c r="F165" s="219">
        <v>8</v>
      </c>
      <c r="G165" s="219">
        <v>25147243.949999999</v>
      </c>
      <c r="H165" s="219">
        <v>7763141.8299999991</v>
      </c>
      <c r="I165" s="219">
        <v>5456651.9900000002</v>
      </c>
      <c r="J165" s="296">
        <v>2306489.84</v>
      </c>
    </row>
    <row r="166" spans="2:10" hidden="1" outlineLevel="2" x14ac:dyDescent="0.35">
      <c r="B166" s="492"/>
      <c r="C166" s="485"/>
      <c r="D166" s="222" t="s">
        <v>73</v>
      </c>
      <c r="E166" s="219">
        <v>1</v>
      </c>
      <c r="F166" s="219">
        <v>1</v>
      </c>
      <c r="G166" s="219">
        <v>1840324.66</v>
      </c>
      <c r="H166" s="219">
        <v>736129.86</v>
      </c>
      <c r="I166" s="219">
        <v>368540</v>
      </c>
      <c r="J166" s="296">
        <v>367589.86</v>
      </c>
    </row>
    <row r="167" spans="2:10" hidden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296">
        <v>0</v>
      </c>
    </row>
    <row r="168" spans="2:10" hidden="1" outlineLevel="2" x14ac:dyDescent="0.35">
      <c r="B168" s="492"/>
      <c r="C168" s="485"/>
      <c r="D168" s="222" t="s">
        <v>70</v>
      </c>
      <c r="E168" s="219">
        <v>7</v>
      </c>
      <c r="F168" s="219">
        <v>7</v>
      </c>
      <c r="G168" s="219">
        <v>11436565.58</v>
      </c>
      <c r="H168" s="219">
        <v>3921774.8800000004</v>
      </c>
      <c r="I168" s="219">
        <v>2852272.78</v>
      </c>
      <c r="J168" s="296">
        <v>1069502.0999999999</v>
      </c>
    </row>
    <row r="169" spans="2:10" hidden="1" outlineLevel="2" x14ac:dyDescent="0.35">
      <c r="B169" s="492"/>
      <c r="C169" s="485"/>
      <c r="D169" s="222" t="s">
        <v>69</v>
      </c>
      <c r="E169" s="219">
        <v>6</v>
      </c>
      <c r="F169" s="219">
        <v>6</v>
      </c>
      <c r="G169" s="219">
        <v>9904928.4500000011</v>
      </c>
      <c r="H169" s="219">
        <v>3299682</v>
      </c>
      <c r="I169" s="219">
        <v>2589847.1500000004</v>
      </c>
      <c r="J169" s="296">
        <v>709834.85</v>
      </c>
    </row>
    <row r="170" spans="2:10" hidden="1" outlineLevel="2" x14ac:dyDescent="0.35">
      <c r="B170" s="492"/>
      <c r="C170" s="485"/>
      <c r="D170" s="222" t="s">
        <v>68</v>
      </c>
      <c r="E170" s="219">
        <v>7</v>
      </c>
      <c r="F170" s="219">
        <v>7</v>
      </c>
      <c r="G170" s="219">
        <v>11868996.520000001</v>
      </c>
      <c r="H170" s="219">
        <v>4460114.84</v>
      </c>
      <c r="I170" s="219">
        <v>3467197.68</v>
      </c>
      <c r="J170" s="296">
        <v>992917.15999999992</v>
      </c>
    </row>
    <row r="171" spans="2:10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296">
        <v>0</v>
      </c>
    </row>
    <row r="172" spans="2:10" hidden="1" outlineLevel="2" x14ac:dyDescent="0.35">
      <c r="B172" s="492"/>
      <c r="C172" s="485"/>
      <c r="D172" s="222" t="s">
        <v>65</v>
      </c>
      <c r="E172" s="219">
        <v>1</v>
      </c>
      <c r="F172" s="219">
        <v>1</v>
      </c>
      <c r="G172" s="219">
        <v>1553858.67</v>
      </c>
      <c r="H172" s="219">
        <v>310771.73</v>
      </c>
      <c r="I172" s="219">
        <v>260772</v>
      </c>
      <c r="J172" s="296">
        <v>49999.73</v>
      </c>
    </row>
    <row r="173" spans="2:10" hidden="1" outlineLevel="2" x14ac:dyDescent="0.35">
      <c r="B173" s="492"/>
      <c r="C173" s="485"/>
      <c r="D173" s="222" t="s">
        <v>64</v>
      </c>
      <c r="E173" s="219">
        <v>1</v>
      </c>
      <c r="F173" s="219">
        <v>1</v>
      </c>
      <c r="G173" s="219">
        <v>1308993.71</v>
      </c>
      <c r="H173" s="219">
        <v>392698.11</v>
      </c>
      <c r="I173" s="219">
        <v>261805.33</v>
      </c>
      <c r="J173" s="296">
        <v>130892.78</v>
      </c>
    </row>
    <row r="174" spans="2:10" hidden="1" outlineLevel="2" x14ac:dyDescent="0.35">
      <c r="B174" s="492"/>
      <c r="C174" s="485"/>
      <c r="D174" s="222" t="s">
        <v>63</v>
      </c>
      <c r="E174" s="219">
        <v>3</v>
      </c>
      <c r="F174" s="219">
        <v>3</v>
      </c>
      <c r="G174" s="219">
        <v>6815974.2199999997</v>
      </c>
      <c r="H174" s="219">
        <v>1575420.13</v>
      </c>
      <c r="I174" s="219">
        <v>1287947.0699999998</v>
      </c>
      <c r="J174" s="296">
        <v>287473.06</v>
      </c>
    </row>
    <row r="175" spans="2:10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296">
        <v>0</v>
      </c>
    </row>
    <row r="176" spans="2:10" hidden="1" outlineLevel="2" x14ac:dyDescent="0.35">
      <c r="B176" s="492"/>
      <c r="C176" s="485"/>
      <c r="D176" s="222" t="s">
        <v>60</v>
      </c>
      <c r="E176" s="219">
        <v>2</v>
      </c>
      <c r="F176" s="219">
        <v>2</v>
      </c>
      <c r="G176" s="219">
        <v>2859626.71</v>
      </c>
      <c r="H176" s="219">
        <v>715682.77</v>
      </c>
      <c r="I176" s="219">
        <v>501274.25</v>
      </c>
      <c r="J176" s="296">
        <v>214408.52000000002</v>
      </c>
    </row>
    <row r="177" spans="2:10" hidden="1" outlineLevel="2" x14ac:dyDescent="0.35">
      <c r="B177" s="492"/>
      <c r="C177" s="485"/>
      <c r="D177" s="222" t="s">
        <v>59</v>
      </c>
      <c r="E177" s="219">
        <v>16</v>
      </c>
      <c r="F177" s="219">
        <v>16</v>
      </c>
      <c r="G177" s="219">
        <v>23315686</v>
      </c>
      <c r="H177" s="219">
        <v>5289095.5200000005</v>
      </c>
      <c r="I177" s="219">
        <v>3434518.24</v>
      </c>
      <c r="J177" s="296">
        <v>1854577.2799999998</v>
      </c>
    </row>
    <row r="178" spans="2:10" hidden="1" outlineLevel="2" x14ac:dyDescent="0.35">
      <c r="B178" s="492"/>
      <c r="C178" s="485"/>
      <c r="D178" s="222" t="s">
        <v>58</v>
      </c>
      <c r="E178" s="219">
        <v>4</v>
      </c>
      <c r="F178" s="219">
        <v>4</v>
      </c>
      <c r="G178" s="219">
        <v>5862804.5</v>
      </c>
      <c r="H178" s="219">
        <v>1172560.92</v>
      </c>
      <c r="I178" s="219">
        <v>586366.5</v>
      </c>
      <c r="J178" s="296">
        <v>586194.42000000004</v>
      </c>
    </row>
    <row r="179" spans="2:10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296">
        <v>0</v>
      </c>
    </row>
    <row r="180" spans="2:10" hidden="1" outlineLevel="2" x14ac:dyDescent="0.35">
      <c r="B180" s="492"/>
      <c r="C180" s="485"/>
      <c r="D180" s="222" t="s">
        <v>55</v>
      </c>
      <c r="E180" s="219">
        <v>3</v>
      </c>
      <c r="F180" s="219">
        <v>3</v>
      </c>
      <c r="G180" s="219">
        <v>7502789.7100000009</v>
      </c>
      <c r="H180" s="219">
        <v>1500557.94</v>
      </c>
      <c r="I180" s="219">
        <v>750280</v>
      </c>
      <c r="J180" s="296">
        <v>750277.94</v>
      </c>
    </row>
    <row r="181" spans="2:10" hidden="1" outlineLevel="2" x14ac:dyDescent="0.35">
      <c r="B181" s="492"/>
      <c r="C181" s="485"/>
      <c r="D181" s="222" t="s">
        <v>54</v>
      </c>
      <c r="E181" s="219">
        <v>5</v>
      </c>
      <c r="F181" s="219">
        <v>5</v>
      </c>
      <c r="G181" s="219">
        <v>7292223.4099999992</v>
      </c>
      <c r="H181" s="219">
        <v>1596782.4500000002</v>
      </c>
      <c r="I181" s="219">
        <v>1004270.29</v>
      </c>
      <c r="J181" s="296">
        <v>592512.15999999992</v>
      </c>
    </row>
    <row r="182" spans="2:10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296">
        <v>0</v>
      </c>
    </row>
    <row r="183" spans="2:10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296">
        <v>0</v>
      </c>
    </row>
    <row r="184" spans="2:10" hidden="1" outlineLevel="2" x14ac:dyDescent="0.35">
      <c r="B184" s="492"/>
      <c r="C184" s="485"/>
      <c r="D184" s="222" t="s">
        <v>50</v>
      </c>
      <c r="E184" s="219">
        <v>2</v>
      </c>
      <c r="F184" s="219">
        <v>2</v>
      </c>
      <c r="G184" s="219">
        <v>2838792.89</v>
      </c>
      <c r="H184" s="219">
        <v>283879.29000000004</v>
      </c>
      <c r="I184" s="219">
        <v>128832</v>
      </c>
      <c r="J184" s="296">
        <v>155047.29</v>
      </c>
    </row>
    <row r="185" spans="2:10" hidden="1" outlineLevel="2" x14ac:dyDescent="0.35">
      <c r="B185" s="492"/>
      <c r="C185" s="485"/>
      <c r="D185" s="222" t="s">
        <v>49</v>
      </c>
      <c r="E185" s="219">
        <v>3</v>
      </c>
      <c r="F185" s="219">
        <v>3</v>
      </c>
      <c r="G185" s="219">
        <v>5007973.71</v>
      </c>
      <c r="H185" s="219">
        <v>1181093.69</v>
      </c>
      <c r="I185" s="219">
        <v>732704.49</v>
      </c>
      <c r="J185" s="296">
        <v>448389.2</v>
      </c>
    </row>
    <row r="186" spans="2:10" x14ac:dyDescent="0.35">
      <c r="B186" s="492"/>
      <c r="C186" s="485"/>
      <c r="D186" s="347" t="s">
        <v>243</v>
      </c>
      <c r="E186" s="383">
        <f t="shared" ref="E186:J186" si="23">SUM(E163,E128,E123)</f>
        <v>560</v>
      </c>
      <c r="F186" s="383">
        <f t="shared" si="23"/>
        <v>271</v>
      </c>
      <c r="G186" s="383">
        <f t="shared" si="23"/>
        <v>594263653.17999983</v>
      </c>
      <c r="H186" s="383">
        <f t="shared" si="23"/>
        <v>202810878.68000004</v>
      </c>
      <c r="I186" s="382">
        <f t="shared" si="23"/>
        <v>154256766.40000004</v>
      </c>
      <c r="J186" s="381">
        <f t="shared" si="23"/>
        <v>48554112.280000001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J187" si="24">SUM(E188:E190)</f>
        <v>66</v>
      </c>
      <c r="F187" s="219">
        <f t="shared" si="24"/>
        <v>63</v>
      </c>
      <c r="G187" s="219">
        <f t="shared" si="24"/>
        <v>96194478.659999996</v>
      </c>
      <c r="H187" s="219">
        <f t="shared" si="24"/>
        <v>34650971.609999999</v>
      </c>
      <c r="I187" s="219">
        <f t="shared" si="24"/>
        <v>26163310.91</v>
      </c>
      <c r="J187" s="296">
        <f t="shared" si="24"/>
        <v>8487660.6999999993</v>
      </c>
    </row>
    <row r="188" spans="2:10" ht="15" hidden="1" customHeight="1" outlineLevel="2" x14ac:dyDescent="0.35">
      <c r="B188" s="492"/>
      <c r="C188" s="485"/>
      <c r="D188" s="222" t="s">
        <v>126</v>
      </c>
      <c r="E188" s="219">
        <v>21</v>
      </c>
      <c r="F188" s="219">
        <v>19</v>
      </c>
      <c r="G188" s="219">
        <v>28022432.659999996</v>
      </c>
      <c r="H188" s="219">
        <v>9961006.1599999983</v>
      </c>
      <c r="I188" s="219">
        <v>7299755.6500000004</v>
      </c>
      <c r="J188" s="296">
        <v>2661250.5099999993</v>
      </c>
    </row>
    <row r="189" spans="2:10" ht="15" hidden="1" customHeight="1" outlineLevel="2" x14ac:dyDescent="0.35">
      <c r="B189" s="492"/>
      <c r="C189" s="485"/>
      <c r="D189" s="222" t="s">
        <v>125</v>
      </c>
      <c r="E189" s="219">
        <v>14</v>
      </c>
      <c r="F189" s="219">
        <v>14</v>
      </c>
      <c r="G189" s="219">
        <v>26533460.189999998</v>
      </c>
      <c r="H189" s="219">
        <v>8650722.6900000013</v>
      </c>
      <c r="I189" s="219">
        <v>6660000.6500000004</v>
      </c>
      <c r="J189" s="296">
        <v>1990722.04</v>
      </c>
    </row>
    <row r="190" spans="2:10" ht="15" hidden="1" customHeight="1" outlineLevel="2" x14ac:dyDescent="0.35">
      <c r="B190" s="492"/>
      <c r="C190" s="485"/>
      <c r="D190" s="222" t="s">
        <v>124</v>
      </c>
      <c r="E190" s="219">
        <v>31</v>
      </c>
      <c r="F190" s="219">
        <v>30</v>
      </c>
      <c r="G190" s="219">
        <v>41638585.81000001</v>
      </c>
      <c r="H190" s="219">
        <v>16039242.76</v>
      </c>
      <c r="I190" s="219">
        <v>12203554.609999999</v>
      </c>
      <c r="J190" s="296">
        <v>3835688.1499999994</v>
      </c>
    </row>
    <row r="191" spans="2:10" outlineLevel="1" collapsed="1" x14ac:dyDescent="0.35">
      <c r="B191" s="492"/>
      <c r="C191" s="485"/>
      <c r="D191" s="221" t="s">
        <v>46</v>
      </c>
      <c r="E191" s="219">
        <f t="shared" ref="E191:J191" si="25">SUM(E192:E195)</f>
        <v>8</v>
      </c>
      <c r="F191" s="219">
        <f t="shared" si="25"/>
        <v>8</v>
      </c>
      <c r="G191" s="219">
        <f t="shared" si="25"/>
        <v>10235880.48</v>
      </c>
      <c r="H191" s="219">
        <f t="shared" si="25"/>
        <v>2813903.44</v>
      </c>
      <c r="I191" s="219">
        <f t="shared" si="25"/>
        <v>1958534.15</v>
      </c>
      <c r="J191" s="296">
        <f t="shared" si="25"/>
        <v>855369.29</v>
      </c>
    </row>
    <row r="192" spans="2:10" ht="15" hidden="1" customHeight="1" outlineLevel="2" x14ac:dyDescent="0.35">
      <c r="B192" s="492"/>
      <c r="C192" s="485"/>
      <c r="D192" s="222" t="s">
        <v>45</v>
      </c>
      <c r="E192" s="219">
        <v>2</v>
      </c>
      <c r="F192" s="219">
        <v>2</v>
      </c>
      <c r="G192" s="219">
        <v>2477820.87</v>
      </c>
      <c r="H192" s="219">
        <v>681831.91999999993</v>
      </c>
      <c r="I192" s="219">
        <v>536583.15</v>
      </c>
      <c r="J192" s="296">
        <v>145248.76999999999</v>
      </c>
    </row>
    <row r="193" spans="2:10" ht="1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296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19">
        <v>4</v>
      </c>
      <c r="F194" s="219">
        <v>4</v>
      </c>
      <c r="G194" s="219">
        <v>5147775.38</v>
      </c>
      <c r="H194" s="219">
        <v>1544332.63</v>
      </c>
      <c r="I194" s="219">
        <v>1029556</v>
      </c>
      <c r="J194" s="296">
        <v>514776.63</v>
      </c>
    </row>
    <row r="195" spans="2:10" ht="15" hidden="1" customHeight="1" outlineLevel="2" x14ac:dyDescent="0.35">
      <c r="B195" s="492"/>
      <c r="C195" s="485"/>
      <c r="D195" s="222" t="s">
        <v>42</v>
      </c>
      <c r="E195" s="219">
        <v>2</v>
      </c>
      <c r="F195" s="219">
        <v>2</v>
      </c>
      <c r="G195" s="219">
        <v>2610284.23</v>
      </c>
      <c r="H195" s="219">
        <v>587738.89</v>
      </c>
      <c r="I195" s="219">
        <v>392395</v>
      </c>
      <c r="J195" s="296">
        <v>195343.89</v>
      </c>
    </row>
    <row r="196" spans="2:10" x14ac:dyDescent="0.35">
      <c r="B196" s="493"/>
      <c r="C196" s="494"/>
      <c r="D196" s="347" t="s">
        <v>239</v>
      </c>
      <c r="E196" s="383">
        <f t="shared" ref="E196:J196" si="26">SUM(E191,E187)</f>
        <v>74</v>
      </c>
      <c r="F196" s="383">
        <f t="shared" si="26"/>
        <v>71</v>
      </c>
      <c r="G196" s="383">
        <f t="shared" si="26"/>
        <v>106430359.14</v>
      </c>
      <c r="H196" s="383">
        <f t="shared" si="26"/>
        <v>37464875.049999997</v>
      </c>
      <c r="I196" s="382">
        <f t="shared" si="26"/>
        <v>28121845.059999999</v>
      </c>
      <c r="J196" s="381">
        <f t="shared" si="26"/>
        <v>9343029.9899999984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J197" si="27">SUM(E198:E200)</f>
        <v>249</v>
      </c>
      <c r="F197" s="219">
        <f t="shared" si="27"/>
        <v>234</v>
      </c>
      <c r="G197" s="219">
        <f t="shared" si="27"/>
        <v>450073227.15999997</v>
      </c>
      <c r="H197" s="219">
        <f t="shared" si="27"/>
        <v>64834558.479999989</v>
      </c>
      <c r="I197" s="219">
        <f t="shared" si="27"/>
        <v>12609616.600000001</v>
      </c>
      <c r="J197" s="296">
        <f t="shared" si="27"/>
        <v>52224941.87999998</v>
      </c>
    </row>
    <row r="198" spans="2:10" ht="15" hidden="1" customHeight="1" outlineLevel="2" x14ac:dyDescent="0.35">
      <c r="B198" s="492"/>
      <c r="C198" s="485"/>
      <c r="D198" s="222" t="s">
        <v>31</v>
      </c>
      <c r="E198" s="219">
        <v>107</v>
      </c>
      <c r="F198" s="219">
        <v>104</v>
      </c>
      <c r="G198" s="219">
        <v>186325039.53000003</v>
      </c>
      <c r="H198" s="219">
        <v>28028580.019999996</v>
      </c>
      <c r="I198" s="219">
        <v>5368811.0499999998</v>
      </c>
      <c r="J198" s="296">
        <v>22659768.969999988</v>
      </c>
    </row>
    <row r="199" spans="2:10" ht="15" hidden="1" customHeight="1" outlineLevel="2" x14ac:dyDescent="0.35">
      <c r="B199" s="492"/>
      <c r="C199" s="485"/>
      <c r="D199" s="222" t="s">
        <v>30</v>
      </c>
      <c r="E199" s="219">
        <v>80</v>
      </c>
      <c r="F199" s="219">
        <v>76</v>
      </c>
      <c r="G199" s="219">
        <v>143743569.69999993</v>
      </c>
      <c r="H199" s="219">
        <v>21488440.449999996</v>
      </c>
      <c r="I199" s="219">
        <v>5041363.25</v>
      </c>
      <c r="J199" s="296">
        <v>16447077.199999992</v>
      </c>
    </row>
    <row r="200" spans="2:10" ht="15" hidden="1" customHeight="1" outlineLevel="2" x14ac:dyDescent="0.35">
      <c r="B200" s="492"/>
      <c r="C200" s="485"/>
      <c r="D200" s="222" t="s">
        <v>29</v>
      </c>
      <c r="E200" s="219">
        <v>62</v>
      </c>
      <c r="F200" s="219">
        <v>54</v>
      </c>
      <c r="G200" s="219">
        <v>120004617.92999998</v>
      </c>
      <c r="H200" s="219">
        <v>15317538.010000002</v>
      </c>
      <c r="I200" s="219">
        <v>2199442.2999999998</v>
      </c>
      <c r="J200" s="296">
        <v>13118095.710000001</v>
      </c>
    </row>
    <row r="201" spans="2:10" outlineLevel="1" collapsed="1" x14ac:dyDescent="0.35">
      <c r="B201" s="492"/>
      <c r="C201" s="485"/>
      <c r="D201" s="221" t="s">
        <v>28</v>
      </c>
      <c r="E201" s="219">
        <v>28</v>
      </c>
      <c r="F201" s="219">
        <v>26</v>
      </c>
      <c r="G201" s="219">
        <v>166079482.38000003</v>
      </c>
      <c r="H201" s="219">
        <v>23283216.669999998</v>
      </c>
      <c r="I201" s="219">
        <v>7123312.4000000004</v>
      </c>
      <c r="J201" s="296">
        <v>16159904.270000001</v>
      </c>
    </row>
    <row r="202" spans="2:10" outlineLevel="1" x14ac:dyDescent="0.35">
      <c r="B202" s="492"/>
      <c r="C202" s="485"/>
      <c r="D202" s="221" t="s">
        <v>27</v>
      </c>
      <c r="E202" s="219">
        <v>11</v>
      </c>
      <c r="F202" s="219">
        <v>11</v>
      </c>
      <c r="G202" s="219">
        <v>118164406.41000001</v>
      </c>
      <c r="H202" s="219">
        <v>14103095.559999999</v>
      </c>
      <c r="I202" s="219">
        <v>2482951</v>
      </c>
      <c r="J202" s="296">
        <v>11620144.559999999</v>
      </c>
    </row>
    <row r="203" spans="2:10" x14ac:dyDescent="0.35">
      <c r="B203" s="493"/>
      <c r="C203" s="494"/>
      <c r="D203" s="347" t="s">
        <v>236</v>
      </c>
      <c r="E203" s="383">
        <f t="shared" ref="E203:J203" si="28">SUM(E202,E201,E197)</f>
        <v>288</v>
      </c>
      <c r="F203" s="383">
        <f t="shared" si="28"/>
        <v>271</v>
      </c>
      <c r="G203" s="383">
        <f t="shared" si="28"/>
        <v>734317115.95000005</v>
      </c>
      <c r="H203" s="383">
        <f t="shared" si="28"/>
        <v>102220870.70999998</v>
      </c>
      <c r="I203" s="382">
        <f t="shared" si="28"/>
        <v>22215880</v>
      </c>
      <c r="J203" s="381">
        <f t="shared" si="28"/>
        <v>80004990.709999979</v>
      </c>
    </row>
    <row r="204" spans="2:10" ht="15" thickBot="1" x14ac:dyDescent="0.4">
      <c r="B204" s="545" t="s">
        <v>235</v>
      </c>
      <c r="C204" s="546"/>
      <c r="D204" s="339" t="s">
        <v>15</v>
      </c>
      <c r="E204" s="380">
        <f t="shared" ref="E204:J204" si="29">SUM(E203,E186,E121,E108,E75,E41,E116,E196)</f>
        <v>1908</v>
      </c>
      <c r="F204" s="380">
        <f t="shared" si="29"/>
        <v>1532</v>
      </c>
      <c r="G204" s="380">
        <f t="shared" si="29"/>
        <v>4523848856.4800005</v>
      </c>
      <c r="H204" s="380">
        <f t="shared" si="29"/>
        <v>1597602211.1399999</v>
      </c>
      <c r="I204" s="380">
        <f t="shared" si="29"/>
        <v>1194999328.8199997</v>
      </c>
      <c r="J204" s="379">
        <f t="shared" si="29"/>
        <v>402602882.31999999</v>
      </c>
    </row>
    <row r="205" spans="2:10" x14ac:dyDescent="0.35">
      <c r="J205" s="196">
        <f>'Overdue-2'!I204</f>
        <v>403646834.55000001</v>
      </c>
    </row>
    <row r="206" spans="2:10" x14ac:dyDescent="0.35">
      <c r="J206" s="197"/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505" right="0.70866141732283505" top="0.74803149606299202" bottom="0.74803149606299202" header="0.31496062992126" footer="0.31496062992126"/>
  <pageSetup paperSize="8" scale="81" orientation="landscape" r:id="rId1"/>
  <headerFooter alignWithMargins="0">
    <oddHeader>&amp;LSOBHA LLC&amp;C&amp;"Tahoma,Regular"&amp;14
OVERDUE AGEING_ Age calc. from first date of Deliquency_0-30 Days&amp;R&amp;D</oddHeader>
    <oddFooter>&amp;LCOLLECTIONS&amp;R&amp;P/&amp;N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40EC-0D27-499D-A473-E8649502D414}">
  <sheetPr>
    <pageSetUpPr fitToPage="1"/>
  </sheetPr>
  <dimension ref="B1:M205"/>
  <sheetViews>
    <sheetView view="pageBreakPreview" topLeftCell="A41" zoomScale="60" zoomScaleNormal="100" workbookViewId="0"/>
  </sheetViews>
  <sheetFormatPr defaultRowHeight="14.5" outlineLevelRow="2" x14ac:dyDescent="0.35"/>
  <cols>
    <col min="2" max="2" width="28.26953125" bestFit="1" customWidth="1"/>
    <col min="3" max="3" width="6" bestFit="1" customWidth="1"/>
    <col min="4" max="4" width="41.26953125" customWidth="1"/>
    <col min="5" max="5" width="16.26953125" customWidth="1"/>
    <col min="6" max="6" width="23.7265625" bestFit="1" customWidth="1"/>
    <col min="7" max="7" width="20.54296875" bestFit="1" customWidth="1"/>
    <col min="8" max="8" width="20" bestFit="1" customWidth="1"/>
    <col min="9" max="9" width="35.1796875" bestFit="1" customWidth="1"/>
    <col min="10" max="10" width="28.7265625" style="6" bestFit="1" customWidth="1"/>
    <col min="11" max="11" width="6.453125" bestFit="1" customWidth="1"/>
    <col min="12" max="12" width="5.7265625" bestFit="1" customWidth="1"/>
    <col min="13" max="13" width="16.453125" bestFit="1" customWidth="1"/>
  </cols>
  <sheetData>
    <row r="1" spans="2:13" x14ac:dyDescent="0.35">
      <c r="M1" s="290">
        <v>304641440.33999974</v>
      </c>
    </row>
    <row r="3" spans="2:13" x14ac:dyDescent="0.35">
      <c r="B3" s="390">
        <v>46143</v>
      </c>
      <c r="C3" t="s">
        <v>267</v>
      </c>
    </row>
    <row r="4" spans="2:13" ht="15" thickBot="1" x14ac:dyDescent="0.4"/>
    <row r="5" spans="2:13" x14ac:dyDescent="0.35">
      <c r="B5" s="510" t="s">
        <v>276</v>
      </c>
      <c r="C5" s="541"/>
      <c r="D5" s="543" t="s">
        <v>275</v>
      </c>
      <c r="E5" s="534" t="s">
        <v>281</v>
      </c>
      <c r="F5" s="536" t="s">
        <v>280</v>
      </c>
      <c r="G5" s="534" t="s">
        <v>274</v>
      </c>
      <c r="H5" s="516" t="s">
        <v>273</v>
      </c>
      <c r="I5" s="539" t="s">
        <v>289</v>
      </c>
      <c r="J5" s="387" t="s">
        <v>282</v>
      </c>
    </row>
    <row r="6" spans="2:13" x14ac:dyDescent="0.35">
      <c r="B6" s="512"/>
      <c r="C6" s="542"/>
      <c r="D6" s="544"/>
      <c r="E6" s="535"/>
      <c r="F6" s="537"/>
      <c r="G6" s="535"/>
      <c r="H6" s="538"/>
      <c r="I6" s="540"/>
      <c r="J6" s="386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6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26">
        <f t="shared" si="0"/>
        <v>0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6">
        <v>0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6">
        <v>0</v>
      </c>
    </row>
    <row r="11" spans="2:13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6">
        <v>0</v>
      </c>
    </row>
    <row r="12" spans="2:13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6">
        <v>0</v>
      </c>
    </row>
    <row r="13" spans="2:13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26">
        <v>0</v>
      </c>
    </row>
    <row r="14" spans="2:13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6">
        <v>0</v>
      </c>
    </row>
    <row r="15" spans="2:13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6">
        <v>0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26">
        <f t="shared" si="1"/>
        <v>0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6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6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6">
        <v>0</v>
      </c>
    </row>
    <row r="20" spans="2:10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26">
        <v>0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6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26">
        <f t="shared" si="2"/>
        <v>0</v>
      </c>
    </row>
    <row r="23" spans="2:10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21">
        <v>0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21">
        <v>0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21">
        <f t="shared" si="4"/>
        <v>0</v>
      </c>
    </row>
    <row r="35" spans="2:10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21">
        <v>0</v>
      </c>
    </row>
    <row r="36" spans="2:10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21">
        <v>0</v>
      </c>
    </row>
    <row r="37" spans="2:10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21">
        <v>0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2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</row>
    <row r="41" spans="2:10" x14ac:dyDescent="0.35">
      <c r="B41" s="504"/>
      <c r="C41" s="507"/>
      <c r="D41" s="347" t="s">
        <v>259</v>
      </c>
      <c r="E41" s="383">
        <f t="shared" ref="E41:J41" si="5">SUM(E8,E15:E16,E27:E29,E22,E33:E34,E40)</f>
        <v>0</v>
      </c>
      <c r="F41" s="383">
        <f t="shared" si="5"/>
        <v>0</v>
      </c>
      <c r="G41" s="383">
        <f t="shared" si="5"/>
        <v>0</v>
      </c>
      <c r="H41" s="383">
        <f t="shared" si="5"/>
        <v>0</v>
      </c>
      <c r="I41" s="382">
        <f t="shared" si="5"/>
        <v>0</v>
      </c>
      <c r="J41" s="381">
        <f t="shared" si="5"/>
        <v>0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153</v>
      </c>
      <c r="F43" s="219">
        <f t="shared" si="6"/>
        <v>135</v>
      </c>
      <c r="G43" s="219">
        <f t="shared" si="6"/>
        <v>430198773.94000006</v>
      </c>
      <c r="H43" s="219">
        <f t="shared" si="6"/>
        <v>343697200.01999992</v>
      </c>
      <c r="I43" s="219">
        <f t="shared" si="6"/>
        <v>259595913.31</v>
      </c>
      <c r="J43" s="321">
        <f t="shared" si="6"/>
        <v>84101286.709999993</v>
      </c>
    </row>
    <row r="44" spans="2:10" hidden="1" outlineLevel="2" x14ac:dyDescent="0.35">
      <c r="B44" s="487"/>
      <c r="C44" s="490"/>
      <c r="D44" s="262" t="s">
        <v>202</v>
      </c>
      <c r="E44" s="219">
        <v>54</v>
      </c>
      <c r="F44" s="219">
        <v>43</v>
      </c>
      <c r="G44" s="219">
        <v>164656235.03000003</v>
      </c>
      <c r="H44" s="219">
        <v>129111618.99999996</v>
      </c>
      <c r="I44" s="219">
        <v>97245343.910000011</v>
      </c>
      <c r="J44" s="321">
        <v>31866275.09</v>
      </c>
    </row>
    <row r="45" spans="2:10" hidden="1" outlineLevel="2" x14ac:dyDescent="0.35">
      <c r="B45" s="487"/>
      <c r="C45" s="490"/>
      <c r="D45" s="242" t="s">
        <v>201</v>
      </c>
      <c r="E45" s="219">
        <v>54</v>
      </c>
      <c r="F45" s="219">
        <v>50</v>
      </c>
      <c r="G45" s="219">
        <v>118581204.3</v>
      </c>
      <c r="H45" s="219">
        <v>91066302.980000004</v>
      </c>
      <c r="I45" s="219">
        <v>71449831.939999998</v>
      </c>
      <c r="J45" s="321">
        <v>19616471.039999999</v>
      </c>
    </row>
    <row r="46" spans="2:10" hidden="1" outlineLevel="2" x14ac:dyDescent="0.35">
      <c r="B46" s="487"/>
      <c r="C46" s="490"/>
      <c r="D46" s="242" t="s">
        <v>200</v>
      </c>
      <c r="E46" s="219">
        <v>43</v>
      </c>
      <c r="F46" s="219">
        <v>40</v>
      </c>
      <c r="G46" s="219">
        <v>143029016.61000001</v>
      </c>
      <c r="H46" s="219">
        <v>119390344.14</v>
      </c>
      <c r="I46" s="219">
        <v>87762996.949999988</v>
      </c>
      <c r="J46" s="321">
        <v>31627347.18999999</v>
      </c>
    </row>
    <row r="47" spans="2:10" hidden="1" outlineLevel="2" x14ac:dyDescent="0.35">
      <c r="B47" s="487"/>
      <c r="C47" s="490"/>
      <c r="D47" s="242" t="s">
        <v>199</v>
      </c>
      <c r="E47" s="219">
        <v>2</v>
      </c>
      <c r="F47" s="219">
        <v>2</v>
      </c>
      <c r="G47" s="219">
        <v>3932318</v>
      </c>
      <c r="H47" s="219">
        <v>4128933.9000000004</v>
      </c>
      <c r="I47" s="219">
        <v>3137740.51</v>
      </c>
      <c r="J47" s="321">
        <v>991193.39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21">
        <v>0</v>
      </c>
    </row>
    <row r="49" spans="2:10" outlineLevel="1" x14ac:dyDescent="0.35">
      <c r="B49" s="487"/>
      <c r="C49" s="490"/>
      <c r="D49" s="236" t="s">
        <v>189</v>
      </c>
      <c r="E49" s="219">
        <v>18</v>
      </c>
      <c r="F49" s="219">
        <v>18</v>
      </c>
      <c r="G49" s="219">
        <v>50359264.839999996</v>
      </c>
      <c r="H49" s="219">
        <v>25073105.199999999</v>
      </c>
      <c r="I49" s="219">
        <v>20779209.189999998</v>
      </c>
      <c r="J49" s="321">
        <v>4293896.01</v>
      </c>
    </row>
    <row r="50" spans="2:10" outlineLevel="1" x14ac:dyDescent="0.35">
      <c r="B50" s="487"/>
      <c r="C50" s="490"/>
      <c r="D50" s="263" t="s">
        <v>179</v>
      </c>
      <c r="E50" s="219">
        <v>12</v>
      </c>
      <c r="F50" s="219">
        <v>12</v>
      </c>
      <c r="G50" s="219">
        <v>108827865.63</v>
      </c>
      <c r="H50" s="219">
        <v>74503910.719999999</v>
      </c>
      <c r="I50" s="219">
        <v>64857729.07</v>
      </c>
      <c r="J50" s="321">
        <v>9646181.6499999985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6</v>
      </c>
      <c r="F51" s="219">
        <f t="shared" si="7"/>
        <v>2</v>
      </c>
      <c r="G51" s="219">
        <f t="shared" si="7"/>
        <v>158597142</v>
      </c>
      <c r="H51" s="219">
        <f t="shared" si="7"/>
        <v>47579142.600000001</v>
      </c>
      <c r="I51" s="219">
        <f t="shared" si="7"/>
        <v>34686378</v>
      </c>
      <c r="J51" s="321">
        <f t="shared" si="7"/>
        <v>12892764.6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6</v>
      </c>
      <c r="F54" s="219">
        <v>2</v>
      </c>
      <c r="G54" s="219">
        <v>158597142</v>
      </c>
      <c r="H54" s="219">
        <v>47579142.600000001</v>
      </c>
      <c r="I54" s="219">
        <v>34686378</v>
      </c>
      <c r="J54" s="321">
        <v>12892764.6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174</v>
      </c>
      <c r="F56" s="219">
        <f t="shared" si="8"/>
        <v>166</v>
      </c>
      <c r="G56" s="219">
        <f t="shared" si="8"/>
        <v>404892101.25999999</v>
      </c>
      <c r="H56" s="219">
        <f t="shared" si="8"/>
        <v>203772832.90000001</v>
      </c>
      <c r="I56" s="219">
        <f t="shared" si="8"/>
        <v>178165846.73000002</v>
      </c>
      <c r="J56" s="321">
        <f t="shared" si="8"/>
        <v>25606986.169999998</v>
      </c>
    </row>
    <row r="57" spans="2:10" hidden="1" outlineLevel="2" x14ac:dyDescent="0.35">
      <c r="B57" s="487"/>
      <c r="C57" s="490"/>
      <c r="D57" s="242" t="s">
        <v>169</v>
      </c>
      <c r="E57" s="219">
        <v>41</v>
      </c>
      <c r="F57" s="219">
        <v>41</v>
      </c>
      <c r="G57" s="219">
        <v>94182447.220000014</v>
      </c>
      <c r="H57" s="219">
        <v>52811624.600000016</v>
      </c>
      <c r="I57" s="219">
        <v>46103608.859999992</v>
      </c>
      <c r="J57" s="321">
        <v>6708015.7400000002</v>
      </c>
    </row>
    <row r="58" spans="2:10" hidden="1" outlineLevel="2" x14ac:dyDescent="0.35">
      <c r="B58" s="487"/>
      <c r="C58" s="490"/>
      <c r="D58" s="242" t="s">
        <v>168</v>
      </c>
      <c r="E58" s="219">
        <v>26</v>
      </c>
      <c r="F58" s="219">
        <v>23</v>
      </c>
      <c r="G58" s="219">
        <v>65696317.950000003</v>
      </c>
      <c r="H58" s="219">
        <v>36653343.809999995</v>
      </c>
      <c r="I58" s="219">
        <v>34499196.619999997</v>
      </c>
      <c r="J58" s="321">
        <v>2154147.19</v>
      </c>
    </row>
    <row r="59" spans="2:10" hidden="1" outlineLevel="2" x14ac:dyDescent="0.35">
      <c r="B59" s="487"/>
      <c r="C59" s="490"/>
      <c r="D59" s="242" t="s">
        <v>167</v>
      </c>
      <c r="E59" s="219">
        <v>10</v>
      </c>
      <c r="F59" s="219">
        <v>10</v>
      </c>
      <c r="G59" s="219">
        <v>17472123.25</v>
      </c>
      <c r="H59" s="219">
        <v>7752252.8899999997</v>
      </c>
      <c r="I59" s="219">
        <v>6654598.9000000004</v>
      </c>
      <c r="J59" s="321">
        <v>1097653.99</v>
      </c>
    </row>
    <row r="60" spans="2:10" hidden="1" outlineLevel="2" x14ac:dyDescent="0.35">
      <c r="B60" s="487"/>
      <c r="C60" s="490"/>
      <c r="D60" s="242" t="s">
        <v>166</v>
      </c>
      <c r="E60" s="219">
        <v>43</v>
      </c>
      <c r="F60" s="219">
        <v>38</v>
      </c>
      <c r="G60" s="219">
        <v>85145386.87999998</v>
      </c>
      <c r="H60" s="219">
        <v>45874851.54999999</v>
      </c>
      <c r="I60" s="219">
        <v>38578808.029999994</v>
      </c>
      <c r="J60" s="321">
        <v>7296043.5200000005</v>
      </c>
    </row>
    <row r="61" spans="2:10" hidden="1" outlineLevel="2" x14ac:dyDescent="0.35">
      <c r="B61" s="487"/>
      <c r="C61" s="490"/>
      <c r="D61" s="261" t="s">
        <v>165</v>
      </c>
      <c r="E61" s="219">
        <v>26</v>
      </c>
      <c r="F61" s="219">
        <v>26</v>
      </c>
      <c r="G61" s="219">
        <v>57852462.709999993</v>
      </c>
      <c r="H61" s="219">
        <v>30039054.379999999</v>
      </c>
      <c r="I61" s="219">
        <v>27437596.710000001</v>
      </c>
      <c r="J61" s="321">
        <v>2601457.67</v>
      </c>
    </row>
    <row r="62" spans="2:10" hidden="1" outlineLevel="2" x14ac:dyDescent="0.35">
      <c r="B62" s="487"/>
      <c r="C62" s="490"/>
      <c r="D62" s="261" t="s">
        <v>164</v>
      </c>
      <c r="E62" s="219">
        <v>28</v>
      </c>
      <c r="F62" s="219">
        <v>28</v>
      </c>
      <c r="G62" s="219">
        <v>84543363.25</v>
      </c>
      <c r="H62" s="219">
        <v>30641705.670000006</v>
      </c>
      <c r="I62" s="219">
        <v>24892037.609999999</v>
      </c>
      <c r="J62" s="321">
        <v>5749668.0599999987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3</v>
      </c>
      <c r="F63" s="219">
        <f t="shared" si="9"/>
        <v>3</v>
      </c>
      <c r="G63" s="219">
        <f t="shared" si="9"/>
        <v>5561570.7800000003</v>
      </c>
      <c r="H63" s="219">
        <f t="shared" si="9"/>
        <v>2783010.48</v>
      </c>
      <c r="I63" s="219">
        <f t="shared" si="9"/>
        <v>1045664</v>
      </c>
      <c r="J63" s="321">
        <f t="shared" si="9"/>
        <v>1737346.48</v>
      </c>
    </row>
    <row r="64" spans="2:10" hidden="1" outlineLevel="2" x14ac:dyDescent="0.35">
      <c r="B64" s="487"/>
      <c r="C64" s="490"/>
      <c r="D64" s="260" t="s">
        <v>196</v>
      </c>
      <c r="E64" s="219">
        <v>1</v>
      </c>
      <c r="F64" s="219">
        <v>1</v>
      </c>
      <c r="G64" s="219">
        <v>1524030.78</v>
      </c>
      <c r="H64" s="219">
        <v>914418.48</v>
      </c>
      <c r="I64" s="219">
        <v>762014</v>
      </c>
      <c r="J64" s="321">
        <v>152404.48000000001</v>
      </c>
    </row>
    <row r="65" spans="2:10" hidden="1" outlineLevel="2" x14ac:dyDescent="0.35">
      <c r="B65" s="487"/>
      <c r="C65" s="490"/>
      <c r="D65" s="260" t="s">
        <v>195</v>
      </c>
      <c r="E65" s="219">
        <v>2</v>
      </c>
      <c r="F65" s="219">
        <v>2</v>
      </c>
      <c r="G65" s="219">
        <v>4037540</v>
      </c>
      <c r="H65" s="219">
        <v>1868592</v>
      </c>
      <c r="I65" s="219">
        <v>283650</v>
      </c>
      <c r="J65" s="321">
        <v>1584942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48</v>
      </c>
      <c r="F67" s="219">
        <f t="shared" si="10"/>
        <v>48</v>
      </c>
      <c r="G67" s="219">
        <f t="shared" si="10"/>
        <v>145770987.25</v>
      </c>
      <c r="H67" s="219">
        <f t="shared" si="10"/>
        <v>70506792.310000002</v>
      </c>
      <c r="I67" s="219">
        <f t="shared" si="10"/>
        <v>59149052.150000006</v>
      </c>
      <c r="J67" s="321">
        <f t="shared" si="10"/>
        <v>11357740.16</v>
      </c>
    </row>
    <row r="68" spans="2:10" hidden="1" outlineLevel="2" x14ac:dyDescent="0.35">
      <c r="B68" s="487"/>
      <c r="C68" s="490"/>
      <c r="D68" s="260" t="s">
        <v>177</v>
      </c>
      <c r="E68" s="219">
        <v>10</v>
      </c>
      <c r="F68" s="219">
        <v>10</v>
      </c>
      <c r="G68" s="219">
        <v>26444155.75</v>
      </c>
      <c r="H68" s="219">
        <v>13991760.07</v>
      </c>
      <c r="I68" s="219">
        <v>12288850.260000002</v>
      </c>
      <c r="J68" s="321">
        <v>1702909.8099999998</v>
      </c>
    </row>
    <row r="69" spans="2:10" hidden="1" outlineLevel="2" x14ac:dyDescent="0.35">
      <c r="B69" s="487"/>
      <c r="C69" s="490"/>
      <c r="D69" s="260" t="s">
        <v>176</v>
      </c>
      <c r="E69" s="219">
        <v>12</v>
      </c>
      <c r="F69" s="219">
        <v>12</v>
      </c>
      <c r="G69" s="219">
        <v>29529407.850000001</v>
      </c>
      <c r="H69" s="219">
        <v>14193997.440000001</v>
      </c>
      <c r="I69" s="219">
        <v>11845473.359999999</v>
      </c>
      <c r="J69" s="321">
        <v>2348524.08</v>
      </c>
    </row>
    <row r="70" spans="2:10" hidden="1" outlineLevel="2" x14ac:dyDescent="0.35">
      <c r="B70" s="487"/>
      <c r="C70" s="490"/>
      <c r="D70" s="260" t="s">
        <v>175</v>
      </c>
      <c r="E70" s="219">
        <v>4</v>
      </c>
      <c r="F70" s="219">
        <v>4</v>
      </c>
      <c r="G70" s="219">
        <v>11052668.75</v>
      </c>
      <c r="H70" s="219">
        <v>6130423.459999999</v>
      </c>
      <c r="I70" s="219">
        <v>5410093.8699999992</v>
      </c>
      <c r="J70" s="321">
        <v>720329.59</v>
      </c>
    </row>
    <row r="71" spans="2:10" hidden="1" outlineLevel="2" x14ac:dyDescent="0.35">
      <c r="B71" s="487"/>
      <c r="C71" s="490"/>
      <c r="D71" s="260" t="s">
        <v>174</v>
      </c>
      <c r="E71" s="219">
        <v>5</v>
      </c>
      <c r="F71" s="219">
        <v>5</v>
      </c>
      <c r="G71" s="219">
        <v>13994212.35</v>
      </c>
      <c r="H71" s="219">
        <v>5632741.0700000003</v>
      </c>
      <c r="I71" s="219">
        <v>4458137.0200000005</v>
      </c>
      <c r="J71" s="321">
        <v>1174604.0500000003</v>
      </c>
    </row>
    <row r="72" spans="2:10" hidden="1" outlineLevel="2" x14ac:dyDescent="0.35">
      <c r="B72" s="487"/>
      <c r="C72" s="490"/>
      <c r="D72" s="260" t="s">
        <v>173</v>
      </c>
      <c r="E72" s="219">
        <v>11</v>
      </c>
      <c r="F72" s="219">
        <v>11</v>
      </c>
      <c r="G72" s="219">
        <v>28060216.300000001</v>
      </c>
      <c r="H72" s="219">
        <v>14055572.140000001</v>
      </c>
      <c r="I72" s="219">
        <v>11711794.23</v>
      </c>
      <c r="J72" s="321">
        <v>2343777.91</v>
      </c>
    </row>
    <row r="73" spans="2:10" hidden="1" outlineLevel="2" x14ac:dyDescent="0.35">
      <c r="B73" s="487"/>
      <c r="C73" s="490"/>
      <c r="D73" s="260" t="s">
        <v>172</v>
      </c>
      <c r="E73" s="219">
        <v>6</v>
      </c>
      <c r="F73" s="219">
        <v>6</v>
      </c>
      <c r="G73" s="219">
        <v>36690326.25</v>
      </c>
      <c r="H73" s="219">
        <v>16502298.129999999</v>
      </c>
      <c r="I73" s="219">
        <v>13434703.41</v>
      </c>
      <c r="J73" s="321">
        <v>3067594.72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21">
        <v>0</v>
      </c>
    </row>
    <row r="75" spans="2:10" x14ac:dyDescent="0.35">
      <c r="B75" s="488"/>
      <c r="C75" s="491"/>
      <c r="D75" s="347" t="s">
        <v>255</v>
      </c>
      <c r="E75" s="383">
        <f t="shared" ref="E75:J75" si="11">SUM(E43,E48:E51,E56,E63,E67)</f>
        <v>414</v>
      </c>
      <c r="F75" s="383">
        <f t="shared" si="11"/>
        <v>384</v>
      </c>
      <c r="G75" s="383">
        <f t="shared" si="11"/>
        <v>1304207705.7</v>
      </c>
      <c r="H75" s="383">
        <f t="shared" si="11"/>
        <v>767915994.23000002</v>
      </c>
      <c r="I75" s="382">
        <f t="shared" si="11"/>
        <v>618279792.44999993</v>
      </c>
      <c r="J75" s="381">
        <f t="shared" si="11"/>
        <v>149636201.77999997</v>
      </c>
    </row>
    <row r="76" spans="2:10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01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41</v>
      </c>
      <c r="F77" s="219">
        <f t="shared" si="12"/>
        <v>34</v>
      </c>
      <c r="G77" s="219">
        <f t="shared" si="12"/>
        <v>387325929.10000002</v>
      </c>
      <c r="H77" s="219">
        <f t="shared" si="12"/>
        <v>222220831.48999998</v>
      </c>
      <c r="I77" s="219">
        <f t="shared" si="12"/>
        <v>188366771.83000001</v>
      </c>
      <c r="J77" s="321">
        <f t="shared" si="12"/>
        <v>33854059.659999996</v>
      </c>
    </row>
    <row r="78" spans="2:10" hidden="1" outlineLevel="2" x14ac:dyDescent="0.35">
      <c r="B78" s="487"/>
      <c r="C78" s="490"/>
      <c r="D78" s="250" t="s">
        <v>192</v>
      </c>
      <c r="E78" s="219">
        <v>25</v>
      </c>
      <c r="F78" s="219">
        <v>20</v>
      </c>
      <c r="G78" s="219">
        <v>173540870.5</v>
      </c>
      <c r="H78" s="219">
        <v>134275948</v>
      </c>
      <c r="I78" s="219">
        <v>119354538.15000001</v>
      </c>
      <c r="J78" s="321">
        <v>14921409.850000001</v>
      </c>
    </row>
    <row r="79" spans="2:10" hidden="1" outlineLevel="2" x14ac:dyDescent="0.35">
      <c r="B79" s="487"/>
      <c r="C79" s="490"/>
      <c r="D79" s="250" t="s">
        <v>191</v>
      </c>
      <c r="E79" s="219">
        <v>10</v>
      </c>
      <c r="F79" s="219">
        <v>9</v>
      </c>
      <c r="G79" s="219">
        <v>116907572.59999999</v>
      </c>
      <c r="H79" s="219">
        <v>51205145.890000001</v>
      </c>
      <c r="I79" s="219">
        <v>41053329.119999997</v>
      </c>
      <c r="J79" s="321">
        <v>10151816.77</v>
      </c>
    </row>
    <row r="80" spans="2:10" hidden="1" outlineLevel="2" x14ac:dyDescent="0.35">
      <c r="B80" s="487"/>
      <c r="C80" s="490"/>
      <c r="D80" s="250" t="s">
        <v>190</v>
      </c>
      <c r="E80" s="219">
        <v>6</v>
      </c>
      <c r="F80" s="219">
        <v>5</v>
      </c>
      <c r="G80" s="219">
        <v>96877486</v>
      </c>
      <c r="H80" s="219">
        <v>36739737.600000001</v>
      </c>
      <c r="I80" s="219">
        <v>27958904.560000002</v>
      </c>
      <c r="J80" s="321">
        <v>8780833.0399999991</v>
      </c>
    </row>
    <row r="81" spans="2:10" outlineLevel="1" collapsed="1" x14ac:dyDescent="0.35">
      <c r="B81" s="487"/>
      <c r="C81" s="490"/>
      <c r="D81" s="251" t="s">
        <v>158</v>
      </c>
      <c r="E81" s="219">
        <f t="shared" ref="E81:J81" si="13">SUM(E82:E89)</f>
        <v>173</v>
      </c>
      <c r="F81" s="219">
        <f t="shared" si="13"/>
        <v>145</v>
      </c>
      <c r="G81" s="219">
        <f t="shared" si="13"/>
        <v>228168525.11000004</v>
      </c>
      <c r="H81" s="219">
        <f t="shared" si="13"/>
        <v>120319122.32999995</v>
      </c>
      <c r="I81" s="219">
        <f t="shared" si="13"/>
        <v>105229871.37</v>
      </c>
      <c r="J81" s="321">
        <f t="shared" si="13"/>
        <v>15089250.960000003</v>
      </c>
    </row>
    <row r="82" spans="2:10" hidden="1" outlineLevel="2" x14ac:dyDescent="0.35">
      <c r="B82" s="487"/>
      <c r="C82" s="490"/>
      <c r="D82" s="250" t="s">
        <v>157</v>
      </c>
      <c r="E82" s="219">
        <v>108</v>
      </c>
      <c r="F82" s="219">
        <v>84</v>
      </c>
      <c r="G82" s="219">
        <v>136097860.11000004</v>
      </c>
      <c r="H82" s="219">
        <v>80193201.259999961</v>
      </c>
      <c r="I82" s="219">
        <v>71733651.860000014</v>
      </c>
      <c r="J82" s="321">
        <v>8459549.4000000022</v>
      </c>
    </row>
    <row r="83" spans="2:10" hidden="1" outlineLevel="2" x14ac:dyDescent="0.35">
      <c r="B83" s="487"/>
      <c r="C83" s="490"/>
      <c r="D83" s="250" t="s">
        <v>156</v>
      </c>
      <c r="E83" s="219">
        <v>7</v>
      </c>
      <c r="F83" s="219">
        <v>6</v>
      </c>
      <c r="G83" s="219">
        <v>7964432.2999999998</v>
      </c>
      <c r="H83" s="219">
        <v>3382035.95</v>
      </c>
      <c r="I83" s="219">
        <v>2789741.52</v>
      </c>
      <c r="J83" s="321">
        <v>592294.43000000005</v>
      </c>
    </row>
    <row r="84" spans="2:10" hidden="1" outlineLevel="2" x14ac:dyDescent="0.35">
      <c r="B84" s="487"/>
      <c r="C84" s="490"/>
      <c r="D84" s="250" t="s">
        <v>155</v>
      </c>
      <c r="E84" s="219">
        <v>3</v>
      </c>
      <c r="F84" s="219">
        <v>3</v>
      </c>
      <c r="G84" s="219">
        <v>4327079.55</v>
      </c>
      <c r="H84" s="219">
        <v>1695565.13</v>
      </c>
      <c r="I84" s="219">
        <v>1474675.28</v>
      </c>
      <c r="J84" s="321">
        <v>220889.85</v>
      </c>
    </row>
    <row r="85" spans="2:10" hidden="1" outlineLevel="2" x14ac:dyDescent="0.35">
      <c r="B85" s="487"/>
      <c r="C85" s="490"/>
      <c r="D85" s="250" t="s">
        <v>154</v>
      </c>
      <c r="E85" s="219">
        <v>7</v>
      </c>
      <c r="F85" s="219">
        <v>7</v>
      </c>
      <c r="G85" s="219">
        <v>11261249.85</v>
      </c>
      <c r="H85" s="219">
        <v>3378374.96</v>
      </c>
      <c r="I85" s="219">
        <v>2484413.2300000004</v>
      </c>
      <c r="J85" s="321">
        <v>893961.73000000021</v>
      </c>
    </row>
    <row r="86" spans="2:10" hidden="1" outlineLevel="2" x14ac:dyDescent="0.35">
      <c r="B86" s="487"/>
      <c r="C86" s="490"/>
      <c r="D86" s="250" t="s">
        <v>153</v>
      </c>
      <c r="E86" s="219">
        <v>32</v>
      </c>
      <c r="F86" s="219">
        <v>31</v>
      </c>
      <c r="G86" s="219">
        <v>38459871.449999996</v>
      </c>
      <c r="H86" s="219">
        <v>21780652.310000002</v>
      </c>
      <c r="I86" s="219">
        <v>18909955.550000001</v>
      </c>
      <c r="J86" s="321">
        <v>2870696.7600000007</v>
      </c>
    </row>
    <row r="87" spans="2:10" hidden="1" outlineLevel="2" x14ac:dyDescent="0.35">
      <c r="B87" s="487"/>
      <c r="C87" s="490"/>
      <c r="D87" s="250" t="s">
        <v>152</v>
      </c>
      <c r="E87" s="219">
        <v>13</v>
      </c>
      <c r="F87" s="219">
        <v>11</v>
      </c>
      <c r="G87" s="219">
        <v>24881025.349999998</v>
      </c>
      <c r="H87" s="219">
        <v>8312906.5300000012</v>
      </c>
      <c r="I87" s="219">
        <v>6523528.5499999989</v>
      </c>
      <c r="J87" s="321">
        <v>1789377.98</v>
      </c>
    </row>
    <row r="88" spans="2:10" hidden="1" outlineLevel="2" x14ac:dyDescent="0.35">
      <c r="B88" s="487"/>
      <c r="C88" s="490"/>
      <c r="D88" s="250" t="s">
        <v>151</v>
      </c>
      <c r="E88" s="219">
        <v>2</v>
      </c>
      <c r="F88" s="219">
        <v>2</v>
      </c>
      <c r="G88" s="219">
        <v>2575356.5</v>
      </c>
      <c r="H88" s="219">
        <v>1030039.6900000001</v>
      </c>
      <c r="I88" s="219">
        <v>773663.46</v>
      </c>
      <c r="J88" s="321">
        <v>256376.22999999998</v>
      </c>
    </row>
    <row r="89" spans="2:10" hidden="1" outlineLevel="2" x14ac:dyDescent="0.35">
      <c r="B89" s="487"/>
      <c r="C89" s="490"/>
      <c r="D89" s="250" t="s">
        <v>150</v>
      </c>
      <c r="E89" s="219">
        <v>1</v>
      </c>
      <c r="F89" s="219">
        <v>1</v>
      </c>
      <c r="G89" s="219">
        <v>2601650</v>
      </c>
      <c r="H89" s="219">
        <v>546346.5</v>
      </c>
      <c r="I89" s="219">
        <v>540241.92000000004</v>
      </c>
      <c r="J89" s="321">
        <v>6104.58</v>
      </c>
    </row>
    <row r="90" spans="2:10" outlineLevel="1" collapsed="1" x14ac:dyDescent="0.35">
      <c r="B90" s="487"/>
      <c r="C90" s="490"/>
      <c r="D90" s="251" t="s">
        <v>149</v>
      </c>
      <c r="E90" s="219">
        <f t="shared" ref="E90:J90" si="14">SUM(E91:E93)</f>
        <v>31</v>
      </c>
      <c r="F90" s="219">
        <f t="shared" si="14"/>
        <v>31</v>
      </c>
      <c r="G90" s="219">
        <f t="shared" si="14"/>
        <v>76365778.950000003</v>
      </c>
      <c r="H90" s="219">
        <f t="shared" si="14"/>
        <v>22256606.73</v>
      </c>
      <c r="I90" s="219">
        <f t="shared" si="14"/>
        <v>16096397.33</v>
      </c>
      <c r="J90" s="321">
        <f t="shared" si="14"/>
        <v>6160209.4000000004</v>
      </c>
    </row>
    <row r="91" spans="2:10" hidden="1" outlineLevel="2" x14ac:dyDescent="0.35">
      <c r="B91" s="487"/>
      <c r="C91" s="490"/>
      <c r="D91" s="250" t="s">
        <v>148</v>
      </c>
      <c r="E91" s="219">
        <v>10</v>
      </c>
      <c r="F91" s="219">
        <v>10</v>
      </c>
      <c r="G91" s="219">
        <v>22389362.640000001</v>
      </c>
      <c r="H91" s="219">
        <v>6063681.7999999998</v>
      </c>
      <c r="I91" s="219">
        <v>4280290.17</v>
      </c>
      <c r="J91" s="321">
        <v>1783391.63</v>
      </c>
    </row>
    <row r="92" spans="2:10" hidden="1" outlineLevel="2" x14ac:dyDescent="0.35">
      <c r="B92" s="487"/>
      <c r="C92" s="490"/>
      <c r="D92" s="250" t="s">
        <v>147</v>
      </c>
      <c r="E92" s="219">
        <v>8</v>
      </c>
      <c r="F92" s="219">
        <v>8</v>
      </c>
      <c r="G92" s="219">
        <v>17585029.009999998</v>
      </c>
      <c r="H92" s="219">
        <v>5275508.7100000009</v>
      </c>
      <c r="I92" s="219">
        <v>3776590.8600000003</v>
      </c>
      <c r="J92" s="321">
        <v>1498917.85</v>
      </c>
    </row>
    <row r="93" spans="2:10" hidden="1" outlineLevel="2" x14ac:dyDescent="0.35">
      <c r="B93" s="487"/>
      <c r="C93" s="490"/>
      <c r="D93" s="250" t="s">
        <v>146</v>
      </c>
      <c r="E93" s="219">
        <v>13</v>
      </c>
      <c r="F93" s="219">
        <v>13</v>
      </c>
      <c r="G93" s="219">
        <v>36391387.300000004</v>
      </c>
      <c r="H93" s="219">
        <v>10917416.219999999</v>
      </c>
      <c r="I93" s="219">
        <v>8039516.2999999998</v>
      </c>
      <c r="J93" s="321">
        <v>2877899.9200000004</v>
      </c>
    </row>
    <row r="94" spans="2:10" outlineLevel="1" collapsed="1" x14ac:dyDescent="0.35">
      <c r="B94" s="487"/>
      <c r="C94" s="490"/>
      <c r="D94" s="324" t="s">
        <v>133</v>
      </c>
      <c r="E94" s="219">
        <v>13</v>
      </c>
      <c r="F94" s="219">
        <v>13</v>
      </c>
      <c r="G94" s="219">
        <v>48435078.600000001</v>
      </c>
      <c r="H94" s="219">
        <v>13690953.310000002</v>
      </c>
      <c r="I94" s="219">
        <v>9182831.8900000006</v>
      </c>
      <c r="J94" s="321">
        <v>4508121.42</v>
      </c>
    </row>
    <row r="95" spans="2:10" outlineLevel="1" x14ac:dyDescent="0.35">
      <c r="B95" s="487"/>
      <c r="C95" s="490"/>
      <c r="D95" s="236" t="s">
        <v>140</v>
      </c>
      <c r="E95" s="219">
        <v>8</v>
      </c>
      <c r="F95" s="219">
        <v>8</v>
      </c>
      <c r="G95" s="219">
        <v>69325514.099999994</v>
      </c>
      <c r="H95" s="219">
        <v>32094942.240000002</v>
      </c>
      <c r="I95" s="219">
        <v>28254580.299999997</v>
      </c>
      <c r="J95" s="321">
        <v>3840361.94</v>
      </c>
    </row>
    <row r="96" spans="2:10" outlineLevel="1" x14ac:dyDescent="0.35">
      <c r="B96" s="487"/>
      <c r="C96" s="490"/>
      <c r="D96" s="236" t="s">
        <v>139</v>
      </c>
      <c r="E96" s="219">
        <v>6</v>
      </c>
      <c r="F96" s="219">
        <v>6</v>
      </c>
      <c r="G96" s="219">
        <v>63041200</v>
      </c>
      <c r="H96" s="219">
        <v>12608240</v>
      </c>
      <c r="I96" s="219">
        <v>8010750</v>
      </c>
      <c r="J96" s="321">
        <v>4597490</v>
      </c>
    </row>
    <row r="97" spans="2:10" outlineLevel="1" x14ac:dyDescent="0.35">
      <c r="B97" s="487"/>
      <c r="C97" s="490"/>
      <c r="D97" s="236" t="s">
        <v>138</v>
      </c>
      <c r="E97" s="219">
        <f t="shared" ref="E97:J97" si="15">SUM(E98:E101)</f>
        <v>80</v>
      </c>
      <c r="F97" s="219">
        <f t="shared" si="15"/>
        <v>79</v>
      </c>
      <c r="G97" s="219">
        <f t="shared" si="15"/>
        <v>101118671.25000001</v>
      </c>
      <c r="H97" s="219">
        <f t="shared" si="15"/>
        <v>35880642.030000001</v>
      </c>
      <c r="I97" s="219">
        <f t="shared" si="15"/>
        <v>28077586.569999997</v>
      </c>
      <c r="J97" s="321">
        <f t="shared" si="15"/>
        <v>7803055.46</v>
      </c>
    </row>
    <row r="98" spans="2:10" hidden="1" outlineLevel="2" x14ac:dyDescent="0.35">
      <c r="B98" s="487"/>
      <c r="C98" s="490"/>
      <c r="D98" s="242" t="s">
        <v>137</v>
      </c>
      <c r="E98" s="219">
        <v>24</v>
      </c>
      <c r="F98" s="219">
        <v>24</v>
      </c>
      <c r="G98" s="219">
        <v>32511733.200000003</v>
      </c>
      <c r="H98" s="219">
        <v>14580421.590000002</v>
      </c>
      <c r="I98" s="219">
        <v>12393231.260000002</v>
      </c>
      <c r="J98" s="321">
        <v>2187190.33</v>
      </c>
    </row>
    <row r="99" spans="2:10" hidden="1" outlineLevel="2" x14ac:dyDescent="0.35">
      <c r="B99" s="487"/>
      <c r="C99" s="490"/>
      <c r="D99" s="242" t="s">
        <v>136</v>
      </c>
      <c r="E99" s="219">
        <v>25</v>
      </c>
      <c r="F99" s="219">
        <v>25</v>
      </c>
      <c r="G99" s="219">
        <v>28182242.699999996</v>
      </c>
      <c r="H99" s="219">
        <v>8829331.3100000005</v>
      </c>
      <c r="I99" s="219">
        <v>6784730.5299999993</v>
      </c>
      <c r="J99" s="321">
        <v>2044600.78</v>
      </c>
    </row>
    <row r="100" spans="2:10" hidden="1" outlineLevel="2" x14ac:dyDescent="0.35">
      <c r="B100" s="487"/>
      <c r="C100" s="490"/>
      <c r="D100" s="242" t="s">
        <v>135</v>
      </c>
      <c r="E100" s="219">
        <v>18</v>
      </c>
      <c r="F100" s="219">
        <v>18</v>
      </c>
      <c r="G100" s="219">
        <v>21054685.900000006</v>
      </c>
      <c r="H100" s="219">
        <v>6425171.21</v>
      </c>
      <c r="I100" s="219">
        <v>4672761.58</v>
      </c>
      <c r="J100" s="321">
        <v>1752409.63</v>
      </c>
    </row>
    <row r="101" spans="2:10" hidden="1" outlineLevel="2" x14ac:dyDescent="0.35">
      <c r="B101" s="487"/>
      <c r="C101" s="490"/>
      <c r="D101" s="242" t="s">
        <v>134</v>
      </c>
      <c r="E101" s="219">
        <v>13</v>
      </c>
      <c r="F101" s="219">
        <v>12</v>
      </c>
      <c r="G101" s="219">
        <v>19370009.449999999</v>
      </c>
      <c r="H101" s="219">
        <v>6045717.9200000018</v>
      </c>
      <c r="I101" s="219">
        <v>4226863.2</v>
      </c>
      <c r="J101" s="321">
        <v>1818854.7199999997</v>
      </c>
    </row>
    <row r="102" spans="2:10" outlineLevel="1" collapsed="1" x14ac:dyDescent="0.35">
      <c r="B102" s="487"/>
      <c r="C102" s="490"/>
      <c r="D102" s="236" t="s">
        <v>132</v>
      </c>
      <c r="E102" s="219">
        <f t="shared" ref="E102:J102" si="16">SUM(E103:E106)</f>
        <v>146</v>
      </c>
      <c r="F102" s="219">
        <f t="shared" si="16"/>
        <v>138</v>
      </c>
      <c r="G102" s="219">
        <f t="shared" si="16"/>
        <v>338586141.12</v>
      </c>
      <c r="H102" s="219">
        <f t="shared" si="16"/>
        <v>94975895.190000013</v>
      </c>
      <c r="I102" s="219">
        <f t="shared" si="16"/>
        <v>68274357.780000001</v>
      </c>
      <c r="J102" s="321">
        <f t="shared" si="16"/>
        <v>26701537.409999996</v>
      </c>
    </row>
    <row r="103" spans="2:10" hidden="1" outlineLevel="2" x14ac:dyDescent="0.35">
      <c r="B103" s="487"/>
      <c r="C103" s="490"/>
      <c r="D103" s="242" t="s">
        <v>131</v>
      </c>
      <c r="E103" s="219">
        <v>14</v>
      </c>
      <c r="F103" s="219">
        <v>14</v>
      </c>
      <c r="G103" s="219">
        <v>33287942.650000002</v>
      </c>
      <c r="H103" s="219">
        <v>9617880.370000001</v>
      </c>
      <c r="I103" s="219">
        <v>6863940.7599999998</v>
      </c>
      <c r="J103" s="321">
        <v>2753939.6100000003</v>
      </c>
    </row>
    <row r="104" spans="2:10" hidden="1" outlineLevel="2" x14ac:dyDescent="0.35">
      <c r="B104" s="487"/>
      <c r="C104" s="490"/>
      <c r="D104" s="242" t="s">
        <v>130</v>
      </c>
      <c r="E104" s="219">
        <v>70</v>
      </c>
      <c r="F104" s="219">
        <v>63</v>
      </c>
      <c r="G104" s="219">
        <v>144497512.11999995</v>
      </c>
      <c r="H104" s="219">
        <v>43349253.870000012</v>
      </c>
      <c r="I104" s="219">
        <v>31746154.149999999</v>
      </c>
      <c r="J104" s="321">
        <v>11603099.719999999</v>
      </c>
    </row>
    <row r="105" spans="2:10" hidden="1" outlineLevel="2" x14ac:dyDescent="0.35">
      <c r="B105" s="487"/>
      <c r="C105" s="490"/>
      <c r="D105" s="242" t="s">
        <v>129</v>
      </c>
      <c r="E105" s="219">
        <v>44</v>
      </c>
      <c r="F105" s="219">
        <v>43</v>
      </c>
      <c r="G105" s="219">
        <v>116344563.15000005</v>
      </c>
      <c r="H105" s="219">
        <v>34236033.859999999</v>
      </c>
      <c r="I105" s="219">
        <v>24792486.930000003</v>
      </c>
      <c r="J105" s="321">
        <v>9443546.9299999997</v>
      </c>
    </row>
    <row r="106" spans="2:10" hidden="1" outlineLevel="2" x14ac:dyDescent="0.35">
      <c r="B106" s="487"/>
      <c r="C106" s="490"/>
      <c r="D106" s="242" t="s">
        <v>128</v>
      </c>
      <c r="E106" s="219">
        <v>18</v>
      </c>
      <c r="F106" s="219">
        <v>18</v>
      </c>
      <c r="G106" s="219">
        <v>44456123.200000003</v>
      </c>
      <c r="H106" s="219">
        <v>7772727.0899999999</v>
      </c>
      <c r="I106" s="219">
        <v>4871775.9399999995</v>
      </c>
      <c r="J106" s="321">
        <v>2900951.15</v>
      </c>
    </row>
    <row r="107" spans="2:10" outlineLevel="1" collapsed="1" x14ac:dyDescent="0.35">
      <c r="B107" s="487"/>
      <c r="C107" s="490"/>
      <c r="D107" s="236" t="s">
        <v>41</v>
      </c>
      <c r="E107" s="219">
        <v>1</v>
      </c>
      <c r="F107" s="219">
        <v>1</v>
      </c>
      <c r="G107" s="219">
        <v>2933919</v>
      </c>
      <c r="H107" s="219">
        <v>586783.80000000005</v>
      </c>
      <c r="I107" s="219">
        <v>329892.52</v>
      </c>
      <c r="J107" s="321">
        <v>256891.28</v>
      </c>
    </row>
    <row r="108" spans="2:10" x14ac:dyDescent="0.35">
      <c r="B108" s="488"/>
      <c r="C108" s="491"/>
      <c r="D108" s="347" t="s">
        <v>251</v>
      </c>
      <c r="E108" s="383">
        <f t="shared" ref="E108:J108" si="17">SUM(E102,E107,E97,E96,E94,E90,E81,E77,E95)</f>
        <v>499</v>
      </c>
      <c r="F108" s="383">
        <f t="shared" si="17"/>
        <v>455</v>
      </c>
      <c r="G108" s="383">
        <f t="shared" si="17"/>
        <v>1315300757.23</v>
      </c>
      <c r="H108" s="383">
        <f t="shared" si="17"/>
        <v>554634017.12</v>
      </c>
      <c r="I108" s="382">
        <f t="shared" si="17"/>
        <v>451823039.58999997</v>
      </c>
      <c r="J108" s="381">
        <f t="shared" si="17"/>
        <v>102810977.53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19">
        <v>4</v>
      </c>
      <c r="F109" s="219">
        <v>4</v>
      </c>
      <c r="G109" s="219">
        <v>11304263.5</v>
      </c>
      <c r="H109" s="219">
        <v>2260852.7200000002</v>
      </c>
      <c r="I109" s="219">
        <v>1221801</v>
      </c>
      <c r="J109" s="321">
        <v>1039051.72</v>
      </c>
    </row>
    <row r="110" spans="2:10" outlineLevel="1" x14ac:dyDescent="0.35">
      <c r="B110" s="487"/>
      <c r="C110" s="490"/>
      <c r="D110" s="236" t="s">
        <v>122</v>
      </c>
      <c r="E110" s="219">
        <v>1</v>
      </c>
      <c r="F110" s="219">
        <v>1</v>
      </c>
      <c r="G110" s="219">
        <v>3491519.5</v>
      </c>
      <c r="H110" s="219">
        <v>698303.9</v>
      </c>
      <c r="I110" s="219">
        <v>691438.8</v>
      </c>
      <c r="J110" s="321">
        <v>6865.1</v>
      </c>
    </row>
    <row r="111" spans="2:10" outlineLevel="1" x14ac:dyDescent="0.35">
      <c r="B111" s="487"/>
      <c r="C111" s="490"/>
      <c r="D111" s="236" t="s">
        <v>48</v>
      </c>
      <c r="E111" s="219">
        <v>2</v>
      </c>
      <c r="F111" s="219">
        <v>2</v>
      </c>
      <c r="G111" s="219">
        <v>4389434.55</v>
      </c>
      <c r="H111" s="219">
        <v>620825</v>
      </c>
      <c r="I111" s="219">
        <v>421974.42</v>
      </c>
      <c r="J111" s="321">
        <v>198850.58000000002</v>
      </c>
    </row>
    <row r="112" spans="2:10" outlineLevel="1" x14ac:dyDescent="0.35">
      <c r="B112" s="487"/>
      <c r="C112" s="490"/>
      <c r="D112" s="236" t="s">
        <v>47</v>
      </c>
      <c r="E112" s="219">
        <v>3</v>
      </c>
      <c r="F112" s="219">
        <v>3</v>
      </c>
      <c r="G112" s="219">
        <v>6521040.2000000002</v>
      </c>
      <c r="H112" s="219">
        <v>1207656.74</v>
      </c>
      <c r="I112" s="219">
        <v>651620.06000000006</v>
      </c>
      <c r="J112" s="321">
        <v>556036.67999999993</v>
      </c>
    </row>
    <row r="113" spans="2:10" outlineLevel="1" x14ac:dyDescent="0.35">
      <c r="B113" s="487"/>
      <c r="C113" s="490"/>
      <c r="D113" s="236" t="s">
        <v>40</v>
      </c>
      <c r="E113" s="219">
        <v>8</v>
      </c>
      <c r="F113" s="219">
        <v>8</v>
      </c>
      <c r="G113" s="219">
        <v>30936419</v>
      </c>
      <c r="H113" s="219">
        <v>5610184.7000000002</v>
      </c>
      <c r="I113" s="219">
        <v>3305396.56</v>
      </c>
      <c r="J113" s="321">
        <v>2304788.14</v>
      </c>
    </row>
    <row r="114" spans="2:10" outlineLevel="1" x14ac:dyDescent="0.35">
      <c r="B114" s="487"/>
      <c r="C114" s="490"/>
      <c r="D114" s="236" t="s">
        <v>39</v>
      </c>
      <c r="E114" s="219">
        <v>28</v>
      </c>
      <c r="F114" s="219">
        <v>28</v>
      </c>
      <c r="G114" s="219">
        <v>65004691.840000004</v>
      </c>
      <c r="H114" s="219">
        <v>11472663.66</v>
      </c>
      <c r="I114" s="219">
        <v>7459558.21</v>
      </c>
      <c r="J114" s="321">
        <v>4013105.4499999993</v>
      </c>
    </row>
    <row r="115" spans="2:10" outlineLevel="1" x14ac:dyDescent="0.35">
      <c r="B115" s="487"/>
      <c r="C115" s="490"/>
      <c r="D115" s="236" t="s">
        <v>38</v>
      </c>
      <c r="E115" s="219">
        <v>0</v>
      </c>
      <c r="F115" s="219">
        <v>0</v>
      </c>
      <c r="G115" s="219">
        <v>0</v>
      </c>
      <c r="H115" s="219">
        <v>0</v>
      </c>
      <c r="I115" s="219">
        <v>0</v>
      </c>
      <c r="J115" s="321">
        <v>0</v>
      </c>
    </row>
    <row r="116" spans="2:10" x14ac:dyDescent="0.35">
      <c r="B116" s="488"/>
      <c r="C116" s="491"/>
      <c r="D116" s="347" t="s">
        <v>248</v>
      </c>
      <c r="E116" s="383">
        <f t="shared" ref="E116:J116" si="18">SUM(E109:E115)</f>
        <v>46</v>
      </c>
      <c r="F116" s="383">
        <f t="shared" si="18"/>
        <v>46</v>
      </c>
      <c r="G116" s="383">
        <f t="shared" si="18"/>
        <v>121647368.59</v>
      </c>
      <c r="H116" s="383">
        <f t="shared" si="18"/>
        <v>21870486.719999999</v>
      </c>
      <c r="I116" s="382">
        <f t="shared" si="18"/>
        <v>13751789.050000001</v>
      </c>
      <c r="J116" s="381">
        <f t="shared" si="18"/>
        <v>8118697.669999999</v>
      </c>
    </row>
    <row r="117" spans="2:10" outlineLevel="1" x14ac:dyDescent="0.35">
      <c r="B117" s="487" t="s">
        <v>247</v>
      </c>
      <c r="C117" s="490" t="s">
        <v>246</v>
      </c>
      <c r="D117" s="236" t="s">
        <v>36</v>
      </c>
      <c r="E117" s="219">
        <v>4</v>
      </c>
      <c r="F117" s="219">
        <v>4</v>
      </c>
      <c r="G117" s="219">
        <v>16535887.5</v>
      </c>
      <c r="H117" s="219">
        <v>2901439.2</v>
      </c>
      <c r="I117" s="219">
        <v>1328967.04</v>
      </c>
      <c r="J117" s="321">
        <v>1572472.1600000001</v>
      </c>
    </row>
    <row r="118" spans="2:10" outlineLevel="1" x14ac:dyDescent="0.35">
      <c r="B118" s="487"/>
      <c r="C118" s="490"/>
      <c r="D118" s="236" t="s">
        <v>35</v>
      </c>
      <c r="E118" s="219">
        <v>4</v>
      </c>
      <c r="F118" s="219">
        <v>4</v>
      </c>
      <c r="G118" s="219">
        <v>21276298.25</v>
      </c>
      <c r="H118" s="219">
        <v>3839309.5</v>
      </c>
      <c r="I118" s="219">
        <v>2188120</v>
      </c>
      <c r="J118" s="321">
        <v>1651189.5</v>
      </c>
    </row>
    <row r="119" spans="2:10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21">
        <v>0</v>
      </c>
    </row>
    <row r="120" spans="2:10" outlineLevel="1" x14ac:dyDescent="0.35">
      <c r="B120" s="487"/>
      <c r="C120" s="490"/>
      <c r="D120" s="236" t="s">
        <v>33</v>
      </c>
      <c r="E120" s="219">
        <v>6</v>
      </c>
      <c r="F120" s="219">
        <v>6</v>
      </c>
      <c r="G120" s="219">
        <v>26322560</v>
      </c>
      <c r="H120" s="219">
        <v>3037994.3</v>
      </c>
      <c r="I120" s="219">
        <v>833740</v>
      </c>
      <c r="J120" s="321">
        <v>2204254.3000000003</v>
      </c>
    </row>
    <row r="121" spans="2:10" x14ac:dyDescent="0.35">
      <c r="B121" s="488"/>
      <c r="C121" s="491"/>
      <c r="D121" s="347" t="s">
        <v>245</v>
      </c>
      <c r="E121" s="383">
        <f t="shared" ref="E121:J121" si="19">SUM(E117:E120)</f>
        <v>14</v>
      </c>
      <c r="F121" s="383">
        <f t="shared" si="19"/>
        <v>14</v>
      </c>
      <c r="G121" s="383">
        <f t="shared" si="19"/>
        <v>64134745.75</v>
      </c>
      <c r="H121" s="383">
        <f t="shared" si="19"/>
        <v>9778743</v>
      </c>
      <c r="I121" s="382">
        <f t="shared" si="19"/>
        <v>4350827.04</v>
      </c>
      <c r="J121" s="381">
        <f t="shared" si="19"/>
        <v>5427915.9600000009</v>
      </c>
    </row>
    <row r="122" spans="2:10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89"/>
    </row>
    <row r="123" spans="2:10" outlineLevel="1" x14ac:dyDescent="0.35">
      <c r="B123" s="492"/>
      <c r="C123" s="485"/>
      <c r="D123" s="225" t="s">
        <v>145</v>
      </c>
      <c r="E123" s="219">
        <f t="shared" ref="E123:J123" si="20">SUM(E124:E127)</f>
        <v>11</v>
      </c>
      <c r="F123" s="219">
        <f t="shared" si="20"/>
        <v>11</v>
      </c>
      <c r="G123" s="219">
        <f t="shared" si="20"/>
        <v>162990898.22</v>
      </c>
      <c r="H123" s="219">
        <f t="shared" si="20"/>
        <v>50788629.050000004</v>
      </c>
      <c r="I123" s="219">
        <f t="shared" si="20"/>
        <v>36775186.090000004</v>
      </c>
      <c r="J123" s="321">
        <f t="shared" si="20"/>
        <v>14013442.960000001</v>
      </c>
    </row>
    <row r="124" spans="2:10" hidden="1" outlineLevel="2" x14ac:dyDescent="0.35">
      <c r="B124" s="492"/>
      <c r="C124" s="485"/>
      <c r="D124" s="222" t="s">
        <v>144</v>
      </c>
      <c r="E124" s="219">
        <v>10</v>
      </c>
      <c r="F124" s="219">
        <v>10</v>
      </c>
      <c r="G124" s="219">
        <v>145648162.22</v>
      </c>
      <c r="H124" s="219">
        <v>45585808.250000007</v>
      </c>
      <c r="I124" s="219">
        <v>33293274.18</v>
      </c>
      <c r="J124" s="321">
        <v>12292534.07</v>
      </c>
    </row>
    <row r="125" spans="2:10" hidden="1" outlineLevel="2" x14ac:dyDescent="0.35">
      <c r="B125" s="492"/>
      <c r="C125" s="485"/>
      <c r="D125" s="223" t="s">
        <v>143</v>
      </c>
      <c r="E125" s="219">
        <v>1</v>
      </c>
      <c r="F125" s="219">
        <v>1</v>
      </c>
      <c r="G125" s="219">
        <v>17342736</v>
      </c>
      <c r="H125" s="219">
        <v>5202820.8</v>
      </c>
      <c r="I125" s="219">
        <v>3481911.91</v>
      </c>
      <c r="J125" s="321">
        <v>1720908.89</v>
      </c>
    </row>
    <row r="126" spans="2:10" hidden="1" outlineLevel="2" x14ac:dyDescent="0.35">
      <c r="B126" s="492"/>
      <c r="C126" s="485"/>
      <c r="D126" s="223" t="s">
        <v>142</v>
      </c>
      <c r="E126" s="219">
        <v>0</v>
      </c>
      <c r="F126" s="219">
        <v>0</v>
      </c>
      <c r="G126" s="219">
        <v>0</v>
      </c>
      <c r="H126" s="219">
        <v>0</v>
      </c>
      <c r="I126" s="219">
        <v>0</v>
      </c>
      <c r="J126" s="321">
        <v>0</v>
      </c>
    </row>
    <row r="127" spans="2:10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21">
        <v>0</v>
      </c>
    </row>
    <row r="128" spans="2:10" outlineLevel="1" collapsed="1" x14ac:dyDescent="0.35">
      <c r="B128" s="492"/>
      <c r="C128" s="485"/>
      <c r="D128" s="221" t="s">
        <v>121</v>
      </c>
      <c r="E128" s="219">
        <f t="shared" ref="E128:J128" si="21">SUM(E129:E162)</f>
        <v>287</v>
      </c>
      <c r="F128" s="219">
        <f t="shared" si="21"/>
        <v>114</v>
      </c>
      <c r="G128" s="219">
        <f t="shared" si="21"/>
        <v>207320084.76999998</v>
      </c>
      <c r="H128" s="219">
        <f t="shared" si="21"/>
        <v>84632216.790000007</v>
      </c>
      <c r="I128" s="219">
        <f t="shared" si="21"/>
        <v>68032235.569999993</v>
      </c>
      <c r="J128" s="321">
        <f t="shared" si="21"/>
        <v>16692370.620000001</v>
      </c>
    </row>
    <row r="129" spans="2:10" hidden="1" outlineLevel="2" x14ac:dyDescent="0.35">
      <c r="B129" s="492"/>
      <c r="C129" s="485"/>
      <c r="D129" s="224" t="s">
        <v>119</v>
      </c>
      <c r="E129" s="219">
        <f>SUM(E130:E163)</f>
        <v>172</v>
      </c>
      <c r="F129" s="219">
        <v>3</v>
      </c>
      <c r="G129" s="219">
        <v>5973216.5899999999</v>
      </c>
      <c r="H129" s="219">
        <v>2986608.3</v>
      </c>
      <c r="I129" s="219">
        <v>2389277.5</v>
      </c>
      <c r="J129" s="321">
        <v>597330.80000000005</v>
      </c>
    </row>
    <row r="130" spans="2:10" hidden="1" outlineLevel="2" x14ac:dyDescent="0.35">
      <c r="B130" s="492"/>
      <c r="C130" s="485"/>
      <c r="D130" s="223" t="s">
        <v>118</v>
      </c>
      <c r="E130" s="219">
        <v>5</v>
      </c>
      <c r="F130" s="219">
        <v>5</v>
      </c>
      <c r="G130" s="219">
        <v>6324062.0199999996</v>
      </c>
      <c r="H130" s="219">
        <v>2748216.12</v>
      </c>
      <c r="I130" s="219">
        <v>2350604.41</v>
      </c>
      <c r="J130" s="321">
        <v>397611.70999999996</v>
      </c>
    </row>
    <row r="131" spans="2:10" hidden="1" outlineLevel="2" x14ac:dyDescent="0.35">
      <c r="B131" s="492"/>
      <c r="C131" s="485"/>
      <c r="D131" s="223" t="s">
        <v>117</v>
      </c>
      <c r="E131" s="219">
        <v>4</v>
      </c>
      <c r="F131" s="219">
        <v>4</v>
      </c>
      <c r="G131" s="219">
        <v>6321024.6100000003</v>
      </c>
      <c r="H131" s="219">
        <v>2922508.04</v>
      </c>
      <c r="I131" s="219">
        <v>2444465.75</v>
      </c>
      <c r="J131" s="321">
        <v>478042.29000000004</v>
      </c>
    </row>
    <row r="132" spans="2:10" hidden="1" outlineLevel="2" x14ac:dyDescent="0.35">
      <c r="B132" s="492"/>
      <c r="C132" s="485"/>
      <c r="D132" s="223" t="s">
        <v>116</v>
      </c>
      <c r="E132" s="219">
        <v>2</v>
      </c>
      <c r="F132" s="219">
        <v>2</v>
      </c>
      <c r="G132" s="219">
        <v>9063949.5399999991</v>
      </c>
      <c r="H132" s="219">
        <v>4531974.8</v>
      </c>
      <c r="I132" s="219">
        <v>3601091</v>
      </c>
      <c r="J132" s="321">
        <v>930883.8</v>
      </c>
    </row>
    <row r="133" spans="2:10" hidden="1" outlineLevel="2" x14ac:dyDescent="0.35">
      <c r="B133" s="492"/>
      <c r="C133" s="485"/>
      <c r="D133" s="223" t="s">
        <v>114</v>
      </c>
      <c r="E133" s="219">
        <v>5</v>
      </c>
      <c r="F133" s="219">
        <v>5</v>
      </c>
      <c r="G133" s="219">
        <v>6345467.1799999997</v>
      </c>
      <c r="H133" s="219">
        <v>2793063.16</v>
      </c>
      <c r="I133" s="219">
        <v>2374976.2000000002</v>
      </c>
      <c r="J133" s="321">
        <v>418086.95999999996</v>
      </c>
    </row>
    <row r="134" spans="2:10" hidden="1" outlineLevel="2" x14ac:dyDescent="0.35">
      <c r="B134" s="492"/>
      <c r="C134" s="485"/>
      <c r="D134" s="223" t="s">
        <v>113</v>
      </c>
      <c r="E134" s="219">
        <v>25</v>
      </c>
      <c r="F134" s="219">
        <v>25</v>
      </c>
      <c r="G134" s="219">
        <v>32793243.77</v>
      </c>
      <c r="H134" s="219">
        <v>15536820.840000005</v>
      </c>
      <c r="I134" s="219">
        <v>12828034.200000001</v>
      </c>
      <c r="J134" s="321">
        <v>2708786.64</v>
      </c>
    </row>
    <row r="135" spans="2:10" hidden="1" outlineLevel="2" x14ac:dyDescent="0.35">
      <c r="B135" s="492"/>
      <c r="C135" s="485"/>
      <c r="D135" s="223" t="s">
        <v>112</v>
      </c>
      <c r="E135" s="219">
        <v>13</v>
      </c>
      <c r="F135" s="219">
        <v>13</v>
      </c>
      <c r="G135" s="219">
        <v>21068339.630000003</v>
      </c>
      <c r="H135" s="219">
        <v>9692431.9400000013</v>
      </c>
      <c r="I135" s="219">
        <v>8074881.8300000001</v>
      </c>
      <c r="J135" s="321">
        <v>1617550.1099999999</v>
      </c>
    </row>
    <row r="136" spans="2:10" hidden="1" outlineLevel="2" x14ac:dyDescent="0.35">
      <c r="B136" s="492"/>
      <c r="C136" s="485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21">
        <v>0</v>
      </c>
    </row>
    <row r="137" spans="2:10" hidden="1" outlineLevel="2" x14ac:dyDescent="0.35">
      <c r="B137" s="492"/>
      <c r="C137" s="485"/>
      <c r="D137" s="222" t="s">
        <v>109</v>
      </c>
      <c r="E137" s="219">
        <v>1</v>
      </c>
      <c r="F137" s="219">
        <v>1</v>
      </c>
      <c r="G137" s="219">
        <v>1488623.5</v>
      </c>
      <c r="H137" s="219">
        <v>595449.4</v>
      </c>
      <c r="I137" s="219">
        <v>506925</v>
      </c>
      <c r="J137" s="321">
        <v>88524.4</v>
      </c>
    </row>
    <row r="138" spans="2:10" hidden="1" outlineLevel="2" x14ac:dyDescent="0.35">
      <c r="B138" s="492"/>
      <c r="C138" s="485"/>
      <c r="D138" s="222" t="s">
        <v>108</v>
      </c>
      <c r="E138" s="219">
        <v>2</v>
      </c>
      <c r="F138" s="219">
        <v>2</v>
      </c>
      <c r="G138" s="219">
        <v>3930831</v>
      </c>
      <c r="H138" s="219">
        <v>1331332.2</v>
      </c>
      <c r="I138" s="219">
        <v>939203</v>
      </c>
      <c r="J138" s="321">
        <v>392129.2</v>
      </c>
    </row>
    <row r="139" spans="2:10" hidden="1" outlineLevel="2" x14ac:dyDescent="0.35">
      <c r="B139" s="492"/>
      <c r="C139" s="485"/>
      <c r="D139" s="222" t="s">
        <v>107</v>
      </c>
      <c r="E139" s="219">
        <v>2</v>
      </c>
      <c r="F139" s="219">
        <v>1</v>
      </c>
      <c r="G139" s="219">
        <v>2515268.7000000002</v>
      </c>
      <c r="H139" s="219">
        <v>1006107.52</v>
      </c>
      <c r="I139" s="219">
        <v>754580.99</v>
      </c>
      <c r="J139" s="321">
        <v>251526.53</v>
      </c>
    </row>
    <row r="140" spans="2:10" hidden="1" outlineLevel="2" x14ac:dyDescent="0.35">
      <c r="B140" s="492"/>
      <c r="C140" s="485"/>
      <c r="D140" s="222" t="s">
        <v>106</v>
      </c>
      <c r="E140" s="219">
        <v>0</v>
      </c>
      <c r="F140" s="219">
        <v>0</v>
      </c>
      <c r="G140" s="219">
        <v>0</v>
      </c>
      <c r="H140" s="219">
        <v>0</v>
      </c>
      <c r="I140" s="219">
        <v>0</v>
      </c>
      <c r="J140" s="321">
        <v>0</v>
      </c>
    </row>
    <row r="141" spans="2:10" hidden="1" outlineLevel="2" x14ac:dyDescent="0.35">
      <c r="B141" s="492"/>
      <c r="C141" s="485"/>
      <c r="D141" s="222" t="s">
        <v>104</v>
      </c>
      <c r="E141" s="219">
        <v>1</v>
      </c>
      <c r="F141" s="219">
        <v>1</v>
      </c>
      <c r="G141" s="219">
        <v>2376110.96</v>
      </c>
      <c r="H141" s="219">
        <v>950444.4</v>
      </c>
      <c r="I141" s="219">
        <v>712801</v>
      </c>
      <c r="J141" s="321">
        <v>237643.4</v>
      </c>
    </row>
    <row r="142" spans="2:10" hidden="1" outlineLevel="2" x14ac:dyDescent="0.35">
      <c r="B142" s="492"/>
      <c r="C142" s="485"/>
      <c r="D142" s="222" t="s">
        <v>103</v>
      </c>
      <c r="E142" s="219">
        <v>1</v>
      </c>
      <c r="F142" s="219">
        <v>1</v>
      </c>
      <c r="G142" s="219">
        <v>1569310.05</v>
      </c>
      <c r="H142" s="219">
        <v>627724.04</v>
      </c>
      <c r="I142" s="219">
        <v>505793.03</v>
      </c>
      <c r="J142" s="321">
        <v>121931.01</v>
      </c>
    </row>
    <row r="143" spans="2:10" hidden="1" outlineLevel="2" x14ac:dyDescent="0.35">
      <c r="B143" s="492"/>
      <c r="C143" s="485"/>
      <c r="D143" s="222" t="s">
        <v>102</v>
      </c>
      <c r="E143" s="219">
        <v>2</v>
      </c>
      <c r="F143" s="219">
        <v>2</v>
      </c>
      <c r="G143" s="219">
        <v>2887754.86</v>
      </c>
      <c r="H143" s="219">
        <v>889832.74</v>
      </c>
      <c r="I143" s="219">
        <v>601070.01</v>
      </c>
      <c r="J143" s="321">
        <v>288762.73</v>
      </c>
    </row>
    <row r="144" spans="2:10" hidden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21">
        <v>0</v>
      </c>
    </row>
    <row r="145" spans="2:10" hidden="1" outlineLevel="2" x14ac:dyDescent="0.35">
      <c r="B145" s="492"/>
      <c r="C145" s="485"/>
      <c r="D145" s="223" t="s">
        <v>99</v>
      </c>
      <c r="E145" s="219">
        <v>3</v>
      </c>
      <c r="F145" s="219">
        <v>3</v>
      </c>
      <c r="G145" s="219">
        <v>6480861.8200000003</v>
      </c>
      <c r="H145" s="219">
        <v>2198323.09</v>
      </c>
      <c r="I145" s="219">
        <v>1551073.19</v>
      </c>
      <c r="J145" s="321">
        <v>647249.9</v>
      </c>
    </row>
    <row r="146" spans="2:10" hidden="1" outlineLevel="2" x14ac:dyDescent="0.35">
      <c r="B146" s="492"/>
      <c r="C146" s="485"/>
      <c r="D146" s="223" t="s">
        <v>98</v>
      </c>
      <c r="E146" s="219">
        <v>2</v>
      </c>
      <c r="F146" s="219">
        <v>2</v>
      </c>
      <c r="G146" s="219">
        <v>4032074.58</v>
      </c>
      <c r="H146" s="219">
        <v>1612829.84</v>
      </c>
      <c r="I146" s="219">
        <v>1210088.3500000001</v>
      </c>
      <c r="J146" s="321">
        <v>402741.49</v>
      </c>
    </row>
    <row r="147" spans="2:10" hidden="1" outlineLevel="2" x14ac:dyDescent="0.35">
      <c r="B147" s="492"/>
      <c r="C147" s="485"/>
      <c r="D147" s="223" t="s">
        <v>97</v>
      </c>
      <c r="E147" s="219">
        <v>1</v>
      </c>
      <c r="F147" s="219">
        <v>1</v>
      </c>
      <c r="G147" s="219">
        <v>1572714.89</v>
      </c>
      <c r="H147" s="219">
        <v>629085.96</v>
      </c>
      <c r="I147" s="219">
        <v>472041</v>
      </c>
      <c r="J147" s="321">
        <v>157044.96</v>
      </c>
    </row>
    <row r="148" spans="2:10" hidden="1" outlineLevel="2" x14ac:dyDescent="0.35">
      <c r="B148" s="492"/>
      <c r="C148" s="485"/>
      <c r="D148" s="223" t="s">
        <v>96</v>
      </c>
      <c r="E148" s="219">
        <v>3</v>
      </c>
      <c r="F148" s="219">
        <v>3</v>
      </c>
      <c r="G148" s="219">
        <v>9305658.0500000007</v>
      </c>
      <c r="H148" s="219">
        <v>3206790.91</v>
      </c>
      <c r="I148" s="219">
        <v>2276249.2999999998</v>
      </c>
      <c r="J148" s="321">
        <v>930541.61</v>
      </c>
    </row>
    <row r="149" spans="2:10" hidden="1" outlineLevel="2" x14ac:dyDescent="0.35">
      <c r="B149" s="492"/>
      <c r="C149" s="485"/>
      <c r="D149" s="223" t="s">
        <v>94</v>
      </c>
      <c r="E149" s="219">
        <v>6</v>
      </c>
      <c r="F149" s="219">
        <v>5</v>
      </c>
      <c r="G149" s="219">
        <v>21444206.699999999</v>
      </c>
      <c r="H149" s="219">
        <v>8379588.04</v>
      </c>
      <c r="I149" s="219">
        <v>6777914.54</v>
      </c>
      <c r="J149" s="321">
        <v>1601673.5</v>
      </c>
    </row>
    <row r="150" spans="2:10" hidden="1" outlineLevel="2" x14ac:dyDescent="0.35">
      <c r="B150" s="492"/>
      <c r="C150" s="485"/>
      <c r="D150" s="223" t="s">
        <v>93</v>
      </c>
      <c r="E150" s="219">
        <v>1</v>
      </c>
      <c r="F150" s="219">
        <v>1</v>
      </c>
      <c r="G150" s="219">
        <v>1473260</v>
      </c>
      <c r="H150" s="219">
        <v>589304</v>
      </c>
      <c r="I150" s="219">
        <v>580210</v>
      </c>
      <c r="J150" s="321">
        <v>9094</v>
      </c>
    </row>
    <row r="151" spans="2:10" hidden="1" outlineLevel="2" x14ac:dyDescent="0.35">
      <c r="B151" s="492"/>
      <c r="C151" s="485"/>
      <c r="D151" s="223" t="s">
        <v>92</v>
      </c>
      <c r="E151" s="219">
        <v>1</v>
      </c>
      <c r="F151" s="219">
        <v>1</v>
      </c>
      <c r="G151" s="219">
        <v>1572725</v>
      </c>
      <c r="H151" s="219">
        <v>629090</v>
      </c>
      <c r="I151" s="219">
        <v>621815</v>
      </c>
      <c r="J151" s="321">
        <v>7275</v>
      </c>
    </row>
    <row r="152" spans="2:10" hidden="1" outlineLevel="2" x14ac:dyDescent="0.35">
      <c r="B152" s="492"/>
      <c r="C152" s="485"/>
      <c r="D152" s="223" t="s">
        <v>91</v>
      </c>
      <c r="E152" s="219">
        <v>7</v>
      </c>
      <c r="F152" s="219">
        <v>6</v>
      </c>
      <c r="G152" s="219">
        <v>14267028.75</v>
      </c>
      <c r="H152" s="219">
        <v>4464797.66</v>
      </c>
      <c r="I152" s="219">
        <v>3520287.9099999997</v>
      </c>
      <c r="J152" s="321">
        <v>1036899.1499999999</v>
      </c>
    </row>
    <row r="153" spans="2:10" hidden="1" outlineLevel="2" x14ac:dyDescent="0.35">
      <c r="B153" s="492"/>
      <c r="C153" s="485"/>
      <c r="D153" s="223" t="s">
        <v>89</v>
      </c>
      <c r="E153" s="219">
        <v>16</v>
      </c>
      <c r="F153" s="219">
        <v>16</v>
      </c>
      <c r="G153" s="219">
        <v>22609655.780000001</v>
      </c>
      <c r="H153" s="219">
        <v>8769434.709999999</v>
      </c>
      <c r="I153" s="219">
        <v>7205903.3599999994</v>
      </c>
      <c r="J153" s="321">
        <v>1563531.3499999999</v>
      </c>
    </row>
    <row r="154" spans="2:10" hidden="1" outlineLevel="2" x14ac:dyDescent="0.35">
      <c r="B154" s="492"/>
      <c r="C154" s="485"/>
      <c r="D154" s="223" t="s">
        <v>88</v>
      </c>
      <c r="E154" s="219">
        <v>3</v>
      </c>
      <c r="F154" s="219">
        <v>2</v>
      </c>
      <c r="G154" s="219">
        <v>9244532.9800000004</v>
      </c>
      <c r="H154" s="219">
        <v>3697813.2</v>
      </c>
      <c r="I154" s="219">
        <v>2773362</v>
      </c>
      <c r="J154" s="321">
        <v>924451.20000000007</v>
      </c>
    </row>
    <row r="155" spans="2:10" hidden="1" outlineLevel="2" x14ac:dyDescent="0.35">
      <c r="B155" s="492"/>
      <c r="C155" s="485"/>
      <c r="D155" s="223" t="s">
        <v>87</v>
      </c>
      <c r="E155" s="219">
        <v>3</v>
      </c>
      <c r="F155" s="219">
        <v>3</v>
      </c>
      <c r="G155" s="219">
        <v>3883589.13</v>
      </c>
      <c r="H155" s="219">
        <v>1553435.64</v>
      </c>
      <c r="I155" s="219">
        <v>1316332.43</v>
      </c>
      <c r="J155" s="321">
        <v>237103.21</v>
      </c>
    </row>
    <row r="156" spans="2:10" hidden="1" outlineLevel="2" x14ac:dyDescent="0.35">
      <c r="B156" s="492"/>
      <c r="C156" s="485"/>
      <c r="D156" s="223" t="s">
        <v>86</v>
      </c>
      <c r="E156" s="219">
        <v>2</v>
      </c>
      <c r="F156" s="219">
        <v>2</v>
      </c>
      <c r="G156" s="219">
        <v>2522021.79</v>
      </c>
      <c r="H156" s="219">
        <v>886607.65999999992</v>
      </c>
      <c r="I156" s="219">
        <v>634406</v>
      </c>
      <c r="J156" s="321">
        <v>252201.65999999997</v>
      </c>
    </row>
    <row r="157" spans="2:10" hidden="1" outlineLevel="2" x14ac:dyDescent="0.35">
      <c r="B157" s="492"/>
      <c r="C157" s="485"/>
      <c r="D157" s="223" t="s">
        <v>84</v>
      </c>
      <c r="E157" s="219">
        <v>1</v>
      </c>
      <c r="F157" s="219">
        <v>1</v>
      </c>
      <c r="G157" s="219">
        <v>1526179.82</v>
      </c>
      <c r="H157" s="219">
        <v>457853.94</v>
      </c>
      <c r="I157" s="219">
        <v>315688.57</v>
      </c>
      <c r="J157" s="321">
        <v>142165.37</v>
      </c>
    </row>
    <row r="158" spans="2:10" hidden="1" outlineLevel="2" x14ac:dyDescent="0.35">
      <c r="B158" s="492"/>
      <c r="C158" s="485"/>
      <c r="D158" s="223" t="s">
        <v>83</v>
      </c>
      <c r="E158" s="219">
        <v>1</v>
      </c>
      <c r="F158" s="219">
        <v>1</v>
      </c>
      <c r="G158" s="219">
        <v>1429272.33</v>
      </c>
      <c r="H158" s="219">
        <v>428781.69</v>
      </c>
      <c r="I158" s="219">
        <v>420690</v>
      </c>
      <c r="J158" s="321">
        <v>8091.69</v>
      </c>
    </row>
    <row r="159" spans="2:10" hidden="1" outlineLevel="2" x14ac:dyDescent="0.35">
      <c r="B159" s="492"/>
      <c r="C159" s="485"/>
      <c r="D159" s="223" t="s">
        <v>82</v>
      </c>
      <c r="E159" s="219">
        <v>0</v>
      </c>
      <c r="F159" s="219">
        <v>0</v>
      </c>
      <c r="G159" s="219">
        <v>0</v>
      </c>
      <c r="H159" s="219">
        <v>0</v>
      </c>
      <c r="I159" s="219">
        <v>0</v>
      </c>
      <c r="J159" s="321">
        <v>0</v>
      </c>
    </row>
    <row r="160" spans="2:10" hidden="1" outlineLevel="2" x14ac:dyDescent="0.35">
      <c r="B160" s="492"/>
      <c r="C160" s="485"/>
      <c r="D160" s="223" t="s">
        <v>81</v>
      </c>
      <c r="E160" s="219">
        <v>0</v>
      </c>
      <c r="F160" s="219">
        <v>0</v>
      </c>
      <c r="G160" s="219">
        <v>0</v>
      </c>
      <c r="H160" s="219">
        <v>0</v>
      </c>
      <c r="I160" s="219">
        <v>0</v>
      </c>
      <c r="J160" s="321">
        <v>0</v>
      </c>
    </row>
    <row r="161" spans="2:10" hidden="1" outlineLevel="2" x14ac:dyDescent="0.35">
      <c r="B161" s="492"/>
      <c r="C161" s="485"/>
      <c r="D161" s="223" t="s">
        <v>79</v>
      </c>
      <c r="E161" s="219">
        <v>2</v>
      </c>
      <c r="F161" s="219">
        <v>2</v>
      </c>
      <c r="G161" s="219">
        <v>3299100.74</v>
      </c>
      <c r="H161" s="219">
        <v>515966.95</v>
      </c>
      <c r="I161" s="219">
        <v>272470</v>
      </c>
      <c r="J161" s="321">
        <v>243496.95</v>
      </c>
    </row>
    <row r="162" spans="2:10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21">
        <v>0</v>
      </c>
    </row>
    <row r="163" spans="2:10" outlineLevel="1" collapsed="1" x14ac:dyDescent="0.35">
      <c r="B163" s="492"/>
      <c r="C163" s="485"/>
      <c r="D163" s="221" t="s">
        <v>77</v>
      </c>
      <c r="E163" s="219">
        <f t="shared" ref="E163:J163" si="22">SUM(E164:E185)</f>
        <v>57</v>
      </c>
      <c r="F163" s="219">
        <f t="shared" si="22"/>
        <v>56</v>
      </c>
      <c r="G163" s="219">
        <f t="shared" si="22"/>
        <v>98818212.200000003</v>
      </c>
      <c r="H163" s="219">
        <f t="shared" si="22"/>
        <v>30975596.849999998</v>
      </c>
      <c r="I163" s="219">
        <f t="shared" si="22"/>
        <v>23881660.150000002</v>
      </c>
      <c r="J163" s="321">
        <f t="shared" si="22"/>
        <v>7093936.6999999993</v>
      </c>
    </row>
    <row r="164" spans="2:10" hidden="1" outlineLevel="2" x14ac:dyDescent="0.35">
      <c r="B164" s="492"/>
      <c r="C164" s="485"/>
      <c r="D164" s="222" t="s">
        <v>75</v>
      </c>
      <c r="E164" s="219">
        <v>3</v>
      </c>
      <c r="F164" s="219">
        <v>3</v>
      </c>
      <c r="G164" s="219">
        <v>5678118.5999999996</v>
      </c>
      <c r="H164" s="219">
        <v>1611233.55</v>
      </c>
      <c r="I164" s="219">
        <v>1077666.3500000001</v>
      </c>
      <c r="J164" s="321">
        <v>533567.19999999995</v>
      </c>
    </row>
    <row r="165" spans="2:10" hidden="1" outlineLevel="2" x14ac:dyDescent="0.35">
      <c r="B165" s="492"/>
      <c r="C165" s="485"/>
      <c r="D165" s="222" t="s">
        <v>74</v>
      </c>
      <c r="E165" s="219">
        <v>1</v>
      </c>
      <c r="F165" s="219">
        <v>1</v>
      </c>
      <c r="G165" s="219">
        <v>1364863.79</v>
      </c>
      <c r="H165" s="219">
        <v>409459.14</v>
      </c>
      <c r="I165" s="219">
        <v>272975</v>
      </c>
      <c r="J165" s="321">
        <v>136484.14000000001</v>
      </c>
    </row>
    <row r="166" spans="2:10" hidden="1" outlineLevel="2" x14ac:dyDescent="0.35">
      <c r="B166" s="492"/>
      <c r="C166" s="485"/>
      <c r="D166" s="222" t="s">
        <v>73</v>
      </c>
      <c r="E166" s="219">
        <v>5</v>
      </c>
      <c r="F166" s="219">
        <v>5</v>
      </c>
      <c r="G166" s="219">
        <v>10445696.93</v>
      </c>
      <c r="H166" s="219">
        <v>4178278.7199999997</v>
      </c>
      <c r="I166" s="219">
        <v>3281545.51</v>
      </c>
      <c r="J166" s="321">
        <v>896733.21</v>
      </c>
    </row>
    <row r="167" spans="2:10" hidden="1" outlineLevel="2" x14ac:dyDescent="0.35">
      <c r="B167" s="492"/>
      <c r="C167" s="485"/>
      <c r="D167" s="222" t="s">
        <v>72</v>
      </c>
      <c r="E167" s="219">
        <v>1</v>
      </c>
      <c r="F167" s="219">
        <v>1</v>
      </c>
      <c r="G167" s="219">
        <v>2667334.5699999998</v>
      </c>
      <c r="H167" s="219">
        <v>1066933.8400000001</v>
      </c>
      <c r="I167" s="219">
        <v>996340.7</v>
      </c>
      <c r="J167" s="321">
        <v>70593.14</v>
      </c>
    </row>
    <row r="168" spans="2:10" hidden="1" outlineLevel="2" x14ac:dyDescent="0.35">
      <c r="B168" s="492"/>
      <c r="C168" s="485"/>
      <c r="D168" s="222" t="s">
        <v>70</v>
      </c>
      <c r="E168" s="219">
        <v>4</v>
      </c>
      <c r="F168" s="219">
        <v>4</v>
      </c>
      <c r="G168" s="219">
        <v>7121628.8899999997</v>
      </c>
      <c r="H168" s="219">
        <v>2317530.1100000003</v>
      </c>
      <c r="I168" s="219">
        <v>1817134.5499999998</v>
      </c>
      <c r="J168" s="321">
        <v>500395.56</v>
      </c>
    </row>
    <row r="169" spans="2:10" hidden="1" outlineLevel="2" x14ac:dyDescent="0.35">
      <c r="B169" s="492"/>
      <c r="C169" s="485"/>
      <c r="D169" s="222" t="s">
        <v>69</v>
      </c>
      <c r="E169" s="219">
        <v>11</v>
      </c>
      <c r="F169" s="219">
        <v>11</v>
      </c>
      <c r="G169" s="219">
        <v>19236525.300000001</v>
      </c>
      <c r="H169" s="219">
        <v>7177951.6099999994</v>
      </c>
      <c r="I169" s="219">
        <v>5587365.5200000005</v>
      </c>
      <c r="J169" s="321">
        <v>1590586.0899999999</v>
      </c>
    </row>
    <row r="170" spans="2:10" hidden="1" outlineLevel="2" x14ac:dyDescent="0.35">
      <c r="B170" s="492"/>
      <c r="C170" s="485"/>
      <c r="D170" s="222" t="s">
        <v>68</v>
      </c>
      <c r="E170" s="219">
        <v>2</v>
      </c>
      <c r="F170" s="219">
        <v>2</v>
      </c>
      <c r="G170" s="219">
        <v>2857454.82</v>
      </c>
      <c r="H170" s="219">
        <v>1142981.92</v>
      </c>
      <c r="I170" s="219">
        <v>1128428.5699999998</v>
      </c>
      <c r="J170" s="321">
        <v>14553.35</v>
      </c>
    </row>
    <row r="171" spans="2:10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21">
        <v>0</v>
      </c>
    </row>
    <row r="172" spans="2:10" hidden="1" outlineLevel="2" x14ac:dyDescent="0.35">
      <c r="B172" s="492"/>
      <c r="C172" s="485"/>
      <c r="D172" s="222" t="s">
        <v>65</v>
      </c>
      <c r="E172" s="219">
        <v>1</v>
      </c>
      <c r="F172" s="219">
        <v>1</v>
      </c>
      <c r="G172" s="219">
        <v>2207142.9700000002</v>
      </c>
      <c r="H172" s="219">
        <v>662142.9</v>
      </c>
      <c r="I172" s="219">
        <v>593393.56000000006</v>
      </c>
      <c r="J172" s="321">
        <v>68749.34</v>
      </c>
    </row>
    <row r="173" spans="2:10" hidden="1" outlineLevel="2" x14ac:dyDescent="0.35">
      <c r="B173" s="492"/>
      <c r="C173" s="485"/>
      <c r="D173" s="222" t="s">
        <v>64</v>
      </c>
      <c r="E173" s="219">
        <v>9</v>
      </c>
      <c r="F173" s="219">
        <v>8</v>
      </c>
      <c r="G173" s="219">
        <v>14410313.67</v>
      </c>
      <c r="H173" s="219">
        <v>4323094.1099999994</v>
      </c>
      <c r="I173" s="219">
        <v>3392108.71</v>
      </c>
      <c r="J173" s="321">
        <v>930985.40000000014</v>
      </c>
    </row>
    <row r="174" spans="2:10" hidden="1" outlineLevel="2" x14ac:dyDescent="0.35">
      <c r="B174" s="492"/>
      <c r="C174" s="485"/>
      <c r="D174" s="222" t="s">
        <v>63</v>
      </c>
      <c r="E174" s="219">
        <v>0</v>
      </c>
      <c r="F174" s="219">
        <v>0</v>
      </c>
      <c r="G174" s="219">
        <v>0</v>
      </c>
      <c r="H174" s="219">
        <v>0</v>
      </c>
      <c r="I174" s="219">
        <v>0</v>
      </c>
      <c r="J174" s="321">
        <v>0</v>
      </c>
    </row>
    <row r="175" spans="2:10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21">
        <v>0</v>
      </c>
    </row>
    <row r="176" spans="2:10" hidden="1" outlineLevel="2" x14ac:dyDescent="0.35">
      <c r="B176" s="492"/>
      <c r="C176" s="485"/>
      <c r="D176" s="222" t="s">
        <v>60</v>
      </c>
      <c r="E176" s="219">
        <v>5</v>
      </c>
      <c r="F176" s="219">
        <v>5</v>
      </c>
      <c r="G176" s="219">
        <v>9081867.6499999985</v>
      </c>
      <c r="H176" s="219">
        <v>2534666.33</v>
      </c>
      <c r="I176" s="219">
        <v>2010006.02</v>
      </c>
      <c r="J176" s="321">
        <v>524660.30999999994</v>
      </c>
    </row>
    <row r="177" spans="2:10" hidden="1" outlineLevel="2" x14ac:dyDescent="0.35">
      <c r="B177" s="492"/>
      <c r="C177" s="485"/>
      <c r="D177" s="222" t="s">
        <v>59</v>
      </c>
      <c r="E177" s="219">
        <v>4</v>
      </c>
      <c r="F177" s="219">
        <v>4</v>
      </c>
      <c r="G177" s="219">
        <v>6313110.25</v>
      </c>
      <c r="H177" s="219">
        <v>1893933.09</v>
      </c>
      <c r="I177" s="219">
        <v>1271012.08</v>
      </c>
      <c r="J177" s="321">
        <v>622921.01</v>
      </c>
    </row>
    <row r="178" spans="2:10" hidden="1" outlineLevel="2" x14ac:dyDescent="0.35">
      <c r="B178" s="492"/>
      <c r="C178" s="485"/>
      <c r="D178" s="222" t="s">
        <v>58</v>
      </c>
      <c r="E178" s="219">
        <v>3</v>
      </c>
      <c r="F178" s="219">
        <v>3</v>
      </c>
      <c r="G178" s="219">
        <v>5803179.5</v>
      </c>
      <c r="H178" s="219">
        <v>1160635.8999999999</v>
      </c>
      <c r="I178" s="219">
        <v>690614.03</v>
      </c>
      <c r="J178" s="321">
        <v>470021.87</v>
      </c>
    </row>
    <row r="179" spans="2:10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21">
        <v>0</v>
      </c>
    </row>
    <row r="180" spans="2:10" hidden="1" outlineLevel="2" x14ac:dyDescent="0.35">
      <c r="B180" s="492"/>
      <c r="C180" s="485"/>
      <c r="D180" s="222" t="s">
        <v>55</v>
      </c>
      <c r="E180" s="219">
        <v>0</v>
      </c>
      <c r="F180" s="219">
        <v>0</v>
      </c>
      <c r="G180" s="219">
        <v>0</v>
      </c>
      <c r="H180" s="219">
        <v>0</v>
      </c>
      <c r="I180" s="219">
        <v>0</v>
      </c>
      <c r="J180" s="321">
        <v>0</v>
      </c>
    </row>
    <row r="181" spans="2:10" hidden="1" outlineLevel="2" x14ac:dyDescent="0.35">
      <c r="B181" s="492"/>
      <c r="C181" s="485"/>
      <c r="D181" s="222" t="s">
        <v>54</v>
      </c>
      <c r="E181" s="219">
        <v>5</v>
      </c>
      <c r="F181" s="219">
        <v>5</v>
      </c>
      <c r="G181" s="219">
        <v>7385366.2299999995</v>
      </c>
      <c r="H181" s="219">
        <v>1653366.69</v>
      </c>
      <c r="I181" s="219">
        <v>1083350.44</v>
      </c>
      <c r="J181" s="321">
        <v>570016.25000000012</v>
      </c>
    </row>
    <row r="182" spans="2:10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21">
        <v>0</v>
      </c>
    </row>
    <row r="183" spans="2:10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21">
        <v>0</v>
      </c>
    </row>
    <row r="184" spans="2:10" hidden="1" outlineLevel="2" x14ac:dyDescent="0.35">
      <c r="B184" s="492"/>
      <c r="C184" s="485"/>
      <c r="D184" s="222" t="s">
        <v>50</v>
      </c>
      <c r="E184" s="219">
        <v>3</v>
      </c>
      <c r="F184" s="219">
        <v>3</v>
      </c>
      <c r="G184" s="219">
        <v>4245609.03</v>
      </c>
      <c r="H184" s="219">
        <v>843388.94</v>
      </c>
      <c r="I184" s="219">
        <v>679719.11</v>
      </c>
      <c r="J184" s="321">
        <v>163669.83000000002</v>
      </c>
    </row>
    <row r="185" spans="2:10" hidden="1" outlineLevel="2" x14ac:dyDescent="0.35">
      <c r="B185" s="492"/>
      <c r="C185" s="485"/>
      <c r="D185" s="222" t="s">
        <v>49</v>
      </c>
      <c r="E185" s="219">
        <v>0</v>
      </c>
      <c r="F185" s="219">
        <v>0</v>
      </c>
      <c r="G185" s="219">
        <v>0</v>
      </c>
      <c r="H185" s="219">
        <v>0</v>
      </c>
      <c r="I185" s="219">
        <v>0</v>
      </c>
      <c r="J185" s="321">
        <v>0</v>
      </c>
    </row>
    <row r="186" spans="2:10" x14ac:dyDescent="0.35">
      <c r="B186" s="492"/>
      <c r="C186" s="485"/>
      <c r="D186" s="347" t="s">
        <v>243</v>
      </c>
      <c r="E186" s="383">
        <f t="shared" ref="E186:J186" si="23">SUM(E163,E128,E123)</f>
        <v>355</v>
      </c>
      <c r="F186" s="383">
        <f t="shared" si="23"/>
        <v>181</v>
      </c>
      <c r="G186" s="383">
        <f t="shared" si="23"/>
        <v>469129195.18999994</v>
      </c>
      <c r="H186" s="383">
        <f t="shared" si="23"/>
        <v>166396442.69</v>
      </c>
      <c r="I186" s="382">
        <f t="shared" si="23"/>
        <v>128689081.81</v>
      </c>
      <c r="J186" s="381">
        <f t="shared" si="23"/>
        <v>37799750.280000001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J187" si="24">SUM(E188:E190)</f>
        <v>7</v>
      </c>
      <c r="F187" s="219">
        <f t="shared" si="24"/>
        <v>7</v>
      </c>
      <c r="G187" s="219">
        <f t="shared" si="24"/>
        <v>9067254.2799999993</v>
      </c>
      <c r="H187" s="219">
        <f t="shared" si="24"/>
        <v>2720176.29</v>
      </c>
      <c r="I187" s="219">
        <f t="shared" si="24"/>
        <v>2004233.5699999998</v>
      </c>
      <c r="J187" s="321">
        <f t="shared" si="24"/>
        <v>715942.72</v>
      </c>
    </row>
    <row r="188" spans="2:10" ht="15" hidden="1" customHeight="1" outlineLevel="2" x14ac:dyDescent="0.35">
      <c r="B188" s="492"/>
      <c r="C188" s="485"/>
      <c r="D188" s="222" t="s">
        <v>126</v>
      </c>
      <c r="E188" s="219">
        <v>3</v>
      </c>
      <c r="F188" s="219">
        <v>3</v>
      </c>
      <c r="G188" s="219">
        <v>4026508.04</v>
      </c>
      <c r="H188" s="219">
        <v>1207952.3999999999</v>
      </c>
      <c r="I188" s="219">
        <v>930006.47</v>
      </c>
      <c r="J188" s="321">
        <v>277945.93</v>
      </c>
    </row>
    <row r="189" spans="2:10" ht="15" hidden="1" customHeight="1" outlineLevel="2" x14ac:dyDescent="0.35">
      <c r="B189" s="492"/>
      <c r="C189" s="485"/>
      <c r="D189" s="222" t="s">
        <v>125</v>
      </c>
      <c r="E189" s="219">
        <v>3</v>
      </c>
      <c r="F189" s="219">
        <v>3</v>
      </c>
      <c r="G189" s="219">
        <v>3846830.57</v>
      </c>
      <c r="H189" s="219">
        <v>1154049.1800000002</v>
      </c>
      <c r="I189" s="219">
        <v>774835.1</v>
      </c>
      <c r="J189" s="321">
        <v>379214.07999999996</v>
      </c>
    </row>
    <row r="190" spans="2:10" ht="15" hidden="1" customHeight="1" outlineLevel="2" x14ac:dyDescent="0.35">
      <c r="B190" s="492"/>
      <c r="C190" s="485"/>
      <c r="D190" s="222" t="s">
        <v>124</v>
      </c>
      <c r="E190" s="219">
        <v>1</v>
      </c>
      <c r="F190" s="219">
        <v>1</v>
      </c>
      <c r="G190" s="219">
        <v>1193915.67</v>
      </c>
      <c r="H190" s="219">
        <v>358174.71</v>
      </c>
      <c r="I190" s="219">
        <v>299392</v>
      </c>
      <c r="J190" s="321">
        <v>58782.71</v>
      </c>
    </row>
    <row r="191" spans="2:10" outlineLevel="1" collapsed="1" x14ac:dyDescent="0.35">
      <c r="B191" s="492"/>
      <c r="C191" s="485"/>
      <c r="D191" s="221" t="s">
        <v>46</v>
      </c>
      <c r="E191" s="219">
        <f t="shared" ref="E191:J191" si="25">SUM(E192:E195)</f>
        <v>1</v>
      </c>
      <c r="F191" s="219">
        <f t="shared" si="25"/>
        <v>1</v>
      </c>
      <c r="G191" s="219">
        <f t="shared" si="25"/>
        <v>1322497.04</v>
      </c>
      <c r="H191" s="219">
        <f t="shared" si="25"/>
        <v>264499.40000000002</v>
      </c>
      <c r="I191" s="219">
        <f t="shared" si="25"/>
        <v>132545</v>
      </c>
      <c r="J191" s="321">
        <f t="shared" si="25"/>
        <v>131954.4</v>
      </c>
    </row>
    <row r="192" spans="2:10" ht="15" hidden="1" customHeight="1" outlineLevel="2" x14ac:dyDescent="0.35">
      <c r="B192" s="492"/>
      <c r="C192" s="485"/>
      <c r="D192" s="222" t="s">
        <v>45</v>
      </c>
      <c r="E192" s="219">
        <v>0</v>
      </c>
      <c r="F192" s="219">
        <v>0</v>
      </c>
      <c r="G192" s="219">
        <v>0</v>
      </c>
      <c r="H192" s="219">
        <v>0</v>
      </c>
      <c r="I192" s="219">
        <v>0</v>
      </c>
      <c r="J192" s="321">
        <v>0</v>
      </c>
    </row>
    <row r="193" spans="2:10" ht="1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21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21">
        <v>0</v>
      </c>
    </row>
    <row r="195" spans="2:10" ht="15" hidden="1" customHeight="1" outlineLevel="2" x14ac:dyDescent="0.35">
      <c r="B195" s="492"/>
      <c r="C195" s="485"/>
      <c r="D195" s="222" t="s">
        <v>42</v>
      </c>
      <c r="E195" s="219">
        <v>1</v>
      </c>
      <c r="F195" s="219">
        <v>1</v>
      </c>
      <c r="G195" s="219">
        <v>1322497.04</v>
      </c>
      <c r="H195" s="219">
        <v>264499.40000000002</v>
      </c>
      <c r="I195" s="219">
        <v>132545</v>
      </c>
      <c r="J195" s="321">
        <v>131954.4</v>
      </c>
    </row>
    <row r="196" spans="2:10" x14ac:dyDescent="0.35">
      <c r="B196" s="493"/>
      <c r="C196" s="494"/>
      <c r="D196" s="347" t="s">
        <v>239</v>
      </c>
      <c r="E196" s="383">
        <f t="shared" ref="E196:J196" si="26">SUM(E191,E187)</f>
        <v>8</v>
      </c>
      <c r="F196" s="383">
        <f t="shared" si="26"/>
        <v>8</v>
      </c>
      <c r="G196" s="383">
        <f t="shared" si="26"/>
        <v>10389751.32</v>
      </c>
      <c r="H196" s="383">
        <f t="shared" si="26"/>
        <v>2984675.69</v>
      </c>
      <c r="I196" s="382">
        <f t="shared" si="26"/>
        <v>2136778.5699999998</v>
      </c>
      <c r="J196" s="381">
        <f t="shared" si="26"/>
        <v>847897.12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5" hidden="1" customHeight="1" outlineLevel="2" x14ac:dyDescent="0.35">
      <c r="B198" s="492"/>
      <c r="C198" s="485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21">
        <v>0</v>
      </c>
    </row>
    <row r="199" spans="2:10" ht="15" hidden="1" customHeight="1" outlineLevel="2" x14ac:dyDescent="0.35">
      <c r="B199" s="492"/>
      <c r="C199" s="485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21">
        <v>0</v>
      </c>
    </row>
    <row r="200" spans="2:10" ht="15" hidden="1" customHeight="1" outlineLevel="2" x14ac:dyDescent="0.35">
      <c r="B200" s="492"/>
      <c r="C200" s="485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21">
        <v>0</v>
      </c>
    </row>
    <row r="201" spans="2:10" outlineLevel="1" collapsed="1" x14ac:dyDescent="0.35">
      <c r="B201" s="492"/>
      <c r="C201" s="485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21">
        <v>0</v>
      </c>
    </row>
    <row r="202" spans="2:10" outlineLevel="1" x14ac:dyDescent="0.35">
      <c r="B202" s="492"/>
      <c r="C202" s="485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21">
        <v>0</v>
      </c>
    </row>
    <row r="203" spans="2:10" x14ac:dyDescent="0.35">
      <c r="B203" s="493"/>
      <c r="C203" s="494"/>
      <c r="D203" s="347" t="s">
        <v>236</v>
      </c>
      <c r="E203" s="383">
        <f t="shared" ref="E203:J203" si="28">SUM(E202,E201,E197)</f>
        <v>0</v>
      </c>
      <c r="F203" s="383">
        <f t="shared" si="28"/>
        <v>0</v>
      </c>
      <c r="G203" s="383">
        <f t="shared" si="28"/>
        <v>0</v>
      </c>
      <c r="H203" s="383">
        <f t="shared" si="28"/>
        <v>0</v>
      </c>
      <c r="I203" s="382">
        <f t="shared" si="28"/>
        <v>0</v>
      </c>
      <c r="J203" s="381">
        <f t="shared" si="28"/>
        <v>0</v>
      </c>
    </row>
    <row r="204" spans="2:10" ht="15" thickBot="1" x14ac:dyDescent="0.4">
      <c r="B204" s="545" t="s">
        <v>235</v>
      </c>
      <c r="C204" s="546"/>
      <c r="D204" s="339" t="s">
        <v>15</v>
      </c>
      <c r="E204" s="380">
        <f t="shared" ref="E204:J204" si="29">SUM(E203,E186,E121,E108,E75,E41,E116,E196)</f>
        <v>1336</v>
      </c>
      <c r="F204" s="380">
        <f t="shared" si="29"/>
        <v>1088</v>
      </c>
      <c r="G204" s="380">
        <f t="shared" si="29"/>
        <v>3284809523.7800002</v>
      </c>
      <c r="H204" s="380">
        <f t="shared" si="29"/>
        <v>1523580359.45</v>
      </c>
      <c r="I204" s="380">
        <f t="shared" si="29"/>
        <v>1219031308.5099998</v>
      </c>
      <c r="J204" s="388">
        <f t="shared" si="29"/>
        <v>304641440.33999997</v>
      </c>
    </row>
    <row r="205" spans="2:10" x14ac:dyDescent="0.35">
      <c r="J205" s="290">
        <f>'Overdue-2'!J204</f>
        <v>304641440.33999997</v>
      </c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505" right="0.70866141732283505" top="0.74803149606299202" bottom="0.74803149606299202" header="0.31496062992126" footer="0.31496062992126"/>
  <pageSetup paperSize="8" scale="81" orientation="landscape" r:id="rId1"/>
  <headerFooter alignWithMargins="0">
    <oddHeader>&amp;LSOBHA LLC&amp;C&amp;"Tahoma,Regular"&amp;14
OVERDUE AGEING_ Age calc. from first date of Deliquency_31-60 Days&amp;R&amp;D</oddHeader>
    <oddFooter>&amp;LCOLLECTIONS&amp;R&amp;P/&amp;N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B14B-1533-485F-88AB-719580587C9F}">
  <sheetPr>
    <pageSetUpPr fitToPage="1"/>
  </sheetPr>
  <dimension ref="B1:M205"/>
  <sheetViews>
    <sheetView view="pageBreakPreview" topLeftCell="A51" zoomScale="55" zoomScaleNormal="100" zoomScaleSheetLayoutView="55" workbookViewId="0"/>
  </sheetViews>
  <sheetFormatPr defaultRowHeight="14.5" outlineLevelRow="2" x14ac:dyDescent="0.35"/>
  <cols>
    <col min="2" max="2" width="28.453125" bestFit="1" customWidth="1"/>
    <col min="3" max="3" width="6.7265625" bestFit="1" customWidth="1"/>
    <col min="4" max="4" width="39.7265625" customWidth="1"/>
    <col min="5" max="5" width="14" bestFit="1" customWidth="1"/>
    <col min="6" max="6" width="22.26953125" bestFit="1" customWidth="1"/>
    <col min="7" max="7" width="21.453125" bestFit="1" customWidth="1"/>
    <col min="8" max="8" width="19.453125" bestFit="1" customWidth="1"/>
    <col min="9" max="9" width="33.7265625" bestFit="1" customWidth="1"/>
    <col min="10" max="10" width="28.26953125" style="6" bestFit="1" customWidth="1"/>
    <col min="11" max="11" width="7" bestFit="1" customWidth="1"/>
    <col min="12" max="12" width="6.26953125" bestFit="1" customWidth="1"/>
    <col min="13" max="13" width="17.26953125" bestFit="1" customWidth="1"/>
  </cols>
  <sheetData>
    <row r="1" spans="2:13" x14ac:dyDescent="0.35">
      <c r="M1" s="290">
        <v>106755150.14000003</v>
      </c>
    </row>
    <row r="3" spans="2:13" x14ac:dyDescent="0.35">
      <c r="B3" s="390">
        <v>46143</v>
      </c>
      <c r="C3" t="s">
        <v>266</v>
      </c>
    </row>
    <row r="4" spans="2:13" ht="15" thickBot="1" x14ac:dyDescent="0.4"/>
    <row r="5" spans="2:13" x14ac:dyDescent="0.35">
      <c r="B5" s="510" t="s">
        <v>276</v>
      </c>
      <c r="C5" s="541"/>
      <c r="D5" s="543" t="s">
        <v>275</v>
      </c>
      <c r="E5" s="543" t="s">
        <v>281</v>
      </c>
      <c r="F5" s="547" t="s">
        <v>280</v>
      </c>
      <c r="G5" s="543" t="s">
        <v>274</v>
      </c>
      <c r="H5" s="543" t="s">
        <v>273</v>
      </c>
      <c r="I5" s="547" t="s">
        <v>289</v>
      </c>
      <c r="J5" s="387" t="s">
        <v>283</v>
      </c>
    </row>
    <row r="6" spans="2:13" x14ac:dyDescent="0.35">
      <c r="B6" s="512"/>
      <c r="C6" s="542"/>
      <c r="D6" s="544"/>
      <c r="E6" s="544"/>
      <c r="F6" s="548"/>
      <c r="G6" s="544"/>
      <c r="H6" s="544"/>
      <c r="I6" s="548"/>
      <c r="J6" s="386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6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26">
        <f t="shared" si="0"/>
        <v>0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6">
        <v>0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6">
        <v>0</v>
      </c>
    </row>
    <row r="11" spans="2:13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6">
        <v>0</v>
      </c>
    </row>
    <row r="12" spans="2:13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6">
        <v>0</v>
      </c>
    </row>
    <row r="13" spans="2:13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26">
        <v>0</v>
      </c>
    </row>
    <row r="14" spans="2:13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6">
        <v>0</v>
      </c>
    </row>
    <row r="15" spans="2:13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6">
        <v>0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1</v>
      </c>
      <c r="F16" s="219">
        <f t="shared" si="1"/>
        <v>1</v>
      </c>
      <c r="G16" s="219">
        <f t="shared" si="1"/>
        <v>17911975.199999999</v>
      </c>
      <c r="H16" s="219">
        <f t="shared" si="1"/>
        <v>17911975.199999999</v>
      </c>
      <c r="I16" s="219">
        <f t="shared" si="1"/>
        <v>17887179</v>
      </c>
      <c r="J16" s="326">
        <f t="shared" si="1"/>
        <v>24796.2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6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6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6">
        <v>0</v>
      </c>
    </row>
    <row r="20" spans="2:10" hidden="1" outlineLevel="2" x14ac:dyDescent="0.35">
      <c r="B20" s="503"/>
      <c r="C20" s="506"/>
      <c r="D20" s="242" t="s">
        <v>208</v>
      </c>
      <c r="E20" s="219">
        <v>1</v>
      </c>
      <c r="F20" s="219">
        <v>1</v>
      </c>
      <c r="G20" s="219">
        <v>17911975.199999999</v>
      </c>
      <c r="H20" s="219">
        <v>17911975.199999999</v>
      </c>
      <c r="I20" s="219">
        <v>17887179</v>
      </c>
      <c r="J20" s="326">
        <v>24796.2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6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26">
        <f t="shared" si="2"/>
        <v>0</v>
      </c>
    </row>
    <row r="23" spans="2:10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21">
        <v>0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21">
        <v>0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21">
        <f t="shared" si="4"/>
        <v>0</v>
      </c>
    </row>
    <row r="35" spans="2:10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21">
        <v>0</v>
      </c>
    </row>
    <row r="36" spans="2:10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21">
        <v>0</v>
      </c>
    </row>
    <row r="37" spans="2:10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21">
        <v>0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2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</row>
    <row r="41" spans="2:10" x14ac:dyDescent="0.35">
      <c r="B41" s="504"/>
      <c r="C41" s="507"/>
      <c r="D41" s="347" t="s">
        <v>259</v>
      </c>
      <c r="E41" s="383">
        <f t="shared" ref="E41:J41" si="5">SUM(E8,E15:E16,E27:E29,E22,E33:E34,E40)</f>
        <v>1</v>
      </c>
      <c r="F41" s="383">
        <f t="shared" si="5"/>
        <v>1</v>
      </c>
      <c r="G41" s="383">
        <f t="shared" si="5"/>
        <v>17911975.199999999</v>
      </c>
      <c r="H41" s="383">
        <f t="shared" si="5"/>
        <v>17911975.199999999</v>
      </c>
      <c r="I41" s="382">
        <f t="shared" si="5"/>
        <v>17887179</v>
      </c>
      <c r="J41" s="381">
        <f t="shared" si="5"/>
        <v>24796.2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2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2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2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2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21">
        <v>0</v>
      </c>
    </row>
    <row r="49" spans="2:10" outlineLevel="1" x14ac:dyDescent="0.35">
      <c r="B49" s="487"/>
      <c r="C49" s="490"/>
      <c r="D49" s="236" t="s">
        <v>189</v>
      </c>
      <c r="E49" s="219">
        <v>12</v>
      </c>
      <c r="F49" s="219">
        <v>12</v>
      </c>
      <c r="G49" s="219">
        <v>32315823.25</v>
      </c>
      <c r="H49" s="219">
        <v>17270233.559999999</v>
      </c>
      <c r="I49" s="219">
        <v>14895676.630000003</v>
      </c>
      <c r="J49" s="321">
        <v>2374556.9299999997</v>
      </c>
    </row>
    <row r="50" spans="2:10" outlineLevel="1" x14ac:dyDescent="0.35">
      <c r="B50" s="487"/>
      <c r="C50" s="490"/>
      <c r="D50" s="263" t="s">
        <v>179</v>
      </c>
      <c r="E50" s="219">
        <v>15</v>
      </c>
      <c r="F50" s="219">
        <v>15</v>
      </c>
      <c r="G50" s="219">
        <v>159767947.38</v>
      </c>
      <c r="H50" s="219">
        <v>98330476.899999991</v>
      </c>
      <c r="I50" s="219">
        <v>87312135.719999999</v>
      </c>
      <c r="J50" s="321">
        <v>11018341.18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0</v>
      </c>
      <c r="F51" s="219">
        <f t="shared" si="7"/>
        <v>0</v>
      </c>
      <c r="G51" s="219">
        <f t="shared" si="7"/>
        <v>0</v>
      </c>
      <c r="H51" s="219">
        <f t="shared" si="7"/>
        <v>0</v>
      </c>
      <c r="I51" s="219">
        <f t="shared" si="7"/>
        <v>0</v>
      </c>
      <c r="J51" s="321">
        <f t="shared" si="7"/>
        <v>0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0</v>
      </c>
      <c r="F54" s="219">
        <v>0</v>
      </c>
      <c r="G54" s="219">
        <v>0</v>
      </c>
      <c r="H54" s="219">
        <v>0</v>
      </c>
      <c r="I54" s="219">
        <v>0</v>
      </c>
      <c r="J54" s="321">
        <v>0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152</v>
      </c>
      <c r="F56" s="219">
        <f t="shared" si="8"/>
        <v>145</v>
      </c>
      <c r="G56" s="219">
        <f t="shared" si="8"/>
        <v>309983679.75999999</v>
      </c>
      <c r="H56" s="219">
        <f t="shared" si="8"/>
        <v>166137302.81</v>
      </c>
      <c r="I56" s="219">
        <f t="shared" si="8"/>
        <v>148576865.65000001</v>
      </c>
      <c r="J56" s="321">
        <f t="shared" si="8"/>
        <v>17560437.16</v>
      </c>
    </row>
    <row r="57" spans="2:10" hidden="1" outlineLevel="2" x14ac:dyDescent="0.35">
      <c r="B57" s="487"/>
      <c r="C57" s="490"/>
      <c r="D57" s="242" t="s">
        <v>169</v>
      </c>
      <c r="E57" s="219">
        <v>13</v>
      </c>
      <c r="F57" s="219">
        <v>11</v>
      </c>
      <c r="G57" s="219">
        <v>35034690.299999997</v>
      </c>
      <c r="H57" s="219">
        <v>18279437.489999998</v>
      </c>
      <c r="I57" s="219">
        <v>15406956.119999999</v>
      </c>
      <c r="J57" s="321">
        <v>2872481.3700000006</v>
      </c>
    </row>
    <row r="58" spans="2:10" hidden="1" outlineLevel="2" x14ac:dyDescent="0.35">
      <c r="B58" s="487"/>
      <c r="C58" s="490"/>
      <c r="D58" s="242" t="s">
        <v>168</v>
      </c>
      <c r="E58" s="219">
        <v>29</v>
      </c>
      <c r="F58" s="219">
        <v>29</v>
      </c>
      <c r="G58" s="219">
        <v>52427137.599999994</v>
      </c>
      <c r="H58" s="219">
        <v>35455403.240000002</v>
      </c>
      <c r="I58" s="219">
        <v>33293993.430000011</v>
      </c>
      <c r="J58" s="321">
        <v>2161409.8100000005</v>
      </c>
    </row>
    <row r="59" spans="2:10" hidden="1" outlineLevel="2" x14ac:dyDescent="0.35">
      <c r="B59" s="487"/>
      <c r="C59" s="490"/>
      <c r="D59" s="242" t="s">
        <v>167</v>
      </c>
      <c r="E59" s="219">
        <v>21</v>
      </c>
      <c r="F59" s="219">
        <v>20</v>
      </c>
      <c r="G59" s="219">
        <v>37083535.870000005</v>
      </c>
      <c r="H59" s="219">
        <v>19911916.470000003</v>
      </c>
      <c r="I59" s="219">
        <v>18149126.960000001</v>
      </c>
      <c r="J59" s="321">
        <v>1762789.5100000002</v>
      </c>
    </row>
    <row r="60" spans="2:10" hidden="1" outlineLevel="2" x14ac:dyDescent="0.35">
      <c r="B60" s="487"/>
      <c r="C60" s="490"/>
      <c r="D60" s="242" t="s">
        <v>166</v>
      </c>
      <c r="E60" s="219">
        <v>36</v>
      </c>
      <c r="F60" s="219">
        <v>35</v>
      </c>
      <c r="G60" s="219">
        <v>77531594.090000004</v>
      </c>
      <c r="H60" s="219">
        <v>36415170.220000006</v>
      </c>
      <c r="I60" s="219">
        <v>30647188.140000001</v>
      </c>
      <c r="J60" s="321">
        <v>5767982.0800000001</v>
      </c>
    </row>
    <row r="61" spans="2:10" hidden="1" outlineLevel="2" x14ac:dyDescent="0.35">
      <c r="B61" s="487"/>
      <c r="C61" s="490"/>
      <c r="D61" s="261" t="s">
        <v>165</v>
      </c>
      <c r="E61" s="219">
        <v>23</v>
      </c>
      <c r="F61" s="219">
        <v>23</v>
      </c>
      <c r="G61" s="219">
        <v>49931143.549999997</v>
      </c>
      <c r="H61" s="219">
        <v>27209211.530000001</v>
      </c>
      <c r="I61" s="219">
        <v>26073799.920000006</v>
      </c>
      <c r="J61" s="321">
        <v>1135411.6100000001</v>
      </c>
    </row>
    <row r="62" spans="2:10" hidden="1" outlineLevel="2" x14ac:dyDescent="0.35">
      <c r="B62" s="487"/>
      <c r="C62" s="490"/>
      <c r="D62" s="261" t="s">
        <v>164</v>
      </c>
      <c r="E62" s="219">
        <v>30</v>
      </c>
      <c r="F62" s="219">
        <v>27</v>
      </c>
      <c r="G62" s="219">
        <v>57975578.349999994</v>
      </c>
      <c r="H62" s="219">
        <v>28866163.859999996</v>
      </c>
      <c r="I62" s="219">
        <v>25005801.079999998</v>
      </c>
      <c r="J62" s="321">
        <v>3860362.78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3</v>
      </c>
      <c r="F63" s="219">
        <f t="shared" si="9"/>
        <v>3</v>
      </c>
      <c r="G63" s="219">
        <f t="shared" si="9"/>
        <v>6973336.8300000001</v>
      </c>
      <c r="H63" s="219">
        <f t="shared" si="9"/>
        <v>4184002.09</v>
      </c>
      <c r="I63" s="219">
        <f t="shared" si="9"/>
        <v>2501986.9300000002</v>
      </c>
      <c r="J63" s="321">
        <f t="shared" si="9"/>
        <v>1682015.1600000001</v>
      </c>
    </row>
    <row r="64" spans="2:10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21">
        <v>0</v>
      </c>
    </row>
    <row r="65" spans="2:10" hidden="1" outlineLevel="2" x14ac:dyDescent="0.35">
      <c r="B65" s="487"/>
      <c r="C65" s="490"/>
      <c r="D65" s="260" t="s">
        <v>195</v>
      </c>
      <c r="E65" s="219">
        <v>3</v>
      </c>
      <c r="F65" s="219">
        <v>3</v>
      </c>
      <c r="G65" s="219">
        <v>6973336.8300000001</v>
      </c>
      <c r="H65" s="219">
        <v>4184002.09</v>
      </c>
      <c r="I65" s="219">
        <v>2501986.9300000002</v>
      </c>
      <c r="J65" s="321">
        <v>1682015.1600000001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64</v>
      </c>
      <c r="F67" s="219">
        <f t="shared" si="10"/>
        <v>62</v>
      </c>
      <c r="G67" s="219">
        <f t="shared" si="10"/>
        <v>217755761.95999998</v>
      </c>
      <c r="H67" s="219">
        <f t="shared" si="10"/>
        <v>104322666.94</v>
      </c>
      <c r="I67" s="219">
        <f t="shared" si="10"/>
        <v>92139716.319999993</v>
      </c>
      <c r="J67" s="321">
        <f t="shared" si="10"/>
        <v>8350130.79</v>
      </c>
    </row>
    <row r="68" spans="2:10" hidden="1" outlineLevel="2" x14ac:dyDescent="0.35">
      <c r="B68" s="487"/>
      <c r="C68" s="490"/>
      <c r="D68" s="260" t="s">
        <v>177</v>
      </c>
      <c r="E68" s="219">
        <f>SUM(E69:E74)</f>
        <v>32</v>
      </c>
      <c r="F68" s="219">
        <f>SUM(F69:F74)</f>
        <v>31</v>
      </c>
      <c r="G68" s="219">
        <f>SUM(G69:G74)</f>
        <v>108877880.97999999</v>
      </c>
      <c r="H68" s="219">
        <f>SUM(H69:H74)</f>
        <v>52161333.470000006</v>
      </c>
      <c r="I68" s="219">
        <f>SUM(I69:I74)</f>
        <v>46069858.159999996</v>
      </c>
      <c r="J68" s="321">
        <v>2258655.48</v>
      </c>
    </row>
    <row r="69" spans="2:10" hidden="1" outlineLevel="2" x14ac:dyDescent="0.35">
      <c r="B69" s="487"/>
      <c r="C69" s="490"/>
      <c r="D69" s="260" t="s">
        <v>176</v>
      </c>
      <c r="E69" s="219">
        <v>6</v>
      </c>
      <c r="F69" s="219">
        <v>6</v>
      </c>
      <c r="G69" s="219">
        <v>15150668.379999999</v>
      </c>
      <c r="H69" s="219">
        <v>7488605.4299999997</v>
      </c>
      <c r="I69" s="219">
        <v>6591084.6900000004</v>
      </c>
      <c r="J69" s="321">
        <v>897520.74</v>
      </c>
    </row>
    <row r="70" spans="2:10" hidden="1" outlineLevel="2" x14ac:dyDescent="0.35">
      <c r="B70" s="487"/>
      <c r="C70" s="490"/>
      <c r="D70" s="260" t="s">
        <v>175</v>
      </c>
      <c r="E70" s="219">
        <v>2</v>
      </c>
      <c r="F70" s="219">
        <v>2</v>
      </c>
      <c r="G70" s="219">
        <v>9569973.5999999996</v>
      </c>
      <c r="H70" s="219">
        <v>5741984.21</v>
      </c>
      <c r="I70" s="219">
        <v>5261287.99</v>
      </c>
      <c r="J70" s="321">
        <v>480696.22000000003</v>
      </c>
    </row>
    <row r="71" spans="2:10" hidden="1" outlineLevel="2" x14ac:dyDescent="0.35">
      <c r="B71" s="487"/>
      <c r="C71" s="490"/>
      <c r="D71" s="260" t="s">
        <v>174</v>
      </c>
      <c r="E71" s="219">
        <v>4</v>
      </c>
      <c r="F71" s="219">
        <v>4</v>
      </c>
      <c r="G71" s="219">
        <v>12504398.800000001</v>
      </c>
      <c r="H71" s="219">
        <v>5608350.3099999996</v>
      </c>
      <c r="I71" s="219">
        <v>4900316.6899999995</v>
      </c>
      <c r="J71" s="321">
        <v>708033.62</v>
      </c>
    </row>
    <row r="72" spans="2:10" hidden="1" outlineLevel="2" x14ac:dyDescent="0.35">
      <c r="B72" s="487"/>
      <c r="C72" s="490"/>
      <c r="D72" s="260" t="s">
        <v>173</v>
      </c>
      <c r="E72" s="219">
        <v>15</v>
      </c>
      <c r="F72" s="219">
        <v>14</v>
      </c>
      <c r="G72" s="219">
        <v>43913074.199999996</v>
      </c>
      <c r="H72" s="219">
        <v>22482534.920000002</v>
      </c>
      <c r="I72" s="219">
        <v>19590167.68</v>
      </c>
      <c r="J72" s="321">
        <v>2892367.24</v>
      </c>
    </row>
    <row r="73" spans="2:10" hidden="1" outlineLevel="2" x14ac:dyDescent="0.35">
      <c r="B73" s="487"/>
      <c r="C73" s="490"/>
      <c r="D73" s="260" t="s">
        <v>172</v>
      </c>
      <c r="E73" s="219">
        <v>5</v>
      </c>
      <c r="F73" s="219">
        <v>5</v>
      </c>
      <c r="G73" s="219">
        <v>27739766</v>
      </c>
      <c r="H73" s="219">
        <v>10839858.600000001</v>
      </c>
      <c r="I73" s="219">
        <v>9727001.1099999994</v>
      </c>
      <c r="J73" s="321">
        <v>1112857.49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21">
        <v>0</v>
      </c>
    </row>
    <row r="75" spans="2:10" x14ac:dyDescent="0.35">
      <c r="B75" s="488"/>
      <c r="C75" s="491"/>
      <c r="D75" s="347" t="s">
        <v>255</v>
      </c>
      <c r="E75" s="383">
        <f t="shared" ref="E75:J75" si="11">SUM(E43,E48:E51,E56,E63,E67)</f>
        <v>246</v>
      </c>
      <c r="F75" s="383">
        <f t="shared" si="11"/>
        <v>237</v>
      </c>
      <c r="G75" s="383">
        <f t="shared" si="11"/>
        <v>726796549.17999995</v>
      </c>
      <c r="H75" s="383">
        <f t="shared" si="11"/>
        <v>390244682.29999995</v>
      </c>
      <c r="I75" s="382">
        <f t="shared" si="11"/>
        <v>345426381.25</v>
      </c>
      <c r="J75" s="381">
        <f t="shared" si="11"/>
        <v>40985481.219999999</v>
      </c>
    </row>
    <row r="76" spans="2:10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01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8</v>
      </c>
      <c r="F77" s="219">
        <f t="shared" si="12"/>
        <v>8</v>
      </c>
      <c r="G77" s="219">
        <f t="shared" si="12"/>
        <v>95067790.5</v>
      </c>
      <c r="H77" s="219">
        <f t="shared" si="12"/>
        <v>41839159.750000007</v>
      </c>
      <c r="I77" s="219">
        <f t="shared" si="12"/>
        <v>31565759.189999998</v>
      </c>
      <c r="J77" s="321">
        <f t="shared" si="12"/>
        <v>10273400.559999999</v>
      </c>
    </row>
    <row r="78" spans="2:10" hidden="1" outlineLevel="2" x14ac:dyDescent="0.35">
      <c r="B78" s="487"/>
      <c r="C78" s="490"/>
      <c r="D78" s="250" t="s">
        <v>192</v>
      </c>
      <c r="E78" s="219">
        <v>2</v>
      </c>
      <c r="F78" s="219">
        <v>2</v>
      </c>
      <c r="G78" s="219">
        <v>37991631.5</v>
      </c>
      <c r="H78" s="219">
        <v>18256924.850000001</v>
      </c>
      <c r="I78" s="219">
        <v>11678694.199999999</v>
      </c>
      <c r="J78" s="321">
        <v>6578230.6499999994</v>
      </c>
    </row>
    <row r="79" spans="2:10" hidden="1" outlineLevel="2" x14ac:dyDescent="0.35">
      <c r="B79" s="487"/>
      <c r="C79" s="490"/>
      <c r="D79" s="250" t="s">
        <v>191</v>
      </c>
      <c r="E79" s="219">
        <v>4</v>
      </c>
      <c r="F79" s="219">
        <v>4</v>
      </c>
      <c r="G79" s="219">
        <v>38579881</v>
      </c>
      <c r="H79" s="219">
        <v>15251740.700000001</v>
      </c>
      <c r="I79" s="219">
        <v>13406114.59</v>
      </c>
      <c r="J79" s="321">
        <v>1845626.1099999999</v>
      </c>
    </row>
    <row r="80" spans="2:10" hidden="1" outlineLevel="2" x14ac:dyDescent="0.35">
      <c r="B80" s="487"/>
      <c r="C80" s="490"/>
      <c r="D80" s="250" t="s">
        <v>190</v>
      </c>
      <c r="E80" s="219">
        <v>2</v>
      </c>
      <c r="F80" s="219">
        <v>2</v>
      </c>
      <c r="G80" s="219">
        <v>18496278</v>
      </c>
      <c r="H80" s="219">
        <v>8330494.2000000002</v>
      </c>
      <c r="I80" s="219">
        <v>6480950.4000000004</v>
      </c>
      <c r="J80" s="321">
        <v>1849543.7999999998</v>
      </c>
    </row>
    <row r="81" spans="2:10" outlineLevel="1" collapsed="1" x14ac:dyDescent="0.35">
      <c r="B81" s="487"/>
      <c r="C81" s="490"/>
      <c r="D81" s="251" t="s">
        <v>158</v>
      </c>
      <c r="E81" s="219">
        <f t="shared" ref="E81:J81" si="13">SUM(E82:E89)</f>
        <v>35</v>
      </c>
      <c r="F81" s="219">
        <f t="shared" si="13"/>
        <v>34</v>
      </c>
      <c r="G81" s="219">
        <f t="shared" si="13"/>
        <v>44515606.100000001</v>
      </c>
      <c r="H81" s="219">
        <f t="shared" si="13"/>
        <v>16975701.859999999</v>
      </c>
      <c r="I81" s="219">
        <f t="shared" si="13"/>
        <v>14363571.929999998</v>
      </c>
      <c r="J81" s="321">
        <f t="shared" si="13"/>
        <v>2612129.9300000002</v>
      </c>
    </row>
    <row r="82" spans="2:10" hidden="1" outlineLevel="2" x14ac:dyDescent="0.35">
      <c r="B82" s="487"/>
      <c r="C82" s="490"/>
      <c r="D82" s="250" t="s">
        <v>157</v>
      </c>
      <c r="E82" s="219">
        <v>6</v>
      </c>
      <c r="F82" s="219">
        <v>6</v>
      </c>
      <c r="G82" s="219">
        <v>8023010.0499999998</v>
      </c>
      <c r="H82" s="219">
        <v>2829570.79</v>
      </c>
      <c r="I82" s="219">
        <v>2398049.1</v>
      </c>
      <c r="J82" s="321">
        <v>431521.69</v>
      </c>
    </row>
    <row r="83" spans="2:10" hidden="1" outlineLevel="2" x14ac:dyDescent="0.35">
      <c r="B83" s="487"/>
      <c r="C83" s="490"/>
      <c r="D83" s="250" t="s">
        <v>156</v>
      </c>
      <c r="E83" s="219">
        <v>7</v>
      </c>
      <c r="F83" s="219">
        <v>6</v>
      </c>
      <c r="G83" s="219">
        <v>8254257.6499999994</v>
      </c>
      <c r="H83" s="219">
        <v>3719523.2499999995</v>
      </c>
      <c r="I83" s="219">
        <v>2990900.42</v>
      </c>
      <c r="J83" s="321">
        <v>728622.83</v>
      </c>
    </row>
    <row r="84" spans="2:10" hidden="1" outlineLevel="2" x14ac:dyDescent="0.35">
      <c r="B84" s="487"/>
      <c r="C84" s="490"/>
      <c r="D84" s="250" t="s">
        <v>155</v>
      </c>
      <c r="E84" s="219">
        <v>1</v>
      </c>
      <c r="F84" s="219">
        <v>1</v>
      </c>
      <c r="G84" s="219">
        <v>1781057.85</v>
      </c>
      <c r="H84" s="219">
        <v>356211.58</v>
      </c>
      <c r="I84" s="219">
        <v>178056</v>
      </c>
      <c r="J84" s="321">
        <v>178155.58</v>
      </c>
    </row>
    <row r="85" spans="2:10" hidden="1" outlineLevel="2" x14ac:dyDescent="0.35">
      <c r="B85" s="487"/>
      <c r="C85" s="490"/>
      <c r="D85" s="250" t="s">
        <v>154</v>
      </c>
      <c r="E85" s="219">
        <v>2</v>
      </c>
      <c r="F85" s="219">
        <v>2</v>
      </c>
      <c r="G85" s="219">
        <v>2474987.2000000002</v>
      </c>
      <c r="H85" s="219">
        <v>494997.44</v>
      </c>
      <c r="I85" s="219">
        <v>310778</v>
      </c>
      <c r="J85" s="321">
        <v>184219.44</v>
      </c>
    </row>
    <row r="86" spans="2:10" hidden="1" outlineLevel="2" x14ac:dyDescent="0.35">
      <c r="B86" s="487"/>
      <c r="C86" s="490"/>
      <c r="D86" s="250" t="s">
        <v>153</v>
      </c>
      <c r="E86" s="219">
        <v>11</v>
      </c>
      <c r="F86" s="219">
        <v>11</v>
      </c>
      <c r="G86" s="219">
        <v>12609074.199999999</v>
      </c>
      <c r="H86" s="219">
        <v>5767496.1600000001</v>
      </c>
      <c r="I86" s="219">
        <v>5103169.63</v>
      </c>
      <c r="J86" s="321">
        <v>664326.53</v>
      </c>
    </row>
    <row r="87" spans="2:10" hidden="1" outlineLevel="2" x14ac:dyDescent="0.35">
      <c r="B87" s="487"/>
      <c r="C87" s="490"/>
      <c r="D87" s="250" t="s">
        <v>152</v>
      </c>
      <c r="E87" s="219">
        <v>2</v>
      </c>
      <c r="F87" s="219">
        <v>2</v>
      </c>
      <c r="G87" s="219">
        <v>2505108.2999999998</v>
      </c>
      <c r="H87" s="219">
        <v>1013907.29</v>
      </c>
      <c r="I87" s="219">
        <v>1009201.5800000001</v>
      </c>
      <c r="J87" s="321">
        <v>4705.71</v>
      </c>
    </row>
    <row r="88" spans="2:10" hidden="1" outlineLevel="2" x14ac:dyDescent="0.35">
      <c r="B88" s="487"/>
      <c r="C88" s="490"/>
      <c r="D88" s="250" t="s">
        <v>151</v>
      </c>
      <c r="E88" s="219">
        <v>5</v>
      </c>
      <c r="F88" s="219">
        <v>5</v>
      </c>
      <c r="G88" s="219">
        <v>6262160.8499999996</v>
      </c>
      <c r="H88" s="219">
        <v>2246745.85</v>
      </c>
      <c r="I88" s="219">
        <v>1850871.2</v>
      </c>
      <c r="J88" s="321">
        <v>395874.65</v>
      </c>
    </row>
    <row r="89" spans="2:10" hidden="1" outlineLevel="2" x14ac:dyDescent="0.35">
      <c r="B89" s="487"/>
      <c r="C89" s="490"/>
      <c r="D89" s="250" t="s">
        <v>150</v>
      </c>
      <c r="E89" s="219">
        <v>1</v>
      </c>
      <c r="F89" s="219">
        <v>1</v>
      </c>
      <c r="G89" s="219">
        <v>2605950</v>
      </c>
      <c r="H89" s="219">
        <v>547249.5</v>
      </c>
      <c r="I89" s="219">
        <v>522546</v>
      </c>
      <c r="J89" s="321">
        <v>24703.5</v>
      </c>
    </row>
    <row r="90" spans="2:10" outlineLevel="1" collapsed="1" x14ac:dyDescent="0.35">
      <c r="B90" s="487"/>
      <c r="C90" s="490"/>
      <c r="D90" s="251" t="s">
        <v>149</v>
      </c>
      <c r="E90" s="219">
        <f t="shared" ref="E90:J90" si="14">SUM(E91:E93)</f>
        <v>21</v>
      </c>
      <c r="F90" s="219">
        <f t="shared" si="14"/>
        <v>21</v>
      </c>
      <c r="G90" s="219">
        <f t="shared" si="14"/>
        <v>59942554.800000004</v>
      </c>
      <c r="H90" s="219">
        <f t="shared" si="14"/>
        <v>16769624.09</v>
      </c>
      <c r="I90" s="219">
        <f t="shared" si="14"/>
        <v>13066421.879999999</v>
      </c>
      <c r="J90" s="321">
        <f t="shared" si="14"/>
        <v>3703202.21</v>
      </c>
    </row>
    <row r="91" spans="2:10" hidden="1" outlineLevel="2" x14ac:dyDescent="0.35">
      <c r="B91" s="487"/>
      <c r="C91" s="490"/>
      <c r="D91" s="250" t="s">
        <v>148</v>
      </c>
      <c r="E91" s="219">
        <v>6</v>
      </c>
      <c r="F91" s="219">
        <v>6</v>
      </c>
      <c r="G91" s="219">
        <v>17574841.800000001</v>
      </c>
      <c r="H91" s="219">
        <v>4456208.0199999996</v>
      </c>
      <c r="I91" s="219">
        <v>3376533.0300000003</v>
      </c>
      <c r="J91" s="321">
        <v>1079674.99</v>
      </c>
    </row>
    <row r="92" spans="2:10" hidden="1" outlineLevel="2" x14ac:dyDescent="0.35">
      <c r="B92" s="487"/>
      <c r="C92" s="490"/>
      <c r="D92" s="250" t="s">
        <v>147</v>
      </c>
      <c r="E92" s="219">
        <v>8</v>
      </c>
      <c r="F92" s="219">
        <v>8</v>
      </c>
      <c r="G92" s="219">
        <v>20983240.600000001</v>
      </c>
      <c r="H92" s="219">
        <v>5898074.3199999994</v>
      </c>
      <c r="I92" s="219">
        <v>4944876.209999999</v>
      </c>
      <c r="J92" s="321">
        <v>953198.11</v>
      </c>
    </row>
    <row r="93" spans="2:10" hidden="1" outlineLevel="2" x14ac:dyDescent="0.35">
      <c r="B93" s="487"/>
      <c r="C93" s="490"/>
      <c r="D93" s="250" t="s">
        <v>146</v>
      </c>
      <c r="E93" s="219">
        <v>7</v>
      </c>
      <c r="F93" s="219">
        <v>7</v>
      </c>
      <c r="G93" s="219">
        <v>21384472.399999999</v>
      </c>
      <c r="H93" s="219">
        <v>6415341.75</v>
      </c>
      <c r="I93" s="219">
        <v>4745012.6399999997</v>
      </c>
      <c r="J93" s="321">
        <v>1670329.1099999999</v>
      </c>
    </row>
    <row r="94" spans="2:10" outlineLevel="1" collapsed="1" x14ac:dyDescent="0.35">
      <c r="B94" s="487"/>
      <c r="C94" s="490"/>
      <c r="D94" s="324" t="s">
        <v>133</v>
      </c>
      <c r="E94" s="219">
        <v>13</v>
      </c>
      <c r="F94" s="219">
        <v>8</v>
      </c>
      <c r="G94" s="219">
        <v>47588683.880000003</v>
      </c>
      <c r="H94" s="219">
        <v>13978580.200000003</v>
      </c>
      <c r="I94" s="219">
        <v>10602534.35</v>
      </c>
      <c r="J94" s="321">
        <v>3376045.85</v>
      </c>
    </row>
    <row r="95" spans="2:10" outlineLevel="1" x14ac:dyDescent="0.35">
      <c r="B95" s="487"/>
      <c r="C95" s="490"/>
      <c r="D95" s="236" t="s">
        <v>140</v>
      </c>
      <c r="E95" s="219">
        <v>15</v>
      </c>
      <c r="F95" s="219">
        <v>15</v>
      </c>
      <c r="G95" s="219">
        <v>130464044.5</v>
      </c>
      <c r="H95" s="219">
        <v>54680291.450000003</v>
      </c>
      <c r="I95" s="219">
        <v>48437804.969999999</v>
      </c>
      <c r="J95" s="321">
        <v>6242486.4800000004</v>
      </c>
    </row>
    <row r="96" spans="2:10" outlineLevel="1" x14ac:dyDescent="0.35">
      <c r="B96" s="487"/>
      <c r="C96" s="490"/>
      <c r="D96" s="23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21">
        <v>0</v>
      </c>
    </row>
    <row r="97" spans="2:10" outlineLevel="1" x14ac:dyDescent="0.35">
      <c r="B97" s="487"/>
      <c r="C97" s="490"/>
      <c r="D97" s="236" t="s">
        <v>138</v>
      </c>
      <c r="E97" s="219">
        <f t="shared" ref="E97:J97" si="15">SUM(E98:E101)</f>
        <v>30</v>
      </c>
      <c r="F97" s="219">
        <f t="shared" si="15"/>
        <v>27</v>
      </c>
      <c r="G97" s="219">
        <f t="shared" si="15"/>
        <v>37397377.600000001</v>
      </c>
      <c r="H97" s="219">
        <f t="shared" si="15"/>
        <v>11989424.82</v>
      </c>
      <c r="I97" s="219">
        <f t="shared" si="15"/>
        <v>9629053.2999999989</v>
      </c>
      <c r="J97" s="321">
        <f t="shared" si="15"/>
        <v>2360371.5199999996</v>
      </c>
    </row>
    <row r="98" spans="2:10" hidden="1" outlineLevel="2" x14ac:dyDescent="0.35">
      <c r="B98" s="487"/>
      <c r="C98" s="490"/>
      <c r="D98" s="242" t="s">
        <v>137</v>
      </c>
      <c r="E98" s="219">
        <v>12</v>
      </c>
      <c r="F98" s="219">
        <v>11</v>
      </c>
      <c r="G98" s="219">
        <v>15314829.700000001</v>
      </c>
      <c r="H98" s="219">
        <v>5804368.1999999993</v>
      </c>
      <c r="I98" s="219">
        <v>4855774.3099999996</v>
      </c>
      <c r="J98" s="321">
        <v>948593.8899999999</v>
      </c>
    </row>
    <row r="99" spans="2:10" hidden="1" outlineLevel="2" x14ac:dyDescent="0.35">
      <c r="B99" s="487"/>
      <c r="C99" s="490"/>
      <c r="D99" s="242" t="s">
        <v>136</v>
      </c>
      <c r="E99" s="219">
        <v>10</v>
      </c>
      <c r="F99" s="219">
        <v>9</v>
      </c>
      <c r="G99" s="219">
        <v>12765520.350000001</v>
      </c>
      <c r="H99" s="219">
        <v>3801506.87</v>
      </c>
      <c r="I99" s="219">
        <v>3194280.76</v>
      </c>
      <c r="J99" s="321">
        <v>607226.10999999987</v>
      </c>
    </row>
    <row r="100" spans="2:10" hidden="1" outlineLevel="2" x14ac:dyDescent="0.35">
      <c r="B100" s="487"/>
      <c r="C100" s="490"/>
      <c r="D100" s="242" t="s">
        <v>135</v>
      </c>
      <c r="E100" s="219">
        <v>6</v>
      </c>
      <c r="F100" s="219">
        <v>5</v>
      </c>
      <c r="G100" s="219">
        <v>6793695</v>
      </c>
      <c r="H100" s="219">
        <v>1602514.5</v>
      </c>
      <c r="I100" s="219">
        <v>1002346.23</v>
      </c>
      <c r="J100" s="321">
        <v>600168.27</v>
      </c>
    </row>
    <row r="101" spans="2:10" hidden="1" outlineLevel="2" x14ac:dyDescent="0.35">
      <c r="B101" s="487"/>
      <c r="C101" s="490"/>
      <c r="D101" s="242" t="s">
        <v>134</v>
      </c>
      <c r="E101" s="219">
        <v>2</v>
      </c>
      <c r="F101" s="219">
        <v>2</v>
      </c>
      <c r="G101" s="219">
        <v>2523332.5499999998</v>
      </c>
      <c r="H101" s="219">
        <v>781035.25</v>
      </c>
      <c r="I101" s="219">
        <v>576652</v>
      </c>
      <c r="J101" s="321">
        <v>204383.25</v>
      </c>
    </row>
    <row r="102" spans="2:10" outlineLevel="1" collapsed="1" x14ac:dyDescent="0.35">
      <c r="B102" s="487"/>
      <c r="C102" s="490"/>
      <c r="D102" s="236" t="s">
        <v>132</v>
      </c>
      <c r="E102" s="219">
        <f t="shared" ref="E102:J102" si="16">SUM(E103:E106)</f>
        <v>70</v>
      </c>
      <c r="F102" s="219">
        <f t="shared" si="16"/>
        <v>69</v>
      </c>
      <c r="G102" s="219">
        <f t="shared" si="16"/>
        <v>138120788.41</v>
      </c>
      <c r="H102" s="219">
        <f t="shared" si="16"/>
        <v>36937738.820000008</v>
      </c>
      <c r="I102" s="219">
        <f t="shared" si="16"/>
        <v>30705605.309999999</v>
      </c>
      <c r="J102" s="321">
        <f t="shared" si="16"/>
        <v>6232133.5099999998</v>
      </c>
    </row>
    <row r="103" spans="2:10" hidden="1" outlineLevel="2" x14ac:dyDescent="0.35">
      <c r="B103" s="487"/>
      <c r="C103" s="490"/>
      <c r="D103" s="242" t="s">
        <v>131</v>
      </c>
      <c r="E103" s="219">
        <v>19</v>
      </c>
      <c r="F103" s="219">
        <v>19</v>
      </c>
      <c r="G103" s="219">
        <v>39887857.100000001</v>
      </c>
      <c r="H103" s="219">
        <v>11966357.160000002</v>
      </c>
      <c r="I103" s="219">
        <v>10364973.890000001</v>
      </c>
      <c r="J103" s="321">
        <v>1601383.27</v>
      </c>
    </row>
    <row r="104" spans="2:10" hidden="1" outlineLevel="2" x14ac:dyDescent="0.35">
      <c r="B104" s="487"/>
      <c r="C104" s="490"/>
      <c r="D104" s="242" t="s">
        <v>130</v>
      </c>
      <c r="E104" s="219">
        <v>35</v>
      </c>
      <c r="F104" s="219">
        <v>35</v>
      </c>
      <c r="G104" s="219">
        <v>57705272.100000001</v>
      </c>
      <c r="H104" s="219">
        <v>17311581.730000004</v>
      </c>
      <c r="I104" s="219">
        <v>13851692.169999998</v>
      </c>
      <c r="J104" s="321">
        <v>3459889.5599999996</v>
      </c>
    </row>
    <row r="105" spans="2:10" hidden="1" outlineLevel="2" x14ac:dyDescent="0.35">
      <c r="B105" s="487"/>
      <c r="C105" s="490"/>
      <c r="D105" s="242" t="s">
        <v>129</v>
      </c>
      <c r="E105" s="219">
        <v>1</v>
      </c>
      <c r="F105" s="219">
        <v>1</v>
      </c>
      <c r="G105" s="219">
        <v>8803196.0999999996</v>
      </c>
      <c r="H105" s="219">
        <v>1760639.22</v>
      </c>
      <c r="I105" s="219">
        <v>1750647.93</v>
      </c>
      <c r="J105" s="321">
        <v>9991.2900000000009</v>
      </c>
    </row>
    <row r="106" spans="2:10" hidden="1" outlineLevel="2" x14ac:dyDescent="0.35">
      <c r="B106" s="487"/>
      <c r="C106" s="490"/>
      <c r="D106" s="242" t="s">
        <v>128</v>
      </c>
      <c r="E106" s="219">
        <v>15</v>
      </c>
      <c r="F106" s="219">
        <v>14</v>
      </c>
      <c r="G106" s="219">
        <v>31724463.109999999</v>
      </c>
      <c r="H106" s="219">
        <v>5899160.7100000009</v>
      </c>
      <c r="I106" s="219">
        <v>4738291.32</v>
      </c>
      <c r="J106" s="321">
        <v>1160869.3900000001</v>
      </c>
    </row>
    <row r="107" spans="2:10" outlineLevel="1" collapsed="1" x14ac:dyDescent="0.35">
      <c r="B107" s="487"/>
      <c r="C107" s="490"/>
      <c r="D107" s="236" t="s">
        <v>41</v>
      </c>
      <c r="E107" s="219">
        <v>3</v>
      </c>
      <c r="F107" s="219">
        <v>3</v>
      </c>
      <c r="G107" s="219">
        <v>13404360.25</v>
      </c>
      <c r="H107" s="219">
        <v>2680872.06</v>
      </c>
      <c r="I107" s="219">
        <v>1893222.85</v>
      </c>
      <c r="J107" s="321">
        <v>787649.21</v>
      </c>
    </row>
    <row r="108" spans="2:10" x14ac:dyDescent="0.35">
      <c r="B108" s="488"/>
      <c r="C108" s="491"/>
      <c r="D108" s="347" t="s">
        <v>251</v>
      </c>
      <c r="E108" s="383">
        <f t="shared" ref="E108:J108" si="17">SUM(E102,E107,E97,E96,E94,E90,E81,E77,E95)</f>
        <v>195</v>
      </c>
      <c r="F108" s="383">
        <f t="shared" si="17"/>
        <v>185</v>
      </c>
      <c r="G108" s="383">
        <f t="shared" si="17"/>
        <v>566501206.03999996</v>
      </c>
      <c r="H108" s="383">
        <f t="shared" si="17"/>
        <v>195851393.05000001</v>
      </c>
      <c r="I108" s="382">
        <f t="shared" si="17"/>
        <v>160263973.77999997</v>
      </c>
      <c r="J108" s="381">
        <f t="shared" si="17"/>
        <v>35587419.269999996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19">
        <v>1</v>
      </c>
      <c r="F109" s="219">
        <v>1</v>
      </c>
      <c r="G109" s="219">
        <v>2687708.8</v>
      </c>
      <c r="H109" s="219">
        <v>537541.76</v>
      </c>
      <c r="I109" s="219">
        <v>334669.59999999998</v>
      </c>
      <c r="J109" s="321">
        <v>202872.16</v>
      </c>
    </row>
    <row r="110" spans="2:10" outlineLevel="1" x14ac:dyDescent="0.35">
      <c r="B110" s="487"/>
      <c r="C110" s="490"/>
      <c r="D110" s="236" t="s">
        <v>122</v>
      </c>
      <c r="E110" s="219">
        <v>4</v>
      </c>
      <c r="F110" s="219">
        <v>4</v>
      </c>
      <c r="G110" s="219">
        <v>10739920.699999999</v>
      </c>
      <c r="H110" s="219">
        <v>2147984.16</v>
      </c>
      <c r="I110" s="219">
        <v>1668879.12</v>
      </c>
      <c r="J110" s="321">
        <v>479105.04000000004</v>
      </c>
    </row>
    <row r="111" spans="2:10" outlineLevel="1" x14ac:dyDescent="0.35">
      <c r="B111" s="487"/>
      <c r="C111" s="490"/>
      <c r="D111" s="236" t="s">
        <v>48</v>
      </c>
      <c r="E111" s="219">
        <v>1</v>
      </c>
      <c r="F111" s="219">
        <v>1</v>
      </c>
      <c r="G111" s="219">
        <v>2493884.25</v>
      </c>
      <c r="H111" s="219">
        <v>498776.85</v>
      </c>
      <c r="I111" s="219">
        <v>294800</v>
      </c>
      <c r="J111" s="321">
        <v>203976.85</v>
      </c>
    </row>
    <row r="112" spans="2:10" outlineLevel="1" x14ac:dyDescent="0.35">
      <c r="B112" s="487"/>
      <c r="C112" s="490"/>
      <c r="D112" s="236" t="s">
        <v>47</v>
      </c>
      <c r="E112" s="219">
        <v>5</v>
      </c>
      <c r="F112" s="219">
        <v>5</v>
      </c>
      <c r="G112" s="219">
        <v>12200307.949999999</v>
      </c>
      <c r="H112" s="219">
        <v>2440061.62</v>
      </c>
      <c r="I112" s="219">
        <v>1613980.38</v>
      </c>
      <c r="J112" s="321">
        <v>826081.24</v>
      </c>
    </row>
    <row r="113" spans="2:11" outlineLevel="1" x14ac:dyDescent="0.35">
      <c r="B113" s="487"/>
      <c r="C113" s="490"/>
      <c r="D113" s="236" t="s">
        <v>40</v>
      </c>
      <c r="E113" s="219">
        <v>34</v>
      </c>
      <c r="F113" s="219">
        <v>34</v>
      </c>
      <c r="G113" s="219">
        <v>73459001.5</v>
      </c>
      <c r="H113" s="219">
        <v>14691800.320000002</v>
      </c>
      <c r="I113" s="219">
        <v>12022601.710000001</v>
      </c>
      <c r="J113" s="321">
        <v>2669198.6100000003</v>
      </c>
    </row>
    <row r="114" spans="2:11" outlineLevel="1" x14ac:dyDescent="0.35">
      <c r="B114" s="487"/>
      <c r="C114" s="490"/>
      <c r="D114" s="236" t="s">
        <v>39</v>
      </c>
      <c r="E114" s="219">
        <v>13</v>
      </c>
      <c r="F114" s="219">
        <v>13</v>
      </c>
      <c r="G114" s="219">
        <v>37325627.850000001</v>
      </c>
      <c r="H114" s="219">
        <v>5057196.3100000005</v>
      </c>
      <c r="I114" s="219">
        <v>4618602.9399999995</v>
      </c>
      <c r="J114" s="321">
        <v>438593.37</v>
      </c>
    </row>
    <row r="115" spans="2:11" outlineLevel="1" x14ac:dyDescent="0.35">
      <c r="B115" s="487"/>
      <c r="C115" s="490"/>
      <c r="D115" s="236" t="s">
        <v>38</v>
      </c>
      <c r="E115" s="219">
        <v>2</v>
      </c>
      <c r="F115" s="219">
        <v>2</v>
      </c>
      <c r="G115" s="219">
        <v>20102485</v>
      </c>
      <c r="H115" s="219">
        <v>2110761.0499999998</v>
      </c>
      <c r="I115" s="219">
        <v>2094174</v>
      </c>
      <c r="J115" s="321">
        <v>16587.05</v>
      </c>
    </row>
    <row r="116" spans="2:11" x14ac:dyDescent="0.35">
      <c r="B116" s="488"/>
      <c r="C116" s="491"/>
      <c r="D116" s="347" t="s">
        <v>248</v>
      </c>
      <c r="E116" s="383">
        <f t="shared" ref="E116:J116" si="18">SUM(E109:E115)</f>
        <v>60</v>
      </c>
      <c r="F116" s="383">
        <f t="shared" si="18"/>
        <v>60</v>
      </c>
      <c r="G116" s="383">
        <f t="shared" si="18"/>
        <v>159008936.05000001</v>
      </c>
      <c r="H116" s="383">
        <f t="shared" si="18"/>
        <v>27484122.070000004</v>
      </c>
      <c r="I116" s="382">
        <f t="shared" si="18"/>
        <v>22647707.75</v>
      </c>
      <c r="J116" s="381">
        <f t="shared" si="18"/>
        <v>4836414.32</v>
      </c>
    </row>
    <row r="117" spans="2:11" outlineLevel="1" x14ac:dyDescent="0.35">
      <c r="B117" s="487" t="s">
        <v>247</v>
      </c>
      <c r="C117" s="490" t="s">
        <v>246</v>
      </c>
      <c r="D117" s="236" t="s">
        <v>36</v>
      </c>
      <c r="E117" s="219">
        <v>1</v>
      </c>
      <c r="F117" s="219">
        <v>1</v>
      </c>
      <c r="G117" s="219">
        <v>5658858</v>
      </c>
      <c r="H117" s="219">
        <v>1131771.6000000001</v>
      </c>
      <c r="I117" s="219">
        <v>574775</v>
      </c>
      <c r="J117" s="321">
        <v>556996.6</v>
      </c>
    </row>
    <row r="118" spans="2:11" outlineLevel="1" x14ac:dyDescent="0.35">
      <c r="B118" s="487"/>
      <c r="C118" s="490"/>
      <c r="D118" s="236" t="s">
        <v>35</v>
      </c>
      <c r="E118" s="219">
        <v>4</v>
      </c>
      <c r="F118" s="219">
        <v>4</v>
      </c>
      <c r="G118" s="219">
        <v>24417322.5</v>
      </c>
      <c r="H118" s="219">
        <v>3405034.51</v>
      </c>
      <c r="I118" s="219">
        <v>2012784.32</v>
      </c>
      <c r="J118" s="321">
        <v>1392250.19</v>
      </c>
    </row>
    <row r="119" spans="2:11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21">
        <v>0</v>
      </c>
    </row>
    <row r="120" spans="2:11" outlineLevel="1" x14ac:dyDescent="0.35">
      <c r="B120" s="487"/>
      <c r="C120" s="490"/>
      <c r="D120" s="236" t="s">
        <v>33</v>
      </c>
      <c r="E120" s="219">
        <v>0</v>
      </c>
      <c r="F120" s="219">
        <v>0</v>
      </c>
      <c r="G120" s="219">
        <v>0</v>
      </c>
      <c r="H120" s="219">
        <v>0</v>
      </c>
      <c r="I120" s="219">
        <v>0</v>
      </c>
      <c r="J120" s="321">
        <v>0</v>
      </c>
    </row>
    <row r="121" spans="2:11" x14ac:dyDescent="0.35">
      <c r="B121" s="488"/>
      <c r="C121" s="491"/>
      <c r="D121" s="347" t="s">
        <v>245</v>
      </c>
      <c r="E121" s="383">
        <f t="shared" ref="E121:J121" si="19">SUM(E117:E120)</f>
        <v>5</v>
      </c>
      <c r="F121" s="383">
        <f t="shared" si="19"/>
        <v>5</v>
      </c>
      <c r="G121" s="383">
        <f t="shared" si="19"/>
        <v>30076180.5</v>
      </c>
      <c r="H121" s="383">
        <f t="shared" si="19"/>
        <v>4536806.1099999994</v>
      </c>
      <c r="I121" s="382">
        <f t="shared" si="19"/>
        <v>2587559.3200000003</v>
      </c>
      <c r="J121" s="381">
        <f t="shared" si="19"/>
        <v>1949246.79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89"/>
      <c r="K122" s="297"/>
    </row>
    <row r="123" spans="2:11" ht="11.5" customHeight="1" outlineLevel="1" x14ac:dyDescent="0.35">
      <c r="B123" s="492"/>
      <c r="C123" s="485"/>
      <c r="D123" s="225" t="s">
        <v>145</v>
      </c>
      <c r="E123" s="219">
        <f t="shared" ref="E123:J123" si="20">SUM(E124:E127)</f>
        <v>7</v>
      </c>
      <c r="F123" s="219">
        <f t="shared" si="20"/>
        <v>6</v>
      </c>
      <c r="G123" s="219">
        <f t="shared" si="20"/>
        <v>109761384</v>
      </c>
      <c r="H123" s="219">
        <f t="shared" si="20"/>
        <v>27650715.700000003</v>
      </c>
      <c r="I123" s="219">
        <f t="shared" si="20"/>
        <v>17432905.989999998</v>
      </c>
      <c r="J123" s="321">
        <f t="shared" si="20"/>
        <v>10217809.710000001</v>
      </c>
      <c r="K123" s="297"/>
    </row>
    <row r="124" spans="2:11" hidden="1" outlineLevel="2" x14ac:dyDescent="0.35">
      <c r="B124" s="492"/>
      <c r="C124" s="485"/>
      <c r="D124" s="222" t="s">
        <v>144</v>
      </c>
      <c r="E124" s="219">
        <v>2</v>
      </c>
      <c r="F124" s="219">
        <v>2</v>
      </c>
      <c r="G124" s="219">
        <v>21214996</v>
      </c>
      <c r="H124" s="219">
        <v>6364498.7999999998</v>
      </c>
      <c r="I124" s="219">
        <v>4243050</v>
      </c>
      <c r="J124" s="321">
        <v>2121448.7999999998</v>
      </c>
      <c r="K124" s="297"/>
    </row>
    <row r="125" spans="2:11" hidden="1" outlineLevel="2" x14ac:dyDescent="0.35">
      <c r="B125" s="492"/>
      <c r="C125" s="485"/>
      <c r="D125" s="223" t="s">
        <v>143</v>
      </c>
      <c r="E125" s="219">
        <v>3</v>
      </c>
      <c r="F125" s="219">
        <v>2</v>
      </c>
      <c r="G125" s="219">
        <v>52776995</v>
      </c>
      <c r="H125" s="219">
        <v>10555399</v>
      </c>
      <c r="I125" s="219">
        <v>5472928.8799999999</v>
      </c>
      <c r="J125" s="321">
        <v>5082470.12</v>
      </c>
      <c r="K125" s="297"/>
    </row>
    <row r="126" spans="2:11" hidden="1" outlineLevel="2" x14ac:dyDescent="0.35">
      <c r="B126" s="492"/>
      <c r="C126" s="485"/>
      <c r="D126" s="223" t="s">
        <v>142</v>
      </c>
      <c r="E126" s="219">
        <v>2</v>
      </c>
      <c r="F126" s="219">
        <v>2</v>
      </c>
      <c r="G126" s="219">
        <v>35769393</v>
      </c>
      <c r="H126" s="219">
        <v>10730817.9</v>
      </c>
      <c r="I126" s="219">
        <v>7716927.1099999994</v>
      </c>
      <c r="J126" s="321">
        <v>3013890.79</v>
      </c>
      <c r="K126" s="297"/>
    </row>
    <row r="127" spans="2:11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21">
        <v>0</v>
      </c>
      <c r="K127" s="297"/>
    </row>
    <row r="128" spans="2:11" outlineLevel="1" collapsed="1" x14ac:dyDescent="0.35">
      <c r="B128" s="492"/>
      <c r="C128" s="485"/>
      <c r="D128" s="221" t="s">
        <v>121</v>
      </c>
      <c r="E128" s="219">
        <f t="shared" ref="E128:J128" si="21">SUM(E129:E162)</f>
        <v>159</v>
      </c>
      <c r="F128" s="219">
        <f t="shared" si="21"/>
        <v>57</v>
      </c>
      <c r="G128" s="219">
        <f t="shared" si="21"/>
        <v>103456855.53999999</v>
      </c>
      <c r="H128" s="219">
        <f t="shared" si="21"/>
        <v>44253216.510000005</v>
      </c>
      <c r="I128" s="219">
        <f t="shared" si="21"/>
        <v>36426821.769999996</v>
      </c>
      <c r="J128" s="321">
        <f t="shared" si="21"/>
        <v>7826394.7400000002</v>
      </c>
      <c r="K128" s="297"/>
    </row>
    <row r="129" spans="2:11" hidden="1" outlineLevel="2" x14ac:dyDescent="0.35">
      <c r="B129" s="492"/>
      <c r="C129" s="485"/>
      <c r="D129" s="224" t="s">
        <v>119</v>
      </c>
      <c r="E129" s="219">
        <f>SUM(E130:E163)</f>
        <v>100</v>
      </c>
      <c r="F129" s="219">
        <v>3</v>
      </c>
      <c r="G129" s="219">
        <v>4709915.67</v>
      </c>
      <c r="H129" s="219">
        <v>2109442.7400000002</v>
      </c>
      <c r="I129" s="219">
        <v>1885178</v>
      </c>
      <c r="J129" s="321">
        <v>224264.74</v>
      </c>
      <c r="K129" s="297"/>
    </row>
    <row r="130" spans="2:11" hidden="1" outlineLevel="2" x14ac:dyDescent="0.35">
      <c r="B130" s="492"/>
      <c r="C130" s="485"/>
      <c r="D130" s="223" t="s">
        <v>118</v>
      </c>
      <c r="E130" s="219">
        <v>15</v>
      </c>
      <c r="F130" s="219">
        <v>14</v>
      </c>
      <c r="G130" s="219">
        <v>20274109.709999997</v>
      </c>
      <c r="H130" s="219">
        <v>10137054.949999999</v>
      </c>
      <c r="I130" s="219">
        <v>8508888.5300000012</v>
      </c>
      <c r="J130" s="321">
        <v>1628166.4199999997</v>
      </c>
      <c r="K130" s="297"/>
    </row>
    <row r="131" spans="2:11" hidden="1" outlineLevel="2" x14ac:dyDescent="0.35">
      <c r="B131" s="492"/>
      <c r="C131" s="485"/>
      <c r="D131" s="223" t="s">
        <v>117</v>
      </c>
      <c r="E131" s="219">
        <v>9</v>
      </c>
      <c r="F131" s="219">
        <v>8</v>
      </c>
      <c r="G131" s="219">
        <v>11378357.950000003</v>
      </c>
      <c r="H131" s="219">
        <v>5689179</v>
      </c>
      <c r="I131" s="219">
        <v>4973339.0600000005</v>
      </c>
      <c r="J131" s="321">
        <v>715839.94</v>
      </c>
      <c r="K131" s="297"/>
    </row>
    <row r="132" spans="2:11" hidden="1" outlineLevel="2" x14ac:dyDescent="0.35">
      <c r="B132" s="492"/>
      <c r="C132" s="485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21">
        <v>0</v>
      </c>
      <c r="K132" s="297"/>
    </row>
    <row r="133" spans="2:11" hidden="1" outlineLevel="2" x14ac:dyDescent="0.35">
      <c r="B133" s="492"/>
      <c r="C133" s="485"/>
      <c r="D133" s="223" t="s">
        <v>114</v>
      </c>
      <c r="E133" s="219">
        <v>0</v>
      </c>
      <c r="F133" s="219">
        <v>0</v>
      </c>
      <c r="G133" s="219">
        <v>0</v>
      </c>
      <c r="H133" s="219">
        <v>0</v>
      </c>
      <c r="I133" s="219">
        <v>0</v>
      </c>
      <c r="J133" s="321">
        <v>0</v>
      </c>
      <c r="K133" s="297"/>
    </row>
    <row r="134" spans="2:11" hidden="1" outlineLevel="2" x14ac:dyDescent="0.35">
      <c r="B134" s="492"/>
      <c r="C134" s="485"/>
      <c r="D134" s="223" t="s">
        <v>113</v>
      </c>
      <c r="E134" s="219">
        <v>13</v>
      </c>
      <c r="F134" s="219">
        <v>12</v>
      </c>
      <c r="G134" s="219">
        <v>17334259.859999999</v>
      </c>
      <c r="H134" s="219">
        <v>8520807.5799999982</v>
      </c>
      <c r="I134" s="219">
        <v>7157476.9900000002</v>
      </c>
      <c r="J134" s="321">
        <v>1363330.59</v>
      </c>
      <c r="K134" s="297"/>
    </row>
    <row r="135" spans="2:11" hidden="1" outlineLevel="2" x14ac:dyDescent="0.35">
      <c r="B135" s="492"/>
      <c r="C135" s="485"/>
      <c r="D135" s="223" t="s">
        <v>112</v>
      </c>
      <c r="E135" s="219">
        <v>1</v>
      </c>
      <c r="F135" s="219">
        <v>1</v>
      </c>
      <c r="G135" s="219">
        <v>1202286.8999999999</v>
      </c>
      <c r="H135" s="219">
        <v>480914.76</v>
      </c>
      <c r="I135" s="219">
        <v>372689.29</v>
      </c>
      <c r="J135" s="321">
        <v>108225.47</v>
      </c>
      <c r="K135" s="297"/>
    </row>
    <row r="136" spans="2:11" hidden="1" outlineLevel="2" x14ac:dyDescent="0.35">
      <c r="B136" s="492"/>
      <c r="C136" s="485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21">
        <v>0</v>
      </c>
      <c r="K136" s="297"/>
    </row>
    <row r="137" spans="2:11" hidden="1" outlineLevel="2" x14ac:dyDescent="0.35">
      <c r="B137" s="492"/>
      <c r="C137" s="485"/>
      <c r="D137" s="222" t="s">
        <v>109</v>
      </c>
      <c r="E137" s="219">
        <v>1</v>
      </c>
      <c r="F137" s="219">
        <v>1</v>
      </c>
      <c r="G137" s="219">
        <v>2409258</v>
      </c>
      <c r="H137" s="219">
        <v>481851.6</v>
      </c>
      <c r="I137" s="219">
        <v>240926</v>
      </c>
      <c r="J137" s="321">
        <v>240925.6</v>
      </c>
      <c r="K137" s="297"/>
    </row>
    <row r="138" spans="2:11" hidden="1" outlineLevel="2" x14ac:dyDescent="0.35">
      <c r="B138" s="492"/>
      <c r="C138" s="485"/>
      <c r="D138" s="222" t="s">
        <v>108</v>
      </c>
      <c r="E138" s="219">
        <v>1</v>
      </c>
      <c r="F138" s="219">
        <v>1</v>
      </c>
      <c r="G138" s="219">
        <v>2513924.75</v>
      </c>
      <c r="H138" s="219">
        <v>1005569.91</v>
      </c>
      <c r="I138" s="219">
        <v>1001458.74</v>
      </c>
      <c r="J138" s="321">
        <v>4111.17</v>
      </c>
      <c r="K138" s="297"/>
    </row>
    <row r="139" spans="2:11" hidden="1" outlineLevel="2" x14ac:dyDescent="0.35">
      <c r="B139" s="492"/>
      <c r="C139" s="485"/>
      <c r="D139" s="222" t="s">
        <v>107</v>
      </c>
      <c r="E139" s="219">
        <v>1</v>
      </c>
      <c r="F139" s="219">
        <v>1</v>
      </c>
      <c r="G139" s="219">
        <v>1283882.25</v>
      </c>
      <c r="H139" s="219">
        <v>513552.92</v>
      </c>
      <c r="I139" s="219">
        <v>385787.25</v>
      </c>
      <c r="J139" s="321">
        <v>127765.67</v>
      </c>
      <c r="K139" s="297"/>
    </row>
    <row r="140" spans="2:11" hidden="1" outlineLevel="2" x14ac:dyDescent="0.35">
      <c r="B140" s="492"/>
      <c r="C140" s="485"/>
      <c r="D140" s="222" t="s">
        <v>106</v>
      </c>
      <c r="E140" s="219">
        <v>0</v>
      </c>
      <c r="F140" s="219">
        <v>0</v>
      </c>
      <c r="G140" s="219">
        <v>0</v>
      </c>
      <c r="H140" s="219">
        <v>0</v>
      </c>
      <c r="I140" s="219">
        <v>0</v>
      </c>
      <c r="J140" s="321">
        <v>0</v>
      </c>
      <c r="K140" s="297"/>
    </row>
    <row r="141" spans="2:11" hidden="1" outlineLevel="2" x14ac:dyDescent="0.35">
      <c r="B141" s="492"/>
      <c r="C141" s="485"/>
      <c r="D141" s="222" t="s">
        <v>104</v>
      </c>
      <c r="E141" s="219">
        <v>0</v>
      </c>
      <c r="F141" s="219">
        <v>0</v>
      </c>
      <c r="G141" s="219">
        <v>0</v>
      </c>
      <c r="H141" s="219">
        <v>0</v>
      </c>
      <c r="I141" s="219">
        <v>0</v>
      </c>
      <c r="J141" s="321">
        <v>0</v>
      </c>
      <c r="K141" s="297"/>
    </row>
    <row r="142" spans="2:11" hidden="1" outlineLevel="2" x14ac:dyDescent="0.35">
      <c r="B142" s="492"/>
      <c r="C142" s="485"/>
      <c r="D142" s="222" t="s">
        <v>103</v>
      </c>
      <c r="E142" s="219">
        <v>3</v>
      </c>
      <c r="F142" s="219">
        <v>3</v>
      </c>
      <c r="G142" s="219">
        <v>3960139.59</v>
      </c>
      <c r="H142" s="219">
        <v>1584055.84</v>
      </c>
      <c r="I142" s="219">
        <v>1432699.08</v>
      </c>
      <c r="J142" s="321">
        <v>151356.75999999998</v>
      </c>
      <c r="K142" s="297"/>
    </row>
    <row r="143" spans="2:11" hidden="1" outlineLevel="2" x14ac:dyDescent="0.35">
      <c r="B143" s="492"/>
      <c r="C143" s="485"/>
      <c r="D143" s="222" t="s">
        <v>102</v>
      </c>
      <c r="E143" s="219">
        <v>1</v>
      </c>
      <c r="F143" s="219">
        <v>1</v>
      </c>
      <c r="G143" s="219">
        <v>1299017.33</v>
      </c>
      <c r="H143" s="219">
        <v>519606.92</v>
      </c>
      <c r="I143" s="219">
        <v>390344.22</v>
      </c>
      <c r="J143" s="321">
        <v>129262.7</v>
      </c>
      <c r="K143" s="297"/>
    </row>
    <row r="144" spans="2:11" hidden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21">
        <v>0</v>
      </c>
      <c r="K144" s="297"/>
    </row>
    <row r="145" spans="2:11" hidden="1" outlineLevel="2" x14ac:dyDescent="0.35">
      <c r="B145" s="492"/>
      <c r="C145" s="485"/>
      <c r="D145" s="223" t="s">
        <v>99</v>
      </c>
      <c r="E145" s="219">
        <v>0</v>
      </c>
      <c r="F145" s="219">
        <v>0</v>
      </c>
      <c r="G145" s="219">
        <v>0</v>
      </c>
      <c r="H145" s="219">
        <v>0</v>
      </c>
      <c r="I145" s="219">
        <v>0</v>
      </c>
      <c r="J145" s="321">
        <v>0</v>
      </c>
      <c r="K145" s="297"/>
    </row>
    <row r="146" spans="2:11" hidden="1" outlineLevel="2" x14ac:dyDescent="0.35">
      <c r="B146" s="492"/>
      <c r="C146" s="485"/>
      <c r="D146" s="223" t="s">
        <v>98</v>
      </c>
      <c r="E146" s="219">
        <v>0</v>
      </c>
      <c r="F146" s="219">
        <v>0</v>
      </c>
      <c r="G146" s="219">
        <v>0</v>
      </c>
      <c r="H146" s="219">
        <v>0</v>
      </c>
      <c r="I146" s="219">
        <v>0</v>
      </c>
      <c r="J146" s="321">
        <v>0</v>
      </c>
      <c r="K146" s="297"/>
    </row>
    <row r="147" spans="2:11" hidden="1" outlineLevel="2" x14ac:dyDescent="0.35">
      <c r="B147" s="492"/>
      <c r="C147" s="485"/>
      <c r="D147" s="223" t="s">
        <v>97</v>
      </c>
      <c r="E147" s="219">
        <v>0</v>
      </c>
      <c r="F147" s="219">
        <v>0</v>
      </c>
      <c r="G147" s="219">
        <v>0</v>
      </c>
      <c r="H147" s="219">
        <v>0</v>
      </c>
      <c r="I147" s="219">
        <v>0</v>
      </c>
      <c r="J147" s="321">
        <v>0</v>
      </c>
      <c r="K147" s="297"/>
    </row>
    <row r="148" spans="2:11" hidden="1" outlineLevel="2" x14ac:dyDescent="0.35">
      <c r="B148" s="492"/>
      <c r="C148" s="485"/>
      <c r="D148" s="223" t="s">
        <v>96</v>
      </c>
      <c r="E148" s="219">
        <v>1</v>
      </c>
      <c r="F148" s="219">
        <v>1</v>
      </c>
      <c r="G148" s="219">
        <v>4954428.6399999997</v>
      </c>
      <c r="H148" s="219">
        <v>1981771.44</v>
      </c>
      <c r="I148" s="219">
        <v>1709544.75</v>
      </c>
      <c r="J148" s="321">
        <v>272226.69</v>
      </c>
      <c r="K148" s="297"/>
    </row>
    <row r="149" spans="2:11" hidden="1" outlineLevel="2" x14ac:dyDescent="0.35">
      <c r="B149" s="492"/>
      <c r="C149" s="485"/>
      <c r="D149" s="223" t="s">
        <v>94</v>
      </c>
      <c r="E149" s="219">
        <v>0</v>
      </c>
      <c r="F149" s="219">
        <v>0</v>
      </c>
      <c r="G149" s="219">
        <v>0</v>
      </c>
      <c r="H149" s="219">
        <v>0</v>
      </c>
      <c r="I149" s="219">
        <v>0</v>
      </c>
      <c r="J149" s="321">
        <v>0</v>
      </c>
      <c r="K149" s="297"/>
    </row>
    <row r="150" spans="2:11" hidden="1" outlineLevel="2" x14ac:dyDescent="0.35">
      <c r="B150" s="492"/>
      <c r="C150" s="485"/>
      <c r="D150" s="223" t="s">
        <v>93</v>
      </c>
      <c r="E150" s="219">
        <v>3</v>
      </c>
      <c r="F150" s="219">
        <v>3</v>
      </c>
      <c r="G150" s="219">
        <v>4967175.5</v>
      </c>
      <c r="H150" s="219">
        <v>1986870.24</v>
      </c>
      <c r="I150" s="219">
        <v>1603447.8599999999</v>
      </c>
      <c r="J150" s="321">
        <v>383422.38</v>
      </c>
      <c r="K150" s="297"/>
    </row>
    <row r="151" spans="2:11" hidden="1" outlineLevel="2" x14ac:dyDescent="0.35">
      <c r="B151" s="492"/>
      <c r="C151" s="485"/>
      <c r="D151" s="223" t="s">
        <v>92</v>
      </c>
      <c r="E151" s="219">
        <v>2</v>
      </c>
      <c r="F151" s="219">
        <v>2</v>
      </c>
      <c r="G151" s="219">
        <v>2951127.5</v>
      </c>
      <c r="H151" s="219">
        <v>1180451.03</v>
      </c>
      <c r="I151" s="219">
        <v>938582</v>
      </c>
      <c r="J151" s="321">
        <v>241869.03000000003</v>
      </c>
      <c r="K151" s="297"/>
    </row>
    <row r="152" spans="2:11" hidden="1" outlineLevel="2" x14ac:dyDescent="0.35">
      <c r="B152" s="492"/>
      <c r="C152" s="485"/>
      <c r="D152" s="223" t="s">
        <v>91</v>
      </c>
      <c r="E152" s="219">
        <v>3</v>
      </c>
      <c r="F152" s="219">
        <v>2</v>
      </c>
      <c r="G152" s="219">
        <v>12073221</v>
      </c>
      <c r="H152" s="219">
        <v>4643132.4000000004</v>
      </c>
      <c r="I152" s="219">
        <v>3621715.2</v>
      </c>
      <c r="J152" s="321">
        <v>1021417.2</v>
      </c>
      <c r="K152" s="297"/>
    </row>
    <row r="153" spans="2:11" hidden="1" outlineLevel="2" x14ac:dyDescent="0.35">
      <c r="B153" s="492"/>
      <c r="C153" s="485"/>
      <c r="D153" s="223" t="s">
        <v>89</v>
      </c>
      <c r="E153" s="219">
        <v>1</v>
      </c>
      <c r="F153" s="219">
        <v>1</v>
      </c>
      <c r="G153" s="219">
        <v>2247700.58</v>
      </c>
      <c r="H153" s="219">
        <v>449540.12</v>
      </c>
      <c r="I153" s="219">
        <v>224754.03</v>
      </c>
      <c r="J153" s="321">
        <v>224786.09</v>
      </c>
      <c r="K153" s="297"/>
    </row>
    <row r="154" spans="2:11" hidden="1" outlineLevel="2" x14ac:dyDescent="0.35">
      <c r="B154" s="492"/>
      <c r="C154" s="485"/>
      <c r="D154" s="223" t="s">
        <v>88</v>
      </c>
      <c r="E154" s="219">
        <v>0</v>
      </c>
      <c r="F154" s="219">
        <v>0</v>
      </c>
      <c r="G154" s="219">
        <v>0</v>
      </c>
      <c r="H154" s="219">
        <v>0</v>
      </c>
      <c r="I154" s="219">
        <v>0</v>
      </c>
      <c r="J154" s="321">
        <v>0</v>
      </c>
      <c r="K154" s="297"/>
    </row>
    <row r="155" spans="2:11" hidden="1" outlineLevel="2" x14ac:dyDescent="0.35">
      <c r="B155" s="492"/>
      <c r="C155" s="485"/>
      <c r="D155" s="223" t="s">
        <v>87</v>
      </c>
      <c r="E155" s="219">
        <v>0</v>
      </c>
      <c r="F155" s="219">
        <v>0</v>
      </c>
      <c r="G155" s="219">
        <v>0</v>
      </c>
      <c r="H155" s="219">
        <v>0</v>
      </c>
      <c r="I155" s="219">
        <v>0</v>
      </c>
      <c r="J155" s="321">
        <v>0</v>
      </c>
      <c r="K155" s="297"/>
    </row>
    <row r="156" spans="2:11" hidden="1" outlineLevel="2" x14ac:dyDescent="0.35">
      <c r="B156" s="492"/>
      <c r="C156" s="485"/>
      <c r="D156" s="223" t="s">
        <v>86</v>
      </c>
      <c r="E156" s="219">
        <v>0</v>
      </c>
      <c r="F156" s="219">
        <v>0</v>
      </c>
      <c r="G156" s="219">
        <v>0</v>
      </c>
      <c r="H156" s="219">
        <v>0</v>
      </c>
      <c r="I156" s="219">
        <v>0</v>
      </c>
      <c r="J156" s="321">
        <v>0</v>
      </c>
      <c r="K156" s="297"/>
    </row>
    <row r="157" spans="2:11" hidden="1" outlineLevel="2" x14ac:dyDescent="0.35">
      <c r="B157" s="492"/>
      <c r="C157" s="485"/>
      <c r="D157" s="223" t="s">
        <v>84</v>
      </c>
      <c r="E157" s="219">
        <v>0</v>
      </c>
      <c r="F157" s="219">
        <v>0</v>
      </c>
      <c r="G157" s="219">
        <v>0</v>
      </c>
      <c r="H157" s="219">
        <v>0</v>
      </c>
      <c r="I157" s="219">
        <v>0</v>
      </c>
      <c r="J157" s="321">
        <v>0</v>
      </c>
      <c r="K157" s="297"/>
    </row>
    <row r="158" spans="2:11" hidden="1" outlineLevel="2" x14ac:dyDescent="0.35">
      <c r="B158" s="492"/>
      <c r="C158" s="485"/>
      <c r="D158" s="223" t="s">
        <v>83</v>
      </c>
      <c r="E158" s="219">
        <v>2</v>
      </c>
      <c r="F158" s="219">
        <v>2</v>
      </c>
      <c r="G158" s="219">
        <v>2855557.68</v>
      </c>
      <c r="H158" s="219">
        <v>856667.28</v>
      </c>
      <c r="I158" s="219">
        <v>571490.51</v>
      </c>
      <c r="J158" s="321">
        <v>285176.77</v>
      </c>
      <c r="K158" s="297"/>
    </row>
    <row r="159" spans="2:11" hidden="1" outlineLevel="2" x14ac:dyDescent="0.35">
      <c r="B159" s="492"/>
      <c r="C159" s="485"/>
      <c r="D159" s="223" t="s">
        <v>82</v>
      </c>
      <c r="E159" s="219">
        <v>0</v>
      </c>
      <c r="F159" s="219">
        <v>0</v>
      </c>
      <c r="G159" s="219">
        <v>0</v>
      </c>
      <c r="H159" s="219">
        <v>0</v>
      </c>
      <c r="I159" s="219">
        <v>0</v>
      </c>
      <c r="J159" s="321">
        <v>0</v>
      </c>
      <c r="K159" s="297"/>
    </row>
    <row r="160" spans="2:11" hidden="1" outlineLevel="2" x14ac:dyDescent="0.35">
      <c r="B160" s="492"/>
      <c r="C160" s="485"/>
      <c r="D160" s="223" t="s">
        <v>81</v>
      </c>
      <c r="E160" s="219">
        <v>2</v>
      </c>
      <c r="F160" s="219">
        <v>1</v>
      </c>
      <c r="G160" s="219">
        <v>7042492.6300000008</v>
      </c>
      <c r="H160" s="219">
        <v>2112747.7800000003</v>
      </c>
      <c r="I160" s="219">
        <v>1408500.26</v>
      </c>
      <c r="J160" s="321">
        <v>704247.52</v>
      </c>
      <c r="K160" s="297"/>
    </row>
    <row r="161" spans="2:11" hidden="1" outlineLevel="2" x14ac:dyDescent="0.35">
      <c r="B161" s="492"/>
      <c r="C161" s="485"/>
      <c r="D161" s="223" t="s">
        <v>79</v>
      </c>
      <c r="E161" s="219">
        <v>0</v>
      </c>
      <c r="F161" s="219">
        <v>0</v>
      </c>
      <c r="G161" s="219">
        <v>0</v>
      </c>
      <c r="H161" s="219">
        <v>0</v>
      </c>
      <c r="I161" s="219">
        <v>0</v>
      </c>
      <c r="J161" s="321">
        <v>0</v>
      </c>
      <c r="K161" s="297"/>
    </row>
    <row r="162" spans="2:11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21">
        <v>0</v>
      </c>
      <c r="K162" s="297"/>
    </row>
    <row r="163" spans="2:11" outlineLevel="1" collapsed="1" x14ac:dyDescent="0.35">
      <c r="B163" s="492"/>
      <c r="C163" s="485"/>
      <c r="D163" s="221" t="s">
        <v>77</v>
      </c>
      <c r="E163" s="219">
        <f t="shared" ref="E163:J163" si="22">SUM(E164:E185)</f>
        <v>41</v>
      </c>
      <c r="F163" s="219">
        <f t="shared" si="22"/>
        <v>39</v>
      </c>
      <c r="G163" s="219">
        <f t="shared" si="22"/>
        <v>64231378.609999999</v>
      </c>
      <c r="H163" s="219">
        <f t="shared" si="22"/>
        <v>20315720.170000002</v>
      </c>
      <c r="I163" s="219">
        <f t="shared" si="22"/>
        <v>15974299.709999997</v>
      </c>
      <c r="J163" s="321">
        <f t="shared" si="22"/>
        <v>4341420.459999999</v>
      </c>
      <c r="K163" s="297"/>
    </row>
    <row r="164" spans="2:11" hidden="1" outlineLevel="2" x14ac:dyDescent="0.35">
      <c r="B164" s="492"/>
      <c r="C164" s="485"/>
      <c r="D164" s="222" t="s">
        <v>75</v>
      </c>
      <c r="E164" s="219">
        <v>4</v>
      </c>
      <c r="F164" s="219">
        <v>4</v>
      </c>
      <c r="G164" s="219">
        <v>5781360.6500000004</v>
      </c>
      <c r="H164" s="219">
        <v>2172806.65</v>
      </c>
      <c r="I164" s="219">
        <v>1949276.96</v>
      </c>
      <c r="J164" s="321">
        <v>223529.69</v>
      </c>
      <c r="K164" s="297"/>
    </row>
    <row r="165" spans="2:11" hidden="1" outlineLevel="2" x14ac:dyDescent="0.35">
      <c r="B165" s="492"/>
      <c r="C165" s="485"/>
      <c r="D165" s="222" t="s">
        <v>74</v>
      </c>
      <c r="E165" s="219">
        <v>10</v>
      </c>
      <c r="F165" s="219">
        <v>10</v>
      </c>
      <c r="G165" s="219">
        <v>14027096.970000001</v>
      </c>
      <c r="H165" s="219">
        <v>5364233.25</v>
      </c>
      <c r="I165" s="219">
        <v>4403367.34</v>
      </c>
      <c r="J165" s="321">
        <v>960865.90999999992</v>
      </c>
      <c r="K165" s="297"/>
    </row>
    <row r="166" spans="2:11" hidden="1" outlineLevel="2" x14ac:dyDescent="0.35">
      <c r="B166" s="492"/>
      <c r="C166" s="485"/>
      <c r="D166" s="222" t="s">
        <v>73</v>
      </c>
      <c r="E166" s="219">
        <v>2</v>
      </c>
      <c r="F166" s="219">
        <v>2</v>
      </c>
      <c r="G166" s="219">
        <v>2831957.28</v>
      </c>
      <c r="H166" s="219">
        <v>1132782.8899999999</v>
      </c>
      <c r="I166" s="219">
        <v>860217</v>
      </c>
      <c r="J166" s="321">
        <v>272565.89</v>
      </c>
      <c r="K166" s="297"/>
    </row>
    <row r="167" spans="2:11" hidden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21">
        <v>0</v>
      </c>
      <c r="K167" s="297"/>
    </row>
    <row r="168" spans="2:11" hidden="1" outlineLevel="2" x14ac:dyDescent="0.35">
      <c r="B168" s="492"/>
      <c r="C168" s="485"/>
      <c r="D168" s="222" t="s">
        <v>70</v>
      </c>
      <c r="E168" s="219">
        <v>0</v>
      </c>
      <c r="F168" s="219">
        <v>0</v>
      </c>
      <c r="G168" s="219">
        <v>0</v>
      </c>
      <c r="H168" s="219">
        <v>0</v>
      </c>
      <c r="I168" s="219">
        <v>0</v>
      </c>
      <c r="J168" s="321">
        <v>0</v>
      </c>
      <c r="K168" s="297"/>
    </row>
    <row r="169" spans="2:11" hidden="1" outlineLevel="2" x14ac:dyDescent="0.35">
      <c r="B169" s="492"/>
      <c r="C169" s="485"/>
      <c r="D169" s="222" t="s">
        <v>69</v>
      </c>
      <c r="E169" s="219">
        <v>6</v>
      </c>
      <c r="F169" s="219">
        <v>6</v>
      </c>
      <c r="G169" s="219">
        <v>9812305</v>
      </c>
      <c r="H169" s="219">
        <v>3576928.01</v>
      </c>
      <c r="I169" s="219">
        <v>2951714.4699999997</v>
      </c>
      <c r="J169" s="321">
        <v>625213.54</v>
      </c>
      <c r="K169" s="297"/>
    </row>
    <row r="170" spans="2:11" hidden="1" outlineLevel="2" x14ac:dyDescent="0.35">
      <c r="B170" s="492"/>
      <c r="C170" s="485"/>
      <c r="D170" s="222" t="s">
        <v>68</v>
      </c>
      <c r="E170" s="219">
        <v>0</v>
      </c>
      <c r="F170" s="219">
        <v>0</v>
      </c>
      <c r="G170" s="219">
        <v>0</v>
      </c>
      <c r="H170" s="219">
        <v>0</v>
      </c>
      <c r="I170" s="219">
        <v>0</v>
      </c>
      <c r="J170" s="321">
        <v>0</v>
      </c>
      <c r="K170" s="297"/>
    </row>
    <row r="171" spans="2:11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21">
        <v>0</v>
      </c>
      <c r="K171" s="297"/>
    </row>
    <row r="172" spans="2:11" hidden="1" outlineLevel="2" x14ac:dyDescent="0.35">
      <c r="B172" s="492"/>
      <c r="C172" s="485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21">
        <v>0</v>
      </c>
      <c r="K172" s="297"/>
    </row>
    <row r="173" spans="2:11" hidden="1" outlineLevel="2" x14ac:dyDescent="0.35">
      <c r="B173" s="492"/>
      <c r="C173" s="485"/>
      <c r="D173" s="222" t="s">
        <v>64</v>
      </c>
      <c r="E173" s="219">
        <v>4</v>
      </c>
      <c r="F173" s="219">
        <v>4</v>
      </c>
      <c r="G173" s="219">
        <v>6833481.7199999997</v>
      </c>
      <c r="H173" s="219">
        <v>1866483.22</v>
      </c>
      <c r="I173" s="219">
        <v>1522839.94</v>
      </c>
      <c r="J173" s="321">
        <v>343643.28</v>
      </c>
      <c r="K173" s="297"/>
    </row>
    <row r="174" spans="2:11" hidden="1" outlineLevel="2" x14ac:dyDescent="0.35">
      <c r="B174" s="492"/>
      <c r="C174" s="485"/>
      <c r="D174" s="222" t="s">
        <v>63</v>
      </c>
      <c r="E174" s="219">
        <v>1</v>
      </c>
      <c r="F174" s="219">
        <v>1</v>
      </c>
      <c r="G174" s="219">
        <v>1782998.64</v>
      </c>
      <c r="H174" s="219">
        <v>356599.73</v>
      </c>
      <c r="I174" s="219">
        <v>178300</v>
      </c>
      <c r="J174" s="321">
        <v>178299.73</v>
      </c>
      <c r="K174" s="297"/>
    </row>
    <row r="175" spans="2:11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21">
        <v>0</v>
      </c>
      <c r="K175" s="297"/>
    </row>
    <row r="176" spans="2:11" hidden="1" outlineLevel="2" x14ac:dyDescent="0.35">
      <c r="B176" s="492"/>
      <c r="C176" s="485"/>
      <c r="D176" s="222" t="s">
        <v>60</v>
      </c>
      <c r="E176" s="219">
        <v>0</v>
      </c>
      <c r="F176" s="219">
        <v>0</v>
      </c>
      <c r="G176" s="219">
        <v>0</v>
      </c>
      <c r="H176" s="219">
        <v>0</v>
      </c>
      <c r="I176" s="219">
        <v>0</v>
      </c>
      <c r="J176" s="321">
        <v>0</v>
      </c>
      <c r="K176" s="297"/>
    </row>
    <row r="177" spans="2:11" hidden="1" outlineLevel="2" x14ac:dyDescent="0.35">
      <c r="B177" s="492"/>
      <c r="C177" s="485"/>
      <c r="D177" s="222" t="s">
        <v>59</v>
      </c>
      <c r="E177" s="219">
        <v>2</v>
      </c>
      <c r="F177" s="219">
        <v>2</v>
      </c>
      <c r="G177" s="219">
        <v>2764378.75</v>
      </c>
      <c r="H177" s="219">
        <v>691912.26</v>
      </c>
      <c r="I177" s="219">
        <v>467135.2</v>
      </c>
      <c r="J177" s="321">
        <v>224777.06</v>
      </c>
      <c r="K177" s="297"/>
    </row>
    <row r="178" spans="2:11" hidden="1" outlineLevel="2" x14ac:dyDescent="0.35">
      <c r="B178" s="492"/>
      <c r="C178" s="485"/>
      <c r="D178" s="222" t="s">
        <v>58</v>
      </c>
      <c r="E178" s="219">
        <v>1</v>
      </c>
      <c r="F178" s="219">
        <v>1</v>
      </c>
      <c r="G178" s="219">
        <v>1700452</v>
      </c>
      <c r="H178" s="219">
        <v>340090.4</v>
      </c>
      <c r="I178" s="219">
        <v>170046</v>
      </c>
      <c r="J178" s="321">
        <v>170044.4</v>
      </c>
      <c r="K178" s="297"/>
    </row>
    <row r="179" spans="2:11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21">
        <v>0</v>
      </c>
      <c r="K179" s="297"/>
    </row>
    <row r="180" spans="2:11" hidden="1" outlineLevel="2" x14ac:dyDescent="0.35">
      <c r="B180" s="492"/>
      <c r="C180" s="485"/>
      <c r="D180" s="222" t="s">
        <v>55</v>
      </c>
      <c r="E180" s="219">
        <v>1</v>
      </c>
      <c r="F180" s="219">
        <v>1</v>
      </c>
      <c r="G180" s="219">
        <v>1914859.22</v>
      </c>
      <c r="H180" s="219">
        <v>574457.76</v>
      </c>
      <c r="I180" s="219">
        <v>572571.84</v>
      </c>
      <c r="J180" s="321">
        <v>1885.92</v>
      </c>
      <c r="K180" s="297"/>
    </row>
    <row r="181" spans="2:11" hidden="1" outlineLevel="2" x14ac:dyDescent="0.35">
      <c r="B181" s="492"/>
      <c r="C181" s="485"/>
      <c r="D181" s="222" t="s">
        <v>54</v>
      </c>
      <c r="E181" s="219">
        <v>6</v>
      </c>
      <c r="F181" s="219">
        <v>4</v>
      </c>
      <c r="G181" s="219">
        <v>10639428.069999998</v>
      </c>
      <c r="H181" s="219">
        <v>2730109.99</v>
      </c>
      <c r="I181" s="219">
        <v>1725687</v>
      </c>
      <c r="J181" s="321">
        <v>1004422.99</v>
      </c>
      <c r="K181" s="297"/>
    </row>
    <row r="182" spans="2:11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21">
        <v>0</v>
      </c>
      <c r="K182" s="297"/>
    </row>
    <row r="183" spans="2:11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21">
        <v>0</v>
      </c>
      <c r="K183" s="297"/>
    </row>
    <row r="184" spans="2:11" hidden="1" outlineLevel="2" x14ac:dyDescent="0.35">
      <c r="B184" s="492"/>
      <c r="C184" s="485"/>
      <c r="D184" s="222" t="s">
        <v>50</v>
      </c>
      <c r="E184" s="219">
        <v>3</v>
      </c>
      <c r="F184" s="219">
        <v>3</v>
      </c>
      <c r="G184" s="219">
        <v>4683135.05</v>
      </c>
      <c r="H184" s="219">
        <v>1217330.9500000002</v>
      </c>
      <c r="I184" s="219">
        <v>1027050.96</v>
      </c>
      <c r="J184" s="321">
        <v>190279.99</v>
      </c>
      <c r="K184" s="297"/>
    </row>
    <row r="185" spans="2:11" hidden="1" outlineLevel="2" x14ac:dyDescent="0.35">
      <c r="B185" s="492"/>
      <c r="C185" s="485"/>
      <c r="D185" s="222" t="s">
        <v>49</v>
      </c>
      <c r="E185" s="219">
        <v>1</v>
      </c>
      <c r="F185" s="219">
        <v>1</v>
      </c>
      <c r="G185" s="219">
        <v>1459925.26</v>
      </c>
      <c r="H185" s="219">
        <v>291985.06</v>
      </c>
      <c r="I185" s="219">
        <v>146093</v>
      </c>
      <c r="J185" s="321">
        <v>145892.06</v>
      </c>
      <c r="K185" s="297"/>
    </row>
    <row r="186" spans="2:11" x14ac:dyDescent="0.35">
      <c r="B186" s="492"/>
      <c r="C186" s="485"/>
      <c r="D186" s="347" t="s">
        <v>243</v>
      </c>
      <c r="E186" s="383">
        <f t="shared" ref="E186:J186" si="23">SUM(E163,E128,E123)</f>
        <v>207</v>
      </c>
      <c r="F186" s="383">
        <f t="shared" si="23"/>
        <v>102</v>
      </c>
      <c r="G186" s="383">
        <f t="shared" si="23"/>
        <v>277449618.14999998</v>
      </c>
      <c r="H186" s="383">
        <f t="shared" si="23"/>
        <v>92219652.38000001</v>
      </c>
      <c r="I186" s="382">
        <f t="shared" si="23"/>
        <v>69834027.469999984</v>
      </c>
      <c r="J186" s="381">
        <f t="shared" si="23"/>
        <v>22385624.91</v>
      </c>
      <c r="K186" s="297"/>
    </row>
    <row r="187" spans="2:11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J187" si="24">SUM(E188:E190)</f>
        <v>10</v>
      </c>
      <c r="F187" s="219">
        <f t="shared" si="24"/>
        <v>10</v>
      </c>
      <c r="G187" s="219">
        <f t="shared" si="24"/>
        <v>13276152.609999999</v>
      </c>
      <c r="H187" s="219">
        <f t="shared" si="24"/>
        <v>3869824.79</v>
      </c>
      <c r="I187" s="219">
        <f t="shared" si="24"/>
        <v>3108713.87</v>
      </c>
      <c r="J187" s="321">
        <f t="shared" si="24"/>
        <v>761110.91999999993</v>
      </c>
      <c r="K187" s="297"/>
    </row>
    <row r="188" spans="2:11" ht="15" hidden="1" customHeight="1" outlineLevel="2" x14ac:dyDescent="0.35">
      <c r="B188" s="492"/>
      <c r="C188" s="485"/>
      <c r="D188" s="222" t="s">
        <v>126</v>
      </c>
      <c r="E188" s="219">
        <v>2</v>
      </c>
      <c r="F188" s="219">
        <v>2</v>
      </c>
      <c r="G188" s="219">
        <v>2705492.81</v>
      </c>
      <c r="H188" s="219">
        <v>698626.89</v>
      </c>
      <c r="I188" s="219">
        <v>638879.73</v>
      </c>
      <c r="J188" s="321">
        <v>59747.16</v>
      </c>
      <c r="K188" s="297"/>
    </row>
    <row r="189" spans="2:11" ht="15" hidden="1" customHeight="1" outlineLevel="2" x14ac:dyDescent="0.35">
      <c r="B189" s="492"/>
      <c r="C189" s="485"/>
      <c r="D189" s="222" t="s">
        <v>125</v>
      </c>
      <c r="E189" s="219">
        <v>5</v>
      </c>
      <c r="F189" s="219">
        <v>5</v>
      </c>
      <c r="G189" s="219">
        <v>6744197.4300000006</v>
      </c>
      <c r="H189" s="219">
        <v>2023259.2100000002</v>
      </c>
      <c r="I189" s="219">
        <v>1516230.4</v>
      </c>
      <c r="J189" s="321">
        <v>507028.80999999994</v>
      </c>
      <c r="K189" s="297"/>
    </row>
    <row r="190" spans="2:11" ht="15" hidden="1" customHeight="1" outlineLevel="2" x14ac:dyDescent="0.35">
      <c r="B190" s="492"/>
      <c r="C190" s="485"/>
      <c r="D190" s="222" t="s">
        <v>124</v>
      </c>
      <c r="E190" s="219">
        <v>3</v>
      </c>
      <c r="F190" s="219">
        <v>3</v>
      </c>
      <c r="G190" s="219">
        <v>3826462.37</v>
      </c>
      <c r="H190" s="219">
        <v>1147938.69</v>
      </c>
      <c r="I190" s="219">
        <v>953603.74</v>
      </c>
      <c r="J190" s="321">
        <v>194334.94999999998</v>
      </c>
      <c r="K190" s="297"/>
    </row>
    <row r="191" spans="2:11" outlineLevel="1" collapsed="1" x14ac:dyDescent="0.35">
      <c r="B191" s="492"/>
      <c r="C191" s="485"/>
      <c r="D191" s="221" t="s">
        <v>46</v>
      </c>
      <c r="E191" s="219">
        <f t="shared" ref="E191:J191" si="25">SUM(E192:E195)</f>
        <v>2</v>
      </c>
      <c r="F191" s="219">
        <f t="shared" si="25"/>
        <v>2</v>
      </c>
      <c r="G191" s="219">
        <f t="shared" si="25"/>
        <v>2494123.3499999996</v>
      </c>
      <c r="H191" s="219">
        <f t="shared" si="25"/>
        <v>377233.22</v>
      </c>
      <c r="I191" s="219">
        <f t="shared" si="25"/>
        <v>152176.71000000002</v>
      </c>
      <c r="J191" s="321">
        <f t="shared" si="25"/>
        <v>225056.51</v>
      </c>
      <c r="K191" s="297"/>
    </row>
    <row r="192" spans="2:11" ht="15" hidden="1" customHeight="1" outlineLevel="2" x14ac:dyDescent="0.35">
      <c r="B192" s="492"/>
      <c r="C192" s="485"/>
      <c r="D192" s="222" t="s">
        <v>45</v>
      </c>
      <c r="E192" s="219">
        <v>1</v>
      </c>
      <c r="F192" s="219">
        <v>1</v>
      </c>
      <c r="G192" s="219">
        <v>1215914.42</v>
      </c>
      <c r="H192" s="219">
        <v>121591.44</v>
      </c>
      <c r="I192" s="219">
        <v>24350</v>
      </c>
      <c r="J192" s="321">
        <v>97241.44</v>
      </c>
      <c r="K192" s="297"/>
    </row>
    <row r="193" spans="2:11" ht="1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21">
        <v>0</v>
      </c>
      <c r="K193" s="297"/>
    </row>
    <row r="194" spans="2:11" ht="15" hidden="1" customHeight="1" outlineLevel="2" x14ac:dyDescent="0.35">
      <c r="B194" s="492"/>
      <c r="C194" s="485"/>
      <c r="D194" s="222" t="s">
        <v>43</v>
      </c>
      <c r="E194" s="219">
        <v>1</v>
      </c>
      <c r="F194" s="219">
        <v>1</v>
      </c>
      <c r="G194" s="219">
        <v>1278208.93</v>
      </c>
      <c r="H194" s="219">
        <v>255641.78</v>
      </c>
      <c r="I194" s="219">
        <v>127826.71</v>
      </c>
      <c r="J194" s="321">
        <v>127815.07</v>
      </c>
      <c r="K194" s="297"/>
    </row>
    <row r="195" spans="2:11" ht="15" hidden="1" customHeight="1" outlineLevel="2" x14ac:dyDescent="0.35">
      <c r="B195" s="492"/>
      <c r="C195" s="485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21">
        <v>0</v>
      </c>
      <c r="K195" s="297"/>
    </row>
    <row r="196" spans="2:11" x14ac:dyDescent="0.35">
      <c r="B196" s="493"/>
      <c r="C196" s="494"/>
      <c r="D196" s="347" t="s">
        <v>239</v>
      </c>
      <c r="E196" s="383">
        <f t="shared" ref="E196:J196" si="26">SUM(E191,E187)</f>
        <v>12</v>
      </c>
      <c r="F196" s="383">
        <f t="shared" si="26"/>
        <v>12</v>
      </c>
      <c r="G196" s="383">
        <f t="shared" si="26"/>
        <v>15770275.959999999</v>
      </c>
      <c r="H196" s="383">
        <f t="shared" si="26"/>
        <v>4247058.01</v>
      </c>
      <c r="I196" s="382">
        <f t="shared" si="26"/>
        <v>3260890.58</v>
      </c>
      <c r="J196" s="381">
        <f t="shared" si="26"/>
        <v>986167.42999999993</v>
      </c>
      <c r="K196" s="297"/>
    </row>
    <row r="197" spans="2:11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21">
        <f t="shared" si="27"/>
        <v>0</v>
      </c>
      <c r="K197" s="297"/>
    </row>
    <row r="198" spans="2:11" ht="15" hidden="1" customHeight="1" outlineLevel="2" x14ac:dyDescent="0.35">
      <c r="B198" s="492"/>
      <c r="C198" s="485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21">
        <v>0</v>
      </c>
      <c r="K198" s="297"/>
    </row>
    <row r="199" spans="2:11" ht="15" hidden="1" customHeight="1" outlineLevel="2" x14ac:dyDescent="0.35">
      <c r="B199" s="492"/>
      <c r="C199" s="485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21">
        <v>0</v>
      </c>
      <c r="K199" s="297"/>
    </row>
    <row r="200" spans="2:11" ht="15" hidden="1" customHeight="1" outlineLevel="2" x14ac:dyDescent="0.35">
      <c r="B200" s="492"/>
      <c r="C200" s="485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21">
        <v>0</v>
      </c>
      <c r="K200" s="297"/>
    </row>
    <row r="201" spans="2:11" outlineLevel="1" collapsed="1" x14ac:dyDescent="0.35">
      <c r="B201" s="492"/>
      <c r="C201" s="485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21">
        <v>0</v>
      </c>
      <c r="K201" s="297"/>
    </row>
    <row r="202" spans="2:11" outlineLevel="1" x14ac:dyDescent="0.35">
      <c r="B202" s="492"/>
      <c r="C202" s="485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21">
        <v>0</v>
      </c>
      <c r="K202" s="297"/>
    </row>
    <row r="203" spans="2:11" x14ac:dyDescent="0.35">
      <c r="B203" s="493"/>
      <c r="C203" s="494"/>
      <c r="D203" s="347" t="s">
        <v>236</v>
      </c>
      <c r="E203" s="383">
        <f t="shared" ref="E203:J203" si="28">SUM(E202,E201,E197)</f>
        <v>0</v>
      </c>
      <c r="F203" s="383">
        <f t="shared" si="28"/>
        <v>0</v>
      </c>
      <c r="G203" s="383">
        <f t="shared" si="28"/>
        <v>0</v>
      </c>
      <c r="H203" s="383">
        <f t="shared" si="28"/>
        <v>0</v>
      </c>
      <c r="I203" s="382">
        <f t="shared" si="28"/>
        <v>0</v>
      </c>
      <c r="J203" s="381">
        <f t="shared" si="28"/>
        <v>0</v>
      </c>
      <c r="K203" s="297"/>
    </row>
    <row r="204" spans="2:11" ht="15" thickBot="1" x14ac:dyDescent="0.4">
      <c r="B204" s="545" t="s">
        <v>235</v>
      </c>
      <c r="C204" s="546"/>
      <c r="D204" s="339" t="s">
        <v>15</v>
      </c>
      <c r="E204" s="380">
        <f t="shared" ref="E204:J204" si="29">SUM(E203,E186,E121,E108,E75,E41,E116,E196)</f>
        <v>726</v>
      </c>
      <c r="F204" s="380">
        <f t="shared" si="29"/>
        <v>602</v>
      </c>
      <c r="G204" s="380">
        <f t="shared" si="29"/>
        <v>1793514741.0799999</v>
      </c>
      <c r="H204" s="380">
        <f t="shared" si="29"/>
        <v>732495689.12</v>
      </c>
      <c r="I204" s="380">
        <f t="shared" si="29"/>
        <v>621907719.14999998</v>
      </c>
      <c r="J204" s="388">
        <f t="shared" si="29"/>
        <v>106755150.14000002</v>
      </c>
    </row>
    <row r="205" spans="2:11" x14ac:dyDescent="0.35">
      <c r="J205" s="290">
        <f>'Overdue-2'!K204</f>
        <v>106755150.14000002</v>
      </c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505" right="0.70866141732283505" top="0.74803149606299202" bottom="0.74803149606299202" header="0.31496062992126" footer="0.31496062992126"/>
  <pageSetup paperSize="8" scale="81" orientation="landscape" r:id="rId1"/>
  <headerFooter alignWithMargins="0">
    <oddHeader>&amp;LSOBHA LLC&amp;C&amp;"Tahoma,Regular"&amp;14
OVERDUE AGEING_ Age calc. from first date of Deliquency_61-90 Days&amp;R&amp;D</oddHeader>
    <oddFooter>&amp;LCOLLECTIONS&amp;R&amp;P/&amp;N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AF0D-D1D7-407C-8903-8E52DAE67C5C}">
  <sheetPr>
    <pageSetUpPr fitToPage="1"/>
  </sheetPr>
  <dimension ref="B1:N205"/>
  <sheetViews>
    <sheetView view="pageBreakPreview" topLeftCell="A48" zoomScale="55" zoomScaleNormal="100" zoomScaleSheetLayoutView="55" workbookViewId="0"/>
  </sheetViews>
  <sheetFormatPr defaultRowHeight="14.5" outlineLevelRow="2" x14ac:dyDescent="0.35"/>
  <cols>
    <col min="2" max="2" width="28.453125" bestFit="1" customWidth="1"/>
    <col min="3" max="3" width="7.54296875" bestFit="1" customWidth="1"/>
    <col min="4" max="4" width="39.7265625" bestFit="1" customWidth="1"/>
    <col min="5" max="5" width="15.7265625" customWidth="1"/>
    <col min="6" max="6" width="22.81640625" bestFit="1" customWidth="1"/>
    <col min="7" max="7" width="21.7265625" bestFit="1" customWidth="1"/>
    <col min="8" max="8" width="19.54296875" bestFit="1" customWidth="1"/>
    <col min="9" max="9" width="34.26953125" bestFit="1" customWidth="1"/>
    <col min="10" max="10" width="29.26953125" style="6" bestFit="1" customWidth="1"/>
    <col min="11" max="11" width="7" bestFit="1" customWidth="1"/>
    <col min="12" max="12" width="6.26953125" bestFit="1" customWidth="1"/>
    <col min="13" max="13" width="16.453125" bestFit="1" customWidth="1"/>
  </cols>
  <sheetData>
    <row r="1" spans="2:14" x14ac:dyDescent="0.35">
      <c r="M1" s="290">
        <v>86016527.5</v>
      </c>
    </row>
    <row r="3" spans="2:14" x14ac:dyDescent="0.35">
      <c r="B3" s="390">
        <v>46143</v>
      </c>
      <c r="C3" t="s">
        <v>265</v>
      </c>
    </row>
    <row r="4" spans="2:14" ht="15" thickBot="1" x14ac:dyDescent="0.4"/>
    <row r="5" spans="2:14" x14ac:dyDescent="0.35">
      <c r="B5" s="510" t="s">
        <v>276</v>
      </c>
      <c r="C5" s="541"/>
      <c r="D5" s="543" t="s">
        <v>275</v>
      </c>
      <c r="E5" s="534" t="s">
        <v>281</v>
      </c>
      <c r="F5" s="536" t="s">
        <v>280</v>
      </c>
      <c r="G5" s="534" t="s">
        <v>274</v>
      </c>
      <c r="H5" s="516" t="s">
        <v>273</v>
      </c>
      <c r="I5" s="539" t="s">
        <v>289</v>
      </c>
      <c r="J5" s="387" t="s">
        <v>284</v>
      </c>
    </row>
    <row r="6" spans="2:14" x14ac:dyDescent="0.35">
      <c r="B6" s="512"/>
      <c r="C6" s="542"/>
      <c r="D6" s="544"/>
      <c r="E6" s="535"/>
      <c r="F6" s="537"/>
      <c r="G6" s="535"/>
      <c r="H6" s="538"/>
      <c r="I6" s="540"/>
      <c r="J6" s="386"/>
    </row>
    <row r="7" spans="2:14" outlineLevel="1" x14ac:dyDescent="0.35">
      <c r="B7" s="503" t="s">
        <v>261</v>
      </c>
      <c r="C7" s="506" t="s">
        <v>260</v>
      </c>
      <c r="D7" s="272"/>
      <c r="E7" s="219"/>
      <c r="F7" s="219"/>
      <c r="G7" s="219"/>
      <c r="H7" s="219"/>
      <c r="I7" s="219"/>
      <c r="J7" s="326"/>
    </row>
    <row r="8" spans="2:14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26">
        <f t="shared" si="0"/>
        <v>0</v>
      </c>
      <c r="K8" t="s">
        <v>277</v>
      </c>
      <c r="L8">
        <v>1500</v>
      </c>
      <c r="N8" s="400"/>
    </row>
    <row r="9" spans="2:14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6">
        <v>0</v>
      </c>
      <c r="N9" s="399"/>
    </row>
    <row r="10" spans="2:14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6">
        <v>0</v>
      </c>
      <c r="N10" s="399"/>
    </row>
    <row r="11" spans="2:14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6">
        <v>0</v>
      </c>
      <c r="N11" s="399"/>
    </row>
    <row r="12" spans="2:14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6">
        <v>0</v>
      </c>
      <c r="N12" s="399"/>
    </row>
    <row r="13" spans="2:14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26">
        <v>0</v>
      </c>
      <c r="N13" s="399"/>
    </row>
    <row r="14" spans="2:14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6">
        <v>0</v>
      </c>
      <c r="N14" s="399"/>
    </row>
    <row r="15" spans="2:14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6">
        <v>0</v>
      </c>
      <c r="N15" s="400"/>
    </row>
    <row r="16" spans="2:14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26">
        <f t="shared" si="1"/>
        <v>0</v>
      </c>
      <c r="N16" s="400"/>
    </row>
    <row r="17" spans="2:14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6">
        <v>0</v>
      </c>
      <c r="N17" s="399"/>
    </row>
    <row r="18" spans="2:14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6">
        <v>0</v>
      </c>
      <c r="N18" s="399"/>
    </row>
    <row r="19" spans="2:14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6">
        <v>0</v>
      </c>
      <c r="N19" s="399"/>
    </row>
    <row r="20" spans="2:14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26">
        <v>0</v>
      </c>
      <c r="N20" s="399"/>
    </row>
    <row r="21" spans="2:14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6">
        <v>0</v>
      </c>
      <c r="N21" s="399"/>
    </row>
    <row r="22" spans="2:14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26">
        <f t="shared" si="2"/>
        <v>0</v>
      </c>
      <c r="N22" s="400"/>
    </row>
    <row r="23" spans="2:14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21">
        <v>0</v>
      </c>
      <c r="N23" s="399"/>
    </row>
    <row r="24" spans="2:14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  <c r="N24" s="399"/>
    </row>
    <row r="25" spans="2:14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  <c r="N25" s="399"/>
    </row>
    <row r="26" spans="2:14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  <c r="N26" s="399"/>
    </row>
    <row r="27" spans="2:14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  <c r="N27" s="400"/>
    </row>
    <row r="28" spans="2:14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  <c r="N28" s="400"/>
    </row>
    <row r="29" spans="2:14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  <c r="N29" s="400"/>
    </row>
    <row r="30" spans="2:14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  <c r="N30" s="399"/>
    </row>
    <row r="31" spans="2:14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  <c r="N31" s="399"/>
    </row>
    <row r="32" spans="2:14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  <c r="N32" s="399"/>
    </row>
    <row r="33" spans="2:14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21">
        <v>0</v>
      </c>
      <c r="N33" s="400"/>
    </row>
    <row r="34" spans="2:14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21">
        <f t="shared" si="4"/>
        <v>0</v>
      </c>
      <c r="N34" s="394"/>
    </row>
    <row r="35" spans="2:14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21">
        <v>0</v>
      </c>
      <c r="N35" s="399"/>
    </row>
    <row r="36" spans="2:14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21">
        <v>0</v>
      </c>
      <c r="N36" s="399"/>
    </row>
    <row r="37" spans="2:14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21">
        <v>0</v>
      </c>
      <c r="N37" s="399"/>
    </row>
    <row r="38" spans="2:14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21">
        <v>0</v>
      </c>
      <c r="N38" s="399"/>
    </row>
    <row r="39" spans="2:14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  <c r="N39" s="399"/>
    </row>
    <row r="40" spans="2:14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  <c r="N40" s="394"/>
    </row>
    <row r="41" spans="2:14" x14ac:dyDescent="0.35">
      <c r="B41" s="504"/>
      <c r="C41" s="507"/>
      <c r="D41" s="347" t="s">
        <v>259</v>
      </c>
      <c r="E41" s="383">
        <f t="shared" ref="E41:J41" si="5">SUM(E8,E15:E16,E27:E29,E22,E33:E34,E40)</f>
        <v>0</v>
      </c>
      <c r="F41" s="383">
        <f t="shared" si="5"/>
        <v>0</v>
      </c>
      <c r="G41" s="383">
        <f t="shared" si="5"/>
        <v>0</v>
      </c>
      <c r="H41" s="383">
        <f t="shared" si="5"/>
        <v>0</v>
      </c>
      <c r="I41" s="382">
        <f t="shared" si="5"/>
        <v>0</v>
      </c>
      <c r="J41" s="381">
        <f t="shared" si="5"/>
        <v>0</v>
      </c>
      <c r="N41" s="392"/>
    </row>
    <row r="42" spans="2:14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296"/>
      <c r="N42" s="402"/>
    </row>
    <row r="43" spans="2:14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21">
        <f t="shared" si="6"/>
        <v>0</v>
      </c>
      <c r="N43" s="400"/>
    </row>
    <row r="44" spans="2:14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21">
        <v>0</v>
      </c>
      <c r="N44" s="403"/>
    </row>
    <row r="45" spans="2:14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21">
        <v>0</v>
      </c>
      <c r="N45" s="399"/>
    </row>
    <row r="46" spans="2:14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21">
        <v>0</v>
      </c>
      <c r="N46" s="399"/>
    </row>
    <row r="47" spans="2:14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  <c r="N47" s="399"/>
    </row>
    <row r="48" spans="2:14" outlineLevel="1" collapsed="1" x14ac:dyDescent="0.35">
      <c r="B48" s="487"/>
      <c r="C48" s="490"/>
      <c r="D48" s="263" t="s">
        <v>198</v>
      </c>
      <c r="E48" s="219">
        <v>2</v>
      </c>
      <c r="F48" s="219">
        <v>2</v>
      </c>
      <c r="G48" s="219">
        <v>12669949.199999999</v>
      </c>
      <c r="H48" s="219">
        <v>5321378.66</v>
      </c>
      <c r="I48" s="219">
        <v>5148112.43</v>
      </c>
      <c r="J48" s="321">
        <v>173266.22999999998</v>
      </c>
      <c r="N48" s="394"/>
    </row>
    <row r="49" spans="2:14" outlineLevel="1" x14ac:dyDescent="0.35">
      <c r="B49" s="487"/>
      <c r="C49" s="490"/>
      <c r="D49" s="236" t="s">
        <v>189</v>
      </c>
      <c r="E49" s="219">
        <v>4</v>
      </c>
      <c r="F49" s="219">
        <v>4</v>
      </c>
      <c r="G49" s="219">
        <v>9439958.1500000004</v>
      </c>
      <c r="H49" s="219">
        <v>5476630.1099999994</v>
      </c>
      <c r="I49" s="219">
        <v>5077980.75</v>
      </c>
      <c r="J49" s="321">
        <v>398649.36</v>
      </c>
      <c r="N49" s="400"/>
    </row>
    <row r="50" spans="2:14" outlineLevel="1" x14ac:dyDescent="0.35">
      <c r="B50" s="487"/>
      <c r="C50" s="490"/>
      <c r="D50" s="263" t="s">
        <v>179</v>
      </c>
      <c r="E50" s="219">
        <v>6</v>
      </c>
      <c r="F50" s="219">
        <v>6</v>
      </c>
      <c r="G50" s="219">
        <v>59494611.100000001</v>
      </c>
      <c r="H50" s="219">
        <v>39669571.609999999</v>
      </c>
      <c r="I50" s="219">
        <v>37386688</v>
      </c>
      <c r="J50" s="321">
        <v>2282883.61</v>
      </c>
      <c r="N50" s="394"/>
    </row>
    <row r="51" spans="2:14" outlineLevel="1" x14ac:dyDescent="0.35">
      <c r="B51" s="487"/>
      <c r="C51" s="490"/>
      <c r="D51" s="263" t="s">
        <v>188</v>
      </c>
      <c r="E51" s="219">
        <f t="shared" ref="E51:J51" si="7">SUM(E52:E55)</f>
        <v>1</v>
      </c>
      <c r="F51" s="219">
        <f t="shared" si="7"/>
        <v>1</v>
      </c>
      <c r="G51" s="219">
        <f t="shared" si="7"/>
        <v>27064359</v>
      </c>
      <c r="H51" s="219">
        <f t="shared" si="7"/>
        <v>8119307.7000000002</v>
      </c>
      <c r="I51" s="219">
        <f t="shared" si="7"/>
        <v>5412872.6399999997</v>
      </c>
      <c r="J51" s="321">
        <f t="shared" si="7"/>
        <v>2706435.06</v>
      </c>
      <c r="N51" s="394"/>
    </row>
    <row r="52" spans="2:14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  <c r="N52" s="399"/>
    </row>
    <row r="53" spans="2:14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  <c r="N53" s="399"/>
    </row>
    <row r="54" spans="2:14" hidden="1" outlineLevel="2" x14ac:dyDescent="0.35">
      <c r="B54" s="487"/>
      <c r="C54" s="490"/>
      <c r="D54" s="262" t="s">
        <v>182</v>
      </c>
      <c r="E54" s="219">
        <v>1</v>
      </c>
      <c r="F54" s="219">
        <v>1</v>
      </c>
      <c r="G54" s="219">
        <v>27064359</v>
      </c>
      <c r="H54" s="219">
        <v>8119307.7000000002</v>
      </c>
      <c r="I54" s="219">
        <v>5412872.6399999997</v>
      </c>
      <c r="J54" s="321">
        <v>2706435.06</v>
      </c>
      <c r="N54" s="403"/>
    </row>
    <row r="55" spans="2:14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  <c r="N55" s="403"/>
    </row>
    <row r="56" spans="2:14" outlineLevel="1" collapsed="1" x14ac:dyDescent="0.35">
      <c r="B56" s="487"/>
      <c r="C56" s="490"/>
      <c r="D56" s="246" t="s">
        <v>170</v>
      </c>
      <c r="E56" s="219">
        <f t="shared" ref="E56:J56" si="8">SUM(E57:E62)</f>
        <v>139</v>
      </c>
      <c r="F56" s="219">
        <f t="shared" si="8"/>
        <v>127</v>
      </c>
      <c r="G56" s="219">
        <f t="shared" si="8"/>
        <v>294994692.46000004</v>
      </c>
      <c r="H56" s="219">
        <f t="shared" si="8"/>
        <v>151510710.10999998</v>
      </c>
      <c r="I56" s="219">
        <f t="shared" si="8"/>
        <v>135454545.89000002</v>
      </c>
      <c r="J56" s="321">
        <f t="shared" si="8"/>
        <v>16056164.220000003</v>
      </c>
      <c r="N56" s="397"/>
    </row>
    <row r="57" spans="2:14" hidden="1" outlineLevel="2" x14ac:dyDescent="0.35">
      <c r="B57" s="487"/>
      <c r="C57" s="490"/>
      <c r="D57" s="242" t="s">
        <v>169</v>
      </c>
      <c r="E57" s="219">
        <v>15</v>
      </c>
      <c r="F57" s="219">
        <v>15</v>
      </c>
      <c r="G57" s="219">
        <v>44697702.149999999</v>
      </c>
      <c r="H57" s="219">
        <v>21177887.769999996</v>
      </c>
      <c r="I57" s="219">
        <v>19345220.480000004</v>
      </c>
      <c r="J57" s="321">
        <v>1832667.2900000003</v>
      </c>
      <c r="N57" s="399"/>
    </row>
    <row r="58" spans="2:14" hidden="1" outlineLevel="2" x14ac:dyDescent="0.35">
      <c r="B58" s="487"/>
      <c r="C58" s="490"/>
      <c r="D58" s="242" t="s">
        <v>168</v>
      </c>
      <c r="E58" s="219">
        <v>15</v>
      </c>
      <c r="F58" s="219">
        <v>10</v>
      </c>
      <c r="G58" s="219">
        <v>20655027.900000002</v>
      </c>
      <c r="H58" s="219">
        <v>14458519.579999998</v>
      </c>
      <c r="I58" s="219">
        <v>12914846.080000002</v>
      </c>
      <c r="J58" s="321">
        <v>1543673.5</v>
      </c>
      <c r="N58" s="399"/>
    </row>
    <row r="59" spans="2:14" hidden="1" outlineLevel="2" x14ac:dyDescent="0.35">
      <c r="B59" s="487"/>
      <c r="C59" s="490"/>
      <c r="D59" s="242" t="s">
        <v>167</v>
      </c>
      <c r="E59" s="219">
        <v>20</v>
      </c>
      <c r="F59" s="219">
        <v>20</v>
      </c>
      <c r="G59" s="219">
        <v>38317336.149999999</v>
      </c>
      <c r="H59" s="219">
        <v>21377887.989999998</v>
      </c>
      <c r="I59" s="219">
        <v>19568508.960000001</v>
      </c>
      <c r="J59" s="321">
        <v>1809379.03</v>
      </c>
      <c r="N59" s="399"/>
    </row>
    <row r="60" spans="2:14" hidden="1" outlineLevel="2" x14ac:dyDescent="0.35">
      <c r="B60" s="487"/>
      <c r="C60" s="490"/>
      <c r="D60" s="242" t="s">
        <v>166</v>
      </c>
      <c r="E60" s="219">
        <v>18</v>
      </c>
      <c r="F60" s="219">
        <v>16</v>
      </c>
      <c r="G60" s="219">
        <v>36976369.799999997</v>
      </c>
      <c r="H60" s="219">
        <v>18290546.16</v>
      </c>
      <c r="I60" s="219">
        <v>15909968.189999999</v>
      </c>
      <c r="J60" s="321">
        <v>2380577.9700000002</v>
      </c>
      <c r="N60" s="399"/>
    </row>
    <row r="61" spans="2:14" hidden="1" outlineLevel="2" x14ac:dyDescent="0.35">
      <c r="B61" s="487"/>
      <c r="C61" s="490"/>
      <c r="D61" s="261" t="s">
        <v>165</v>
      </c>
      <c r="E61" s="219">
        <v>36</v>
      </c>
      <c r="F61" s="219">
        <v>35</v>
      </c>
      <c r="G61" s="219">
        <v>81200131.110000014</v>
      </c>
      <c r="H61" s="219">
        <v>41464130.960000001</v>
      </c>
      <c r="I61" s="219">
        <v>38113926.219999999</v>
      </c>
      <c r="J61" s="321">
        <v>3350204.7400000007</v>
      </c>
      <c r="N61" s="261"/>
    </row>
    <row r="62" spans="2:14" hidden="1" outlineLevel="2" x14ac:dyDescent="0.35">
      <c r="B62" s="487"/>
      <c r="C62" s="490"/>
      <c r="D62" s="261" t="s">
        <v>164</v>
      </c>
      <c r="E62" s="219">
        <v>35</v>
      </c>
      <c r="F62" s="219">
        <v>31</v>
      </c>
      <c r="G62" s="219">
        <v>73148125.350000009</v>
      </c>
      <c r="H62" s="219">
        <v>34741737.649999999</v>
      </c>
      <c r="I62" s="219">
        <v>29602075.959999997</v>
      </c>
      <c r="J62" s="321">
        <v>5139661.6900000004</v>
      </c>
      <c r="N62" s="261"/>
    </row>
    <row r="63" spans="2:14" outlineLevel="1" collapsed="1" x14ac:dyDescent="0.35">
      <c r="B63" s="487"/>
      <c r="C63" s="490"/>
      <c r="D63" s="324" t="s">
        <v>256</v>
      </c>
      <c r="E63" s="219">
        <f t="shared" ref="E63:J63" si="9">SUM(E64:E66)</f>
        <v>5</v>
      </c>
      <c r="F63" s="219">
        <f t="shared" si="9"/>
        <v>5</v>
      </c>
      <c r="G63" s="219">
        <f t="shared" si="9"/>
        <v>8148218.79</v>
      </c>
      <c r="H63" s="219">
        <f t="shared" si="9"/>
        <v>4888931.28</v>
      </c>
      <c r="I63" s="219">
        <f t="shared" si="9"/>
        <v>4321929.58</v>
      </c>
      <c r="J63" s="321">
        <f t="shared" si="9"/>
        <v>567001.69999999995</v>
      </c>
      <c r="N63" s="324"/>
    </row>
    <row r="64" spans="2:14" hidden="1" outlineLevel="2" x14ac:dyDescent="0.35">
      <c r="B64" s="487"/>
      <c r="C64" s="490"/>
      <c r="D64" s="260" t="s">
        <v>196</v>
      </c>
      <c r="E64" s="219">
        <v>3</v>
      </c>
      <c r="F64" s="219">
        <v>3</v>
      </c>
      <c r="G64" s="219">
        <v>4289468.79</v>
      </c>
      <c r="H64" s="219">
        <v>2573681.2800000003</v>
      </c>
      <c r="I64" s="219">
        <v>2396033.67</v>
      </c>
      <c r="J64" s="321">
        <v>177647.61</v>
      </c>
      <c r="N64" s="260"/>
    </row>
    <row r="65" spans="2:14" hidden="1" outlineLevel="2" x14ac:dyDescent="0.35">
      <c r="B65" s="487"/>
      <c r="C65" s="490"/>
      <c r="D65" s="260" t="s">
        <v>195</v>
      </c>
      <c r="E65" s="219">
        <v>2</v>
      </c>
      <c r="F65" s="219">
        <v>2</v>
      </c>
      <c r="G65" s="219">
        <v>3858750</v>
      </c>
      <c r="H65" s="219">
        <v>2315250</v>
      </c>
      <c r="I65" s="219">
        <v>1925895.91</v>
      </c>
      <c r="J65" s="321">
        <v>389354.09</v>
      </c>
      <c r="N65" s="260"/>
    </row>
    <row r="66" spans="2:14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  <c r="N66" s="260"/>
    </row>
    <row r="67" spans="2:14" outlineLevel="1" collapsed="1" x14ac:dyDescent="0.35">
      <c r="B67" s="487"/>
      <c r="C67" s="490"/>
      <c r="D67" s="324" t="s">
        <v>178</v>
      </c>
      <c r="E67" s="219">
        <f t="shared" ref="E67:J67" si="10">SUM(E68:E74)</f>
        <v>35</v>
      </c>
      <c r="F67" s="219">
        <f t="shared" si="10"/>
        <v>32</v>
      </c>
      <c r="G67" s="219">
        <f t="shared" si="10"/>
        <v>96686110.279999986</v>
      </c>
      <c r="H67" s="219">
        <f t="shared" si="10"/>
        <v>49400322.979999997</v>
      </c>
      <c r="I67" s="219">
        <f t="shared" si="10"/>
        <v>39173650.999999993</v>
      </c>
      <c r="J67" s="321">
        <f t="shared" si="10"/>
        <v>10226671.98</v>
      </c>
      <c r="N67" s="324"/>
    </row>
    <row r="68" spans="2:14" hidden="1" outlineLevel="2" x14ac:dyDescent="0.35">
      <c r="B68" s="487"/>
      <c r="C68" s="490"/>
      <c r="D68" s="260" t="s">
        <v>177</v>
      </c>
      <c r="E68" s="219">
        <v>12</v>
      </c>
      <c r="F68" s="219">
        <v>9</v>
      </c>
      <c r="G68" s="219">
        <v>32016130.43</v>
      </c>
      <c r="H68" s="219">
        <v>15338350.09</v>
      </c>
      <c r="I68" s="219">
        <v>12981174.189999998</v>
      </c>
      <c r="J68" s="321">
        <v>2357175.9000000004</v>
      </c>
      <c r="N68" s="260"/>
    </row>
    <row r="69" spans="2:14" hidden="1" outlineLevel="2" x14ac:dyDescent="0.35">
      <c r="B69" s="487"/>
      <c r="C69" s="490"/>
      <c r="D69" s="260" t="s">
        <v>176</v>
      </c>
      <c r="E69" s="219">
        <v>6</v>
      </c>
      <c r="F69" s="219">
        <v>6</v>
      </c>
      <c r="G69" s="219">
        <v>14078882.350000001</v>
      </c>
      <c r="H69" s="219">
        <v>6982120.1299999999</v>
      </c>
      <c r="I69" s="219">
        <v>5777658.9000000004</v>
      </c>
      <c r="J69" s="321">
        <v>1204461.23</v>
      </c>
      <c r="N69" s="260"/>
    </row>
    <row r="70" spans="2:14" hidden="1" outlineLevel="2" x14ac:dyDescent="0.35">
      <c r="B70" s="487"/>
      <c r="C70" s="490"/>
      <c r="D70" s="260" t="s">
        <v>175</v>
      </c>
      <c r="E70" s="219">
        <v>3</v>
      </c>
      <c r="F70" s="219">
        <v>3</v>
      </c>
      <c r="G70" s="219">
        <v>10617770.35</v>
      </c>
      <c r="H70" s="219">
        <v>5896338.3700000001</v>
      </c>
      <c r="I70" s="219">
        <v>5241759.83</v>
      </c>
      <c r="J70" s="321">
        <v>654578.54</v>
      </c>
      <c r="N70" s="260"/>
    </row>
    <row r="71" spans="2:14" hidden="1" outlineLevel="2" x14ac:dyDescent="0.35">
      <c r="B71" s="487"/>
      <c r="C71" s="490"/>
      <c r="D71" s="260" t="s">
        <v>174</v>
      </c>
      <c r="E71" s="219">
        <v>6</v>
      </c>
      <c r="F71" s="219">
        <v>6</v>
      </c>
      <c r="G71" s="219">
        <v>11111041.950000001</v>
      </c>
      <c r="H71" s="219">
        <v>5144292.6399999997</v>
      </c>
      <c r="I71" s="219">
        <v>4603404.29</v>
      </c>
      <c r="J71" s="321">
        <v>540888.35</v>
      </c>
      <c r="N71" s="260"/>
    </row>
    <row r="72" spans="2:14" hidden="1" outlineLevel="2" x14ac:dyDescent="0.35">
      <c r="B72" s="487"/>
      <c r="C72" s="490"/>
      <c r="D72" s="260" t="s">
        <v>173</v>
      </c>
      <c r="E72" s="219">
        <v>5</v>
      </c>
      <c r="F72" s="219">
        <v>5</v>
      </c>
      <c r="G72" s="219">
        <v>11500313.6</v>
      </c>
      <c r="H72" s="219">
        <v>6011091.9500000002</v>
      </c>
      <c r="I72" s="219">
        <v>4991818.21</v>
      </c>
      <c r="J72" s="321">
        <v>1019273.74</v>
      </c>
      <c r="N72" s="260"/>
    </row>
    <row r="73" spans="2:14" hidden="1" outlineLevel="2" x14ac:dyDescent="0.35">
      <c r="B73" s="487"/>
      <c r="C73" s="490"/>
      <c r="D73" s="260" t="s">
        <v>172</v>
      </c>
      <c r="E73" s="219">
        <v>1</v>
      </c>
      <c r="F73" s="219">
        <v>1</v>
      </c>
      <c r="G73" s="219">
        <v>6999321.5999999996</v>
      </c>
      <c r="H73" s="219">
        <v>3499660.8</v>
      </c>
      <c r="I73" s="219">
        <v>3339795.58</v>
      </c>
      <c r="J73" s="321">
        <v>159865.22</v>
      </c>
      <c r="N73" s="260"/>
    </row>
    <row r="74" spans="2:14" hidden="1" outlineLevel="2" x14ac:dyDescent="0.35">
      <c r="B74" s="487"/>
      <c r="C74" s="490"/>
      <c r="D74" s="260" t="s">
        <v>171</v>
      </c>
      <c r="E74" s="219">
        <v>2</v>
      </c>
      <c r="F74" s="219">
        <v>2</v>
      </c>
      <c r="G74" s="219">
        <v>10362650</v>
      </c>
      <c r="H74" s="219">
        <v>6528469</v>
      </c>
      <c r="I74" s="219">
        <v>2238040</v>
      </c>
      <c r="J74" s="321">
        <v>4290429</v>
      </c>
      <c r="N74" s="260"/>
    </row>
    <row r="75" spans="2:14" x14ac:dyDescent="0.35">
      <c r="B75" s="488"/>
      <c r="C75" s="491"/>
      <c r="D75" s="347" t="s">
        <v>255</v>
      </c>
      <c r="E75" s="383">
        <f t="shared" ref="E75:J75" si="11">SUM(E43,E48:E51,E56,E63,E67)</f>
        <v>192</v>
      </c>
      <c r="F75" s="383">
        <f t="shared" si="11"/>
        <v>177</v>
      </c>
      <c r="G75" s="383">
        <f t="shared" si="11"/>
        <v>508497898.98000002</v>
      </c>
      <c r="H75" s="383">
        <f t="shared" si="11"/>
        <v>264386852.44999999</v>
      </c>
      <c r="I75" s="382">
        <f t="shared" si="11"/>
        <v>231975780.29000002</v>
      </c>
      <c r="J75" s="381">
        <f t="shared" si="11"/>
        <v>32411072.160000004</v>
      </c>
      <c r="N75" s="392"/>
    </row>
    <row r="76" spans="2:14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296"/>
      <c r="N76" s="402"/>
    </row>
    <row r="77" spans="2:14" outlineLevel="1" x14ac:dyDescent="0.35">
      <c r="B77" s="487"/>
      <c r="C77" s="490"/>
      <c r="D77" s="251" t="s">
        <v>252</v>
      </c>
      <c r="E77" s="219">
        <f t="shared" ref="E77:J77" si="12">SUM(E78:E80)</f>
        <v>13</v>
      </c>
      <c r="F77" s="219">
        <f t="shared" si="12"/>
        <v>13</v>
      </c>
      <c r="G77" s="219">
        <f t="shared" si="12"/>
        <v>90738600.680000007</v>
      </c>
      <c r="H77" s="219">
        <f t="shared" si="12"/>
        <v>40325138.549999997</v>
      </c>
      <c r="I77" s="219">
        <f t="shared" si="12"/>
        <v>34185474.370000005</v>
      </c>
      <c r="J77" s="321">
        <f t="shared" si="12"/>
        <v>6139664.1799999997</v>
      </c>
      <c r="N77" s="400"/>
    </row>
    <row r="78" spans="2:14" hidden="1" outlineLevel="2" x14ac:dyDescent="0.35">
      <c r="B78" s="487"/>
      <c r="C78" s="490"/>
      <c r="D78" s="250" t="s">
        <v>192</v>
      </c>
      <c r="E78" s="219">
        <v>1</v>
      </c>
      <c r="F78" s="219">
        <v>1</v>
      </c>
      <c r="G78" s="219">
        <v>3184516</v>
      </c>
      <c r="H78" s="219">
        <v>2229161.2000000002</v>
      </c>
      <c r="I78" s="219">
        <v>1932829.28</v>
      </c>
      <c r="J78" s="321">
        <v>296331.92</v>
      </c>
      <c r="N78" s="401"/>
    </row>
    <row r="79" spans="2:14" hidden="1" outlineLevel="2" x14ac:dyDescent="0.35">
      <c r="B79" s="487"/>
      <c r="C79" s="490"/>
      <c r="D79" s="250" t="s">
        <v>191</v>
      </c>
      <c r="E79" s="219">
        <v>8</v>
      </c>
      <c r="F79" s="219">
        <v>8</v>
      </c>
      <c r="G79" s="219">
        <v>56346638</v>
      </c>
      <c r="H79" s="219">
        <v>24386590.800000001</v>
      </c>
      <c r="I79" s="219">
        <v>20858699.43</v>
      </c>
      <c r="J79" s="321">
        <v>3527891.37</v>
      </c>
      <c r="N79" s="401"/>
    </row>
    <row r="80" spans="2:14" hidden="1" outlineLevel="2" x14ac:dyDescent="0.35">
      <c r="B80" s="487"/>
      <c r="C80" s="490"/>
      <c r="D80" s="250" t="s">
        <v>190</v>
      </c>
      <c r="E80" s="219">
        <v>4</v>
      </c>
      <c r="F80" s="219">
        <v>4</v>
      </c>
      <c r="G80" s="219">
        <v>31207446.68</v>
      </c>
      <c r="H80" s="219">
        <v>13709386.549999999</v>
      </c>
      <c r="I80" s="219">
        <v>11393945.66</v>
      </c>
      <c r="J80" s="321">
        <v>2315440.8899999997</v>
      </c>
      <c r="N80" s="401"/>
    </row>
    <row r="81" spans="2:14" outlineLevel="1" collapsed="1" x14ac:dyDescent="0.35">
      <c r="B81" s="487"/>
      <c r="C81" s="490"/>
      <c r="D81" s="251" t="s">
        <v>158</v>
      </c>
      <c r="E81" s="219">
        <f t="shared" ref="E81:J81" si="13">SUM(E82:E89)</f>
        <v>42</v>
      </c>
      <c r="F81" s="219">
        <f t="shared" si="13"/>
        <v>42</v>
      </c>
      <c r="G81" s="219">
        <f t="shared" si="13"/>
        <v>50739061.140000001</v>
      </c>
      <c r="H81" s="219">
        <f t="shared" si="13"/>
        <v>20846786.749999996</v>
      </c>
      <c r="I81" s="219">
        <f t="shared" si="13"/>
        <v>17895173.119999997</v>
      </c>
      <c r="J81" s="321">
        <f t="shared" si="13"/>
        <v>2951613.63</v>
      </c>
      <c r="N81" s="400"/>
    </row>
    <row r="82" spans="2:14" hidden="1" outlineLevel="2" x14ac:dyDescent="0.35">
      <c r="B82" s="487"/>
      <c r="C82" s="490"/>
      <c r="D82" s="250" t="s">
        <v>157</v>
      </c>
      <c r="E82" s="219">
        <v>8</v>
      </c>
      <c r="F82" s="219">
        <v>8</v>
      </c>
      <c r="G82" s="219">
        <v>8139060.0500000007</v>
      </c>
      <c r="H82" s="219">
        <v>3762038.5199999996</v>
      </c>
      <c r="I82" s="219">
        <v>3423691.65</v>
      </c>
      <c r="J82" s="321">
        <v>338346.87</v>
      </c>
      <c r="N82" s="401"/>
    </row>
    <row r="83" spans="2:14" hidden="1" outlineLevel="2" x14ac:dyDescent="0.35">
      <c r="B83" s="487"/>
      <c r="C83" s="490"/>
      <c r="D83" s="250" t="s">
        <v>156</v>
      </c>
      <c r="E83" s="219">
        <v>8</v>
      </c>
      <c r="F83" s="219">
        <v>8</v>
      </c>
      <c r="G83" s="219">
        <v>9318168.4000000004</v>
      </c>
      <c r="H83" s="219">
        <v>3740122.44</v>
      </c>
      <c r="I83" s="219">
        <v>3151932.05</v>
      </c>
      <c r="J83" s="321">
        <v>588190.3899999999</v>
      </c>
      <c r="N83" s="401"/>
    </row>
    <row r="84" spans="2:14" hidden="1" outlineLevel="2" x14ac:dyDescent="0.35">
      <c r="B84" s="487"/>
      <c r="C84" s="490"/>
      <c r="D84" s="250" t="s">
        <v>155</v>
      </c>
      <c r="E84" s="219">
        <v>3</v>
      </c>
      <c r="F84" s="219">
        <v>3</v>
      </c>
      <c r="G84" s="219">
        <v>5078641.5999999996</v>
      </c>
      <c r="H84" s="219">
        <v>1642600.2399999998</v>
      </c>
      <c r="I84" s="219">
        <v>1141578</v>
      </c>
      <c r="J84" s="321">
        <v>501022.24</v>
      </c>
      <c r="N84" s="401"/>
    </row>
    <row r="85" spans="2:14" hidden="1" outlineLevel="2" x14ac:dyDescent="0.35">
      <c r="B85" s="487"/>
      <c r="C85" s="490"/>
      <c r="D85" s="250" t="s">
        <v>154</v>
      </c>
      <c r="E85" s="219">
        <v>3</v>
      </c>
      <c r="F85" s="219">
        <v>3</v>
      </c>
      <c r="G85" s="219">
        <v>3694020</v>
      </c>
      <c r="H85" s="219">
        <v>1350003.15</v>
      </c>
      <c r="I85" s="219">
        <v>1055522</v>
      </c>
      <c r="J85" s="321">
        <v>294481.14999999997</v>
      </c>
      <c r="N85" s="401"/>
    </row>
    <row r="86" spans="2:14" hidden="1" outlineLevel="2" x14ac:dyDescent="0.35">
      <c r="B86" s="487"/>
      <c r="C86" s="490"/>
      <c r="D86" s="250" t="s">
        <v>153</v>
      </c>
      <c r="E86" s="219">
        <v>13</v>
      </c>
      <c r="F86" s="219">
        <v>13</v>
      </c>
      <c r="G86" s="219">
        <v>16031592.700000001</v>
      </c>
      <c r="H86" s="219">
        <v>7207044.3500000006</v>
      </c>
      <c r="I86" s="219">
        <v>6544024.3799999999</v>
      </c>
      <c r="J86" s="321">
        <v>663019.97</v>
      </c>
      <c r="N86" s="401"/>
    </row>
    <row r="87" spans="2:14" hidden="1" outlineLevel="2" x14ac:dyDescent="0.35">
      <c r="B87" s="487"/>
      <c r="C87" s="490"/>
      <c r="D87" s="250" t="s">
        <v>152</v>
      </c>
      <c r="E87" s="219">
        <v>1</v>
      </c>
      <c r="F87" s="219">
        <v>1</v>
      </c>
      <c r="G87" s="219">
        <v>1209867.8</v>
      </c>
      <c r="H87" s="219">
        <v>604933.9</v>
      </c>
      <c r="I87" s="219">
        <v>489143</v>
      </c>
      <c r="J87" s="321">
        <v>115790.9</v>
      </c>
      <c r="N87" s="401"/>
    </row>
    <row r="88" spans="2:14" hidden="1" outlineLevel="2" x14ac:dyDescent="0.35">
      <c r="B88" s="487"/>
      <c r="C88" s="490"/>
      <c r="D88" s="250" t="s">
        <v>151</v>
      </c>
      <c r="E88" s="219">
        <v>6</v>
      </c>
      <c r="F88" s="219">
        <v>6</v>
      </c>
      <c r="G88" s="219">
        <v>7267710.5899999999</v>
      </c>
      <c r="H88" s="219">
        <v>2540044.1499999994</v>
      </c>
      <c r="I88" s="219">
        <v>2089282.04</v>
      </c>
      <c r="J88" s="321">
        <v>450762.11</v>
      </c>
      <c r="N88" s="401"/>
    </row>
    <row r="89" spans="2:14" hidden="1" outlineLevel="2" x14ac:dyDescent="0.35">
      <c r="B89" s="487"/>
      <c r="C89" s="490"/>
      <c r="D89" s="250" t="s">
        <v>150</v>
      </c>
      <c r="E89" s="219">
        <v>0</v>
      </c>
      <c r="F89" s="219">
        <v>0</v>
      </c>
      <c r="G89" s="219">
        <v>0</v>
      </c>
      <c r="H89" s="219">
        <v>0</v>
      </c>
      <c r="I89" s="219">
        <v>0</v>
      </c>
      <c r="J89" s="321">
        <v>0</v>
      </c>
      <c r="N89" s="401"/>
    </row>
    <row r="90" spans="2:14" outlineLevel="1" collapsed="1" x14ac:dyDescent="0.35">
      <c r="B90" s="487"/>
      <c r="C90" s="490"/>
      <c r="D90" s="251" t="s">
        <v>149</v>
      </c>
      <c r="E90" s="219">
        <f t="shared" ref="E90:J90" si="14">SUM(E91:E93)</f>
        <v>24</v>
      </c>
      <c r="F90" s="219">
        <f t="shared" si="14"/>
        <v>23</v>
      </c>
      <c r="G90" s="219">
        <f t="shared" si="14"/>
        <v>72821539.050000012</v>
      </c>
      <c r="H90" s="219">
        <f t="shared" si="14"/>
        <v>20245931.750000004</v>
      </c>
      <c r="I90" s="219">
        <f t="shared" si="14"/>
        <v>15625206.41</v>
      </c>
      <c r="J90" s="321">
        <f t="shared" si="14"/>
        <v>4620725.34</v>
      </c>
      <c r="N90" s="400"/>
    </row>
    <row r="91" spans="2:14" hidden="1" outlineLevel="2" x14ac:dyDescent="0.35">
      <c r="B91" s="487"/>
      <c r="C91" s="490"/>
      <c r="D91" s="250" t="s">
        <v>148</v>
      </c>
      <c r="E91" s="219">
        <v>7</v>
      </c>
      <c r="F91" s="219">
        <v>7</v>
      </c>
      <c r="G91" s="219">
        <v>16363477.600000001</v>
      </c>
      <c r="H91" s="219">
        <v>4284968.62</v>
      </c>
      <c r="I91" s="219">
        <v>3587888.95</v>
      </c>
      <c r="J91" s="321">
        <v>697079.66999999993</v>
      </c>
      <c r="N91" s="401"/>
    </row>
    <row r="92" spans="2:14" hidden="1" outlineLevel="2" x14ac:dyDescent="0.35">
      <c r="B92" s="487"/>
      <c r="C92" s="490"/>
      <c r="D92" s="250" t="s">
        <v>147</v>
      </c>
      <c r="E92" s="219">
        <v>7</v>
      </c>
      <c r="F92" s="219">
        <v>7</v>
      </c>
      <c r="G92" s="219">
        <v>20944536.800000001</v>
      </c>
      <c r="H92" s="219">
        <v>5854259.3399999999</v>
      </c>
      <c r="I92" s="219">
        <v>4515007.93</v>
      </c>
      <c r="J92" s="321">
        <v>1339251.4100000001</v>
      </c>
      <c r="N92" s="401"/>
    </row>
    <row r="93" spans="2:14" hidden="1" outlineLevel="2" x14ac:dyDescent="0.35">
      <c r="B93" s="487"/>
      <c r="C93" s="490"/>
      <c r="D93" s="250" t="s">
        <v>146</v>
      </c>
      <c r="E93" s="219">
        <v>10</v>
      </c>
      <c r="F93" s="219">
        <v>9</v>
      </c>
      <c r="G93" s="219">
        <v>35513524.649999999</v>
      </c>
      <c r="H93" s="219">
        <v>10106703.790000003</v>
      </c>
      <c r="I93" s="219">
        <v>7522309.5299999993</v>
      </c>
      <c r="J93" s="321">
        <v>2584394.2599999998</v>
      </c>
      <c r="N93" s="401"/>
    </row>
    <row r="94" spans="2:14" outlineLevel="1" collapsed="1" x14ac:dyDescent="0.35">
      <c r="B94" s="487"/>
      <c r="C94" s="490"/>
      <c r="D94" s="324" t="s">
        <v>133</v>
      </c>
      <c r="E94" s="219">
        <v>1</v>
      </c>
      <c r="F94" s="219">
        <v>1</v>
      </c>
      <c r="G94" s="219">
        <v>5099912.7</v>
      </c>
      <c r="H94" s="219">
        <v>1529973.81</v>
      </c>
      <c r="I94" s="219">
        <v>1019990</v>
      </c>
      <c r="J94" s="321">
        <v>509983.81</v>
      </c>
      <c r="N94" s="260"/>
    </row>
    <row r="95" spans="2:14" outlineLevel="1" x14ac:dyDescent="0.35">
      <c r="B95" s="487"/>
      <c r="C95" s="490"/>
      <c r="D95" s="236" t="s">
        <v>140</v>
      </c>
      <c r="E95" s="219">
        <v>4</v>
      </c>
      <c r="F95" s="219">
        <v>4</v>
      </c>
      <c r="G95" s="219">
        <v>38147984</v>
      </c>
      <c r="H95" s="219">
        <v>15259193.600000001</v>
      </c>
      <c r="I95" s="219">
        <v>15230299.42</v>
      </c>
      <c r="J95" s="321">
        <v>28894.179999999997</v>
      </c>
      <c r="N95" s="400"/>
    </row>
    <row r="96" spans="2:14" outlineLevel="1" x14ac:dyDescent="0.35">
      <c r="B96" s="487"/>
      <c r="C96" s="490"/>
      <c r="D96" s="23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21">
        <v>0</v>
      </c>
      <c r="N96" s="400"/>
    </row>
    <row r="97" spans="2:14" outlineLevel="1" x14ac:dyDescent="0.35">
      <c r="B97" s="487"/>
      <c r="C97" s="490"/>
      <c r="D97" s="236" t="s">
        <v>138</v>
      </c>
      <c r="E97" s="219">
        <f t="shared" ref="E97:J97" si="15">SUM(E98:E101)</f>
        <v>36</v>
      </c>
      <c r="F97" s="219">
        <f t="shared" si="15"/>
        <v>35</v>
      </c>
      <c r="G97" s="219">
        <f t="shared" si="15"/>
        <v>44328972.149999999</v>
      </c>
      <c r="H97" s="219">
        <f t="shared" si="15"/>
        <v>13876186.939999999</v>
      </c>
      <c r="I97" s="219">
        <f t="shared" si="15"/>
        <v>10300555.879999999</v>
      </c>
      <c r="J97" s="321">
        <f t="shared" si="15"/>
        <v>3575631.06</v>
      </c>
      <c r="N97" s="400"/>
    </row>
    <row r="98" spans="2:14" hidden="1" outlineLevel="2" x14ac:dyDescent="0.35">
      <c r="B98" s="487"/>
      <c r="C98" s="490"/>
      <c r="D98" s="242" t="s">
        <v>137</v>
      </c>
      <c r="E98" s="219">
        <v>9</v>
      </c>
      <c r="F98" s="219">
        <v>9</v>
      </c>
      <c r="G98" s="219">
        <v>11303277.75</v>
      </c>
      <c r="H98" s="219">
        <v>3506843.44</v>
      </c>
      <c r="I98" s="219">
        <v>2975157.2399999998</v>
      </c>
      <c r="J98" s="321">
        <v>531686.20000000007</v>
      </c>
      <c r="N98" s="399"/>
    </row>
    <row r="99" spans="2:14" hidden="1" outlineLevel="2" x14ac:dyDescent="0.35">
      <c r="B99" s="487"/>
      <c r="C99" s="490"/>
      <c r="D99" s="242" t="s">
        <v>136</v>
      </c>
      <c r="E99" s="219">
        <v>12</v>
      </c>
      <c r="F99" s="219">
        <v>12</v>
      </c>
      <c r="G99" s="219">
        <v>15137382.15</v>
      </c>
      <c r="H99" s="219">
        <v>4750697.7299999995</v>
      </c>
      <c r="I99" s="219">
        <v>3301898.45</v>
      </c>
      <c r="J99" s="321">
        <v>1448799.28</v>
      </c>
      <c r="N99" s="399"/>
    </row>
    <row r="100" spans="2:14" hidden="1" outlineLevel="2" x14ac:dyDescent="0.35">
      <c r="B100" s="487"/>
      <c r="C100" s="490"/>
      <c r="D100" s="242" t="s">
        <v>135</v>
      </c>
      <c r="E100" s="219">
        <v>4</v>
      </c>
      <c r="F100" s="219">
        <v>4</v>
      </c>
      <c r="G100" s="219">
        <v>4665860.7</v>
      </c>
      <c r="H100" s="219">
        <v>1399758.21</v>
      </c>
      <c r="I100" s="219">
        <v>1111275.92</v>
      </c>
      <c r="J100" s="321">
        <v>288482.28999999998</v>
      </c>
      <c r="N100" s="399"/>
    </row>
    <row r="101" spans="2:14" hidden="1" outlineLevel="2" x14ac:dyDescent="0.35">
      <c r="B101" s="487"/>
      <c r="C101" s="490"/>
      <c r="D101" s="242" t="s">
        <v>134</v>
      </c>
      <c r="E101" s="219">
        <v>11</v>
      </c>
      <c r="F101" s="219">
        <v>10</v>
      </c>
      <c r="G101" s="219">
        <v>13222451.549999999</v>
      </c>
      <c r="H101" s="219">
        <v>4218887.5600000005</v>
      </c>
      <c r="I101" s="219">
        <v>2912224.27</v>
      </c>
      <c r="J101" s="321">
        <v>1306663.29</v>
      </c>
      <c r="N101" s="399"/>
    </row>
    <row r="102" spans="2:14" outlineLevel="1" collapsed="1" x14ac:dyDescent="0.35">
      <c r="B102" s="487"/>
      <c r="C102" s="490"/>
      <c r="D102" s="236" t="s">
        <v>132</v>
      </c>
      <c r="E102" s="219">
        <f t="shared" ref="E102:J102" si="16">SUM(E103:E106)</f>
        <v>62</v>
      </c>
      <c r="F102" s="219">
        <f t="shared" si="16"/>
        <v>59</v>
      </c>
      <c r="G102" s="219">
        <f t="shared" si="16"/>
        <v>146310035.48000002</v>
      </c>
      <c r="H102" s="219">
        <f t="shared" si="16"/>
        <v>38756268.74000001</v>
      </c>
      <c r="I102" s="219">
        <f t="shared" si="16"/>
        <v>31103189.25</v>
      </c>
      <c r="J102" s="321">
        <f t="shared" si="16"/>
        <v>7653079.4900000002</v>
      </c>
      <c r="N102" s="400"/>
    </row>
    <row r="103" spans="2:14" hidden="1" outlineLevel="2" x14ac:dyDescent="0.35">
      <c r="B103" s="487"/>
      <c r="C103" s="490"/>
      <c r="D103" s="242" t="s">
        <v>131</v>
      </c>
      <c r="E103" s="219">
        <v>28</v>
      </c>
      <c r="F103" s="219">
        <v>28</v>
      </c>
      <c r="G103" s="219">
        <v>65611939.600000024</v>
      </c>
      <c r="H103" s="219">
        <v>19446909.200000003</v>
      </c>
      <c r="I103" s="219">
        <v>16876509.199999999</v>
      </c>
      <c r="J103" s="321">
        <v>2570400</v>
      </c>
      <c r="N103" s="399"/>
    </row>
    <row r="104" spans="2:14" hidden="1" outlineLevel="2" x14ac:dyDescent="0.35">
      <c r="B104" s="487"/>
      <c r="C104" s="490"/>
      <c r="D104" s="242" t="s">
        <v>130</v>
      </c>
      <c r="E104" s="219">
        <v>3</v>
      </c>
      <c r="F104" s="219">
        <v>3</v>
      </c>
      <c r="G104" s="219">
        <v>6982502</v>
      </c>
      <c r="H104" s="219">
        <v>2094750.6</v>
      </c>
      <c r="I104" s="219">
        <v>1797822.35</v>
      </c>
      <c r="J104" s="321">
        <v>296928.25</v>
      </c>
      <c r="N104" s="399"/>
    </row>
    <row r="105" spans="2:14" hidden="1" outlineLevel="2" x14ac:dyDescent="0.35">
      <c r="B105" s="487"/>
      <c r="C105" s="490"/>
      <c r="D105" s="242" t="s">
        <v>129</v>
      </c>
      <c r="E105" s="219">
        <v>11</v>
      </c>
      <c r="F105" s="219">
        <v>11</v>
      </c>
      <c r="G105" s="219">
        <v>30103415.850000001</v>
      </c>
      <c r="H105" s="219">
        <v>8492173.2400000002</v>
      </c>
      <c r="I105" s="219">
        <v>6193560.7000000002</v>
      </c>
      <c r="J105" s="321">
        <v>2298612.54</v>
      </c>
      <c r="N105" s="399"/>
    </row>
    <row r="106" spans="2:14" hidden="1" outlineLevel="2" x14ac:dyDescent="0.35">
      <c r="B106" s="487"/>
      <c r="C106" s="490"/>
      <c r="D106" s="242" t="s">
        <v>128</v>
      </c>
      <c r="E106" s="219">
        <v>20</v>
      </c>
      <c r="F106" s="219">
        <v>17</v>
      </c>
      <c r="G106" s="219">
        <v>43612178.029999994</v>
      </c>
      <c r="H106" s="219">
        <v>8722435.6999999993</v>
      </c>
      <c r="I106" s="219">
        <v>6235297</v>
      </c>
      <c r="J106" s="321">
        <v>2487138.6999999997</v>
      </c>
      <c r="N106" s="399"/>
    </row>
    <row r="107" spans="2:14" outlineLevel="1" collapsed="1" x14ac:dyDescent="0.35">
      <c r="B107" s="487"/>
      <c r="C107" s="490"/>
      <c r="D107" s="236" t="s">
        <v>41</v>
      </c>
      <c r="E107" s="219">
        <v>7</v>
      </c>
      <c r="F107" s="219">
        <v>7</v>
      </c>
      <c r="G107" s="219">
        <v>28414679.75</v>
      </c>
      <c r="H107" s="219">
        <v>5682936</v>
      </c>
      <c r="I107" s="219">
        <v>3771384.6799999997</v>
      </c>
      <c r="J107" s="321">
        <v>1911551.3199999998</v>
      </c>
      <c r="N107" s="400"/>
    </row>
    <row r="108" spans="2:14" x14ac:dyDescent="0.35">
      <c r="B108" s="488"/>
      <c r="C108" s="491"/>
      <c r="D108" s="347" t="s">
        <v>251</v>
      </c>
      <c r="E108" s="383">
        <f t="shared" ref="E108:J108" si="17">SUM(E102,E107,E97,E96,E94,E90,E81,E77,E95)</f>
        <v>189</v>
      </c>
      <c r="F108" s="383">
        <f t="shared" si="17"/>
        <v>184</v>
      </c>
      <c r="G108" s="383">
        <f t="shared" si="17"/>
        <v>476600784.94999999</v>
      </c>
      <c r="H108" s="383">
        <f t="shared" si="17"/>
        <v>156522416.14000002</v>
      </c>
      <c r="I108" s="382">
        <f t="shared" si="17"/>
        <v>129131273.13000001</v>
      </c>
      <c r="J108" s="381">
        <f t="shared" si="17"/>
        <v>27391143.010000002</v>
      </c>
      <c r="N108" s="392"/>
    </row>
    <row r="109" spans="2:14" outlineLevel="1" x14ac:dyDescent="0.35">
      <c r="B109" s="487" t="s">
        <v>250</v>
      </c>
      <c r="C109" s="490" t="s">
        <v>249</v>
      </c>
      <c r="D109" s="236" t="s">
        <v>123</v>
      </c>
      <c r="E109" s="219">
        <v>3</v>
      </c>
      <c r="F109" s="219">
        <v>3</v>
      </c>
      <c r="G109" s="219">
        <v>10066044.550000001</v>
      </c>
      <c r="H109" s="219">
        <v>2013208.92</v>
      </c>
      <c r="I109" s="219">
        <v>1457355.6400000001</v>
      </c>
      <c r="J109" s="321">
        <v>555853.28</v>
      </c>
      <c r="N109" s="399"/>
    </row>
    <row r="110" spans="2:14" outlineLevel="1" x14ac:dyDescent="0.35">
      <c r="B110" s="487"/>
      <c r="C110" s="490"/>
      <c r="D110" s="236" t="s">
        <v>122</v>
      </c>
      <c r="E110" s="219">
        <v>3</v>
      </c>
      <c r="F110" s="219">
        <v>3</v>
      </c>
      <c r="G110" s="219">
        <v>5352455.95</v>
      </c>
      <c r="H110" s="219">
        <v>1070491.22</v>
      </c>
      <c r="I110" s="219">
        <v>800657.41999999993</v>
      </c>
      <c r="J110" s="321">
        <v>269833.8</v>
      </c>
      <c r="N110" s="399"/>
    </row>
    <row r="111" spans="2:14" outlineLevel="1" x14ac:dyDescent="0.35">
      <c r="B111" s="487"/>
      <c r="C111" s="490"/>
      <c r="D111" s="236" t="s">
        <v>48</v>
      </c>
      <c r="E111" s="219">
        <v>0</v>
      </c>
      <c r="F111" s="219">
        <v>0</v>
      </c>
      <c r="G111" s="219">
        <v>0</v>
      </c>
      <c r="H111" s="219">
        <v>0</v>
      </c>
      <c r="I111" s="219">
        <v>0</v>
      </c>
      <c r="J111" s="321">
        <v>0</v>
      </c>
      <c r="N111" s="399"/>
    </row>
    <row r="112" spans="2:14" outlineLevel="1" x14ac:dyDescent="0.35">
      <c r="B112" s="487"/>
      <c r="C112" s="490"/>
      <c r="D112" s="236" t="s">
        <v>47</v>
      </c>
      <c r="E112" s="219">
        <v>7</v>
      </c>
      <c r="F112" s="219">
        <v>7</v>
      </c>
      <c r="G112" s="219">
        <v>15742514</v>
      </c>
      <c r="H112" s="219">
        <v>3148502.82</v>
      </c>
      <c r="I112" s="219">
        <v>2094405.8</v>
      </c>
      <c r="J112" s="321">
        <v>1054097.02</v>
      </c>
      <c r="N112" s="399"/>
    </row>
    <row r="113" spans="2:14" outlineLevel="1" x14ac:dyDescent="0.35">
      <c r="B113" s="487"/>
      <c r="C113" s="490"/>
      <c r="D113" s="236" t="s">
        <v>40</v>
      </c>
      <c r="E113" s="219">
        <v>12</v>
      </c>
      <c r="F113" s="219">
        <v>12</v>
      </c>
      <c r="G113" s="219">
        <v>24756595.099999998</v>
      </c>
      <c r="H113" s="219">
        <v>4951319.08</v>
      </c>
      <c r="I113" s="219">
        <v>4922308.7300000004</v>
      </c>
      <c r="J113" s="321">
        <v>29010.349999999995</v>
      </c>
      <c r="N113" s="399"/>
    </row>
    <row r="114" spans="2:14" outlineLevel="1" x14ac:dyDescent="0.35">
      <c r="B114" s="487"/>
      <c r="C114" s="490"/>
      <c r="D114" s="236" t="s">
        <v>39</v>
      </c>
      <c r="E114" s="219">
        <v>11</v>
      </c>
      <c r="F114" s="219">
        <v>11</v>
      </c>
      <c r="G114" s="219">
        <v>24241969.949999999</v>
      </c>
      <c r="H114" s="219">
        <v>4848393.99</v>
      </c>
      <c r="I114" s="219">
        <v>4460030.49</v>
      </c>
      <c r="J114" s="321">
        <v>388363.49999999994</v>
      </c>
      <c r="N114" s="399"/>
    </row>
    <row r="115" spans="2:14" outlineLevel="1" x14ac:dyDescent="0.35">
      <c r="B115" s="487"/>
      <c r="C115" s="490"/>
      <c r="D115" s="236" t="s">
        <v>38</v>
      </c>
      <c r="E115" s="219">
        <v>5</v>
      </c>
      <c r="F115" s="219">
        <v>5</v>
      </c>
      <c r="G115" s="219">
        <v>36492990</v>
      </c>
      <c r="H115" s="219">
        <v>7042320.5</v>
      </c>
      <c r="I115" s="219">
        <v>5730114.0599999996</v>
      </c>
      <c r="J115" s="321">
        <v>1312206.44</v>
      </c>
      <c r="N115" s="399"/>
    </row>
    <row r="116" spans="2:14" ht="28.9" customHeight="1" x14ac:dyDescent="0.35">
      <c r="B116" s="488"/>
      <c r="C116" s="491"/>
      <c r="D116" s="347" t="s">
        <v>248</v>
      </c>
      <c r="E116" s="383">
        <f t="shared" ref="E116:J116" si="18">SUM(E109:E115)</f>
        <v>41</v>
      </c>
      <c r="F116" s="383">
        <f t="shared" si="18"/>
        <v>41</v>
      </c>
      <c r="G116" s="383">
        <f t="shared" si="18"/>
        <v>116652569.55</v>
      </c>
      <c r="H116" s="383">
        <f t="shared" si="18"/>
        <v>23074236.530000001</v>
      </c>
      <c r="I116" s="382">
        <f t="shared" si="18"/>
        <v>19464872.140000001</v>
      </c>
      <c r="J116" s="381">
        <f t="shared" si="18"/>
        <v>3609364.39</v>
      </c>
      <c r="N116" s="392"/>
    </row>
    <row r="117" spans="2:14" outlineLevel="1" x14ac:dyDescent="0.35">
      <c r="B117" s="487" t="s">
        <v>247</v>
      </c>
      <c r="C117" s="490" t="s">
        <v>246</v>
      </c>
      <c r="D117" s="236" t="s">
        <v>36</v>
      </c>
      <c r="E117" s="219">
        <v>3</v>
      </c>
      <c r="F117" s="219">
        <v>3</v>
      </c>
      <c r="G117" s="219">
        <v>13798722.41</v>
      </c>
      <c r="H117" s="219">
        <v>2759744.4800000004</v>
      </c>
      <c r="I117" s="219">
        <v>1394293.8</v>
      </c>
      <c r="J117" s="321">
        <v>1365450.68</v>
      </c>
      <c r="N117" s="399"/>
    </row>
    <row r="118" spans="2:14" outlineLevel="1" x14ac:dyDescent="0.35">
      <c r="B118" s="487"/>
      <c r="C118" s="490"/>
      <c r="D118" s="236" t="s">
        <v>35</v>
      </c>
      <c r="E118" s="219">
        <v>3</v>
      </c>
      <c r="F118" s="219">
        <v>3</v>
      </c>
      <c r="G118" s="219">
        <v>13884698.5</v>
      </c>
      <c r="H118" s="219">
        <v>2776939.7</v>
      </c>
      <c r="I118" s="219">
        <v>1307735.6400000001</v>
      </c>
      <c r="J118" s="321">
        <v>1469204.06</v>
      </c>
      <c r="N118" s="399"/>
    </row>
    <row r="119" spans="2:14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21">
        <v>0</v>
      </c>
      <c r="N119" s="399"/>
    </row>
    <row r="120" spans="2:14" outlineLevel="1" x14ac:dyDescent="0.35">
      <c r="B120" s="487"/>
      <c r="C120" s="490"/>
      <c r="D120" s="236" t="s">
        <v>33</v>
      </c>
      <c r="E120" s="219">
        <v>0</v>
      </c>
      <c r="F120" s="219">
        <v>0</v>
      </c>
      <c r="G120" s="219">
        <v>0</v>
      </c>
      <c r="H120" s="219">
        <v>0</v>
      </c>
      <c r="I120" s="219">
        <v>0</v>
      </c>
      <c r="J120" s="321">
        <v>0</v>
      </c>
      <c r="N120" s="399"/>
    </row>
    <row r="121" spans="2:14" ht="28.9" customHeight="1" x14ac:dyDescent="0.35">
      <c r="B121" s="488"/>
      <c r="C121" s="491"/>
      <c r="D121" s="347" t="s">
        <v>245</v>
      </c>
      <c r="E121" s="383">
        <f t="shared" ref="E121:J121" si="19">SUM(E117:E120)</f>
        <v>6</v>
      </c>
      <c r="F121" s="383">
        <f t="shared" si="19"/>
        <v>6</v>
      </c>
      <c r="G121" s="383">
        <f t="shared" si="19"/>
        <v>27683420.91</v>
      </c>
      <c r="H121" s="383">
        <f t="shared" si="19"/>
        <v>5536684.1800000006</v>
      </c>
      <c r="I121" s="382">
        <f t="shared" si="19"/>
        <v>2702029.4400000004</v>
      </c>
      <c r="J121" s="381">
        <f t="shared" si="19"/>
        <v>2834654.74</v>
      </c>
      <c r="N121" s="392"/>
    </row>
    <row r="122" spans="2:14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298"/>
      <c r="K122" s="297"/>
      <c r="N122" s="398"/>
    </row>
    <row r="123" spans="2:14" outlineLevel="1" x14ac:dyDescent="0.35">
      <c r="B123" s="492"/>
      <c r="C123" s="485"/>
      <c r="D123" s="225" t="s">
        <v>145</v>
      </c>
      <c r="E123" s="219">
        <f t="shared" ref="E123:J123" si="20">SUM(E124:E127)</f>
        <v>6</v>
      </c>
      <c r="F123" s="219">
        <f t="shared" si="20"/>
        <v>6</v>
      </c>
      <c r="G123" s="219">
        <f t="shared" si="20"/>
        <v>107375446</v>
      </c>
      <c r="H123" s="219">
        <f t="shared" si="20"/>
        <v>41889428.600000001</v>
      </c>
      <c r="I123" s="219">
        <f t="shared" si="20"/>
        <v>30950205.739999998</v>
      </c>
      <c r="J123" s="321">
        <f t="shared" si="20"/>
        <v>10939222.859999999</v>
      </c>
      <c r="N123" s="397"/>
    </row>
    <row r="124" spans="2:14" hidden="1" outlineLevel="2" x14ac:dyDescent="0.35">
      <c r="B124" s="492"/>
      <c r="C124" s="485"/>
      <c r="D124" s="222" t="s">
        <v>144</v>
      </c>
      <c r="E124" s="219">
        <v>3</v>
      </c>
      <c r="F124" s="219">
        <v>3</v>
      </c>
      <c r="G124" s="219">
        <v>44219077</v>
      </c>
      <c r="H124" s="219">
        <v>16626881</v>
      </c>
      <c r="I124" s="219">
        <v>8883900.1999999993</v>
      </c>
      <c r="J124" s="321">
        <v>7742980.7999999998</v>
      </c>
      <c r="N124" s="393"/>
    </row>
    <row r="125" spans="2:14" hidden="1" outlineLevel="2" x14ac:dyDescent="0.35">
      <c r="B125" s="492"/>
      <c r="C125" s="485"/>
      <c r="D125" s="223" t="s">
        <v>143</v>
      </c>
      <c r="E125" s="219">
        <v>2</v>
      </c>
      <c r="F125" s="219">
        <v>2</v>
      </c>
      <c r="G125" s="219">
        <v>36156873</v>
      </c>
      <c r="H125" s="219">
        <v>14462749.199999999</v>
      </c>
      <c r="I125" s="219">
        <v>13992291.539999999</v>
      </c>
      <c r="J125" s="321">
        <v>470457.66000000003</v>
      </c>
      <c r="N125" s="395"/>
    </row>
    <row r="126" spans="2:14" hidden="1" outlineLevel="2" x14ac:dyDescent="0.35">
      <c r="B126" s="492"/>
      <c r="C126" s="485"/>
      <c r="D126" s="223" t="s">
        <v>142</v>
      </c>
      <c r="E126" s="219">
        <v>1</v>
      </c>
      <c r="F126" s="219">
        <v>1</v>
      </c>
      <c r="G126" s="219">
        <v>26999496</v>
      </c>
      <c r="H126" s="219">
        <v>10799798.4</v>
      </c>
      <c r="I126" s="219">
        <v>8074014</v>
      </c>
      <c r="J126" s="321">
        <v>2725784.4</v>
      </c>
      <c r="N126" s="395"/>
    </row>
    <row r="127" spans="2:14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21">
        <v>0</v>
      </c>
      <c r="N127" s="395"/>
    </row>
    <row r="128" spans="2:14" outlineLevel="1" collapsed="1" x14ac:dyDescent="0.35">
      <c r="B128" s="492"/>
      <c r="C128" s="485"/>
      <c r="D128" s="221" t="s">
        <v>121</v>
      </c>
      <c r="E128" s="219">
        <f t="shared" ref="E128:J128" si="21">SUM(E129:E162)</f>
        <v>97</v>
      </c>
      <c r="F128" s="219">
        <f t="shared" si="21"/>
        <v>36</v>
      </c>
      <c r="G128" s="219">
        <f t="shared" si="21"/>
        <v>63586316.079999998</v>
      </c>
      <c r="H128" s="219">
        <f t="shared" si="21"/>
        <v>24681224.020000003</v>
      </c>
      <c r="I128" s="219">
        <f t="shared" si="21"/>
        <v>20694329.449999999</v>
      </c>
      <c r="J128" s="321">
        <f t="shared" si="21"/>
        <v>3986894.57</v>
      </c>
      <c r="N128" s="394"/>
    </row>
    <row r="129" spans="2:14" hidden="1" outlineLevel="2" x14ac:dyDescent="0.35">
      <c r="B129" s="492"/>
      <c r="C129" s="485"/>
      <c r="D129" s="224" t="s">
        <v>119</v>
      </c>
      <c r="E129" s="219">
        <f>SUM(E130:E163)</f>
        <v>61</v>
      </c>
      <c r="F129" s="219">
        <v>0</v>
      </c>
      <c r="G129" s="219">
        <v>0</v>
      </c>
      <c r="H129" s="219">
        <v>0</v>
      </c>
      <c r="I129" s="219">
        <v>0</v>
      </c>
      <c r="J129" s="321">
        <v>0</v>
      </c>
      <c r="N129" s="396"/>
    </row>
    <row r="130" spans="2:14" hidden="1" outlineLevel="2" x14ac:dyDescent="0.35">
      <c r="B130" s="492"/>
      <c r="C130" s="485"/>
      <c r="D130" s="223" t="s">
        <v>118</v>
      </c>
      <c r="E130" s="219">
        <v>5</v>
      </c>
      <c r="F130" s="219">
        <v>5</v>
      </c>
      <c r="G130" s="219">
        <v>7161420.3700000001</v>
      </c>
      <c r="H130" s="219">
        <v>3352846.87</v>
      </c>
      <c r="I130" s="219">
        <v>2708512.04</v>
      </c>
      <c r="J130" s="321">
        <v>644334.83000000007</v>
      </c>
      <c r="N130" s="395"/>
    </row>
    <row r="131" spans="2:14" hidden="1" outlineLevel="2" x14ac:dyDescent="0.35">
      <c r="B131" s="492"/>
      <c r="C131" s="485"/>
      <c r="D131" s="223" t="s">
        <v>117</v>
      </c>
      <c r="E131" s="219">
        <v>4</v>
      </c>
      <c r="F131" s="219">
        <v>4</v>
      </c>
      <c r="G131" s="219">
        <v>5386227.4700000007</v>
      </c>
      <c r="H131" s="219">
        <v>2574136.48</v>
      </c>
      <c r="I131" s="219">
        <v>2119899.09</v>
      </c>
      <c r="J131" s="321">
        <v>454237.39</v>
      </c>
      <c r="N131" s="395"/>
    </row>
    <row r="132" spans="2:14" hidden="1" outlineLevel="2" x14ac:dyDescent="0.35">
      <c r="B132" s="492"/>
      <c r="C132" s="485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21">
        <v>0</v>
      </c>
      <c r="N132" s="395"/>
    </row>
    <row r="133" spans="2:14" hidden="1" outlineLevel="2" x14ac:dyDescent="0.35">
      <c r="B133" s="492"/>
      <c r="C133" s="485"/>
      <c r="D133" s="223" t="s">
        <v>114</v>
      </c>
      <c r="E133" s="219">
        <v>0</v>
      </c>
      <c r="F133" s="219">
        <v>0</v>
      </c>
      <c r="G133" s="219">
        <v>0</v>
      </c>
      <c r="H133" s="219">
        <v>0</v>
      </c>
      <c r="I133" s="219">
        <v>0</v>
      </c>
      <c r="J133" s="321">
        <v>0</v>
      </c>
      <c r="N133" s="395"/>
    </row>
    <row r="134" spans="2:14" hidden="1" outlineLevel="2" x14ac:dyDescent="0.35">
      <c r="B134" s="492"/>
      <c r="C134" s="485"/>
      <c r="D134" s="223" t="s">
        <v>113</v>
      </c>
      <c r="E134" s="219">
        <v>0</v>
      </c>
      <c r="F134" s="219">
        <v>0</v>
      </c>
      <c r="G134" s="219">
        <v>0</v>
      </c>
      <c r="H134" s="219">
        <v>0</v>
      </c>
      <c r="I134" s="219">
        <v>0</v>
      </c>
      <c r="J134" s="321">
        <v>0</v>
      </c>
      <c r="N134" s="395"/>
    </row>
    <row r="135" spans="2:14" hidden="1" outlineLevel="2" x14ac:dyDescent="0.35">
      <c r="B135" s="492"/>
      <c r="C135" s="485"/>
      <c r="D135" s="223" t="s">
        <v>112</v>
      </c>
      <c r="E135" s="219">
        <v>0</v>
      </c>
      <c r="F135" s="219">
        <v>0</v>
      </c>
      <c r="G135" s="219">
        <v>0</v>
      </c>
      <c r="H135" s="219">
        <v>0</v>
      </c>
      <c r="I135" s="219">
        <v>0</v>
      </c>
      <c r="J135" s="321">
        <v>0</v>
      </c>
      <c r="N135" s="395"/>
    </row>
    <row r="136" spans="2:14" hidden="1" outlineLevel="2" x14ac:dyDescent="0.35">
      <c r="B136" s="492"/>
      <c r="C136" s="485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21">
        <v>0</v>
      </c>
      <c r="N136" s="395"/>
    </row>
    <row r="137" spans="2:14" hidden="1" outlineLevel="2" x14ac:dyDescent="0.35">
      <c r="B137" s="492"/>
      <c r="C137" s="485"/>
      <c r="D137" s="222" t="s">
        <v>109</v>
      </c>
      <c r="E137" s="219">
        <v>1</v>
      </c>
      <c r="F137" s="219">
        <v>1</v>
      </c>
      <c r="G137" s="219">
        <v>5121806.25</v>
      </c>
      <c r="H137" s="219">
        <v>2048722.52</v>
      </c>
      <c r="I137" s="219">
        <v>1683365.53</v>
      </c>
      <c r="J137" s="321">
        <v>365356.99</v>
      </c>
      <c r="N137" s="393"/>
    </row>
    <row r="138" spans="2:14" hidden="1" outlineLevel="2" x14ac:dyDescent="0.35">
      <c r="B138" s="492"/>
      <c r="C138" s="485"/>
      <c r="D138" s="222" t="s">
        <v>108</v>
      </c>
      <c r="E138" s="219">
        <v>4</v>
      </c>
      <c r="F138" s="219">
        <v>4</v>
      </c>
      <c r="G138" s="219">
        <v>6203219.75</v>
      </c>
      <c r="H138" s="219">
        <v>2245942.0300000003</v>
      </c>
      <c r="I138" s="219">
        <v>1998732.6400000001</v>
      </c>
      <c r="J138" s="321">
        <v>247209.39</v>
      </c>
      <c r="N138" s="393"/>
    </row>
    <row r="139" spans="2:14" hidden="1" outlineLevel="2" x14ac:dyDescent="0.35">
      <c r="B139" s="492"/>
      <c r="C139" s="485"/>
      <c r="D139" s="222" t="s">
        <v>107</v>
      </c>
      <c r="E139" s="219">
        <v>2</v>
      </c>
      <c r="F139" s="219">
        <v>2</v>
      </c>
      <c r="G139" s="219">
        <v>2863375.99</v>
      </c>
      <c r="H139" s="219">
        <v>1145350.3999999999</v>
      </c>
      <c r="I139" s="219">
        <v>987246.09000000008</v>
      </c>
      <c r="J139" s="321">
        <v>158104.31</v>
      </c>
      <c r="N139" s="393"/>
    </row>
    <row r="140" spans="2:14" hidden="1" outlineLevel="2" x14ac:dyDescent="0.35">
      <c r="B140" s="492"/>
      <c r="C140" s="485"/>
      <c r="D140" s="222" t="s">
        <v>106</v>
      </c>
      <c r="E140" s="219">
        <v>1</v>
      </c>
      <c r="F140" s="219">
        <v>1</v>
      </c>
      <c r="G140" s="219">
        <v>4227310</v>
      </c>
      <c r="H140" s="219">
        <v>1690924</v>
      </c>
      <c r="I140" s="219">
        <v>1302312</v>
      </c>
      <c r="J140" s="321">
        <v>388612</v>
      </c>
      <c r="N140" s="393"/>
    </row>
    <row r="141" spans="2:14" hidden="1" outlineLevel="2" x14ac:dyDescent="0.35">
      <c r="B141" s="492"/>
      <c r="C141" s="485"/>
      <c r="D141" s="222" t="s">
        <v>104</v>
      </c>
      <c r="E141" s="219">
        <v>1</v>
      </c>
      <c r="F141" s="219">
        <v>1</v>
      </c>
      <c r="G141" s="219">
        <v>1212914.3</v>
      </c>
      <c r="H141" s="219">
        <v>485165.72</v>
      </c>
      <c r="I141" s="219">
        <v>482585</v>
      </c>
      <c r="J141" s="321">
        <v>2580.7199999999998</v>
      </c>
      <c r="N141" s="393"/>
    </row>
    <row r="142" spans="2:14" hidden="1" outlineLevel="2" x14ac:dyDescent="0.35">
      <c r="B142" s="492"/>
      <c r="C142" s="485"/>
      <c r="D142" s="222" t="s">
        <v>103</v>
      </c>
      <c r="E142" s="219">
        <v>2</v>
      </c>
      <c r="F142" s="219">
        <v>2</v>
      </c>
      <c r="G142" s="219">
        <v>2395574.69</v>
      </c>
      <c r="H142" s="219">
        <v>958229.87999999989</v>
      </c>
      <c r="I142" s="219">
        <v>832219.08000000007</v>
      </c>
      <c r="J142" s="321">
        <v>126010.8</v>
      </c>
      <c r="N142" s="393"/>
    </row>
    <row r="143" spans="2:14" hidden="1" outlineLevel="2" x14ac:dyDescent="0.35">
      <c r="B143" s="492"/>
      <c r="C143" s="485"/>
      <c r="D143" s="222" t="s">
        <v>102</v>
      </c>
      <c r="E143" s="219">
        <v>0</v>
      </c>
      <c r="F143" s="219">
        <v>0</v>
      </c>
      <c r="G143" s="219">
        <v>0</v>
      </c>
      <c r="H143" s="219">
        <v>0</v>
      </c>
      <c r="I143" s="219">
        <v>0</v>
      </c>
      <c r="J143" s="321">
        <v>0</v>
      </c>
      <c r="N143" s="393"/>
    </row>
    <row r="144" spans="2:14" hidden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21">
        <v>0</v>
      </c>
      <c r="N144" s="393"/>
    </row>
    <row r="145" spans="2:14" hidden="1" outlineLevel="2" x14ac:dyDescent="0.35">
      <c r="B145" s="492"/>
      <c r="C145" s="485"/>
      <c r="D145" s="223" t="s">
        <v>99</v>
      </c>
      <c r="E145" s="219">
        <v>2</v>
      </c>
      <c r="F145" s="219">
        <v>2</v>
      </c>
      <c r="G145" s="219">
        <v>2523195.0599999996</v>
      </c>
      <c r="H145" s="219">
        <v>1009278.01</v>
      </c>
      <c r="I145" s="219">
        <v>879906.09000000008</v>
      </c>
      <c r="J145" s="321">
        <v>129371.92000000001</v>
      </c>
      <c r="N145" s="395"/>
    </row>
    <row r="146" spans="2:14" hidden="1" outlineLevel="2" x14ac:dyDescent="0.35">
      <c r="B146" s="492"/>
      <c r="C146" s="485"/>
      <c r="D146" s="223" t="s">
        <v>98</v>
      </c>
      <c r="E146" s="219">
        <v>0</v>
      </c>
      <c r="F146" s="219">
        <v>0</v>
      </c>
      <c r="G146" s="219">
        <v>0</v>
      </c>
      <c r="H146" s="219">
        <v>0</v>
      </c>
      <c r="I146" s="219">
        <v>0</v>
      </c>
      <c r="J146" s="321">
        <v>0</v>
      </c>
      <c r="N146" s="395"/>
    </row>
    <row r="147" spans="2:14" hidden="1" outlineLevel="2" x14ac:dyDescent="0.35">
      <c r="B147" s="492"/>
      <c r="C147" s="485"/>
      <c r="D147" s="223" t="s">
        <v>97</v>
      </c>
      <c r="E147" s="219">
        <v>0</v>
      </c>
      <c r="F147" s="219">
        <v>0</v>
      </c>
      <c r="G147" s="219">
        <v>0</v>
      </c>
      <c r="H147" s="219">
        <v>0</v>
      </c>
      <c r="I147" s="219">
        <v>0</v>
      </c>
      <c r="J147" s="321">
        <v>0</v>
      </c>
      <c r="N147" s="395"/>
    </row>
    <row r="148" spans="2:14" hidden="1" outlineLevel="2" x14ac:dyDescent="0.35">
      <c r="B148" s="492"/>
      <c r="C148" s="485"/>
      <c r="D148" s="223" t="s">
        <v>96</v>
      </c>
      <c r="E148" s="219">
        <v>1</v>
      </c>
      <c r="F148" s="219">
        <v>1</v>
      </c>
      <c r="G148" s="219">
        <v>1864653.66</v>
      </c>
      <c r="H148" s="219">
        <v>745861.47</v>
      </c>
      <c r="I148" s="219">
        <v>671400</v>
      </c>
      <c r="J148" s="321">
        <v>74461.47</v>
      </c>
      <c r="N148" s="395"/>
    </row>
    <row r="149" spans="2:14" hidden="1" outlineLevel="2" x14ac:dyDescent="0.35">
      <c r="B149" s="492"/>
      <c r="C149" s="485"/>
      <c r="D149" s="223" t="s">
        <v>94</v>
      </c>
      <c r="E149" s="219">
        <v>2</v>
      </c>
      <c r="F149" s="219">
        <v>2</v>
      </c>
      <c r="G149" s="219">
        <v>6704682.0800000001</v>
      </c>
      <c r="H149" s="219">
        <v>2681872.84</v>
      </c>
      <c r="I149" s="219">
        <v>2402329.65</v>
      </c>
      <c r="J149" s="321">
        <v>279543.19</v>
      </c>
      <c r="N149" s="395"/>
    </row>
    <row r="150" spans="2:14" hidden="1" outlineLevel="2" x14ac:dyDescent="0.35">
      <c r="B150" s="492"/>
      <c r="C150" s="485"/>
      <c r="D150" s="223" t="s">
        <v>93</v>
      </c>
      <c r="E150" s="219">
        <v>1</v>
      </c>
      <c r="F150" s="219">
        <v>1</v>
      </c>
      <c r="G150" s="219">
        <v>1217116.25</v>
      </c>
      <c r="H150" s="219">
        <v>486846.51</v>
      </c>
      <c r="I150" s="219">
        <v>423539</v>
      </c>
      <c r="J150" s="321">
        <v>63307.51</v>
      </c>
      <c r="N150" s="395"/>
    </row>
    <row r="151" spans="2:14" hidden="1" outlineLevel="2" x14ac:dyDescent="0.35">
      <c r="B151" s="492"/>
      <c r="C151" s="485"/>
      <c r="D151" s="223" t="s">
        <v>92</v>
      </c>
      <c r="E151" s="219">
        <v>3</v>
      </c>
      <c r="F151" s="219">
        <v>3</v>
      </c>
      <c r="G151" s="219">
        <v>3910057.5</v>
      </c>
      <c r="H151" s="219">
        <v>1564023.04</v>
      </c>
      <c r="I151" s="219">
        <v>1417566.95</v>
      </c>
      <c r="J151" s="321">
        <v>146456.09</v>
      </c>
      <c r="N151" s="395"/>
    </row>
    <row r="152" spans="2:14" hidden="1" outlineLevel="2" x14ac:dyDescent="0.35">
      <c r="B152" s="492"/>
      <c r="C152" s="485"/>
      <c r="D152" s="223" t="s">
        <v>91</v>
      </c>
      <c r="E152" s="219">
        <v>3</v>
      </c>
      <c r="F152" s="219">
        <v>3</v>
      </c>
      <c r="G152" s="219">
        <v>5112591.25</v>
      </c>
      <c r="H152" s="219">
        <v>1634527.26</v>
      </c>
      <c r="I152" s="219">
        <v>1511368.82</v>
      </c>
      <c r="J152" s="321">
        <v>123158.44</v>
      </c>
      <c r="N152" s="395"/>
    </row>
    <row r="153" spans="2:14" hidden="1" outlineLevel="2" x14ac:dyDescent="0.35">
      <c r="B153" s="492"/>
      <c r="C153" s="485"/>
      <c r="D153" s="223" t="s">
        <v>89</v>
      </c>
      <c r="E153" s="219">
        <v>0</v>
      </c>
      <c r="F153" s="219">
        <v>0</v>
      </c>
      <c r="G153" s="219">
        <v>0</v>
      </c>
      <c r="H153" s="219">
        <v>0</v>
      </c>
      <c r="I153" s="219">
        <v>0</v>
      </c>
      <c r="J153" s="321">
        <v>0</v>
      </c>
      <c r="N153" s="395"/>
    </row>
    <row r="154" spans="2:14" hidden="1" outlineLevel="2" x14ac:dyDescent="0.35">
      <c r="B154" s="492"/>
      <c r="C154" s="485"/>
      <c r="D154" s="223" t="s">
        <v>88</v>
      </c>
      <c r="E154" s="219">
        <v>1</v>
      </c>
      <c r="F154" s="219">
        <v>1</v>
      </c>
      <c r="G154" s="219">
        <v>1295345.08</v>
      </c>
      <c r="H154" s="219">
        <v>388603.53</v>
      </c>
      <c r="I154" s="219">
        <v>259535</v>
      </c>
      <c r="J154" s="321">
        <v>129068.53</v>
      </c>
      <c r="N154" s="395"/>
    </row>
    <row r="155" spans="2:14" hidden="1" outlineLevel="2" x14ac:dyDescent="0.35">
      <c r="B155" s="492"/>
      <c r="C155" s="485"/>
      <c r="D155" s="223" t="s">
        <v>87</v>
      </c>
      <c r="E155" s="219">
        <v>0</v>
      </c>
      <c r="F155" s="219">
        <v>0</v>
      </c>
      <c r="G155" s="219">
        <v>0</v>
      </c>
      <c r="H155" s="219">
        <v>0</v>
      </c>
      <c r="I155" s="219">
        <v>0</v>
      </c>
      <c r="J155" s="321">
        <v>0</v>
      </c>
      <c r="N155" s="395"/>
    </row>
    <row r="156" spans="2:14" hidden="1" outlineLevel="2" x14ac:dyDescent="0.35">
      <c r="B156" s="492"/>
      <c r="C156" s="485"/>
      <c r="D156" s="223" t="s">
        <v>86</v>
      </c>
      <c r="E156" s="219">
        <v>0</v>
      </c>
      <c r="F156" s="219">
        <v>0</v>
      </c>
      <c r="G156" s="219">
        <v>0</v>
      </c>
      <c r="H156" s="219">
        <v>0</v>
      </c>
      <c r="I156" s="219">
        <v>0</v>
      </c>
      <c r="J156" s="321">
        <v>0</v>
      </c>
      <c r="N156" s="395"/>
    </row>
    <row r="157" spans="2:14" hidden="1" outlineLevel="2" x14ac:dyDescent="0.35">
      <c r="B157" s="492"/>
      <c r="C157" s="485"/>
      <c r="D157" s="223" t="s">
        <v>84</v>
      </c>
      <c r="E157" s="219">
        <v>2</v>
      </c>
      <c r="F157" s="219">
        <v>2</v>
      </c>
      <c r="G157" s="219">
        <v>4957554.0500000007</v>
      </c>
      <c r="H157" s="219">
        <v>1240111.76</v>
      </c>
      <c r="I157" s="219">
        <v>602958</v>
      </c>
      <c r="J157" s="321">
        <v>637153.76</v>
      </c>
      <c r="N157" s="395"/>
    </row>
    <row r="158" spans="2:14" hidden="1" outlineLevel="2" x14ac:dyDescent="0.35">
      <c r="B158" s="492"/>
      <c r="C158" s="485"/>
      <c r="D158" s="223" t="s">
        <v>83</v>
      </c>
      <c r="E158" s="219">
        <v>0</v>
      </c>
      <c r="F158" s="219">
        <v>0</v>
      </c>
      <c r="G158" s="219">
        <v>0</v>
      </c>
      <c r="H158" s="219">
        <v>0</v>
      </c>
      <c r="I158" s="219">
        <v>0</v>
      </c>
      <c r="J158" s="321">
        <v>0</v>
      </c>
      <c r="N158" s="395"/>
    </row>
    <row r="159" spans="2:14" hidden="1" outlineLevel="2" x14ac:dyDescent="0.35">
      <c r="B159" s="492"/>
      <c r="C159" s="485"/>
      <c r="D159" s="223" t="s">
        <v>82</v>
      </c>
      <c r="E159" s="219">
        <v>1</v>
      </c>
      <c r="F159" s="219">
        <v>1</v>
      </c>
      <c r="G159" s="219">
        <v>1429272.33</v>
      </c>
      <c r="H159" s="219">
        <v>428781.7</v>
      </c>
      <c r="I159" s="219">
        <v>410854.47</v>
      </c>
      <c r="J159" s="321">
        <v>17927.23</v>
      </c>
      <c r="N159" s="395"/>
    </row>
    <row r="160" spans="2:14" hidden="1" outlineLevel="2" x14ac:dyDescent="0.35">
      <c r="B160" s="492"/>
      <c r="C160" s="485"/>
      <c r="D160" s="223" t="s">
        <v>81</v>
      </c>
      <c r="E160" s="219">
        <v>0</v>
      </c>
      <c r="F160" s="219">
        <v>0</v>
      </c>
      <c r="G160" s="219">
        <v>0</v>
      </c>
      <c r="H160" s="219">
        <v>0</v>
      </c>
      <c r="I160" s="219">
        <v>0</v>
      </c>
      <c r="J160" s="321">
        <v>0</v>
      </c>
      <c r="N160" s="395"/>
    </row>
    <row r="161" spans="2:14" hidden="1" outlineLevel="2" x14ac:dyDescent="0.35">
      <c r="B161" s="492"/>
      <c r="C161" s="485"/>
      <c r="D161" s="223" t="s">
        <v>79</v>
      </c>
      <c r="E161" s="219">
        <v>0</v>
      </c>
      <c r="F161" s="219">
        <v>0</v>
      </c>
      <c r="G161" s="219">
        <v>0</v>
      </c>
      <c r="H161" s="219">
        <v>0</v>
      </c>
      <c r="I161" s="219">
        <v>0</v>
      </c>
      <c r="J161" s="321">
        <v>0</v>
      </c>
      <c r="N161" s="395"/>
    </row>
    <row r="162" spans="2:14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21">
        <v>0</v>
      </c>
      <c r="N162" s="395"/>
    </row>
    <row r="163" spans="2:14" outlineLevel="1" collapsed="1" x14ac:dyDescent="0.35">
      <c r="B163" s="492"/>
      <c r="C163" s="485"/>
      <c r="D163" s="221" t="s">
        <v>77</v>
      </c>
      <c r="E163" s="219">
        <f t="shared" ref="E163:J163" si="22">SUM(E164:E185)</f>
        <v>25</v>
      </c>
      <c r="F163" s="219">
        <f t="shared" si="22"/>
        <v>21</v>
      </c>
      <c r="G163" s="219">
        <f t="shared" si="22"/>
        <v>38345394.510000005</v>
      </c>
      <c r="H163" s="219">
        <f t="shared" si="22"/>
        <v>11445845.439999999</v>
      </c>
      <c r="I163" s="219">
        <f t="shared" si="22"/>
        <v>8173679.1899999995</v>
      </c>
      <c r="J163" s="321">
        <f t="shared" si="22"/>
        <v>3272166.2499999995</v>
      </c>
      <c r="N163" s="394"/>
    </row>
    <row r="164" spans="2:14" hidden="1" outlineLevel="2" x14ac:dyDescent="0.35">
      <c r="B164" s="492"/>
      <c r="C164" s="485"/>
      <c r="D164" s="222" t="s">
        <v>75</v>
      </c>
      <c r="E164" s="219">
        <v>1</v>
      </c>
      <c r="F164" s="219">
        <v>1</v>
      </c>
      <c r="G164" s="219">
        <v>1391612.1</v>
      </c>
      <c r="H164" s="219">
        <v>556644.84</v>
      </c>
      <c r="I164" s="219">
        <v>418200</v>
      </c>
      <c r="J164" s="321">
        <v>138444.84</v>
      </c>
      <c r="N164" s="393"/>
    </row>
    <row r="165" spans="2:14" hidden="1" outlineLevel="2" x14ac:dyDescent="0.35">
      <c r="B165" s="492"/>
      <c r="C165" s="485"/>
      <c r="D165" s="222" t="s">
        <v>74</v>
      </c>
      <c r="E165" s="219">
        <v>7</v>
      </c>
      <c r="F165" s="219">
        <v>7</v>
      </c>
      <c r="G165" s="219">
        <v>9883683.1899999995</v>
      </c>
      <c r="H165" s="219">
        <v>3691542.6599999997</v>
      </c>
      <c r="I165" s="219">
        <v>2852099.75</v>
      </c>
      <c r="J165" s="321">
        <v>839442.91</v>
      </c>
      <c r="N165" s="393"/>
    </row>
    <row r="166" spans="2:14" hidden="1" outlineLevel="2" x14ac:dyDescent="0.35">
      <c r="B166" s="492"/>
      <c r="C166" s="485"/>
      <c r="D166" s="222" t="s">
        <v>73</v>
      </c>
      <c r="E166" s="219">
        <v>2</v>
      </c>
      <c r="F166" s="219">
        <v>1</v>
      </c>
      <c r="G166" s="219">
        <v>3547411.63</v>
      </c>
      <c r="H166" s="219">
        <v>1418964.65</v>
      </c>
      <c r="I166" s="219">
        <v>1084486.3700000001</v>
      </c>
      <c r="J166" s="321">
        <v>334478.28000000003</v>
      </c>
      <c r="N166" s="393"/>
    </row>
    <row r="167" spans="2:14" hidden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21">
        <v>0</v>
      </c>
      <c r="N167" s="393"/>
    </row>
    <row r="168" spans="2:14" hidden="1" outlineLevel="2" x14ac:dyDescent="0.35">
      <c r="B168" s="492"/>
      <c r="C168" s="485"/>
      <c r="D168" s="222" t="s">
        <v>70</v>
      </c>
      <c r="E168" s="219">
        <v>2</v>
      </c>
      <c r="F168" s="219">
        <v>2</v>
      </c>
      <c r="G168" s="219">
        <v>3144229.5999999996</v>
      </c>
      <c r="H168" s="219">
        <v>628845.92000000004</v>
      </c>
      <c r="I168" s="219">
        <v>408177.76</v>
      </c>
      <c r="J168" s="321">
        <v>220668.16</v>
      </c>
      <c r="N168" s="393"/>
    </row>
    <row r="169" spans="2:14" hidden="1" outlineLevel="2" x14ac:dyDescent="0.35">
      <c r="B169" s="492"/>
      <c r="C169" s="485"/>
      <c r="D169" s="222" t="s">
        <v>69</v>
      </c>
      <c r="E169" s="219">
        <v>1</v>
      </c>
      <c r="F169" s="219">
        <v>1</v>
      </c>
      <c r="G169" s="219">
        <v>1362711.01</v>
      </c>
      <c r="H169" s="219">
        <v>408813.3</v>
      </c>
      <c r="I169" s="219">
        <v>272547</v>
      </c>
      <c r="J169" s="321">
        <v>136266.29999999999</v>
      </c>
      <c r="N169" s="393"/>
    </row>
    <row r="170" spans="2:14" hidden="1" outlineLevel="2" x14ac:dyDescent="0.35">
      <c r="B170" s="492"/>
      <c r="C170" s="485"/>
      <c r="D170" s="222" t="s">
        <v>68</v>
      </c>
      <c r="E170" s="219">
        <v>0</v>
      </c>
      <c r="F170" s="219">
        <v>0</v>
      </c>
      <c r="G170" s="219">
        <v>0</v>
      </c>
      <c r="H170" s="219">
        <v>0</v>
      </c>
      <c r="I170" s="219">
        <v>0</v>
      </c>
      <c r="J170" s="321">
        <v>0</v>
      </c>
      <c r="N170" s="393"/>
    </row>
    <row r="171" spans="2:14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21">
        <v>0</v>
      </c>
      <c r="N171" s="393"/>
    </row>
    <row r="172" spans="2:14" hidden="1" outlineLevel="2" x14ac:dyDescent="0.35">
      <c r="B172" s="492"/>
      <c r="C172" s="485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21">
        <v>0</v>
      </c>
      <c r="N172" s="393"/>
    </row>
    <row r="173" spans="2:14" hidden="1" outlineLevel="2" x14ac:dyDescent="0.35">
      <c r="B173" s="492"/>
      <c r="C173" s="485"/>
      <c r="D173" s="222" t="s">
        <v>64</v>
      </c>
      <c r="E173" s="219">
        <v>5</v>
      </c>
      <c r="F173" s="219">
        <v>2</v>
      </c>
      <c r="G173" s="219">
        <v>8008577.7700000005</v>
      </c>
      <c r="H173" s="219">
        <v>2402573.3299999996</v>
      </c>
      <c r="I173" s="219">
        <v>1601718.31</v>
      </c>
      <c r="J173" s="321">
        <v>800855.02</v>
      </c>
      <c r="N173" s="393"/>
    </row>
    <row r="174" spans="2:14" hidden="1" outlineLevel="2" x14ac:dyDescent="0.35">
      <c r="B174" s="492"/>
      <c r="C174" s="485"/>
      <c r="D174" s="222" t="s">
        <v>63</v>
      </c>
      <c r="E174" s="219">
        <v>1</v>
      </c>
      <c r="F174" s="219">
        <v>1</v>
      </c>
      <c r="G174" s="219">
        <v>1446470.37</v>
      </c>
      <c r="H174" s="219">
        <v>289294.08000000002</v>
      </c>
      <c r="I174" s="219">
        <v>144647</v>
      </c>
      <c r="J174" s="321">
        <v>144647.07999999999</v>
      </c>
      <c r="N174" s="393"/>
    </row>
    <row r="175" spans="2:14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21">
        <v>0</v>
      </c>
      <c r="N175" s="393"/>
    </row>
    <row r="176" spans="2:14" hidden="1" outlineLevel="2" x14ac:dyDescent="0.35">
      <c r="B176" s="492"/>
      <c r="C176" s="485"/>
      <c r="D176" s="222" t="s">
        <v>60</v>
      </c>
      <c r="E176" s="219">
        <v>0</v>
      </c>
      <c r="F176" s="219">
        <v>0</v>
      </c>
      <c r="G176" s="219">
        <v>0</v>
      </c>
      <c r="H176" s="219">
        <v>0</v>
      </c>
      <c r="I176" s="219">
        <v>0</v>
      </c>
      <c r="J176" s="321">
        <v>0</v>
      </c>
      <c r="N176" s="393"/>
    </row>
    <row r="177" spans="2:14" hidden="1" outlineLevel="2" x14ac:dyDescent="0.35">
      <c r="B177" s="492"/>
      <c r="C177" s="485"/>
      <c r="D177" s="222" t="s">
        <v>59</v>
      </c>
      <c r="E177" s="219">
        <v>4</v>
      </c>
      <c r="F177" s="219">
        <v>4</v>
      </c>
      <c r="G177" s="219">
        <v>6003355.75</v>
      </c>
      <c r="H177" s="219">
        <v>1337698.05</v>
      </c>
      <c r="I177" s="219">
        <v>931513</v>
      </c>
      <c r="J177" s="321">
        <v>406185.05000000005</v>
      </c>
      <c r="N177" s="393"/>
    </row>
    <row r="178" spans="2:14" hidden="1" outlineLevel="2" x14ac:dyDescent="0.35">
      <c r="B178" s="492"/>
      <c r="C178" s="485"/>
      <c r="D178" s="222" t="s">
        <v>58</v>
      </c>
      <c r="E178" s="219">
        <v>0</v>
      </c>
      <c r="F178" s="219">
        <v>0</v>
      </c>
      <c r="G178" s="219">
        <v>0</v>
      </c>
      <c r="H178" s="219">
        <v>0</v>
      </c>
      <c r="I178" s="219">
        <v>0</v>
      </c>
      <c r="J178" s="321">
        <v>0</v>
      </c>
      <c r="N178" s="393"/>
    </row>
    <row r="179" spans="2:14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21">
        <v>0</v>
      </c>
      <c r="N179" s="393"/>
    </row>
    <row r="180" spans="2:14" hidden="1" outlineLevel="2" x14ac:dyDescent="0.35">
      <c r="B180" s="492"/>
      <c r="C180" s="485"/>
      <c r="D180" s="222" t="s">
        <v>55</v>
      </c>
      <c r="E180" s="219">
        <v>0</v>
      </c>
      <c r="F180" s="219">
        <v>0</v>
      </c>
      <c r="G180" s="219">
        <v>0</v>
      </c>
      <c r="H180" s="219">
        <v>0</v>
      </c>
      <c r="I180" s="219">
        <v>0</v>
      </c>
      <c r="J180" s="321">
        <v>0</v>
      </c>
      <c r="N180" s="393"/>
    </row>
    <row r="181" spans="2:14" hidden="1" outlineLevel="2" x14ac:dyDescent="0.35">
      <c r="B181" s="492"/>
      <c r="C181" s="485"/>
      <c r="D181" s="222" t="s">
        <v>54</v>
      </c>
      <c r="E181" s="219">
        <v>1</v>
      </c>
      <c r="F181" s="219">
        <v>1</v>
      </c>
      <c r="G181" s="219">
        <v>1762353.46</v>
      </c>
      <c r="H181" s="219">
        <v>352470.69</v>
      </c>
      <c r="I181" s="219">
        <v>212550</v>
      </c>
      <c r="J181" s="321">
        <v>139920.69</v>
      </c>
      <c r="N181" s="393"/>
    </row>
    <row r="182" spans="2:14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21">
        <v>0</v>
      </c>
      <c r="N182" s="393"/>
    </row>
    <row r="183" spans="2:14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21">
        <v>0</v>
      </c>
      <c r="N183" s="393"/>
    </row>
    <row r="184" spans="2:14" hidden="1" outlineLevel="2" x14ac:dyDescent="0.35">
      <c r="B184" s="492"/>
      <c r="C184" s="485"/>
      <c r="D184" s="222" t="s">
        <v>50</v>
      </c>
      <c r="E184" s="219">
        <v>1</v>
      </c>
      <c r="F184" s="219">
        <v>1</v>
      </c>
      <c r="G184" s="219">
        <v>1794989.63</v>
      </c>
      <c r="H184" s="219">
        <v>358997.92</v>
      </c>
      <c r="I184" s="219">
        <v>247740</v>
      </c>
      <c r="J184" s="321">
        <v>111257.92</v>
      </c>
      <c r="N184" s="393"/>
    </row>
    <row r="185" spans="2:14" hidden="1" outlineLevel="2" x14ac:dyDescent="0.35">
      <c r="B185" s="492"/>
      <c r="C185" s="485"/>
      <c r="D185" s="222" t="s">
        <v>49</v>
      </c>
      <c r="E185" s="219">
        <v>0</v>
      </c>
      <c r="F185" s="219">
        <v>0</v>
      </c>
      <c r="G185" s="219">
        <v>0</v>
      </c>
      <c r="H185" s="219">
        <v>0</v>
      </c>
      <c r="I185" s="219">
        <v>0</v>
      </c>
      <c r="J185" s="321">
        <v>0</v>
      </c>
      <c r="N185" s="393"/>
    </row>
    <row r="186" spans="2:14" x14ac:dyDescent="0.35">
      <c r="B186" s="492"/>
      <c r="C186" s="485"/>
      <c r="D186" s="347" t="s">
        <v>243</v>
      </c>
      <c r="E186" s="383">
        <f t="shared" ref="E186:J186" si="23">SUM(E163,E128,E123)</f>
        <v>128</v>
      </c>
      <c r="F186" s="383">
        <f t="shared" si="23"/>
        <v>63</v>
      </c>
      <c r="G186" s="383">
        <f t="shared" si="23"/>
        <v>209307156.59</v>
      </c>
      <c r="H186" s="383">
        <f t="shared" si="23"/>
        <v>78016498.060000002</v>
      </c>
      <c r="I186" s="382">
        <f t="shared" si="23"/>
        <v>59818214.379999995</v>
      </c>
      <c r="J186" s="381">
        <f t="shared" si="23"/>
        <v>18198283.68</v>
      </c>
      <c r="N186" s="392"/>
    </row>
    <row r="187" spans="2:14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J187" si="24">SUM(E188:E190)</f>
        <v>15</v>
      </c>
      <c r="F187" s="219">
        <f t="shared" si="24"/>
        <v>14</v>
      </c>
      <c r="G187" s="219">
        <f t="shared" si="24"/>
        <v>20678716.119999997</v>
      </c>
      <c r="H187" s="219">
        <f t="shared" si="24"/>
        <v>6084739.3600000003</v>
      </c>
      <c r="I187" s="219">
        <f t="shared" si="24"/>
        <v>4512729.84</v>
      </c>
      <c r="J187" s="321">
        <f t="shared" si="24"/>
        <v>1572009.52</v>
      </c>
      <c r="N187" s="393"/>
    </row>
    <row r="188" spans="2:14" ht="15" hidden="1" customHeight="1" outlineLevel="2" x14ac:dyDescent="0.35">
      <c r="B188" s="492"/>
      <c r="C188" s="485"/>
      <c r="D188" s="222" t="s">
        <v>126</v>
      </c>
      <c r="E188" s="219">
        <v>6</v>
      </c>
      <c r="F188" s="219">
        <v>6</v>
      </c>
      <c r="G188" s="219">
        <v>7894280.3200000003</v>
      </c>
      <c r="H188" s="219">
        <v>2249408.6800000002</v>
      </c>
      <c r="I188" s="219">
        <v>1697877.5100000002</v>
      </c>
      <c r="J188" s="321">
        <v>551531.16999999993</v>
      </c>
      <c r="N188" s="393"/>
    </row>
    <row r="189" spans="2:14" ht="15" hidden="1" customHeight="1" outlineLevel="2" x14ac:dyDescent="0.35">
      <c r="B189" s="492"/>
      <c r="C189" s="485"/>
      <c r="D189" s="222" t="s">
        <v>125</v>
      </c>
      <c r="E189" s="219">
        <v>4</v>
      </c>
      <c r="F189" s="219">
        <v>4</v>
      </c>
      <c r="G189" s="219">
        <v>6425678.5599999996</v>
      </c>
      <c r="H189" s="219">
        <v>1927703.5500000003</v>
      </c>
      <c r="I189" s="219">
        <v>1387243</v>
      </c>
      <c r="J189" s="321">
        <v>540460.55000000005</v>
      </c>
      <c r="N189" s="393"/>
    </row>
    <row r="190" spans="2:14" ht="15" hidden="1" customHeight="1" outlineLevel="2" x14ac:dyDescent="0.35">
      <c r="B190" s="492"/>
      <c r="C190" s="485"/>
      <c r="D190" s="222" t="s">
        <v>124</v>
      </c>
      <c r="E190" s="219">
        <v>5</v>
      </c>
      <c r="F190" s="219">
        <v>4</v>
      </c>
      <c r="G190" s="219">
        <v>6358757.2399999993</v>
      </c>
      <c r="H190" s="219">
        <v>1907627.13</v>
      </c>
      <c r="I190" s="219">
        <v>1427609.33</v>
      </c>
      <c r="J190" s="321">
        <v>480017.8</v>
      </c>
      <c r="N190" s="393"/>
    </row>
    <row r="191" spans="2:14" outlineLevel="1" collapsed="1" x14ac:dyDescent="0.35">
      <c r="B191" s="492"/>
      <c r="C191" s="485"/>
      <c r="D191" s="221" t="s">
        <v>46</v>
      </c>
      <c r="E191" s="219">
        <f t="shared" ref="E191:J191" si="25">SUM(E192:E195)</f>
        <v>0</v>
      </c>
      <c r="F191" s="219">
        <f t="shared" si="25"/>
        <v>0</v>
      </c>
      <c r="G191" s="219">
        <f t="shared" si="25"/>
        <v>0</v>
      </c>
      <c r="H191" s="219">
        <f t="shared" si="25"/>
        <v>0</v>
      </c>
      <c r="I191" s="219">
        <f t="shared" si="25"/>
        <v>0</v>
      </c>
      <c r="J191" s="321">
        <f t="shared" si="25"/>
        <v>0</v>
      </c>
      <c r="N191" s="393"/>
    </row>
    <row r="192" spans="2:14" ht="15" hidden="1" customHeight="1" outlineLevel="2" x14ac:dyDescent="0.35">
      <c r="B192" s="492"/>
      <c r="C192" s="485"/>
      <c r="D192" s="222" t="s">
        <v>45</v>
      </c>
      <c r="E192" s="219">
        <v>0</v>
      </c>
      <c r="F192" s="219">
        <v>0</v>
      </c>
      <c r="G192" s="219">
        <v>0</v>
      </c>
      <c r="H192" s="219">
        <v>0</v>
      </c>
      <c r="I192" s="219">
        <v>0</v>
      </c>
      <c r="J192" s="321">
        <v>0</v>
      </c>
      <c r="N192" s="393"/>
    </row>
    <row r="193" spans="2:14" ht="1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21">
        <v>0</v>
      </c>
      <c r="N193" s="393"/>
    </row>
    <row r="194" spans="2:14" ht="15" hidden="1" customHeight="1" outlineLevel="2" x14ac:dyDescent="0.35">
      <c r="B194" s="492"/>
      <c r="C194" s="485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21">
        <v>0</v>
      </c>
      <c r="N194" s="393"/>
    </row>
    <row r="195" spans="2:14" ht="15" hidden="1" customHeight="1" outlineLevel="2" x14ac:dyDescent="0.35">
      <c r="B195" s="492"/>
      <c r="C195" s="485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21">
        <v>0</v>
      </c>
      <c r="N195" s="393"/>
    </row>
    <row r="196" spans="2:14" x14ac:dyDescent="0.35">
      <c r="B196" s="493"/>
      <c r="C196" s="494"/>
      <c r="D196" s="347" t="s">
        <v>239</v>
      </c>
      <c r="E196" s="383">
        <f t="shared" ref="E196:J196" si="26">SUM(E191,E187)</f>
        <v>15</v>
      </c>
      <c r="F196" s="383">
        <f t="shared" si="26"/>
        <v>14</v>
      </c>
      <c r="G196" s="383">
        <f t="shared" si="26"/>
        <v>20678716.119999997</v>
      </c>
      <c r="H196" s="383">
        <f t="shared" si="26"/>
        <v>6084739.3600000003</v>
      </c>
      <c r="I196" s="382">
        <f t="shared" si="26"/>
        <v>4512729.84</v>
      </c>
      <c r="J196" s="381">
        <f t="shared" si="26"/>
        <v>1572009.52</v>
      </c>
      <c r="N196" s="392"/>
    </row>
    <row r="197" spans="2:14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21">
        <f t="shared" si="27"/>
        <v>0</v>
      </c>
      <c r="N197" s="393"/>
    </row>
    <row r="198" spans="2:14" ht="15" hidden="1" customHeight="1" outlineLevel="2" x14ac:dyDescent="0.35">
      <c r="B198" s="492"/>
      <c r="C198" s="485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21">
        <v>0</v>
      </c>
      <c r="N198" s="393"/>
    </row>
    <row r="199" spans="2:14" ht="15" hidden="1" customHeight="1" outlineLevel="2" x14ac:dyDescent="0.35">
      <c r="B199" s="492"/>
      <c r="C199" s="485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21">
        <v>0</v>
      </c>
      <c r="N199" s="393"/>
    </row>
    <row r="200" spans="2:14" ht="15" hidden="1" customHeight="1" outlineLevel="2" x14ac:dyDescent="0.35">
      <c r="B200" s="492"/>
      <c r="C200" s="485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21">
        <v>0</v>
      </c>
      <c r="N200" s="393"/>
    </row>
    <row r="201" spans="2:14" outlineLevel="1" collapsed="1" x14ac:dyDescent="0.35">
      <c r="B201" s="492"/>
      <c r="C201" s="485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21">
        <v>0</v>
      </c>
      <c r="N201" s="393"/>
    </row>
    <row r="202" spans="2:14" outlineLevel="1" x14ac:dyDescent="0.35">
      <c r="B202" s="492"/>
      <c r="C202" s="485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21">
        <v>0</v>
      </c>
      <c r="N202" s="393"/>
    </row>
    <row r="203" spans="2:14" x14ac:dyDescent="0.35">
      <c r="B203" s="493"/>
      <c r="C203" s="494"/>
      <c r="D203" s="347" t="s">
        <v>236</v>
      </c>
      <c r="E203" s="383">
        <f t="shared" ref="E203:J203" si="28">SUM(E202,E201,E197)</f>
        <v>0</v>
      </c>
      <c r="F203" s="383">
        <f t="shared" si="28"/>
        <v>0</v>
      </c>
      <c r="G203" s="383">
        <f t="shared" si="28"/>
        <v>0</v>
      </c>
      <c r="H203" s="383">
        <f t="shared" si="28"/>
        <v>0</v>
      </c>
      <c r="I203" s="382">
        <f t="shared" si="28"/>
        <v>0</v>
      </c>
      <c r="J203" s="381">
        <f t="shared" si="28"/>
        <v>0</v>
      </c>
      <c r="N203" s="392"/>
    </row>
    <row r="204" spans="2:14" ht="15" thickBot="1" x14ac:dyDescent="0.4">
      <c r="B204" s="545" t="s">
        <v>235</v>
      </c>
      <c r="C204" s="546"/>
      <c r="D204" s="339" t="s">
        <v>15</v>
      </c>
      <c r="E204" s="380">
        <f t="shared" ref="E204:J204" si="29">SUM(E203,E186,E121,E108,E75,E41,E116,E196)</f>
        <v>571</v>
      </c>
      <c r="F204" s="380">
        <f t="shared" si="29"/>
        <v>485</v>
      </c>
      <c r="G204" s="380">
        <f t="shared" si="29"/>
        <v>1359420547.0999999</v>
      </c>
      <c r="H204" s="380">
        <f t="shared" si="29"/>
        <v>533621426.72000003</v>
      </c>
      <c r="I204" s="380">
        <f t="shared" si="29"/>
        <v>447604899.21999997</v>
      </c>
      <c r="J204" s="379">
        <f t="shared" si="29"/>
        <v>86016527.5</v>
      </c>
      <c r="N204" s="391"/>
    </row>
    <row r="205" spans="2:14" x14ac:dyDescent="0.35">
      <c r="J205" s="290">
        <f>'Overdue-2'!L204</f>
        <v>86016527.5</v>
      </c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505" right="0.70866141732283505" top="0.74803149606299202" bottom="0.74803149606299202" header="0.31496062992126" footer="0.31496062992126"/>
  <pageSetup paperSize="8" scale="78" orientation="landscape" r:id="rId1"/>
  <headerFooter alignWithMargins="0">
    <oddHeader>&amp;LSOBHA LLC&amp;C&amp;"Tahoma,Regular"&amp;14
OVERDUE AGEING_ Age calc. from first date of Deliquency_91-120 Days&amp;R&amp;D</oddHeader>
    <oddFooter>&amp;LCOLLECTIONS&amp;R&amp;P/&amp;N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2705-F7A8-4873-ACF4-AC4AF0F2615D}">
  <sheetPr>
    <pageSetUpPr fitToPage="1"/>
  </sheetPr>
  <dimension ref="B1:M205"/>
  <sheetViews>
    <sheetView view="pageBreakPreview" topLeftCell="A67" zoomScale="55" zoomScaleNormal="100" zoomScaleSheetLayoutView="55" workbookViewId="0"/>
  </sheetViews>
  <sheetFormatPr defaultRowHeight="14.5" outlineLevelRow="2" x14ac:dyDescent="0.35"/>
  <cols>
    <col min="2" max="2" width="28.453125" bestFit="1" customWidth="1"/>
    <col min="3" max="3" width="8.453125" bestFit="1" customWidth="1"/>
    <col min="4" max="4" width="39.7265625" bestFit="1" customWidth="1"/>
    <col min="5" max="5" width="15.7265625" customWidth="1"/>
    <col min="6" max="6" width="22.81640625" bestFit="1" customWidth="1"/>
    <col min="7" max="7" width="20.81640625" bestFit="1" customWidth="1"/>
    <col min="8" max="8" width="19.1796875" bestFit="1" customWidth="1"/>
    <col min="9" max="9" width="34.26953125" bestFit="1" customWidth="1"/>
    <col min="10" max="10" width="30.26953125" style="6" bestFit="1" customWidth="1"/>
    <col min="11" max="11" width="7" bestFit="1" customWidth="1"/>
    <col min="12" max="12" width="6.26953125" bestFit="1" customWidth="1"/>
    <col min="13" max="13" width="17.453125" bestFit="1" customWidth="1"/>
  </cols>
  <sheetData>
    <row r="1" spans="2:13" x14ac:dyDescent="0.35">
      <c r="M1" s="290">
        <v>100431293.19999996</v>
      </c>
    </row>
    <row r="3" spans="2:13" x14ac:dyDescent="0.35">
      <c r="B3" s="390">
        <v>46143</v>
      </c>
      <c r="C3" t="s">
        <v>264</v>
      </c>
    </row>
    <row r="4" spans="2:13" ht="15" thickBot="1" x14ac:dyDescent="0.4"/>
    <row r="5" spans="2:13" x14ac:dyDescent="0.35">
      <c r="B5" s="510" t="s">
        <v>276</v>
      </c>
      <c r="C5" s="541"/>
      <c r="D5" s="543" t="s">
        <v>275</v>
      </c>
      <c r="E5" s="534" t="s">
        <v>281</v>
      </c>
      <c r="F5" s="536" t="s">
        <v>280</v>
      </c>
      <c r="G5" s="534" t="s">
        <v>274</v>
      </c>
      <c r="H5" s="516" t="s">
        <v>273</v>
      </c>
      <c r="I5" s="539" t="s">
        <v>289</v>
      </c>
      <c r="J5" s="387" t="s">
        <v>285</v>
      </c>
    </row>
    <row r="6" spans="2:13" x14ac:dyDescent="0.35">
      <c r="B6" s="512"/>
      <c r="C6" s="542"/>
      <c r="D6" s="544"/>
      <c r="E6" s="535"/>
      <c r="F6" s="537"/>
      <c r="G6" s="535"/>
      <c r="H6" s="538"/>
      <c r="I6" s="540"/>
      <c r="J6" s="386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6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26">
        <f t="shared" si="0"/>
        <v>0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6">
        <v>0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6">
        <v>0</v>
      </c>
    </row>
    <row r="11" spans="2:13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6">
        <v>0</v>
      </c>
    </row>
    <row r="12" spans="2:13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6">
        <v>0</v>
      </c>
    </row>
    <row r="13" spans="2:13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26">
        <v>0</v>
      </c>
    </row>
    <row r="14" spans="2:13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6">
        <v>0</v>
      </c>
    </row>
    <row r="15" spans="2:13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6">
        <v>0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26">
        <f t="shared" si="1"/>
        <v>0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6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6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6">
        <v>0</v>
      </c>
    </row>
    <row r="20" spans="2:10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26">
        <v>0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6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1</v>
      </c>
      <c r="F22" s="219">
        <f t="shared" si="2"/>
        <v>1</v>
      </c>
      <c r="G22" s="219">
        <f t="shared" si="2"/>
        <v>913490</v>
      </c>
      <c r="H22" s="219">
        <f t="shared" si="2"/>
        <v>274047</v>
      </c>
      <c r="I22" s="219">
        <f t="shared" si="2"/>
        <v>94507.4</v>
      </c>
      <c r="J22" s="326">
        <f t="shared" si="2"/>
        <v>179539.6</v>
      </c>
    </row>
    <row r="23" spans="2:10" hidden="1" outlineLevel="2" x14ac:dyDescent="0.35">
      <c r="B23" s="503"/>
      <c r="C23" s="506"/>
      <c r="D23" s="242" t="s">
        <v>9</v>
      </c>
      <c r="E23" s="219">
        <v>1</v>
      </c>
      <c r="F23" s="219">
        <v>1</v>
      </c>
      <c r="G23" s="219">
        <v>913490</v>
      </c>
      <c r="H23" s="219">
        <v>274047</v>
      </c>
      <c r="I23" s="219">
        <v>94507.4</v>
      </c>
      <c r="J23" s="321">
        <v>179539.6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30</v>
      </c>
      <c r="F33" s="219">
        <v>29</v>
      </c>
      <c r="G33" s="219">
        <v>70440362.75</v>
      </c>
      <c r="H33" s="219">
        <v>61321073.539999992</v>
      </c>
      <c r="I33" s="219">
        <v>52560206.019999996</v>
      </c>
      <c r="J33" s="321">
        <v>8760867.5200000051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96</v>
      </c>
      <c r="F34" s="219">
        <f t="shared" si="4"/>
        <v>89</v>
      </c>
      <c r="G34" s="219">
        <f t="shared" si="4"/>
        <v>147021240.58000001</v>
      </c>
      <c r="H34" s="219">
        <f t="shared" si="4"/>
        <v>95295208.890000001</v>
      </c>
      <c r="I34" s="219">
        <f t="shared" si="4"/>
        <v>90122831.329999998</v>
      </c>
      <c r="J34" s="321">
        <f t="shared" si="4"/>
        <v>5172377.5600000005</v>
      </c>
    </row>
    <row r="35" spans="2:10" hidden="1" outlineLevel="2" x14ac:dyDescent="0.35">
      <c r="B35" s="503"/>
      <c r="C35" s="506"/>
      <c r="D35" s="242" t="s">
        <v>22</v>
      </c>
      <c r="E35" s="219">
        <v>14</v>
      </c>
      <c r="F35" s="219">
        <v>14</v>
      </c>
      <c r="G35" s="219">
        <v>33247445</v>
      </c>
      <c r="H35" s="219">
        <v>22953295.059999999</v>
      </c>
      <c r="I35" s="219">
        <v>22099123.719999999</v>
      </c>
      <c r="J35" s="321">
        <v>854171.33999999985</v>
      </c>
    </row>
    <row r="36" spans="2:10" hidden="1" outlineLevel="2" x14ac:dyDescent="0.35">
      <c r="B36" s="503"/>
      <c r="C36" s="506"/>
      <c r="D36" s="242" t="s">
        <v>21</v>
      </c>
      <c r="E36" s="219">
        <v>44</v>
      </c>
      <c r="F36" s="219">
        <v>41</v>
      </c>
      <c r="G36" s="219">
        <v>56058945.25</v>
      </c>
      <c r="H36" s="219">
        <v>35445539.70000001</v>
      </c>
      <c r="I36" s="219">
        <v>33940560.310000002</v>
      </c>
      <c r="J36" s="321">
        <v>1504979.3900000001</v>
      </c>
    </row>
    <row r="37" spans="2:10" hidden="1" outlineLevel="2" x14ac:dyDescent="0.35">
      <c r="B37" s="503"/>
      <c r="C37" s="506"/>
      <c r="D37" s="242" t="s">
        <v>20</v>
      </c>
      <c r="E37" s="219">
        <v>35</v>
      </c>
      <c r="F37" s="219">
        <v>31</v>
      </c>
      <c r="G37" s="219">
        <v>50001855.75</v>
      </c>
      <c r="H37" s="219">
        <v>32297486.349999998</v>
      </c>
      <c r="I37" s="219">
        <v>29862371.779999994</v>
      </c>
      <c r="J37" s="321">
        <v>2435114.5700000003</v>
      </c>
    </row>
    <row r="38" spans="2:10" hidden="1" outlineLevel="2" x14ac:dyDescent="0.35">
      <c r="B38" s="503"/>
      <c r="C38" s="506"/>
      <c r="D38" s="242" t="s">
        <v>19</v>
      </c>
      <c r="E38" s="219">
        <v>3</v>
      </c>
      <c r="F38" s="219">
        <v>3</v>
      </c>
      <c r="G38" s="219">
        <v>7712994.5800000001</v>
      </c>
      <c r="H38" s="219">
        <v>4598887.7799999993</v>
      </c>
      <c r="I38" s="219">
        <v>4220775.5199999996</v>
      </c>
      <c r="J38" s="321">
        <v>378112.26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</row>
    <row r="41" spans="2:10" x14ac:dyDescent="0.35">
      <c r="B41" s="504"/>
      <c r="C41" s="507"/>
      <c r="D41" s="347" t="s">
        <v>259</v>
      </c>
      <c r="E41" s="383">
        <f t="shared" ref="E41:J41" si="5">SUM(E8,E15:E16,E27:E29,E22,E33:E34,E40)</f>
        <v>127</v>
      </c>
      <c r="F41" s="383">
        <f t="shared" si="5"/>
        <v>119</v>
      </c>
      <c r="G41" s="383">
        <f t="shared" si="5"/>
        <v>218375093.33000001</v>
      </c>
      <c r="H41" s="383">
        <f t="shared" si="5"/>
        <v>156890329.43000001</v>
      </c>
      <c r="I41" s="382">
        <f t="shared" si="5"/>
        <v>142777544.75</v>
      </c>
      <c r="J41" s="381">
        <f t="shared" si="5"/>
        <v>14112784.680000005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2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2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2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2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21">
        <v>0</v>
      </c>
    </row>
    <row r="49" spans="2:10" outlineLevel="1" x14ac:dyDescent="0.35">
      <c r="B49" s="487"/>
      <c r="C49" s="490"/>
      <c r="D49" s="236" t="s">
        <v>189</v>
      </c>
      <c r="E49" s="219">
        <v>13</v>
      </c>
      <c r="F49" s="219">
        <v>10</v>
      </c>
      <c r="G49" s="219">
        <v>30130623.109999996</v>
      </c>
      <c r="H49" s="219">
        <v>17338823.240000002</v>
      </c>
      <c r="I49" s="219">
        <v>15649841.440000001</v>
      </c>
      <c r="J49" s="321">
        <v>1688981.8</v>
      </c>
    </row>
    <row r="50" spans="2:10" outlineLevel="1" x14ac:dyDescent="0.35">
      <c r="B50" s="487"/>
      <c r="C50" s="490"/>
      <c r="D50" s="263" t="s">
        <v>179</v>
      </c>
      <c r="E50" s="219">
        <v>12</v>
      </c>
      <c r="F50" s="219">
        <v>12</v>
      </c>
      <c r="G50" s="219">
        <v>92161920.889999986</v>
      </c>
      <c r="H50" s="219">
        <v>66507332.960000001</v>
      </c>
      <c r="I50" s="219">
        <v>61164777.559999995</v>
      </c>
      <c r="J50" s="321">
        <v>5342555.4000000004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4</v>
      </c>
      <c r="F51" s="219">
        <f t="shared" si="7"/>
        <v>3</v>
      </c>
      <c r="G51" s="219">
        <f t="shared" si="7"/>
        <v>107194577</v>
      </c>
      <c r="H51" s="219">
        <f t="shared" si="7"/>
        <v>43006361.600000001</v>
      </c>
      <c r="I51" s="219">
        <f t="shared" si="7"/>
        <v>33151883.229999997</v>
      </c>
      <c r="J51" s="321">
        <f t="shared" si="7"/>
        <v>9854478.3699999992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4</v>
      </c>
      <c r="F54" s="219">
        <v>3</v>
      </c>
      <c r="G54" s="219">
        <v>107194577</v>
      </c>
      <c r="H54" s="219">
        <v>43006361.600000001</v>
      </c>
      <c r="I54" s="219">
        <v>33151883.229999997</v>
      </c>
      <c r="J54" s="321">
        <v>9854478.3699999992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107</v>
      </c>
      <c r="F56" s="219">
        <f t="shared" si="8"/>
        <v>103</v>
      </c>
      <c r="G56" s="219">
        <f t="shared" si="8"/>
        <v>223142323.26999998</v>
      </c>
      <c r="H56" s="219">
        <f t="shared" si="8"/>
        <v>116336015.84</v>
      </c>
      <c r="I56" s="219">
        <f t="shared" si="8"/>
        <v>108282055.98999998</v>
      </c>
      <c r="J56" s="321">
        <f t="shared" si="8"/>
        <v>8053959.8500000006</v>
      </c>
    </row>
    <row r="57" spans="2:10" hidden="1" outlineLevel="2" x14ac:dyDescent="0.35">
      <c r="B57" s="487"/>
      <c r="C57" s="490"/>
      <c r="D57" s="242" t="s">
        <v>169</v>
      </c>
      <c r="E57" s="219">
        <v>8</v>
      </c>
      <c r="F57" s="219">
        <v>8</v>
      </c>
      <c r="G57" s="219">
        <v>18834589.249999996</v>
      </c>
      <c r="H57" s="219">
        <v>11300753.57</v>
      </c>
      <c r="I57" s="219">
        <v>10832119.41</v>
      </c>
      <c r="J57" s="321">
        <v>468634.16000000003</v>
      </c>
    </row>
    <row r="58" spans="2:10" hidden="1" outlineLevel="2" x14ac:dyDescent="0.35">
      <c r="B58" s="487"/>
      <c r="C58" s="490"/>
      <c r="D58" s="242" t="s">
        <v>168</v>
      </c>
      <c r="E58" s="219">
        <v>5</v>
      </c>
      <c r="F58" s="219">
        <v>5</v>
      </c>
      <c r="G58" s="219">
        <v>9575724.6999999993</v>
      </c>
      <c r="H58" s="219">
        <v>3642476.2700000005</v>
      </c>
      <c r="I58" s="219">
        <v>3142316.71</v>
      </c>
      <c r="J58" s="321">
        <v>500159.56</v>
      </c>
    </row>
    <row r="59" spans="2:10" hidden="1" outlineLevel="2" x14ac:dyDescent="0.35">
      <c r="B59" s="487"/>
      <c r="C59" s="490"/>
      <c r="D59" s="242" t="s">
        <v>167</v>
      </c>
      <c r="E59" s="219">
        <v>56</v>
      </c>
      <c r="F59" s="219">
        <v>52</v>
      </c>
      <c r="G59" s="219">
        <v>105005409.59999999</v>
      </c>
      <c r="H59" s="219">
        <v>61704596</v>
      </c>
      <c r="I59" s="219">
        <v>58886437.139999993</v>
      </c>
      <c r="J59" s="321">
        <v>2818158.8599999994</v>
      </c>
    </row>
    <row r="60" spans="2:10" hidden="1" outlineLevel="2" x14ac:dyDescent="0.35">
      <c r="B60" s="487"/>
      <c r="C60" s="490"/>
      <c r="D60" s="242" t="s">
        <v>166</v>
      </c>
      <c r="E60" s="219">
        <v>9</v>
      </c>
      <c r="F60" s="219">
        <v>9</v>
      </c>
      <c r="G60" s="219">
        <v>30052165.399999999</v>
      </c>
      <c r="H60" s="219">
        <v>9154861.0300000012</v>
      </c>
      <c r="I60" s="219">
        <v>7424614.8399999999</v>
      </c>
      <c r="J60" s="321">
        <v>1730246.19</v>
      </c>
    </row>
    <row r="61" spans="2:10" hidden="1" outlineLevel="2" x14ac:dyDescent="0.35">
      <c r="B61" s="487"/>
      <c r="C61" s="490"/>
      <c r="D61" s="261" t="s">
        <v>165</v>
      </c>
      <c r="E61" s="219">
        <v>26</v>
      </c>
      <c r="F61" s="219">
        <v>26</v>
      </c>
      <c r="G61" s="219">
        <v>53923590.919999994</v>
      </c>
      <c r="H61" s="219">
        <v>28647126.700000003</v>
      </c>
      <c r="I61" s="219">
        <v>26322930.229999997</v>
      </c>
      <c r="J61" s="321">
        <v>2324196.4700000002</v>
      </c>
    </row>
    <row r="62" spans="2:10" hidden="1" outlineLevel="2" x14ac:dyDescent="0.35">
      <c r="B62" s="487"/>
      <c r="C62" s="490"/>
      <c r="D62" s="261" t="s">
        <v>164</v>
      </c>
      <c r="E62" s="219">
        <v>3</v>
      </c>
      <c r="F62" s="219">
        <v>3</v>
      </c>
      <c r="G62" s="219">
        <v>5750843.4000000004</v>
      </c>
      <c r="H62" s="219">
        <v>1886202.27</v>
      </c>
      <c r="I62" s="219">
        <v>1673637.66</v>
      </c>
      <c r="J62" s="321">
        <v>212564.61000000002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1</v>
      </c>
      <c r="F63" s="219">
        <f t="shared" si="9"/>
        <v>1</v>
      </c>
      <c r="G63" s="219">
        <f t="shared" si="9"/>
        <v>2209582.5</v>
      </c>
      <c r="H63" s="219">
        <f t="shared" si="9"/>
        <v>1325749.5</v>
      </c>
      <c r="I63" s="219">
        <f t="shared" si="9"/>
        <v>1322759.1499999999</v>
      </c>
      <c r="J63" s="321">
        <f t="shared" si="9"/>
        <v>2990.35</v>
      </c>
    </row>
    <row r="64" spans="2:10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21">
        <v>0</v>
      </c>
    </row>
    <row r="65" spans="2:10" hidden="1" outlineLevel="2" x14ac:dyDescent="0.35">
      <c r="B65" s="487"/>
      <c r="C65" s="490"/>
      <c r="D65" s="260" t="s">
        <v>195</v>
      </c>
      <c r="E65" s="219">
        <v>1</v>
      </c>
      <c r="F65" s="219">
        <v>1</v>
      </c>
      <c r="G65" s="219">
        <v>2209582.5</v>
      </c>
      <c r="H65" s="219">
        <v>1325749.5</v>
      </c>
      <c r="I65" s="219">
        <v>1322759.1499999999</v>
      </c>
      <c r="J65" s="321">
        <v>2990.35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46</v>
      </c>
      <c r="F67" s="219">
        <f t="shared" si="10"/>
        <v>41</v>
      </c>
      <c r="G67" s="219">
        <f t="shared" si="10"/>
        <v>119694290.80000001</v>
      </c>
      <c r="H67" s="219">
        <f t="shared" si="10"/>
        <v>62964853.549999997</v>
      </c>
      <c r="I67" s="219">
        <f t="shared" si="10"/>
        <v>56683432.710000001</v>
      </c>
      <c r="J67" s="321">
        <f t="shared" si="10"/>
        <v>6281420.8399999999</v>
      </c>
    </row>
    <row r="68" spans="2:10" hidden="1" outlineLevel="2" x14ac:dyDescent="0.35">
      <c r="B68" s="487"/>
      <c r="C68" s="490"/>
      <c r="D68" s="260" t="s">
        <v>177</v>
      </c>
      <c r="E68" s="219">
        <v>5</v>
      </c>
      <c r="F68" s="219">
        <v>5</v>
      </c>
      <c r="G68" s="219">
        <v>16580443.200000001</v>
      </c>
      <c r="H68" s="219">
        <v>8907392.5</v>
      </c>
      <c r="I68" s="219">
        <v>8479762.5100000016</v>
      </c>
      <c r="J68" s="321">
        <v>427629.99</v>
      </c>
    </row>
    <row r="69" spans="2:10" hidden="1" outlineLevel="2" x14ac:dyDescent="0.35">
      <c r="B69" s="487"/>
      <c r="C69" s="490"/>
      <c r="D69" s="260" t="s">
        <v>176</v>
      </c>
      <c r="E69" s="219">
        <v>9</v>
      </c>
      <c r="F69" s="219">
        <v>8</v>
      </c>
      <c r="G69" s="219">
        <v>18865363.649999999</v>
      </c>
      <c r="H69" s="219">
        <v>9687127.8100000005</v>
      </c>
      <c r="I69" s="219">
        <v>8023945.8399999999</v>
      </c>
      <c r="J69" s="321">
        <v>1663181.9699999997</v>
      </c>
    </row>
    <row r="70" spans="2:10" hidden="1" outlineLevel="2" x14ac:dyDescent="0.35">
      <c r="B70" s="487"/>
      <c r="C70" s="490"/>
      <c r="D70" s="260" t="s">
        <v>175</v>
      </c>
      <c r="E70" s="219">
        <v>11</v>
      </c>
      <c r="F70" s="219">
        <v>10</v>
      </c>
      <c r="G70" s="219">
        <v>32786383.000000004</v>
      </c>
      <c r="H70" s="219">
        <v>17585190.43</v>
      </c>
      <c r="I70" s="219">
        <v>16156877.309999999</v>
      </c>
      <c r="J70" s="321">
        <v>1428313.1200000003</v>
      </c>
    </row>
    <row r="71" spans="2:10" hidden="1" outlineLevel="2" x14ac:dyDescent="0.35">
      <c r="B71" s="487"/>
      <c r="C71" s="490"/>
      <c r="D71" s="260" t="s">
        <v>174</v>
      </c>
      <c r="E71" s="219">
        <v>11</v>
      </c>
      <c r="F71" s="219">
        <v>11</v>
      </c>
      <c r="G71" s="219">
        <v>20797468.199999996</v>
      </c>
      <c r="H71" s="219">
        <v>11070945.040000001</v>
      </c>
      <c r="I71" s="219">
        <v>10422664.390000001</v>
      </c>
      <c r="J71" s="321">
        <v>648280.64999999991</v>
      </c>
    </row>
    <row r="72" spans="2:10" hidden="1" outlineLevel="2" x14ac:dyDescent="0.35">
      <c r="B72" s="487"/>
      <c r="C72" s="490"/>
      <c r="D72" s="260" t="s">
        <v>173</v>
      </c>
      <c r="E72" s="219">
        <v>8</v>
      </c>
      <c r="F72" s="219">
        <v>5</v>
      </c>
      <c r="G72" s="219">
        <v>19301243.75</v>
      </c>
      <c r="H72" s="219">
        <v>11349844.970000001</v>
      </c>
      <c r="I72" s="219">
        <v>11331025.640000001</v>
      </c>
      <c r="J72" s="321">
        <v>18819.329999999998</v>
      </c>
    </row>
    <row r="73" spans="2:10" hidden="1" outlineLevel="2" x14ac:dyDescent="0.35">
      <c r="B73" s="487"/>
      <c r="C73" s="490"/>
      <c r="D73" s="260" t="s">
        <v>172</v>
      </c>
      <c r="E73" s="219">
        <v>1</v>
      </c>
      <c r="F73" s="219">
        <v>1</v>
      </c>
      <c r="G73" s="219">
        <v>1855774</v>
      </c>
      <c r="H73" s="219">
        <v>371154.8</v>
      </c>
      <c r="I73" s="219">
        <v>367634.02</v>
      </c>
      <c r="J73" s="321">
        <v>3520.78</v>
      </c>
    </row>
    <row r="74" spans="2:10" hidden="1" outlineLevel="2" x14ac:dyDescent="0.35">
      <c r="B74" s="487"/>
      <c r="C74" s="490"/>
      <c r="D74" s="260" t="s">
        <v>171</v>
      </c>
      <c r="E74" s="219">
        <v>1</v>
      </c>
      <c r="F74" s="219">
        <v>1</v>
      </c>
      <c r="G74" s="219">
        <v>9507615</v>
      </c>
      <c r="H74" s="219">
        <v>3993198</v>
      </c>
      <c r="I74" s="219">
        <v>1901523</v>
      </c>
      <c r="J74" s="321">
        <v>2091675</v>
      </c>
    </row>
    <row r="75" spans="2:10" x14ac:dyDescent="0.35">
      <c r="B75" s="488"/>
      <c r="C75" s="491"/>
      <c r="D75" s="347" t="s">
        <v>255</v>
      </c>
      <c r="E75" s="383">
        <f t="shared" ref="E75:J75" si="11">SUM(E43,E48:E51,E56,E63,E67)</f>
        <v>183</v>
      </c>
      <c r="F75" s="383">
        <f t="shared" si="11"/>
        <v>170</v>
      </c>
      <c r="G75" s="383">
        <f t="shared" si="11"/>
        <v>574533317.56999993</v>
      </c>
      <c r="H75" s="383">
        <f t="shared" si="11"/>
        <v>307479136.69</v>
      </c>
      <c r="I75" s="382">
        <f t="shared" si="11"/>
        <v>276254750.07999998</v>
      </c>
      <c r="J75" s="381">
        <f t="shared" si="11"/>
        <v>31224386.610000003</v>
      </c>
    </row>
    <row r="76" spans="2:10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01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9</v>
      </c>
      <c r="F77" s="219">
        <f t="shared" si="12"/>
        <v>9</v>
      </c>
      <c r="G77" s="219">
        <f t="shared" si="12"/>
        <v>78557150</v>
      </c>
      <c r="H77" s="219">
        <f t="shared" si="12"/>
        <v>41032453.25</v>
      </c>
      <c r="I77" s="219">
        <f t="shared" si="12"/>
        <v>34725049.770000003</v>
      </c>
      <c r="J77" s="321">
        <f t="shared" si="12"/>
        <v>6307403.4800000004</v>
      </c>
    </row>
    <row r="78" spans="2:10" hidden="1" outlineLevel="2" x14ac:dyDescent="0.35">
      <c r="B78" s="487"/>
      <c r="C78" s="490"/>
      <c r="D78" s="250" t="s">
        <v>192</v>
      </c>
      <c r="E78" s="219">
        <v>4</v>
      </c>
      <c r="F78" s="219">
        <v>4</v>
      </c>
      <c r="G78" s="219">
        <v>47469548</v>
      </c>
      <c r="H78" s="219">
        <v>24762627.350000001</v>
      </c>
      <c r="I78" s="219">
        <v>20344931.240000002</v>
      </c>
      <c r="J78" s="321">
        <v>4417696.1100000003</v>
      </c>
    </row>
    <row r="79" spans="2:10" hidden="1" outlineLevel="2" x14ac:dyDescent="0.35">
      <c r="B79" s="487"/>
      <c r="C79" s="490"/>
      <c r="D79" s="250" t="s">
        <v>191</v>
      </c>
      <c r="E79" s="219">
        <v>2</v>
      </c>
      <c r="F79" s="219">
        <v>2</v>
      </c>
      <c r="G79" s="219">
        <v>12599929</v>
      </c>
      <c r="H79" s="219">
        <v>6299964.5</v>
      </c>
      <c r="I79" s="219">
        <v>5042801.3899999997</v>
      </c>
      <c r="J79" s="321">
        <v>1257163.1099999999</v>
      </c>
    </row>
    <row r="80" spans="2:10" hidden="1" outlineLevel="2" x14ac:dyDescent="0.35">
      <c r="B80" s="487"/>
      <c r="C80" s="490"/>
      <c r="D80" s="250" t="s">
        <v>190</v>
      </c>
      <c r="E80" s="219">
        <v>3</v>
      </c>
      <c r="F80" s="219">
        <v>3</v>
      </c>
      <c r="G80" s="219">
        <v>18487673</v>
      </c>
      <c r="H80" s="219">
        <v>9969861.4000000004</v>
      </c>
      <c r="I80" s="219">
        <v>9337317.1400000006</v>
      </c>
      <c r="J80" s="321">
        <v>632544.26</v>
      </c>
    </row>
    <row r="81" spans="2:10" outlineLevel="1" collapsed="1" x14ac:dyDescent="0.35">
      <c r="B81" s="487"/>
      <c r="C81" s="490"/>
      <c r="D81" s="251" t="s">
        <v>158</v>
      </c>
      <c r="E81" s="219">
        <f t="shared" ref="E81:J81" si="13">SUM(E82:E89)</f>
        <v>83</v>
      </c>
      <c r="F81" s="219">
        <f t="shared" si="13"/>
        <v>81</v>
      </c>
      <c r="G81" s="219">
        <f t="shared" si="13"/>
        <v>99245084.489999995</v>
      </c>
      <c r="H81" s="219">
        <f t="shared" si="13"/>
        <v>40976081.07</v>
      </c>
      <c r="I81" s="219">
        <f t="shared" si="13"/>
        <v>36826713.329999998</v>
      </c>
      <c r="J81" s="321">
        <f t="shared" si="13"/>
        <v>4149367.7399999998</v>
      </c>
    </row>
    <row r="82" spans="2:10" hidden="1" outlineLevel="2" x14ac:dyDescent="0.35">
      <c r="B82" s="487"/>
      <c r="C82" s="490"/>
      <c r="D82" s="250" t="s">
        <v>157</v>
      </c>
      <c r="E82" s="219">
        <v>13</v>
      </c>
      <c r="F82" s="219">
        <v>13</v>
      </c>
      <c r="G82" s="219">
        <v>13681730.450000001</v>
      </c>
      <c r="H82" s="219">
        <v>6333517.6199999992</v>
      </c>
      <c r="I82" s="219">
        <v>5835084.5899999999</v>
      </c>
      <c r="J82" s="321">
        <v>498433.03</v>
      </c>
    </row>
    <row r="83" spans="2:10" hidden="1" outlineLevel="2" x14ac:dyDescent="0.35">
      <c r="B83" s="487"/>
      <c r="C83" s="490"/>
      <c r="D83" s="250" t="s">
        <v>156</v>
      </c>
      <c r="E83" s="219">
        <v>27</v>
      </c>
      <c r="F83" s="219">
        <v>27</v>
      </c>
      <c r="G83" s="219">
        <v>30691512.23</v>
      </c>
      <c r="H83" s="219">
        <v>14207743.249999998</v>
      </c>
      <c r="I83" s="219">
        <v>13576978.630000001</v>
      </c>
      <c r="J83" s="321">
        <v>630764.61999999988</v>
      </c>
    </row>
    <row r="84" spans="2:10" hidden="1" outlineLevel="2" x14ac:dyDescent="0.35">
      <c r="B84" s="487"/>
      <c r="C84" s="490"/>
      <c r="D84" s="250" t="s">
        <v>155</v>
      </c>
      <c r="E84" s="219">
        <v>7</v>
      </c>
      <c r="F84" s="219">
        <v>6</v>
      </c>
      <c r="G84" s="219">
        <v>9072250.8499999996</v>
      </c>
      <c r="H84" s="219">
        <v>3195810.36</v>
      </c>
      <c r="I84" s="219">
        <v>2595376.0899999994</v>
      </c>
      <c r="J84" s="321">
        <v>600434.27</v>
      </c>
    </row>
    <row r="85" spans="2:10" hidden="1" outlineLevel="2" x14ac:dyDescent="0.35">
      <c r="B85" s="487"/>
      <c r="C85" s="490"/>
      <c r="D85" s="250" t="s">
        <v>154</v>
      </c>
      <c r="E85" s="219">
        <v>5</v>
      </c>
      <c r="F85" s="219">
        <v>5</v>
      </c>
      <c r="G85" s="219">
        <v>6158489</v>
      </c>
      <c r="H85" s="219">
        <v>1847546.73</v>
      </c>
      <c r="I85" s="219">
        <v>1333697</v>
      </c>
      <c r="J85" s="321">
        <v>513849.73</v>
      </c>
    </row>
    <row r="86" spans="2:10" hidden="1" outlineLevel="2" x14ac:dyDescent="0.35">
      <c r="B86" s="487"/>
      <c r="C86" s="490"/>
      <c r="D86" s="250" t="s">
        <v>153</v>
      </c>
      <c r="E86" s="219">
        <v>19</v>
      </c>
      <c r="F86" s="219">
        <v>18</v>
      </c>
      <c r="G86" s="219">
        <v>22042961.359999999</v>
      </c>
      <c r="H86" s="219">
        <v>9811119.1600000001</v>
      </c>
      <c r="I86" s="219">
        <v>8972285.5199999996</v>
      </c>
      <c r="J86" s="321">
        <v>838833.64000000013</v>
      </c>
    </row>
    <row r="87" spans="2:10" hidden="1" outlineLevel="2" x14ac:dyDescent="0.35">
      <c r="B87" s="487"/>
      <c r="C87" s="490"/>
      <c r="D87" s="250" t="s">
        <v>152</v>
      </c>
      <c r="E87" s="219">
        <v>5</v>
      </c>
      <c r="F87" s="219">
        <v>5</v>
      </c>
      <c r="G87" s="219">
        <v>6074920.5500000007</v>
      </c>
      <c r="H87" s="219">
        <v>1945287.5999999999</v>
      </c>
      <c r="I87" s="219">
        <v>1514053.6400000001</v>
      </c>
      <c r="J87" s="321">
        <v>431233.96</v>
      </c>
    </row>
    <row r="88" spans="2:10" hidden="1" outlineLevel="2" x14ac:dyDescent="0.35">
      <c r="B88" s="487"/>
      <c r="C88" s="490"/>
      <c r="D88" s="250" t="s">
        <v>151</v>
      </c>
      <c r="E88" s="219">
        <v>5</v>
      </c>
      <c r="F88" s="219">
        <v>5</v>
      </c>
      <c r="G88" s="219">
        <v>6276920.0499999998</v>
      </c>
      <c r="H88" s="219">
        <v>2533333.3499999996</v>
      </c>
      <c r="I88" s="219">
        <v>2147981.38</v>
      </c>
      <c r="J88" s="321">
        <v>385351.97</v>
      </c>
    </row>
    <row r="89" spans="2:10" hidden="1" outlineLevel="2" x14ac:dyDescent="0.35">
      <c r="B89" s="487"/>
      <c r="C89" s="490"/>
      <c r="D89" s="250" t="s">
        <v>150</v>
      </c>
      <c r="E89" s="219">
        <v>2</v>
      </c>
      <c r="F89" s="219">
        <v>2</v>
      </c>
      <c r="G89" s="219">
        <v>5246300</v>
      </c>
      <c r="H89" s="219">
        <v>1101723</v>
      </c>
      <c r="I89" s="219">
        <v>851256.48</v>
      </c>
      <c r="J89" s="321">
        <v>250466.52</v>
      </c>
    </row>
    <row r="90" spans="2:10" outlineLevel="1" collapsed="1" x14ac:dyDescent="0.35">
      <c r="B90" s="487"/>
      <c r="C90" s="490"/>
      <c r="D90" s="251" t="s">
        <v>149</v>
      </c>
      <c r="E90" s="219">
        <f t="shared" ref="E90:J90" si="14">SUM(E91:E93)</f>
        <v>19</v>
      </c>
      <c r="F90" s="219">
        <f t="shared" si="14"/>
        <v>19</v>
      </c>
      <c r="G90" s="219">
        <f t="shared" si="14"/>
        <v>54710049.449999996</v>
      </c>
      <c r="H90" s="219">
        <f t="shared" si="14"/>
        <v>15542639.51</v>
      </c>
      <c r="I90" s="219">
        <f t="shared" si="14"/>
        <v>12299461.110000001</v>
      </c>
      <c r="J90" s="321">
        <f t="shared" si="14"/>
        <v>3243178.4</v>
      </c>
    </row>
    <row r="91" spans="2:10" hidden="1" outlineLevel="2" x14ac:dyDescent="0.35">
      <c r="B91" s="487"/>
      <c r="C91" s="490"/>
      <c r="D91" s="250" t="s">
        <v>148</v>
      </c>
      <c r="E91" s="219">
        <v>4</v>
      </c>
      <c r="F91" s="219">
        <v>4</v>
      </c>
      <c r="G91" s="219">
        <v>10087369</v>
      </c>
      <c r="H91" s="219">
        <v>3026210.7</v>
      </c>
      <c r="I91" s="219">
        <v>2037475</v>
      </c>
      <c r="J91" s="321">
        <v>988735.7</v>
      </c>
    </row>
    <row r="92" spans="2:10" hidden="1" outlineLevel="2" x14ac:dyDescent="0.35">
      <c r="B92" s="487"/>
      <c r="C92" s="490"/>
      <c r="D92" s="250" t="s">
        <v>147</v>
      </c>
      <c r="E92" s="219">
        <v>5</v>
      </c>
      <c r="F92" s="219">
        <v>5</v>
      </c>
      <c r="G92" s="219">
        <v>11032477.4</v>
      </c>
      <c r="H92" s="219">
        <v>2888082.19</v>
      </c>
      <c r="I92" s="219">
        <v>2545292.5300000003</v>
      </c>
      <c r="J92" s="321">
        <v>342789.66000000003</v>
      </c>
    </row>
    <row r="93" spans="2:10" hidden="1" outlineLevel="2" x14ac:dyDescent="0.35">
      <c r="B93" s="487"/>
      <c r="C93" s="490"/>
      <c r="D93" s="250" t="s">
        <v>146</v>
      </c>
      <c r="E93" s="219">
        <v>10</v>
      </c>
      <c r="F93" s="219">
        <v>10</v>
      </c>
      <c r="G93" s="219">
        <v>33590203.049999997</v>
      </c>
      <c r="H93" s="219">
        <v>9628346.6199999992</v>
      </c>
      <c r="I93" s="219">
        <v>7716693.580000001</v>
      </c>
      <c r="J93" s="321">
        <v>1911653.04</v>
      </c>
    </row>
    <row r="94" spans="2:10" outlineLevel="1" collapsed="1" x14ac:dyDescent="0.35">
      <c r="B94" s="487"/>
      <c r="C94" s="490"/>
      <c r="D94" s="324" t="s">
        <v>133</v>
      </c>
      <c r="E94" s="219">
        <v>2</v>
      </c>
      <c r="F94" s="219">
        <v>2</v>
      </c>
      <c r="G94" s="219">
        <v>10213977.449999999</v>
      </c>
      <c r="H94" s="219">
        <v>1394261.99</v>
      </c>
      <c r="I94" s="219">
        <v>1076198.3799999999</v>
      </c>
      <c r="J94" s="321">
        <v>318063.61</v>
      </c>
    </row>
    <row r="95" spans="2:10" outlineLevel="1" x14ac:dyDescent="0.35">
      <c r="B95" s="487"/>
      <c r="C95" s="490"/>
      <c r="D95" s="236" t="s">
        <v>140</v>
      </c>
      <c r="E95" s="219">
        <v>14</v>
      </c>
      <c r="F95" s="219">
        <v>14</v>
      </c>
      <c r="G95" s="219">
        <v>122136827.5</v>
      </c>
      <c r="H95" s="219">
        <v>42877620.050000004</v>
      </c>
      <c r="I95" s="219">
        <v>41781003.549999997</v>
      </c>
      <c r="J95" s="321">
        <v>1096616.5</v>
      </c>
    </row>
    <row r="96" spans="2:10" outlineLevel="1" x14ac:dyDescent="0.35">
      <c r="B96" s="487"/>
      <c r="C96" s="490"/>
      <c r="D96" s="23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21">
        <v>0</v>
      </c>
    </row>
    <row r="97" spans="2:10" outlineLevel="1" x14ac:dyDescent="0.35">
      <c r="B97" s="487"/>
      <c r="C97" s="490"/>
      <c r="D97" s="236" t="s">
        <v>138</v>
      </c>
      <c r="E97" s="219">
        <f t="shared" ref="E97:J97" si="15">SUM(E98:E101)</f>
        <v>65</v>
      </c>
      <c r="F97" s="219">
        <f t="shared" si="15"/>
        <v>59</v>
      </c>
      <c r="G97" s="219">
        <f t="shared" si="15"/>
        <v>79718247.550000012</v>
      </c>
      <c r="H97" s="219">
        <f t="shared" si="15"/>
        <v>23904702.320000004</v>
      </c>
      <c r="I97" s="219">
        <f t="shared" si="15"/>
        <v>18013985.870000001</v>
      </c>
      <c r="J97" s="321">
        <f t="shared" si="15"/>
        <v>5890716.4499999993</v>
      </c>
    </row>
    <row r="98" spans="2:10" hidden="1" outlineLevel="2" x14ac:dyDescent="0.35">
      <c r="B98" s="487"/>
      <c r="C98" s="490"/>
      <c r="D98" s="242" t="s">
        <v>137</v>
      </c>
      <c r="E98" s="219">
        <v>31</v>
      </c>
      <c r="F98" s="219">
        <v>25</v>
      </c>
      <c r="G98" s="219">
        <v>34231047.500000007</v>
      </c>
      <c r="H98" s="219">
        <v>10598414.180000002</v>
      </c>
      <c r="I98" s="219">
        <v>8598956.0300000012</v>
      </c>
      <c r="J98" s="321">
        <v>1999458.15</v>
      </c>
    </row>
    <row r="99" spans="2:10" hidden="1" outlineLevel="2" x14ac:dyDescent="0.35">
      <c r="B99" s="487"/>
      <c r="C99" s="490"/>
      <c r="D99" s="242" t="s">
        <v>136</v>
      </c>
      <c r="E99" s="219">
        <v>13</v>
      </c>
      <c r="F99" s="219">
        <v>13</v>
      </c>
      <c r="G99" s="219">
        <v>16718399.700000001</v>
      </c>
      <c r="H99" s="219">
        <v>4675647.9600000009</v>
      </c>
      <c r="I99" s="219">
        <v>3500324.76</v>
      </c>
      <c r="J99" s="321">
        <v>1175323.1999999997</v>
      </c>
    </row>
    <row r="100" spans="2:10" hidden="1" outlineLevel="2" x14ac:dyDescent="0.35">
      <c r="B100" s="487"/>
      <c r="C100" s="490"/>
      <c r="D100" s="242" t="s">
        <v>135</v>
      </c>
      <c r="E100" s="219">
        <v>16</v>
      </c>
      <c r="F100" s="219">
        <v>16</v>
      </c>
      <c r="G100" s="219">
        <v>20056119.75</v>
      </c>
      <c r="H100" s="219">
        <v>6016835.9699999997</v>
      </c>
      <c r="I100" s="219">
        <v>4235115.51</v>
      </c>
      <c r="J100" s="321">
        <v>1781720.46</v>
      </c>
    </row>
    <row r="101" spans="2:10" hidden="1" outlineLevel="2" x14ac:dyDescent="0.35">
      <c r="B101" s="487"/>
      <c r="C101" s="490"/>
      <c r="D101" s="242" t="s">
        <v>134</v>
      </c>
      <c r="E101" s="219">
        <v>5</v>
      </c>
      <c r="F101" s="219">
        <v>5</v>
      </c>
      <c r="G101" s="219">
        <v>8712680.6000000015</v>
      </c>
      <c r="H101" s="219">
        <v>2613804.21</v>
      </c>
      <c r="I101" s="219">
        <v>1679589.5699999998</v>
      </c>
      <c r="J101" s="321">
        <v>934214.64</v>
      </c>
    </row>
    <row r="102" spans="2:10" outlineLevel="1" collapsed="1" x14ac:dyDescent="0.35">
      <c r="B102" s="487"/>
      <c r="C102" s="490"/>
      <c r="D102" s="236" t="s">
        <v>132</v>
      </c>
      <c r="E102" s="219">
        <f t="shared" ref="E102:J102" si="16">SUM(E103:E106)</f>
        <v>70</v>
      </c>
      <c r="F102" s="219">
        <f t="shared" si="16"/>
        <v>69</v>
      </c>
      <c r="G102" s="219">
        <f t="shared" si="16"/>
        <v>138684129.03</v>
      </c>
      <c r="H102" s="219">
        <f t="shared" si="16"/>
        <v>37808437.560000002</v>
      </c>
      <c r="I102" s="219">
        <f t="shared" si="16"/>
        <v>32350782.890000001</v>
      </c>
      <c r="J102" s="321">
        <f t="shared" si="16"/>
        <v>5457654.6700000009</v>
      </c>
    </row>
    <row r="103" spans="2:10" hidden="1" outlineLevel="2" x14ac:dyDescent="0.35">
      <c r="B103" s="487"/>
      <c r="C103" s="490"/>
      <c r="D103" s="242" t="s">
        <v>131</v>
      </c>
      <c r="E103" s="219">
        <v>55</v>
      </c>
      <c r="F103" s="219">
        <v>54</v>
      </c>
      <c r="G103" s="219">
        <v>100037495.15000002</v>
      </c>
      <c r="H103" s="219">
        <v>29872387.780000001</v>
      </c>
      <c r="I103" s="219">
        <v>25397953.770000003</v>
      </c>
      <c r="J103" s="321">
        <v>4474434.0100000007</v>
      </c>
    </row>
    <row r="104" spans="2:10" hidden="1" outlineLevel="2" x14ac:dyDescent="0.35">
      <c r="B104" s="487"/>
      <c r="C104" s="490"/>
      <c r="D104" s="242" t="s">
        <v>130</v>
      </c>
      <c r="E104" s="219">
        <v>2</v>
      </c>
      <c r="F104" s="219">
        <v>2</v>
      </c>
      <c r="G104" s="219">
        <v>4514678.08</v>
      </c>
      <c r="H104" s="219">
        <v>902935.62</v>
      </c>
      <c r="I104" s="219">
        <v>771043.09</v>
      </c>
      <c r="J104" s="321">
        <v>131892.53</v>
      </c>
    </row>
    <row r="105" spans="2:10" hidden="1" outlineLevel="2" x14ac:dyDescent="0.35">
      <c r="B105" s="487"/>
      <c r="C105" s="490"/>
      <c r="D105" s="242" t="s">
        <v>129</v>
      </c>
      <c r="E105" s="219">
        <v>8</v>
      </c>
      <c r="F105" s="219">
        <v>8</v>
      </c>
      <c r="G105" s="219">
        <v>23166316.099999998</v>
      </c>
      <c r="H105" s="219">
        <v>5067047.9400000004</v>
      </c>
      <c r="I105" s="219">
        <v>4711324.2</v>
      </c>
      <c r="J105" s="321">
        <v>355723.74000000005</v>
      </c>
    </row>
    <row r="106" spans="2:10" hidden="1" outlineLevel="2" x14ac:dyDescent="0.35">
      <c r="B106" s="487"/>
      <c r="C106" s="490"/>
      <c r="D106" s="242" t="s">
        <v>128</v>
      </c>
      <c r="E106" s="219">
        <v>5</v>
      </c>
      <c r="F106" s="219">
        <v>5</v>
      </c>
      <c r="G106" s="219">
        <v>10965639.699999999</v>
      </c>
      <c r="H106" s="219">
        <v>1966066.22</v>
      </c>
      <c r="I106" s="219">
        <v>1470461.83</v>
      </c>
      <c r="J106" s="321">
        <v>495604.39</v>
      </c>
    </row>
    <row r="107" spans="2:10" outlineLevel="1" collapsed="1" x14ac:dyDescent="0.35">
      <c r="B107" s="487"/>
      <c r="C107" s="490"/>
      <c r="D107" s="236" t="s">
        <v>41</v>
      </c>
      <c r="E107" s="219">
        <v>1</v>
      </c>
      <c r="F107" s="219">
        <v>1</v>
      </c>
      <c r="G107" s="219">
        <v>2943737</v>
      </c>
      <c r="H107" s="219">
        <v>588747.4</v>
      </c>
      <c r="I107" s="219">
        <v>347244.55</v>
      </c>
      <c r="J107" s="321">
        <v>241502.85</v>
      </c>
    </row>
    <row r="108" spans="2:10" x14ac:dyDescent="0.35">
      <c r="B108" s="488"/>
      <c r="C108" s="491"/>
      <c r="D108" s="347" t="s">
        <v>251</v>
      </c>
      <c r="E108" s="383">
        <f t="shared" ref="E108:J108" si="17">SUM(E102,E107,E97,E96,E94,E90,E81,E77,E95)</f>
        <v>263</v>
      </c>
      <c r="F108" s="383">
        <f t="shared" si="17"/>
        <v>254</v>
      </c>
      <c r="G108" s="383">
        <f t="shared" si="17"/>
        <v>586209202.47000003</v>
      </c>
      <c r="H108" s="383">
        <f t="shared" si="17"/>
        <v>204124943.15000001</v>
      </c>
      <c r="I108" s="382">
        <f t="shared" si="17"/>
        <v>177420439.44999999</v>
      </c>
      <c r="J108" s="381">
        <f t="shared" si="17"/>
        <v>26704503.699999999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19">
        <v>4</v>
      </c>
      <c r="F109" s="219">
        <v>4</v>
      </c>
      <c r="G109" s="219">
        <v>9165213.9499999993</v>
      </c>
      <c r="H109" s="219">
        <v>1833042.82</v>
      </c>
      <c r="I109" s="219">
        <v>1710079.1400000001</v>
      </c>
      <c r="J109" s="321">
        <v>122963.68</v>
      </c>
    </row>
    <row r="110" spans="2:10" outlineLevel="1" x14ac:dyDescent="0.35">
      <c r="B110" s="487"/>
      <c r="C110" s="490"/>
      <c r="D110" s="236" t="s">
        <v>122</v>
      </c>
      <c r="E110" s="219">
        <v>5</v>
      </c>
      <c r="F110" s="219">
        <v>5</v>
      </c>
      <c r="G110" s="219">
        <v>11663100.5</v>
      </c>
      <c r="H110" s="219">
        <v>2332620.12</v>
      </c>
      <c r="I110" s="219">
        <v>1546707.05</v>
      </c>
      <c r="J110" s="321">
        <v>785913.07</v>
      </c>
    </row>
    <row r="111" spans="2:10" outlineLevel="1" x14ac:dyDescent="0.35">
      <c r="B111" s="487"/>
      <c r="C111" s="490"/>
      <c r="D111" s="236" t="s">
        <v>48</v>
      </c>
      <c r="E111" s="219">
        <v>6</v>
      </c>
      <c r="F111" s="219">
        <v>6</v>
      </c>
      <c r="G111" s="219">
        <v>13226430.050000003</v>
      </c>
      <c r="H111" s="219">
        <v>2645286.0099999998</v>
      </c>
      <c r="I111" s="219">
        <v>2182505.9699999997</v>
      </c>
      <c r="J111" s="321">
        <v>462780.04000000004</v>
      </c>
    </row>
    <row r="112" spans="2:10" outlineLevel="1" x14ac:dyDescent="0.35">
      <c r="B112" s="487"/>
      <c r="C112" s="490"/>
      <c r="D112" s="236" t="s">
        <v>47</v>
      </c>
      <c r="E112" s="219">
        <v>12</v>
      </c>
      <c r="F112" s="219">
        <v>12</v>
      </c>
      <c r="G112" s="219">
        <v>24624183.799999997</v>
      </c>
      <c r="H112" s="219">
        <v>4924836.78</v>
      </c>
      <c r="I112" s="219">
        <v>3552351.7300000004</v>
      </c>
      <c r="J112" s="321">
        <v>1372485.05</v>
      </c>
    </row>
    <row r="113" spans="2:11" outlineLevel="1" x14ac:dyDescent="0.35">
      <c r="B113" s="487"/>
      <c r="C113" s="490"/>
      <c r="D113" s="236" t="s">
        <v>40</v>
      </c>
      <c r="E113" s="219">
        <v>28</v>
      </c>
      <c r="F113" s="219">
        <v>28</v>
      </c>
      <c r="G113" s="219">
        <v>59541857.039999999</v>
      </c>
      <c r="H113" s="219">
        <v>11908371.419999998</v>
      </c>
      <c r="I113" s="219">
        <v>11822916.07</v>
      </c>
      <c r="J113" s="321">
        <v>85455.349999999991</v>
      </c>
    </row>
    <row r="114" spans="2:11" outlineLevel="1" x14ac:dyDescent="0.35">
      <c r="B114" s="487"/>
      <c r="C114" s="490"/>
      <c r="D114" s="236" t="s">
        <v>39</v>
      </c>
      <c r="E114" s="219">
        <v>14</v>
      </c>
      <c r="F114" s="219">
        <v>13</v>
      </c>
      <c r="G114" s="219">
        <v>29744638.799999997</v>
      </c>
      <c r="H114" s="219">
        <v>5948927.7599999988</v>
      </c>
      <c r="I114" s="219">
        <v>5324684.3499999996</v>
      </c>
      <c r="J114" s="321">
        <v>624243.41</v>
      </c>
    </row>
    <row r="115" spans="2:11" outlineLevel="1" x14ac:dyDescent="0.35">
      <c r="B115" s="487"/>
      <c r="C115" s="490"/>
      <c r="D115" s="236" t="s">
        <v>38</v>
      </c>
      <c r="E115" s="219">
        <v>3</v>
      </c>
      <c r="F115" s="219">
        <v>2</v>
      </c>
      <c r="G115" s="219">
        <v>22264705</v>
      </c>
      <c r="H115" s="219">
        <v>4675588.0500000007</v>
      </c>
      <c r="I115" s="219">
        <v>3773593</v>
      </c>
      <c r="J115" s="321">
        <v>901995.05</v>
      </c>
    </row>
    <row r="116" spans="2:11" x14ac:dyDescent="0.35">
      <c r="B116" s="488"/>
      <c r="C116" s="491"/>
      <c r="D116" s="347" t="s">
        <v>248</v>
      </c>
      <c r="E116" s="383">
        <f t="shared" ref="E116:J116" si="18">SUM(E109:E115)</f>
        <v>72</v>
      </c>
      <c r="F116" s="383">
        <f t="shared" si="18"/>
        <v>70</v>
      </c>
      <c r="G116" s="383">
        <f t="shared" si="18"/>
        <v>170230129.13999999</v>
      </c>
      <c r="H116" s="383">
        <f t="shared" si="18"/>
        <v>34268672.959999993</v>
      </c>
      <c r="I116" s="382">
        <f t="shared" si="18"/>
        <v>29912837.310000002</v>
      </c>
      <c r="J116" s="381">
        <f t="shared" si="18"/>
        <v>4355835.6500000004</v>
      </c>
    </row>
    <row r="117" spans="2:11" outlineLevel="1" x14ac:dyDescent="0.35">
      <c r="B117" s="487" t="s">
        <v>247</v>
      </c>
      <c r="C117" s="490" t="s">
        <v>246</v>
      </c>
      <c r="D117" s="236" t="s">
        <v>36</v>
      </c>
      <c r="E117" s="219">
        <v>0</v>
      </c>
      <c r="F117" s="219">
        <v>0</v>
      </c>
      <c r="G117" s="219">
        <v>0</v>
      </c>
      <c r="H117" s="219">
        <v>0</v>
      </c>
      <c r="I117" s="219">
        <v>0</v>
      </c>
      <c r="J117" s="321">
        <v>0</v>
      </c>
    </row>
    <row r="118" spans="2:11" outlineLevel="1" x14ac:dyDescent="0.35">
      <c r="B118" s="487"/>
      <c r="C118" s="490"/>
      <c r="D118" s="236" t="s">
        <v>35</v>
      </c>
      <c r="E118" s="219">
        <v>0</v>
      </c>
      <c r="F118" s="219">
        <v>0</v>
      </c>
      <c r="G118" s="219">
        <v>0</v>
      </c>
      <c r="H118" s="219">
        <v>0</v>
      </c>
      <c r="I118" s="219">
        <v>0</v>
      </c>
      <c r="J118" s="321">
        <v>0</v>
      </c>
    </row>
    <row r="119" spans="2:11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21">
        <v>0</v>
      </c>
    </row>
    <row r="120" spans="2:11" outlineLevel="1" x14ac:dyDescent="0.35">
      <c r="B120" s="487"/>
      <c r="C120" s="490"/>
      <c r="D120" s="236" t="s">
        <v>33</v>
      </c>
      <c r="E120" s="219">
        <v>0</v>
      </c>
      <c r="F120" s="219">
        <v>0</v>
      </c>
      <c r="G120" s="219">
        <v>0</v>
      </c>
      <c r="H120" s="219">
        <v>0</v>
      </c>
      <c r="I120" s="219">
        <v>0</v>
      </c>
      <c r="J120" s="321">
        <v>0</v>
      </c>
    </row>
    <row r="121" spans="2:11" x14ac:dyDescent="0.35">
      <c r="B121" s="488"/>
      <c r="C121" s="491"/>
      <c r="D121" s="347" t="s">
        <v>245</v>
      </c>
      <c r="E121" s="383">
        <f t="shared" ref="E121:J121" si="19">SUM(E117:E120)</f>
        <v>0</v>
      </c>
      <c r="F121" s="383">
        <f t="shared" si="19"/>
        <v>0</v>
      </c>
      <c r="G121" s="383">
        <f t="shared" si="19"/>
        <v>0</v>
      </c>
      <c r="H121" s="383">
        <f t="shared" si="19"/>
        <v>0</v>
      </c>
      <c r="I121" s="382">
        <f t="shared" si="19"/>
        <v>0</v>
      </c>
      <c r="J121" s="381">
        <f t="shared" si="19"/>
        <v>0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298"/>
      <c r="K122" s="297"/>
    </row>
    <row r="123" spans="2:11" outlineLevel="1" x14ac:dyDescent="0.35">
      <c r="B123" s="492"/>
      <c r="C123" s="485"/>
      <c r="D123" s="225" t="s">
        <v>145</v>
      </c>
      <c r="E123" s="219">
        <f t="shared" ref="E123:J123" si="20">SUM(E124:E127)</f>
        <v>6</v>
      </c>
      <c r="F123" s="219">
        <f t="shared" si="20"/>
        <v>5</v>
      </c>
      <c r="G123" s="219">
        <f t="shared" si="20"/>
        <v>79576005</v>
      </c>
      <c r="H123" s="219">
        <f t="shared" si="20"/>
        <v>27463171.799999997</v>
      </c>
      <c r="I123" s="219">
        <f t="shared" si="20"/>
        <v>17245602.030000001</v>
      </c>
      <c r="J123" s="321">
        <f t="shared" si="20"/>
        <v>10217569.77</v>
      </c>
    </row>
    <row r="124" spans="2:11" hidden="1" outlineLevel="2" x14ac:dyDescent="0.35">
      <c r="B124" s="492"/>
      <c r="C124" s="485"/>
      <c r="D124" s="222" t="s">
        <v>144</v>
      </c>
      <c r="E124" s="219">
        <v>5</v>
      </c>
      <c r="F124" s="219">
        <v>4</v>
      </c>
      <c r="G124" s="219">
        <v>61845789</v>
      </c>
      <c r="H124" s="219">
        <v>20371085.399999999</v>
      </c>
      <c r="I124" s="219">
        <v>13699254.710000001</v>
      </c>
      <c r="J124" s="321">
        <v>6671830.6899999995</v>
      </c>
    </row>
    <row r="125" spans="2:11" hidden="1" outlineLevel="2" x14ac:dyDescent="0.35">
      <c r="B125" s="492"/>
      <c r="C125" s="485"/>
      <c r="D125" s="223" t="s">
        <v>143</v>
      </c>
      <c r="E125" s="219">
        <v>1</v>
      </c>
      <c r="F125" s="219">
        <v>1</v>
      </c>
      <c r="G125" s="219">
        <v>17730216</v>
      </c>
      <c r="H125" s="219">
        <v>7092086.4000000004</v>
      </c>
      <c r="I125" s="219">
        <v>3546347.32</v>
      </c>
      <c r="J125" s="321">
        <v>3545739.08</v>
      </c>
    </row>
    <row r="126" spans="2:11" hidden="1" outlineLevel="2" x14ac:dyDescent="0.35">
      <c r="B126" s="492"/>
      <c r="C126" s="485"/>
      <c r="D126" s="223" t="s">
        <v>142</v>
      </c>
      <c r="E126" s="219">
        <v>0</v>
      </c>
      <c r="F126" s="219">
        <v>0</v>
      </c>
      <c r="G126" s="219">
        <v>0</v>
      </c>
      <c r="H126" s="219">
        <v>0</v>
      </c>
      <c r="I126" s="219">
        <v>0</v>
      </c>
      <c r="J126" s="321">
        <v>0</v>
      </c>
    </row>
    <row r="127" spans="2:11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21">
        <v>0</v>
      </c>
    </row>
    <row r="128" spans="2:11" outlineLevel="1" collapsed="1" x14ac:dyDescent="0.35">
      <c r="B128" s="492"/>
      <c r="C128" s="485"/>
      <c r="D128" s="221" t="s">
        <v>121</v>
      </c>
      <c r="E128" s="219">
        <f t="shared" ref="E128:J128" si="21">SUM(E129:E162)</f>
        <v>189</v>
      </c>
      <c r="F128" s="219">
        <f t="shared" si="21"/>
        <v>81</v>
      </c>
      <c r="G128" s="219">
        <f t="shared" si="21"/>
        <v>158672336.37</v>
      </c>
      <c r="H128" s="219">
        <f t="shared" si="21"/>
        <v>55641351.519999996</v>
      </c>
      <c r="I128" s="219">
        <f t="shared" si="21"/>
        <v>46408418.210000008</v>
      </c>
      <c r="J128" s="321">
        <f t="shared" si="21"/>
        <v>9232933.3100000005</v>
      </c>
    </row>
    <row r="129" spans="2:10" hidden="1" outlineLevel="2" x14ac:dyDescent="0.35">
      <c r="B129" s="492"/>
      <c r="C129" s="485"/>
      <c r="D129" s="224" t="s">
        <v>119</v>
      </c>
      <c r="E129" s="219">
        <f>SUM(E130:E163)</f>
        <v>109</v>
      </c>
      <c r="F129" s="219">
        <v>2</v>
      </c>
      <c r="G129" s="219">
        <v>4032758.08</v>
      </c>
      <c r="H129" s="219">
        <v>1385366.8900000001</v>
      </c>
      <c r="I129" s="219">
        <v>981557</v>
      </c>
      <c r="J129" s="321">
        <v>403809.89</v>
      </c>
    </row>
    <row r="130" spans="2:10" hidden="1" outlineLevel="2" x14ac:dyDescent="0.35">
      <c r="B130" s="492"/>
      <c r="C130" s="485"/>
      <c r="D130" s="223" t="s">
        <v>118</v>
      </c>
      <c r="E130" s="219">
        <v>2</v>
      </c>
      <c r="F130" s="219">
        <v>2</v>
      </c>
      <c r="G130" s="219">
        <v>3688931.89</v>
      </c>
      <c r="H130" s="219">
        <v>1475572.77</v>
      </c>
      <c r="I130" s="219">
        <v>1106818</v>
      </c>
      <c r="J130" s="321">
        <v>368754.77</v>
      </c>
    </row>
    <row r="131" spans="2:10" hidden="1" outlineLevel="2" x14ac:dyDescent="0.35">
      <c r="B131" s="492"/>
      <c r="C131" s="485"/>
      <c r="D131" s="223" t="s">
        <v>117</v>
      </c>
      <c r="E131" s="219">
        <v>0</v>
      </c>
      <c r="F131" s="219">
        <v>0</v>
      </c>
      <c r="G131" s="219">
        <v>0</v>
      </c>
      <c r="H131" s="219">
        <v>0</v>
      </c>
      <c r="I131" s="219">
        <v>0</v>
      </c>
      <c r="J131" s="321">
        <v>0</v>
      </c>
    </row>
    <row r="132" spans="2:10" hidden="1" outlineLevel="2" x14ac:dyDescent="0.35">
      <c r="B132" s="492"/>
      <c r="C132" s="485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21">
        <v>0</v>
      </c>
    </row>
    <row r="133" spans="2:10" hidden="1" outlineLevel="2" x14ac:dyDescent="0.35">
      <c r="B133" s="492"/>
      <c r="C133" s="485"/>
      <c r="D133" s="223" t="s">
        <v>114</v>
      </c>
      <c r="E133" s="219">
        <v>4</v>
      </c>
      <c r="F133" s="219">
        <v>4</v>
      </c>
      <c r="G133" s="219">
        <v>8284803.9199999999</v>
      </c>
      <c r="H133" s="219">
        <v>2941900.3899999997</v>
      </c>
      <c r="I133" s="219">
        <v>2586516.13</v>
      </c>
      <c r="J133" s="321">
        <v>355384.26</v>
      </c>
    </row>
    <row r="134" spans="2:10" hidden="1" outlineLevel="2" x14ac:dyDescent="0.35">
      <c r="B134" s="492"/>
      <c r="C134" s="485"/>
      <c r="D134" s="223" t="s">
        <v>113</v>
      </c>
      <c r="E134" s="219">
        <v>7</v>
      </c>
      <c r="F134" s="219">
        <v>7</v>
      </c>
      <c r="G134" s="219">
        <v>10238224.85</v>
      </c>
      <c r="H134" s="219">
        <v>4095289.96</v>
      </c>
      <c r="I134" s="219">
        <v>3700378.41</v>
      </c>
      <c r="J134" s="321">
        <v>394911.55</v>
      </c>
    </row>
    <row r="135" spans="2:10" hidden="1" outlineLevel="2" x14ac:dyDescent="0.35">
      <c r="B135" s="492"/>
      <c r="C135" s="485"/>
      <c r="D135" s="223" t="s">
        <v>112</v>
      </c>
      <c r="E135" s="219">
        <v>2</v>
      </c>
      <c r="F135" s="219">
        <v>2</v>
      </c>
      <c r="G135" s="219">
        <v>3940815.33</v>
      </c>
      <c r="H135" s="219">
        <v>1487833.22</v>
      </c>
      <c r="I135" s="219">
        <v>1242755.03</v>
      </c>
      <c r="J135" s="321">
        <v>245078.19</v>
      </c>
    </row>
    <row r="136" spans="2:10" hidden="1" outlineLevel="2" x14ac:dyDescent="0.35">
      <c r="B136" s="492"/>
      <c r="C136" s="485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21">
        <v>0</v>
      </c>
    </row>
    <row r="137" spans="2:10" hidden="1" outlineLevel="2" x14ac:dyDescent="0.35">
      <c r="B137" s="492"/>
      <c r="C137" s="485"/>
      <c r="D137" s="222" t="s">
        <v>109</v>
      </c>
      <c r="E137" s="219">
        <v>3</v>
      </c>
      <c r="F137" s="219">
        <v>3</v>
      </c>
      <c r="G137" s="219">
        <v>4150965</v>
      </c>
      <c r="H137" s="219">
        <v>1511523.67</v>
      </c>
      <c r="I137" s="219">
        <v>1354105.7200000002</v>
      </c>
      <c r="J137" s="321">
        <v>157417.94999999998</v>
      </c>
    </row>
    <row r="138" spans="2:10" hidden="1" outlineLevel="2" x14ac:dyDescent="0.35">
      <c r="B138" s="492"/>
      <c r="C138" s="485"/>
      <c r="D138" s="222" t="s">
        <v>108</v>
      </c>
      <c r="E138" s="219">
        <v>3</v>
      </c>
      <c r="F138" s="219">
        <v>3</v>
      </c>
      <c r="G138" s="219">
        <v>4066558</v>
      </c>
      <c r="H138" s="219">
        <v>1626623.2</v>
      </c>
      <c r="I138" s="219">
        <v>1350560.03</v>
      </c>
      <c r="J138" s="321">
        <v>276063.17</v>
      </c>
    </row>
    <row r="139" spans="2:10" hidden="1" outlineLevel="2" x14ac:dyDescent="0.35">
      <c r="B139" s="492"/>
      <c r="C139" s="485"/>
      <c r="D139" s="222" t="s">
        <v>107</v>
      </c>
      <c r="E139" s="219">
        <v>4</v>
      </c>
      <c r="F139" s="219">
        <v>4</v>
      </c>
      <c r="G139" s="219">
        <v>6851497.5500000007</v>
      </c>
      <c r="H139" s="219">
        <v>2503506.02</v>
      </c>
      <c r="I139" s="219">
        <v>2212066.69</v>
      </c>
      <c r="J139" s="321">
        <v>291439.33</v>
      </c>
    </row>
    <row r="140" spans="2:10" hidden="1" outlineLevel="2" x14ac:dyDescent="0.35">
      <c r="B140" s="492"/>
      <c r="C140" s="485"/>
      <c r="D140" s="222" t="s">
        <v>106</v>
      </c>
      <c r="E140" s="219">
        <v>1</v>
      </c>
      <c r="F140" s="219">
        <v>1</v>
      </c>
      <c r="G140" s="219">
        <v>4228331.25</v>
      </c>
      <c r="H140" s="219">
        <v>1268499.3899999999</v>
      </c>
      <c r="I140" s="219">
        <v>1266748.6200000001</v>
      </c>
      <c r="J140" s="321">
        <v>1750.77</v>
      </c>
    </row>
    <row r="141" spans="2:10" hidden="1" outlineLevel="2" x14ac:dyDescent="0.35">
      <c r="B141" s="492"/>
      <c r="C141" s="485"/>
      <c r="D141" s="222" t="s">
        <v>104</v>
      </c>
      <c r="E141" s="219">
        <v>2</v>
      </c>
      <c r="F141" s="219">
        <v>2</v>
      </c>
      <c r="G141" s="219">
        <v>3182434.7</v>
      </c>
      <c r="H141" s="219">
        <v>1272973.8700000001</v>
      </c>
      <c r="I141" s="219">
        <v>1250872.1600000001</v>
      </c>
      <c r="J141" s="321">
        <v>22101.71</v>
      </c>
    </row>
    <row r="142" spans="2:10" hidden="1" outlineLevel="2" x14ac:dyDescent="0.35">
      <c r="B142" s="492"/>
      <c r="C142" s="485"/>
      <c r="D142" s="222" t="s">
        <v>103</v>
      </c>
      <c r="E142" s="219">
        <v>14</v>
      </c>
      <c r="F142" s="219">
        <v>14</v>
      </c>
      <c r="G142" s="219">
        <v>18868741.460000001</v>
      </c>
      <c r="H142" s="219">
        <v>7311014.0300000003</v>
      </c>
      <c r="I142" s="219">
        <v>6443811.1000000006</v>
      </c>
      <c r="J142" s="321">
        <v>867202.92999999993</v>
      </c>
    </row>
    <row r="143" spans="2:10" hidden="1" outlineLevel="2" x14ac:dyDescent="0.35">
      <c r="B143" s="492"/>
      <c r="C143" s="485"/>
      <c r="D143" s="222" t="s">
        <v>102</v>
      </c>
      <c r="E143" s="219">
        <v>6</v>
      </c>
      <c r="F143" s="219">
        <v>6</v>
      </c>
      <c r="G143" s="219">
        <v>8731766.6500000004</v>
      </c>
      <c r="H143" s="219">
        <v>3328762.0500000003</v>
      </c>
      <c r="I143" s="219">
        <v>2865717.6799999997</v>
      </c>
      <c r="J143" s="321">
        <v>463044.37</v>
      </c>
    </row>
    <row r="144" spans="2:10" hidden="1" outlineLevel="2" x14ac:dyDescent="0.35">
      <c r="B144" s="492"/>
      <c r="C144" s="485"/>
      <c r="D144" s="222" t="s">
        <v>101</v>
      </c>
      <c r="E144" s="219">
        <v>1</v>
      </c>
      <c r="F144" s="219">
        <v>1</v>
      </c>
      <c r="G144" s="219">
        <v>3874853.03</v>
      </c>
      <c r="H144" s="219">
        <v>1549941.21</v>
      </c>
      <c r="I144" s="219">
        <v>1332455.9099999999</v>
      </c>
      <c r="J144" s="321">
        <v>217485.3</v>
      </c>
    </row>
    <row r="145" spans="2:10" hidden="1" outlineLevel="2" x14ac:dyDescent="0.35">
      <c r="B145" s="492"/>
      <c r="C145" s="485"/>
      <c r="D145" s="223" t="s">
        <v>99</v>
      </c>
      <c r="E145" s="219">
        <v>5</v>
      </c>
      <c r="F145" s="219">
        <v>5</v>
      </c>
      <c r="G145" s="219">
        <v>9908781.9299999997</v>
      </c>
      <c r="H145" s="219">
        <v>3532475.92</v>
      </c>
      <c r="I145" s="219">
        <v>3091186.33</v>
      </c>
      <c r="J145" s="321">
        <v>441289.59</v>
      </c>
    </row>
    <row r="146" spans="2:10" hidden="1" outlineLevel="2" x14ac:dyDescent="0.35">
      <c r="B146" s="492"/>
      <c r="C146" s="485"/>
      <c r="D146" s="223" t="s">
        <v>98</v>
      </c>
      <c r="E146" s="219">
        <v>2</v>
      </c>
      <c r="F146" s="219">
        <v>2</v>
      </c>
      <c r="G146" s="219">
        <v>3233408.6</v>
      </c>
      <c r="H146" s="219">
        <v>1091759.71</v>
      </c>
      <c r="I146" s="219">
        <v>832922.03</v>
      </c>
      <c r="J146" s="321">
        <v>258837.68</v>
      </c>
    </row>
    <row r="147" spans="2:10" hidden="1" outlineLevel="2" x14ac:dyDescent="0.35">
      <c r="B147" s="492"/>
      <c r="C147" s="485"/>
      <c r="D147" s="223" t="s">
        <v>97</v>
      </c>
      <c r="E147" s="219">
        <v>2</v>
      </c>
      <c r="F147" s="219">
        <v>2</v>
      </c>
      <c r="G147" s="219">
        <v>2436787.7599999998</v>
      </c>
      <c r="H147" s="219">
        <v>974715.12</v>
      </c>
      <c r="I147" s="219">
        <v>825248</v>
      </c>
      <c r="J147" s="321">
        <v>149467.12</v>
      </c>
    </row>
    <row r="148" spans="2:10" hidden="1" outlineLevel="2" x14ac:dyDescent="0.35">
      <c r="B148" s="492"/>
      <c r="C148" s="485"/>
      <c r="D148" s="223" t="s">
        <v>96</v>
      </c>
      <c r="E148" s="219">
        <v>5</v>
      </c>
      <c r="F148" s="219">
        <v>5</v>
      </c>
      <c r="G148" s="219">
        <v>11611452.199999999</v>
      </c>
      <c r="H148" s="219">
        <v>4644580.93</v>
      </c>
      <c r="I148" s="219">
        <v>4417183.3900000006</v>
      </c>
      <c r="J148" s="321">
        <v>227397.54</v>
      </c>
    </row>
    <row r="149" spans="2:10" hidden="1" outlineLevel="2" x14ac:dyDescent="0.35">
      <c r="B149" s="492"/>
      <c r="C149" s="485"/>
      <c r="D149" s="223" t="s">
        <v>94</v>
      </c>
      <c r="E149" s="219">
        <v>1</v>
      </c>
      <c r="F149" s="219">
        <v>1</v>
      </c>
      <c r="G149" s="219">
        <v>2203295.59</v>
      </c>
      <c r="H149" s="219">
        <v>881318.24</v>
      </c>
      <c r="I149" s="219">
        <v>721437.24</v>
      </c>
      <c r="J149" s="321">
        <v>159881</v>
      </c>
    </row>
    <row r="150" spans="2:10" hidden="1" outlineLevel="2" x14ac:dyDescent="0.35">
      <c r="B150" s="492"/>
      <c r="C150" s="485"/>
      <c r="D150" s="223" t="s">
        <v>93</v>
      </c>
      <c r="E150" s="219">
        <v>1</v>
      </c>
      <c r="F150" s="219">
        <v>1</v>
      </c>
      <c r="G150" s="219">
        <v>2016048</v>
      </c>
      <c r="H150" s="219">
        <v>604814.4</v>
      </c>
      <c r="I150" s="219">
        <v>403221</v>
      </c>
      <c r="J150" s="321">
        <v>201593.4</v>
      </c>
    </row>
    <row r="151" spans="2:10" hidden="1" outlineLevel="2" x14ac:dyDescent="0.35">
      <c r="B151" s="492"/>
      <c r="C151" s="485"/>
      <c r="D151" s="223" t="s">
        <v>92</v>
      </c>
      <c r="E151" s="219">
        <v>1</v>
      </c>
      <c r="F151" s="219">
        <v>1</v>
      </c>
      <c r="G151" s="219">
        <v>4954169.5</v>
      </c>
      <c r="H151" s="219">
        <v>1486250.85</v>
      </c>
      <c r="I151" s="219">
        <v>991417</v>
      </c>
      <c r="J151" s="321">
        <v>494833.85</v>
      </c>
    </row>
    <row r="152" spans="2:10" hidden="1" outlineLevel="2" x14ac:dyDescent="0.35">
      <c r="B152" s="492"/>
      <c r="C152" s="485"/>
      <c r="D152" s="223" t="s">
        <v>91</v>
      </c>
      <c r="E152" s="219">
        <v>2</v>
      </c>
      <c r="F152" s="219">
        <v>2</v>
      </c>
      <c r="G152" s="219">
        <v>4150923</v>
      </c>
      <c r="H152" s="219">
        <v>1249859.97</v>
      </c>
      <c r="I152" s="219">
        <v>1220063.27</v>
      </c>
      <c r="J152" s="321">
        <v>29796.7</v>
      </c>
    </row>
    <row r="153" spans="2:10" hidden="1" outlineLevel="2" x14ac:dyDescent="0.35">
      <c r="B153" s="492"/>
      <c r="C153" s="485"/>
      <c r="D153" s="223" t="s">
        <v>89</v>
      </c>
      <c r="E153" s="219">
        <v>2</v>
      </c>
      <c r="F153" s="219">
        <v>2</v>
      </c>
      <c r="G153" s="219">
        <v>3618397.33</v>
      </c>
      <c r="H153" s="219">
        <v>1085519.19</v>
      </c>
      <c r="I153" s="219">
        <v>757621.57000000007</v>
      </c>
      <c r="J153" s="321">
        <v>327897.62</v>
      </c>
    </row>
    <row r="154" spans="2:10" hidden="1" outlineLevel="2" x14ac:dyDescent="0.35">
      <c r="B154" s="492"/>
      <c r="C154" s="485"/>
      <c r="D154" s="223" t="s">
        <v>88</v>
      </c>
      <c r="E154" s="219">
        <v>2</v>
      </c>
      <c r="F154" s="219">
        <v>2</v>
      </c>
      <c r="G154" s="219">
        <v>10991903.059999999</v>
      </c>
      <c r="H154" s="219">
        <v>3297570.92</v>
      </c>
      <c r="I154" s="219">
        <v>2198541.5</v>
      </c>
      <c r="J154" s="321">
        <v>1099029.42</v>
      </c>
    </row>
    <row r="155" spans="2:10" hidden="1" outlineLevel="2" x14ac:dyDescent="0.35">
      <c r="B155" s="492"/>
      <c r="C155" s="485"/>
      <c r="D155" s="223" t="s">
        <v>87</v>
      </c>
      <c r="E155" s="219">
        <v>1</v>
      </c>
      <c r="F155" s="219">
        <v>1</v>
      </c>
      <c r="G155" s="219">
        <v>2142039.62</v>
      </c>
      <c r="H155" s="219">
        <v>642611.88</v>
      </c>
      <c r="I155" s="219">
        <v>482020</v>
      </c>
      <c r="J155" s="321">
        <v>160591.88</v>
      </c>
    </row>
    <row r="156" spans="2:10" hidden="1" outlineLevel="2" x14ac:dyDescent="0.35">
      <c r="B156" s="492"/>
      <c r="C156" s="485"/>
      <c r="D156" s="223" t="s">
        <v>86</v>
      </c>
      <c r="E156" s="219">
        <v>0</v>
      </c>
      <c r="F156" s="219">
        <v>0</v>
      </c>
      <c r="G156" s="219">
        <v>0</v>
      </c>
      <c r="H156" s="219">
        <v>0</v>
      </c>
      <c r="I156" s="219">
        <v>0</v>
      </c>
      <c r="J156" s="321">
        <v>0</v>
      </c>
    </row>
    <row r="157" spans="2:10" hidden="1" outlineLevel="2" x14ac:dyDescent="0.35">
      <c r="B157" s="492"/>
      <c r="C157" s="485"/>
      <c r="D157" s="223" t="s">
        <v>84</v>
      </c>
      <c r="E157" s="219">
        <v>1</v>
      </c>
      <c r="F157" s="219">
        <v>1</v>
      </c>
      <c r="G157" s="219">
        <v>2514899</v>
      </c>
      <c r="H157" s="219">
        <v>251489.9</v>
      </c>
      <c r="I157" s="219">
        <v>0</v>
      </c>
      <c r="J157" s="321">
        <v>251489.9</v>
      </c>
    </row>
    <row r="158" spans="2:10" hidden="1" outlineLevel="2" x14ac:dyDescent="0.35">
      <c r="B158" s="492"/>
      <c r="C158" s="485"/>
      <c r="D158" s="223" t="s">
        <v>83</v>
      </c>
      <c r="E158" s="219">
        <v>3</v>
      </c>
      <c r="F158" s="219">
        <v>2</v>
      </c>
      <c r="G158" s="219">
        <v>8405943.6600000001</v>
      </c>
      <c r="H158" s="219">
        <v>2379274.08</v>
      </c>
      <c r="I158" s="219">
        <v>1679481.04</v>
      </c>
      <c r="J158" s="321">
        <v>699793.04</v>
      </c>
    </row>
    <row r="159" spans="2:10" hidden="1" outlineLevel="2" x14ac:dyDescent="0.35">
      <c r="B159" s="492"/>
      <c r="C159" s="485"/>
      <c r="D159" s="223" t="s">
        <v>82</v>
      </c>
      <c r="E159" s="219">
        <v>2</v>
      </c>
      <c r="F159" s="219">
        <v>2</v>
      </c>
      <c r="G159" s="219">
        <v>4915826.57</v>
      </c>
      <c r="H159" s="219">
        <v>1474747.98</v>
      </c>
      <c r="I159" s="219">
        <v>840657.6</v>
      </c>
      <c r="J159" s="321">
        <v>634090.38</v>
      </c>
    </row>
    <row r="160" spans="2:10" hidden="1" outlineLevel="2" x14ac:dyDescent="0.35">
      <c r="B160" s="492"/>
      <c r="C160" s="485"/>
      <c r="D160" s="223" t="s">
        <v>81</v>
      </c>
      <c r="E160" s="219">
        <v>1</v>
      </c>
      <c r="F160" s="219">
        <v>1</v>
      </c>
      <c r="G160" s="219">
        <v>1427778.84</v>
      </c>
      <c r="H160" s="219">
        <v>285555.76</v>
      </c>
      <c r="I160" s="219">
        <v>253055.76</v>
      </c>
      <c r="J160" s="321">
        <v>32500</v>
      </c>
    </row>
    <row r="161" spans="2:10" hidden="1" outlineLevel="2" x14ac:dyDescent="0.35">
      <c r="B161" s="492"/>
      <c r="C161" s="485"/>
      <c r="D161" s="223" t="s">
        <v>79</v>
      </c>
      <c r="E161" s="219">
        <v>0</v>
      </c>
      <c r="F161" s="219">
        <v>0</v>
      </c>
      <c r="G161" s="219">
        <v>0</v>
      </c>
      <c r="H161" s="219">
        <v>0</v>
      </c>
      <c r="I161" s="219">
        <v>0</v>
      </c>
      <c r="J161" s="321">
        <v>0</v>
      </c>
    </row>
    <row r="162" spans="2:10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21">
        <v>0</v>
      </c>
    </row>
    <row r="163" spans="2:10" outlineLevel="1" collapsed="1" x14ac:dyDescent="0.35">
      <c r="B163" s="492"/>
      <c r="C163" s="485"/>
      <c r="D163" s="221" t="s">
        <v>77</v>
      </c>
      <c r="E163" s="219">
        <f t="shared" ref="E163:J163" si="22">SUM(E164:E185)</f>
        <v>29</v>
      </c>
      <c r="F163" s="219">
        <f t="shared" si="22"/>
        <v>26</v>
      </c>
      <c r="G163" s="219">
        <f t="shared" si="22"/>
        <v>42106702.010000005</v>
      </c>
      <c r="H163" s="219">
        <f t="shared" si="22"/>
        <v>11193141.760000002</v>
      </c>
      <c r="I163" s="219">
        <f t="shared" si="22"/>
        <v>8372114.0900000017</v>
      </c>
      <c r="J163" s="321">
        <f t="shared" si="22"/>
        <v>2821027.67</v>
      </c>
    </row>
    <row r="164" spans="2:10" hidden="1" outlineLevel="2" x14ac:dyDescent="0.35">
      <c r="B164" s="492"/>
      <c r="C164" s="485"/>
      <c r="D164" s="222" t="s">
        <v>75</v>
      </c>
      <c r="E164" s="219">
        <v>0</v>
      </c>
      <c r="F164" s="219">
        <v>0</v>
      </c>
      <c r="G164" s="219">
        <v>0</v>
      </c>
      <c r="H164" s="219">
        <v>0</v>
      </c>
      <c r="I164" s="219">
        <v>0</v>
      </c>
      <c r="J164" s="321">
        <v>0</v>
      </c>
    </row>
    <row r="165" spans="2:10" hidden="1" outlineLevel="2" x14ac:dyDescent="0.35">
      <c r="B165" s="492"/>
      <c r="C165" s="485"/>
      <c r="D165" s="222" t="s">
        <v>74</v>
      </c>
      <c r="E165" s="219">
        <v>1</v>
      </c>
      <c r="F165" s="219">
        <v>1</v>
      </c>
      <c r="G165" s="219">
        <v>1729448.18</v>
      </c>
      <c r="H165" s="219">
        <v>518834.46</v>
      </c>
      <c r="I165" s="219">
        <v>345890</v>
      </c>
      <c r="J165" s="321">
        <v>172944.46</v>
      </c>
    </row>
    <row r="166" spans="2:10" hidden="1" outlineLevel="2" x14ac:dyDescent="0.35">
      <c r="B166" s="492"/>
      <c r="C166" s="485"/>
      <c r="D166" s="222" t="s">
        <v>73</v>
      </c>
      <c r="E166" s="219">
        <v>0</v>
      </c>
      <c r="F166" s="219">
        <v>0</v>
      </c>
      <c r="G166" s="219">
        <v>0</v>
      </c>
      <c r="H166" s="219">
        <v>0</v>
      </c>
      <c r="I166" s="219">
        <v>0</v>
      </c>
      <c r="J166" s="321">
        <v>0</v>
      </c>
    </row>
    <row r="167" spans="2:10" hidden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21">
        <v>0</v>
      </c>
    </row>
    <row r="168" spans="2:10" hidden="1" outlineLevel="2" x14ac:dyDescent="0.35">
      <c r="B168" s="492"/>
      <c r="C168" s="485"/>
      <c r="D168" s="222" t="s">
        <v>70</v>
      </c>
      <c r="E168" s="219">
        <v>0</v>
      </c>
      <c r="F168" s="219">
        <v>0</v>
      </c>
      <c r="G168" s="219">
        <v>0</v>
      </c>
      <c r="H168" s="219">
        <v>0</v>
      </c>
      <c r="I168" s="219">
        <v>0</v>
      </c>
      <c r="J168" s="321">
        <v>0</v>
      </c>
    </row>
    <row r="169" spans="2:10" hidden="1" outlineLevel="2" x14ac:dyDescent="0.35">
      <c r="B169" s="492"/>
      <c r="C169" s="485"/>
      <c r="D169" s="222" t="s">
        <v>69</v>
      </c>
      <c r="E169" s="219">
        <v>0</v>
      </c>
      <c r="F169" s="219">
        <v>0</v>
      </c>
      <c r="G169" s="219">
        <v>0</v>
      </c>
      <c r="H169" s="219">
        <v>0</v>
      </c>
      <c r="I169" s="219">
        <v>0</v>
      </c>
      <c r="J169" s="321">
        <v>0</v>
      </c>
    </row>
    <row r="170" spans="2:10" hidden="1" outlineLevel="2" x14ac:dyDescent="0.35">
      <c r="B170" s="492"/>
      <c r="C170" s="485"/>
      <c r="D170" s="222" t="s">
        <v>68</v>
      </c>
      <c r="E170" s="219">
        <v>2</v>
      </c>
      <c r="F170" s="219">
        <v>2</v>
      </c>
      <c r="G170" s="219">
        <v>2894299.69</v>
      </c>
      <c r="H170" s="219">
        <v>868289.90999999992</v>
      </c>
      <c r="I170" s="219">
        <v>827660.78</v>
      </c>
      <c r="J170" s="321">
        <v>40629.130000000005</v>
      </c>
    </row>
    <row r="171" spans="2:10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21">
        <v>0</v>
      </c>
    </row>
    <row r="172" spans="2:10" hidden="1" outlineLevel="2" x14ac:dyDescent="0.35">
      <c r="B172" s="492"/>
      <c r="C172" s="485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21">
        <v>0</v>
      </c>
    </row>
    <row r="173" spans="2:10" hidden="1" outlineLevel="2" x14ac:dyDescent="0.35">
      <c r="B173" s="492"/>
      <c r="C173" s="485"/>
      <c r="D173" s="222" t="s">
        <v>64</v>
      </c>
      <c r="E173" s="219">
        <v>6</v>
      </c>
      <c r="F173" s="219">
        <v>6</v>
      </c>
      <c r="G173" s="219">
        <v>8708993.4700000007</v>
      </c>
      <c r="H173" s="219">
        <v>2612698.04</v>
      </c>
      <c r="I173" s="219">
        <v>2503614.37</v>
      </c>
      <c r="J173" s="321">
        <v>109083.67</v>
      </c>
    </row>
    <row r="174" spans="2:10" hidden="1" outlineLevel="2" x14ac:dyDescent="0.35">
      <c r="B174" s="492"/>
      <c r="C174" s="485"/>
      <c r="D174" s="222" t="s">
        <v>63</v>
      </c>
      <c r="E174" s="219">
        <v>0</v>
      </c>
      <c r="F174" s="219">
        <v>0</v>
      </c>
      <c r="G174" s="219">
        <v>0</v>
      </c>
      <c r="H174" s="219">
        <v>0</v>
      </c>
      <c r="I174" s="219">
        <v>0</v>
      </c>
      <c r="J174" s="321">
        <v>0</v>
      </c>
    </row>
    <row r="175" spans="2:10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21">
        <v>0</v>
      </c>
    </row>
    <row r="176" spans="2:10" hidden="1" outlineLevel="2" x14ac:dyDescent="0.35">
      <c r="B176" s="492"/>
      <c r="C176" s="485"/>
      <c r="D176" s="222" t="s">
        <v>60</v>
      </c>
      <c r="E176" s="219">
        <v>2</v>
      </c>
      <c r="F176" s="219">
        <v>1</v>
      </c>
      <c r="G176" s="219">
        <v>2854288.51</v>
      </c>
      <c r="H176" s="219">
        <v>570857.69999999995</v>
      </c>
      <c r="I176" s="219">
        <v>285429.59999999998</v>
      </c>
      <c r="J176" s="321">
        <v>285428.09999999998</v>
      </c>
    </row>
    <row r="177" spans="2:10" hidden="1" outlineLevel="2" x14ac:dyDescent="0.35">
      <c r="B177" s="492"/>
      <c r="C177" s="485"/>
      <c r="D177" s="222" t="s">
        <v>59</v>
      </c>
      <c r="E177" s="219">
        <v>11</v>
      </c>
      <c r="F177" s="219">
        <v>9</v>
      </c>
      <c r="G177" s="219">
        <v>15788793.5</v>
      </c>
      <c r="H177" s="219">
        <v>4140208.1</v>
      </c>
      <c r="I177" s="219">
        <v>2949058.38</v>
      </c>
      <c r="J177" s="321">
        <v>1191149.7200000002</v>
      </c>
    </row>
    <row r="178" spans="2:10" hidden="1" outlineLevel="2" x14ac:dyDescent="0.35">
      <c r="B178" s="492"/>
      <c r="C178" s="485"/>
      <c r="D178" s="222" t="s">
        <v>58</v>
      </c>
      <c r="E178" s="219">
        <v>0</v>
      </c>
      <c r="F178" s="219">
        <v>0</v>
      </c>
      <c r="G178" s="219">
        <v>0</v>
      </c>
      <c r="H178" s="219">
        <v>0</v>
      </c>
      <c r="I178" s="219">
        <v>0</v>
      </c>
      <c r="J178" s="321">
        <v>0</v>
      </c>
    </row>
    <row r="179" spans="2:10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21">
        <v>0</v>
      </c>
    </row>
    <row r="180" spans="2:10" hidden="1" outlineLevel="2" x14ac:dyDescent="0.35">
      <c r="B180" s="492"/>
      <c r="C180" s="485"/>
      <c r="D180" s="222" t="s">
        <v>55</v>
      </c>
      <c r="E180" s="219">
        <v>2</v>
      </c>
      <c r="F180" s="219">
        <v>2</v>
      </c>
      <c r="G180" s="219">
        <v>2856316.13</v>
      </c>
      <c r="H180" s="219">
        <v>714719.42999999993</v>
      </c>
      <c r="I180" s="219">
        <v>466635.4</v>
      </c>
      <c r="J180" s="321">
        <v>248084.03</v>
      </c>
    </row>
    <row r="181" spans="2:10" hidden="1" outlineLevel="2" x14ac:dyDescent="0.35">
      <c r="B181" s="492"/>
      <c r="C181" s="485"/>
      <c r="D181" s="222" t="s">
        <v>54</v>
      </c>
      <c r="E181" s="219">
        <v>3</v>
      </c>
      <c r="F181" s="219">
        <v>3</v>
      </c>
      <c r="G181" s="219">
        <v>4493041.71</v>
      </c>
      <c r="H181" s="219">
        <v>1211229.96</v>
      </c>
      <c r="I181" s="219">
        <v>578655.74</v>
      </c>
      <c r="J181" s="321">
        <v>632574.22</v>
      </c>
    </row>
    <row r="182" spans="2:10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21">
        <v>0</v>
      </c>
    </row>
    <row r="183" spans="2:10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21">
        <v>0</v>
      </c>
    </row>
    <row r="184" spans="2:10" hidden="1" outlineLevel="2" x14ac:dyDescent="0.35">
      <c r="B184" s="492"/>
      <c r="C184" s="485"/>
      <c r="D184" s="222" t="s">
        <v>50</v>
      </c>
      <c r="E184" s="219">
        <v>1</v>
      </c>
      <c r="F184" s="219">
        <v>1</v>
      </c>
      <c r="G184" s="219">
        <v>1389733.8</v>
      </c>
      <c r="H184" s="219">
        <v>277946.76</v>
      </c>
      <c r="I184" s="219">
        <v>138990.82</v>
      </c>
      <c r="J184" s="321">
        <v>138955.94</v>
      </c>
    </row>
    <row r="185" spans="2:10" hidden="1" outlineLevel="2" x14ac:dyDescent="0.35">
      <c r="B185" s="492"/>
      <c r="C185" s="485"/>
      <c r="D185" s="222" t="s">
        <v>49</v>
      </c>
      <c r="E185" s="219">
        <v>1</v>
      </c>
      <c r="F185" s="219">
        <v>1</v>
      </c>
      <c r="G185" s="219">
        <v>1391787.02</v>
      </c>
      <c r="H185" s="219">
        <v>278357.40000000002</v>
      </c>
      <c r="I185" s="219">
        <v>276179</v>
      </c>
      <c r="J185" s="321">
        <v>2178.4</v>
      </c>
    </row>
    <row r="186" spans="2:10" x14ac:dyDescent="0.35">
      <c r="B186" s="492"/>
      <c r="C186" s="485"/>
      <c r="D186" s="347" t="s">
        <v>243</v>
      </c>
      <c r="E186" s="383">
        <f t="shared" ref="E186:J186" si="23">SUM(E163,E128,E123)</f>
        <v>224</v>
      </c>
      <c r="F186" s="383">
        <f t="shared" si="23"/>
        <v>112</v>
      </c>
      <c r="G186" s="383">
        <f t="shared" si="23"/>
        <v>280355043.38</v>
      </c>
      <c r="H186" s="383">
        <f t="shared" si="23"/>
        <v>94297665.079999998</v>
      </c>
      <c r="I186" s="382">
        <f t="shared" si="23"/>
        <v>72026134.330000013</v>
      </c>
      <c r="J186" s="381">
        <f t="shared" si="23"/>
        <v>22271530.75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J187" si="24">SUM(E188:E190)</f>
        <v>18</v>
      </c>
      <c r="F187" s="219">
        <f t="shared" si="24"/>
        <v>17</v>
      </c>
      <c r="G187" s="219">
        <f t="shared" si="24"/>
        <v>25192039.299999997</v>
      </c>
      <c r="H187" s="219">
        <f t="shared" si="24"/>
        <v>7557611.7699999996</v>
      </c>
      <c r="I187" s="219">
        <f t="shared" si="24"/>
        <v>5795359.9600000009</v>
      </c>
      <c r="J187" s="321">
        <f t="shared" si="24"/>
        <v>1762251.8099999998</v>
      </c>
    </row>
    <row r="188" spans="2:10" ht="15" hidden="1" customHeight="1" outlineLevel="2" x14ac:dyDescent="0.35">
      <c r="B188" s="492"/>
      <c r="C188" s="485"/>
      <c r="D188" s="222" t="s">
        <v>126</v>
      </c>
      <c r="E188" s="219">
        <v>7</v>
      </c>
      <c r="F188" s="219">
        <v>6</v>
      </c>
      <c r="G188" s="219">
        <v>9884968.3599999994</v>
      </c>
      <c r="H188" s="219">
        <v>2965490.4999999995</v>
      </c>
      <c r="I188" s="219">
        <v>2016536.5</v>
      </c>
      <c r="J188" s="321">
        <v>948953.99999999988</v>
      </c>
    </row>
    <row r="189" spans="2:10" ht="15" hidden="1" customHeight="1" outlineLevel="2" x14ac:dyDescent="0.35">
      <c r="B189" s="492"/>
      <c r="C189" s="485"/>
      <c r="D189" s="222" t="s">
        <v>125</v>
      </c>
      <c r="E189" s="219">
        <v>7</v>
      </c>
      <c r="F189" s="219">
        <v>7</v>
      </c>
      <c r="G189" s="219">
        <v>9519833.1999999993</v>
      </c>
      <c r="H189" s="219">
        <v>2855949.95</v>
      </c>
      <c r="I189" s="219">
        <v>2241989.0700000003</v>
      </c>
      <c r="J189" s="321">
        <v>613960.87999999989</v>
      </c>
    </row>
    <row r="190" spans="2:10" ht="15" hidden="1" customHeight="1" outlineLevel="2" x14ac:dyDescent="0.35">
      <c r="B190" s="492"/>
      <c r="C190" s="485"/>
      <c r="D190" s="222" t="s">
        <v>124</v>
      </c>
      <c r="E190" s="219">
        <v>4</v>
      </c>
      <c r="F190" s="219">
        <v>4</v>
      </c>
      <c r="G190" s="219">
        <v>5787237.7400000002</v>
      </c>
      <c r="H190" s="219">
        <v>1736171.3199999998</v>
      </c>
      <c r="I190" s="219">
        <v>1536834.3900000001</v>
      </c>
      <c r="J190" s="321">
        <v>199336.93</v>
      </c>
    </row>
    <row r="191" spans="2:10" outlineLevel="1" collapsed="1" x14ac:dyDescent="0.35">
      <c r="B191" s="492"/>
      <c r="C191" s="485"/>
      <c r="D191" s="221" t="s">
        <v>46</v>
      </c>
      <c r="E191" s="219">
        <f t="shared" ref="E191:J191" si="25">SUM(E192:E195)</f>
        <v>0</v>
      </c>
      <c r="F191" s="219">
        <f t="shared" si="25"/>
        <v>0</v>
      </c>
      <c r="G191" s="219">
        <f t="shared" si="25"/>
        <v>0</v>
      </c>
      <c r="H191" s="219">
        <f t="shared" si="25"/>
        <v>0</v>
      </c>
      <c r="I191" s="219">
        <f t="shared" si="25"/>
        <v>0</v>
      </c>
      <c r="J191" s="321">
        <f t="shared" si="25"/>
        <v>0</v>
      </c>
    </row>
    <row r="192" spans="2:10" ht="15" hidden="1" customHeight="1" outlineLevel="2" x14ac:dyDescent="0.35">
      <c r="B192" s="492"/>
      <c r="C192" s="485"/>
      <c r="D192" s="222" t="s">
        <v>45</v>
      </c>
      <c r="E192" s="219">
        <v>0</v>
      </c>
      <c r="F192" s="219">
        <v>0</v>
      </c>
      <c r="G192" s="219">
        <v>0</v>
      </c>
      <c r="H192" s="219">
        <v>0</v>
      </c>
      <c r="I192" s="219">
        <v>0</v>
      </c>
      <c r="J192" s="321">
        <v>0</v>
      </c>
    </row>
    <row r="193" spans="2:10" ht="1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21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21">
        <v>0</v>
      </c>
    </row>
    <row r="195" spans="2:10" ht="15" hidden="1" customHeight="1" outlineLevel="2" x14ac:dyDescent="0.35">
      <c r="B195" s="492"/>
      <c r="C195" s="485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21">
        <v>0</v>
      </c>
    </row>
    <row r="196" spans="2:10" x14ac:dyDescent="0.35">
      <c r="B196" s="493"/>
      <c r="C196" s="494"/>
      <c r="D196" s="347" t="s">
        <v>239</v>
      </c>
      <c r="E196" s="383">
        <f t="shared" ref="E196:J196" si="26">SUM(E191,E187)</f>
        <v>18</v>
      </c>
      <c r="F196" s="383">
        <f t="shared" si="26"/>
        <v>17</v>
      </c>
      <c r="G196" s="383">
        <f t="shared" si="26"/>
        <v>25192039.299999997</v>
      </c>
      <c r="H196" s="383">
        <f t="shared" si="26"/>
        <v>7557611.7699999996</v>
      </c>
      <c r="I196" s="382">
        <f t="shared" si="26"/>
        <v>5795359.9600000009</v>
      </c>
      <c r="J196" s="381">
        <f t="shared" si="26"/>
        <v>1762251.8099999998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5" hidden="1" customHeight="1" outlineLevel="2" x14ac:dyDescent="0.35">
      <c r="B198" s="492"/>
      <c r="C198" s="485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21">
        <v>0</v>
      </c>
    </row>
    <row r="199" spans="2:10" ht="15" hidden="1" customHeight="1" outlineLevel="2" x14ac:dyDescent="0.35">
      <c r="B199" s="492"/>
      <c r="C199" s="485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21">
        <v>0</v>
      </c>
    </row>
    <row r="200" spans="2:10" ht="15" hidden="1" customHeight="1" outlineLevel="2" x14ac:dyDescent="0.35">
      <c r="B200" s="492"/>
      <c r="C200" s="485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21">
        <v>0</v>
      </c>
    </row>
    <row r="201" spans="2:10" outlineLevel="1" collapsed="1" x14ac:dyDescent="0.35">
      <c r="B201" s="492"/>
      <c r="C201" s="485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21">
        <v>0</v>
      </c>
    </row>
    <row r="202" spans="2:10" outlineLevel="1" x14ac:dyDescent="0.35">
      <c r="B202" s="492"/>
      <c r="C202" s="485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21">
        <v>0</v>
      </c>
    </row>
    <row r="203" spans="2:10" x14ac:dyDescent="0.35">
      <c r="B203" s="493"/>
      <c r="C203" s="494"/>
      <c r="D203" s="347" t="s">
        <v>236</v>
      </c>
      <c r="E203" s="383">
        <f t="shared" ref="E203:J203" si="28">SUM(E202,E201,E197)</f>
        <v>0</v>
      </c>
      <c r="F203" s="383">
        <f t="shared" si="28"/>
        <v>0</v>
      </c>
      <c r="G203" s="383">
        <f t="shared" si="28"/>
        <v>0</v>
      </c>
      <c r="H203" s="383">
        <f t="shared" si="28"/>
        <v>0</v>
      </c>
      <c r="I203" s="382">
        <f t="shared" si="28"/>
        <v>0</v>
      </c>
      <c r="J203" s="381">
        <f t="shared" si="28"/>
        <v>0</v>
      </c>
    </row>
    <row r="204" spans="2:10" ht="15" thickBot="1" x14ac:dyDescent="0.4">
      <c r="B204" s="545" t="s">
        <v>235</v>
      </c>
      <c r="C204" s="546"/>
      <c r="D204" s="339" t="s">
        <v>15</v>
      </c>
      <c r="E204" s="380">
        <f t="shared" ref="E204:J204" si="29">SUM(E203,E186,E121,E108,E75,E41,E116,E196)</f>
        <v>887</v>
      </c>
      <c r="F204" s="380">
        <f t="shared" si="29"/>
        <v>742</v>
      </c>
      <c r="G204" s="380">
        <f t="shared" si="29"/>
        <v>1854894825.1899998</v>
      </c>
      <c r="H204" s="380">
        <f t="shared" si="29"/>
        <v>804618359.08000016</v>
      </c>
      <c r="I204" s="380">
        <f t="shared" si="29"/>
        <v>704187065.88000011</v>
      </c>
      <c r="J204" s="379">
        <f t="shared" si="29"/>
        <v>100431293.20000002</v>
      </c>
    </row>
    <row r="205" spans="2:10" x14ac:dyDescent="0.35">
      <c r="J205" s="290">
        <f>'Overdue-2'!M204</f>
        <v>100431293.20000002</v>
      </c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505" right="0.70866141732283505" top="0.74803149606299202" bottom="0.74803149606299202" header="0.31496062992126" footer="0.31496062992126"/>
  <pageSetup paperSize="8" scale="81" orientation="landscape" r:id="rId1"/>
  <headerFooter alignWithMargins="0">
    <oddHeader>&amp;LSOBHA LLC&amp;C&amp;"Tahoma,Regular"&amp;14
OVERDUE AGEING_ Age calc. from first date of Deliquency_121-180 Days&amp;R&amp;D</oddHeader>
    <oddFooter>&amp;LCOLLECTIONS&amp;R&amp;P/&amp;N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7411-EC4A-4BE6-8CEC-0E85742FA958}">
  <sheetPr>
    <pageSetUpPr fitToPage="1"/>
  </sheetPr>
  <dimension ref="B1:M226"/>
  <sheetViews>
    <sheetView view="pageBreakPreview" topLeftCell="A109" zoomScale="55" zoomScaleNormal="100" zoomScaleSheetLayoutView="55" workbookViewId="0"/>
  </sheetViews>
  <sheetFormatPr defaultRowHeight="14.5" outlineLevelRow="2" x14ac:dyDescent="0.35"/>
  <cols>
    <col min="2" max="2" width="18.26953125" bestFit="1" customWidth="1"/>
    <col min="3" max="3" width="5.7265625" bestFit="1" customWidth="1"/>
    <col min="4" max="4" width="39.7265625" bestFit="1" customWidth="1"/>
    <col min="5" max="5" width="15.7265625" customWidth="1"/>
    <col min="6" max="6" width="22.81640625" bestFit="1" customWidth="1"/>
    <col min="7" max="7" width="21.453125" bestFit="1" customWidth="1"/>
    <col min="8" max="8" width="21.7265625" bestFit="1" customWidth="1"/>
    <col min="9" max="9" width="34.26953125" bestFit="1" customWidth="1"/>
    <col min="10" max="10" width="27" style="6" bestFit="1" customWidth="1"/>
    <col min="11" max="11" width="6" bestFit="1" customWidth="1"/>
    <col min="12" max="12" width="5" bestFit="1" customWidth="1"/>
    <col min="13" max="13" width="17.453125" bestFit="1" customWidth="1"/>
  </cols>
  <sheetData>
    <row r="1" spans="2:13" x14ac:dyDescent="0.35">
      <c r="M1" s="290">
        <v>892288637.48000109</v>
      </c>
    </row>
    <row r="3" spans="2:13" x14ac:dyDescent="0.35">
      <c r="B3" s="390">
        <v>46143</v>
      </c>
      <c r="C3" t="s">
        <v>263</v>
      </c>
    </row>
    <row r="4" spans="2:13" ht="15" thickBot="1" x14ac:dyDescent="0.4"/>
    <row r="5" spans="2:13" x14ac:dyDescent="0.35">
      <c r="B5" s="510" t="s">
        <v>276</v>
      </c>
      <c r="C5" s="541"/>
      <c r="D5" s="543" t="s">
        <v>275</v>
      </c>
      <c r="E5" s="534" t="s">
        <v>281</v>
      </c>
      <c r="F5" s="536" t="s">
        <v>280</v>
      </c>
      <c r="G5" s="534" t="s">
        <v>274</v>
      </c>
      <c r="H5" s="516" t="s">
        <v>273</v>
      </c>
      <c r="I5" s="539" t="s">
        <v>289</v>
      </c>
      <c r="J5" s="387" t="s">
        <v>286</v>
      </c>
    </row>
    <row r="6" spans="2:13" x14ac:dyDescent="0.35">
      <c r="B6" s="512"/>
      <c r="C6" s="542"/>
      <c r="D6" s="544"/>
      <c r="E6" s="535"/>
      <c r="F6" s="537"/>
      <c r="G6" s="535"/>
      <c r="H6" s="538"/>
      <c r="I6" s="540"/>
      <c r="J6" s="386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6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21</v>
      </c>
      <c r="F8" s="219">
        <f t="shared" si="0"/>
        <v>20</v>
      </c>
      <c r="G8" s="219">
        <f t="shared" si="0"/>
        <v>33088765.82</v>
      </c>
      <c r="H8" s="219">
        <f t="shared" si="0"/>
        <v>33388678.689999998</v>
      </c>
      <c r="I8" s="219">
        <f t="shared" si="0"/>
        <v>29858918.439999998</v>
      </c>
      <c r="J8" s="326">
        <f t="shared" si="0"/>
        <v>3529760.25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2</v>
      </c>
      <c r="F9" s="219">
        <v>2</v>
      </c>
      <c r="G9" s="219">
        <v>3988748</v>
      </c>
      <c r="H9" s="219">
        <v>3988748</v>
      </c>
      <c r="I9" s="219">
        <v>3088230</v>
      </c>
      <c r="J9" s="326">
        <v>900518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6">
        <v>0</v>
      </c>
    </row>
    <row r="11" spans="2:13" hidden="1" outlineLevel="2" x14ac:dyDescent="0.35">
      <c r="B11" s="503"/>
      <c r="C11" s="506"/>
      <c r="D11" s="242" t="s">
        <v>215</v>
      </c>
      <c r="E11" s="219">
        <v>8</v>
      </c>
      <c r="F11" s="219">
        <v>7</v>
      </c>
      <c r="G11" s="219">
        <v>13885040</v>
      </c>
      <c r="H11" s="219">
        <v>14497540</v>
      </c>
      <c r="I11" s="219">
        <v>14224454.5</v>
      </c>
      <c r="J11" s="326">
        <v>273085.5</v>
      </c>
    </row>
    <row r="12" spans="2:13" hidden="1" outlineLevel="2" x14ac:dyDescent="0.35">
      <c r="B12" s="503"/>
      <c r="C12" s="506"/>
      <c r="D12" s="242" t="s">
        <v>214</v>
      </c>
      <c r="E12" s="219">
        <v>1</v>
      </c>
      <c r="F12" s="219">
        <v>1</v>
      </c>
      <c r="G12" s="219">
        <v>1271320</v>
      </c>
      <c r="H12" s="219">
        <v>1271320</v>
      </c>
      <c r="I12" s="219">
        <v>1176622.3999999999</v>
      </c>
      <c r="J12" s="326">
        <v>94697.600000000006</v>
      </c>
    </row>
    <row r="13" spans="2:13" hidden="1" outlineLevel="2" x14ac:dyDescent="0.35">
      <c r="B13" s="503"/>
      <c r="C13" s="506"/>
      <c r="D13" s="242" t="s">
        <v>213</v>
      </c>
      <c r="E13" s="219">
        <v>5</v>
      </c>
      <c r="F13" s="219">
        <v>5</v>
      </c>
      <c r="G13" s="219">
        <v>8601717.9699999988</v>
      </c>
      <c r="H13" s="219">
        <v>8211630.8099999996</v>
      </c>
      <c r="I13" s="219">
        <v>6622795.1200000001</v>
      </c>
      <c r="J13" s="326">
        <v>1588835.69</v>
      </c>
    </row>
    <row r="14" spans="2:13" hidden="1" outlineLevel="2" x14ac:dyDescent="0.35">
      <c r="B14" s="503"/>
      <c r="C14" s="506"/>
      <c r="D14" s="242" t="s">
        <v>212</v>
      </c>
      <c r="E14" s="219">
        <v>5</v>
      </c>
      <c r="F14" s="219">
        <v>5</v>
      </c>
      <c r="G14" s="219">
        <v>5341939.8499999996</v>
      </c>
      <c r="H14" s="219">
        <v>5419439.8799999999</v>
      </c>
      <c r="I14" s="219">
        <v>4746816.42</v>
      </c>
      <c r="J14" s="326">
        <v>672623.46</v>
      </c>
    </row>
    <row r="15" spans="2:13" outlineLevel="1" collapsed="1" x14ac:dyDescent="0.35">
      <c r="B15" s="503"/>
      <c r="C15" s="506"/>
      <c r="D15" s="236" t="s">
        <v>10</v>
      </c>
      <c r="E15" s="219">
        <v>3</v>
      </c>
      <c r="F15" s="219">
        <v>3</v>
      </c>
      <c r="G15" s="219">
        <v>5283029.5299999993</v>
      </c>
      <c r="H15" s="219">
        <v>5283029.5299999993</v>
      </c>
      <c r="I15" s="219">
        <v>3481615.12</v>
      </c>
      <c r="J15" s="326">
        <v>1801414.41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6</v>
      </c>
      <c r="F16" s="219">
        <f t="shared" si="1"/>
        <v>6</v>
      </c>
      <c r="G16" s="219">
        <f t="shared" si="1"/>
        <v>87392776.079999998</v>
      </c>
      <c r="H16" s="219">
        <f t="shared" si="1"/>
        <v>87392777.579999998</v>
      </c>
      <c r="I16" s="219">
        <f t="shared" si="1"/>
        <v>85770188.299999997</v>
      </c>
      <c r="J16" s="326">
        <f t="shared" si="1"/>
        <v>1622589.2799999998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6">
        <v>0</v>
      </c>
    </row>
    <row r="18" spans="2:10" hidden="1" outlineLevel="2" x14ac:dyDescent="0.35">
      <c r="B18" s="503"/>
      <c r="C18" s="506"/>
      <c r="D18" s="242" t="s">
        <v>210</v>
      </c>
      <c r="E18" s="219">
        <v>1</v>
      </c>
      <c r="F18" s="219">
        <v>1</v>
      </c>
      <c r="G18" s="219">
        <v>16972225</v>
      </c>
      <c r="H18" s="219">
        <v>16972226.5</v>
      </c>
      <c r="I18" s="219">
        <v>16947225</v>
      </c>
      <c r="J18" s="326">
        <v>25001.5</v>
      </c>
    </row>
    <row r="19" spans="2:10" hidden="1" outlineLevel="2" x14ac:dyDescent="0.35">
      <c r="B19" s="503"/>
      <c r="C19" s="506"/>
      <c r="D19" s="242" t="s">
        <v>209</v>
      </c>
      <c r="E19" s="219">
        <v>2</v>
      </c>
      <c r="F19" s="219">
        <v>2</v>
      </c>
      <c r="G19" s="219">
        <v>15184378.199999999</v>
      </c>
      <c r="H19" s="219">
        <v>15184378.199999999</v>
      </c>
      <c r="I19" s="219">
        <v>15134878</v>
      </c>
      <c r="J19" s="326">
        <v>49500.2</v>
      </c>
    </row>
    <row r="20" spans="2:10" hidden="1" outlineLevel="2" x14ac:dyDescent="0.35">
      <c r="B20" s="503"/>
      <c r="C20" s="506"/>
      <c r="D20" s="242" t="s">
        <v>208</v>
      </c>
      <c r="E20" s="219">
        <v>3</v>
      </c>
      <c r="F20" s="219">
        <v>3</v>
      </c>
      <c r="G20" s="219">
        <v>55236172.879999995</v>
      </c>
      <c r="H20" s="219">
        <v>55236172.879999995</v>
      </c>
      <c r="I20" s="219">
        <v>53688085.299999997</v>
      </c>
      <c r="J20" s="326">
        <v>1548087.5799999998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6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24</v>
      </c>
      <c r="F22" s="219">
        <f t="shared" si="2"/>
        <v>24</v>
      </c>
      <c r="G22" s="219">
        <f t="shared" si="2"/>
        <v>24065070.059999999</v>
      </c>
      <c r="H22" s="219">
        <f t="shared" si="2"/>
        <v>24065070.02</v>
      </c>
      <c r="I22" s="219">
        <f t="shared" si="2"/>
        <v>21658870.719999999</v>
      </c>
      <c r="J22" s="326">
        <f t="shared" si="2"/>
        <v>2406199.2999999998</v>
      </c>
    </row>
    <row r="23" spans="2:10" hidden="1" outlineLevel="2" x14ac:dyDescent="0.35">
      <c r="B23" s="503"/>
      <c r="C23" s="506"/>
      <c r="D23" s="242" t="s">
        <v>9</v>
      </c>
      <c r="E23" s="219">
        <v>10</v>
      </c>
      <c r="F23" s="219">
        <v>10</v>
      </c>
      <c r="G23" s="219">
        <v>9551234.1499999985</v>
      </c>
      <c r="H23" s="219">
        <v>9551234.2899999991</v>
      </c>
      <c r="I23" s="219">
        <v>8211759.0899999999</v>
      </c>
      <c r="J23" s="321">
        <v>1339475.2</v>
      </c>
    </row>
    <row r="24" spans="2:10" hidden="1" outlineLevel="2" x14ac:dyDescent="0.35">
      <c r="B24" s="503"/>
      <c r="C24" s="506"/>
      <c r="D24" s="242" t="s">
        <v>7</v>
      </c>
      <c r="E24" s="219">
        <v>5</v>
      </c>
      <c r="F24" s="219">
        <v>5</v>
      </c>
      <c r="G24" s="219">
        <v>5550001.1600000001</v>
      </c>
      <c r="H24" s="219">
        <v>5550001.1600000001</v>
      </c>
      <c r="I24" s="219">
        <v>5194465.54</v>
      </c>
      <c r="J24" s="321">
        <v>355535.62</v>
      </c>
    </row>
    <row r="25" spans="2:10" hidden="1" outlineLevel="2" x14ac:dyDescent="0.35">
      <c r="B25" s="503"/>
      <c r="C25" s="506"/>
      <c r="D25" s="242" t="s">
        <v>13</v>
      </c>
      <c r="E25" s="219">
        <v>2</v>
      </c>
      <c r="F25" s="219">
        <v>2</v>
      </c>
      <c r="G25" s="219">
        <v>1608511.1</v>
      </c>
      <c r="H25" s="219">
        <v>1608511</v>
      </c>
      <c r="I25" s="219">
        <v>962754</v>
      </c>
      <c r="J25" s="321">
        <v>645757</v>
      </c>
    </row>
    <row r="26" spans="2:10" hidden="1" outlineLevel="2" x14ac:dyDescent="0.35">
      <c r="B26" s="503"/>
      <c r="C26" s="506"/>
      <c r="D26" s="242" t="s">
        <v>11</v>
      </c>
      <c r="E26" s="219">
        <v>7</v>
      </c>
      <c r="F26" s="219">
        <v>7</v>
      </c>
      <c r="G26" s="219">
        <v>7355323.6500000004</v>
      </c>
      <c r="H26" s="219">
        <v>7355323.5699999994</v>
      </c>
      <c r="I26" s="219">
        <v>7289892.0899999999</v>
      </c>
      <c r="J26" s="321">
        <v>65431.479999999996</v>
      </c>
    </row>
    <row r="27" spans="2:10" outlineLevel="1" collapsed="1" x14ac:dyDescent="0.35">
      <c r="B27" s="503"/>
      <c r="C27" s="506"/>
      <c r="D27" s="236" t="s">
        <v>5</v>
      </c>
      <c r="E27" s="219">
        <v>13</v>
      </c>
      <c r="F27" s="219">
        <v>13</v>
      </c>
      <c r="G27" s="219">
        <v>16741052</v>
      </c>
      <c r="H27" s="219">
        <v>16792603</v>
      </c>
      <c r="I27" s="219">
        <v>15837374.82</v>
      </c>
      <c r="J27" s="321">
        <v>955228.17999999993</v>
      </c>
    </row>
    <row r="28" spans="2:10" outlineLevel="1" x14ac:dyDescent="0.35">
      <c r="B28" s="503"/>
      <c r="C28" s="506"/>
      <c r="D28" s="236" t="s">
        <v>6</v>
      </c>
      <c r="E28" s="219">
        <v>4</v>
      </c>
      <c r="F28" s="219">
        <v>3</v>
      </c>
      <c r="G28" s="219">
        <v>10419826</v>
      </c>
      <c r="H28" s="219">
        <v>10728439.02</v>
      </c>
      <c r="I28" s="219">
        <v>9679961.75</v>
      </c>
      <c r="J28" s="321">
        <v>1048477.27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1</v>
      </c>
      <c r="F29" s="219">
        <f t="shared" si="3"/>
        <v>1</v>
      </c>
      <c r="G29" s="219">
        <f t="shared" si="3"/>
        <v>3490440</v>
      </c>
      <c r="H29" s="219">
        <f t="shared" si="3"/>
        <v>3490440</v>
      </c>
      <c r="I29" s="219">
        <f t="shared" si="3"/>
        <v>3488779.4</v>
      </c>
      <c r="J29" s="321">
        <f t="shared" si="3"/>
        <v>1660.6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1</v>
      </c>
      <c r="F31" s="219">
        <v>1</v>
      </c>
      <c r="G31" s="219">
        <v>3490440</v>
      </c>
      <c r="H31" s="219">
        <v>3490440</v>
      </c>
      <c r="I31" s="219">
        <v>3488779.4</v>
      </c>
      <c r="J31" s="321">
        <v>1660.6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6</v>
      </c>
      <c r="F33" s="219">
        <v>6</v>
      </c>
      <c r="G33" s="219">
        <v>12766284.75</v>
      </c>
      <c r="H33" s="219">
        <v>10663469.66</v>
      </c>
      <c r="I33" s="219">
        <v>8176775.9299999997</v>
      </c>
      <c r="J33" s="321">
        <v>2486693.73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15</v>
      </c>
      <c r="F34" s="219">
        <f t="shared" si="4"/>
        <v>15</v>
      </c>
      <c r="G34" s="219">
        <f t="shared" si="4"/>
        <v>33397845.25</v>
      </c>
      <c r="H34" s="219">
        <f t="shared" si="4"/>
        <v>24980303.670000002</v>
      </c>
      <c r="I34" s="219">
        <f t="shared" si="4"/>
        <v>7695264.54</v>
      </c>
      <c r="J34" s="321">
        <f t="shared" si="4"/>
        <v>17285039.129999999</v>
      </c>
    </row>
    <row r="35" spans="2:10" hidden="1" outlineLevel="2" x14ac:dyDescent="0.35">
      <c r="B35" s="503"/>
      <c r="C35" s="506"/>
      <c r="D35" s="242" t="s">
        <v>22</v>
      </c>
      <c r="E35" s="219">
        <v>9</v>
      </c>
      <c r="F35" s="219">
        <v>9</v>
      </c>
      <c r="G35" s="219">
        <v>24510774.75</v>
      </c>
      <c r="H35" s="219">
        <v>18670384.600000001</v>
      </c>
      <c r="I35" s="219">
        <v>5602517.6299999999</v>
      </c>
      <c r="J35" s="321">
        <v>13067866.970000001</v>
      </c>
    </row>
    <row r="36" spans="2:10" hidden="1" outlineLevel="2" x14ac:dyDescent="0.35">
      <c r="B36" s="503"/>
      <c r="C36" s="506"/>
      <c r="D36" s="242" t="s">
        <v>21</v>
      </c>
      <c r="E36" s="219">
        <v>3</v>
      </c>
      <c r="F36" s="219">
        <v>3</v>
      </c>
      <c r="G36" s="219">
        <v>5345089.75</v>
      </c>
      <c r="H36" s="219">
        <v>4096181.0500000003</v>
      </c>
      <c r="I36" s="219">
        <v>1152107.75</v>
      </c>
      <c r="J36" s="321">
        <v>2944073.3</v>
      </c>
    </row>
    <row r="37" spans="2:10" hidden="1" outlineLevel="2" x14ac:dyDescent="0.35">
      <c r="B37" s="503"/>
      <c r="C37" s="506"/>
      <c r="D37" s="242" t="s">
        <v>20</v>
      </c>
      <c r="E37" s="219">
        <v>3</v>
      </c>
      <c r="F37" s="219">
        <v>3</v>
      </c>
      <c r="G37" s="219">
        <v>3541980.75</v>
      </c>
      <c r="H37" s="219">
        <v>2213738.02</v>
      </c>
      <c r="I37" s="219">
        <v>940639.15999999992</v>
      </c>
      <c r="J37" s="321">
        <v>1273098.8599999999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2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3</v>
      </c>
      <c r="F40" s="219">
        <v>3</v>
      </c>
      <c r="G40" s="219">
        <v>130714573.05</v>
      </c>
      <c r="H40" s="219">
        <v>130714573.07000001</v>
      </c>
      <c r="I40" s="219">
        <v>26906618.82</v>
      </c>
      <c r="J40" s="321">
        <v>103807954.25</v>
      </c>
    </row>
    <row r="41" spans="2:10" x14ac:dyDescent="0.35">
      <c r="B41" s="504"/>
      <c r="C41" s="507"/>
      <c r="D41" s="347" t="s">
        <v>259</v>
      </c>
      <c r="E41" s="383">
        <f t="shared" ref="E41:J41" si="5">SUM(E8,E15:E16,E27:E29,E22,E33:E34,E40)</f>
        <v>96</v>
      </c>
      <c r="F41" s="383">
        <f t="shared" si="5"/>
        <v>94</v>
      </c>
      <c r="G41" s="383">
        <f t="shared" si="5"/>
        <v>357359662.54000002</v>
      </c>
      <c r="H41" s="383">
        <f t="shared" si="5"/>
        <v>347499384.24000001</v>
      </c>
      <c r="I41" s="382">
        <f t="shared" si="5"/>
        <v>212554367.84</v>
      </c>
      <c r="J41" s="381">
        <f t="shared" si="5"/>
        <v>134945016.40000001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30</v>
      </c>
      <c r="F43" s="219">
        <f t="shared" si="6"/>
        <v>30</v>
      </c>
      <c r="G43" s="219">
        <f t="shared" si="6"/>
        <v>86718287.180000007</v>
      </c>
      <c r="H43" s="219">
        <f t="shared" si="6"/>
        <v>67386563.650000006</v>
      </c>
      <c r="I43" s="219">
        <f t="shared" si="6"/>
        <v>40563754.660000004</v>
      </c>
      <c r="J43" s="321">
        <f t="shared" si="6"/>
        <v>26822808.990000002</v>
      </c>
    </row>
    <row r="44" spans="2:10" hidden="1" outlineLevel="2" x14ac:dyDescent="0.35">
      <c r="B44" s="487"/>
      <c r="C44" s="490"/>
      <c r="D44" s="262" t="s">
        <v>202</v>
      </c>
      <c r="E44" s="219">
        <v>11</v>
      </c>
      <c r="F44" s="219">
        <v>11</v>
      </c>
      <c r="G44" s="219">
        <v>35606787.25</v>
      </c>
      <c r="H44" s="219">
        <v>27923440.590000004</v>
      </c>
      <c r="I44" s="219">
        <v>15078307.810000001</v>
      </c>
      <c r="J44" s="321">
        <v>12845132.780000001</v>
      </c>
    </row>
    <row r="45" spans="2:10" hidden="1" outlineLevel="2" x14ac:dyDescent="0.35">
      <c r="B45" s="487"/>
      <c r="C45" s="490"/>
      <c r="D45" s="242" t="s">
        <v>201</v>
      </c>
      <c r="E45" s="219">
        <v>7</v>
      </c>
      <c r="F45" s="219">
        <v>7</v>
      </c>
      <c r="G45" s="219">
        <v>13919094.42</v>
      </c>
      <c r="H45" s="219">
        <v>8351456.6999999993</v>
      </c>
      <c r="I45" s="219">
        <v>6760960.0399999991</v>
      </c>
      <c r="J45" s="321">
        <v>1590496.66</v>
      </c>
    </row>
    <row r="46" spans="2:10" hidden="1" outlineLevel="2" x14ac:dyDescent="0.35">
      <c r="B46" s="487"/>
      <c r="C46" s="490"/>
      <c r="D46" s="242" t="s">
        <v>200</v>
      </c>
      <c r="E46" s="219">
        <v>12</v>
      </c>
      <c r="F46" s="219">
        <v>12</v>
      </c>
      <c r="G46" s="219">
        <v>37192405.509999998</v>
      </c>
      <c r="H46" s="219">
        <v>31111666.359999999</v>
      </c>
      <c r="I46" s="219">
        <v>18724486.810000002</v>
      </c>
      <c r="J46" s="321">
        <v>12387179.549999999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37</v>
      </c>
      <c r="F48" s="219">
        <v>30</v>
      </c>
      <c r="G48" s="219">
        <v>99904163.5</v>
      </c>
      <c r="H48" s="219">
        <v>59942497.14000003</v>
      </c>
      <c r="I48" s="219">
        <v>50088807.490000024</v>
      </c>
      <c r="J48" s="321">
        <v>9853689.6500000004</v>
      </c>
    </row>
    <row r="49" spans="2:10" outlineLevel="1" x14ac:dyDescent="0.35">
      <c r="B49" s="487"/>
      <c r="C49" s="490"/>
      <c r="D49" s="236" t="s">
        <v>189</v>
      </c>
      <c r="E49" s="219">
        <v>23</v>
      </c>
      <c r="F49" s="219">
        <v>16</v>
      </c>
      <c r="G49" s="219">
        <v>52737323.300000004</v>
      </c>
      <c r="H49" s="219">
        <v>32379964.799999997</v>
      </c>
      <c r="I49" s="219">
        <v>17411219.07</v>
      </c>
      <c r="J49" s="321">
        <v>14968745.729999997</v>
      </c>
    </row>
    <row r="50" spans="2:10" outlineLevel="1" x14ac:dyDescent="0.35">
      <c r="B50" s="487"/>
      <c r="C50" s="490"/>
      <c r="D50" s="263" t="s">
        <v>179</v>
      </c>
      <c r="E50" s="219">
        <v>38</v>
      </c>
      <c r="F50" s="219">
        <v>36</v>
      </c>
      <c r="G50" s="219">
        <v>364813353.92000008</v>
      </c>
      <c r="H50" s="219">
        <v>230478383.86999995</v>
      </c>
      <c r="I50" s="219">
        <v>151324822.63</v>
      </c>
      <c r="J50" s="321">
        <v>79153561.239999995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13</v>
      </c>
      <c r="F51" s="219">
        <f t="shared" si="7"/>
        <v>9</v>
      </c>
      <c r="G51" s="219">
        <f t="shared" si="7"/>
        <v>335296457.5</v>
      </c>
      <c r="H51" s="219">
        <f t="shared" si="7"/>
        <v>181421646</v>
      </c>
      <c r="I51" s="219">
        <f t="shared" si="7"/>
        <v>101801192.27000001</v>
      </c>
      <c r="J51" s="321">
        <f t="shared" si="7"/>
        <v>79620453.729999989</v>
      </c>
    </row>
    <row r="52" spans="2:10" hidden="1" outlineLevel="2" x14ac:dyDescent="0.35">
      <c r="B52" s="487"/>
      <c r="C52" s="490"/>
      <c r="D52" s="242" t="s">
        <v>186</v>
      </c>
      <c r="E52" s="219">
        <v>5</v>
      </c>
      <c r="F52" s="219">
        <v>5</v>
      </c>
      <c r="G52" s="219">
        <v>127830341.5</v>
      </c>
      <c r="H52" s="219">
        <v>90888955.200000003</v>
      </c>
      <c r="I52" s="219">
        <v>65573284.270000003</v>
      </c>
      <c r="J52" s="321">
        <v>25315670.93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8</v>
      </c>
      <c r="F54" s="219">
        <v>4</v>
      </c>
      <c r="G54" s="219">
        <v>207466116</v>
      </c>
      <c r="H54" s="219">
        <v>90532690.799999997</v>
      </c>
      <c r="I54" s="219">
        <v>36227908</v>
      </c>
      <c r="J54" s="321">
        <v>54304782.799999997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299</v>
      </c>
      <c r="F56" s="219">
        <f t="shared" si="8"/>
        <v>268</v>
      </c>
      <c r="G56" s="219">
        <f t="shared" si="8"/>
        <v>605805177.68000007</v>
      </c>
      <c r="H56" s="219">
        <f t="shared" si="8"/>
        <v>345600790.63999999</v>
      </c>
      <c r="I56" s="219">
        <f t="shared" si="8"/>
        <v>205593695.28</v>
      </c>
      <c r="J56" s="321">
        <f t="shared" si="8"/>
        <v>140007095.36000001</v>
      </c>
    </row>
    <row r="57" spans="2:10" hidden="1" outlineLevel="2" x14ac:dyDescent="0.35">
      <c r="B57" s="487"/>
      <c r="C57" s="490"/>
      <c r="D57" s="242" t="s">
        <v>169</v>
      </c>
      <c r="E57" s="219">
        <v>41</v>
      </c>
      <c r="F57" s="219">
        <v>40</v>
      </c>
      <c r="G57" s="219">
        <v>103164270.14000002</v>
      </c>
      <c r="H57" s="219">
        <v>62859127.64000003</v>
      </c>
      <c r="I57" s="219">
        <v>43385346.710000001</v>
      </c>
      <c r="J57" s="321">
        <v>19473780.929999996</v>
      </c>
    </row>
    <row r="58" spans="2:10" hidden="1" outlineLevel="2" x14ac:dyDescent="0.35">
      <c r="B58" s="487"/>
      <c r="C58" s="490"/>
      <c r="D58" s="242" t="s">
        <v>168</v>
      </c>
      <c r="E58" s="219">
        <v>54</v>
      </c>
      <c r="F58" s="219">
        <v>40</v>
      </c>
      <c r="G58" s="219">
        <v>94638456.700000003</v>
      </c>
      <c r="H58" s="219">
        <v>62788570.879999995</v>
      </c>
      <c r="I58" s="219">
        <v>34575026.50999999</v>
      </c>
      <c r="J58" s="321">
        <v>28213544.370000008</v>
      </c>
    </row>
    <row r="59" spans="2:10" hidden="1" outlineLevel="2" x14ac:dyDescent="0.35">
      <c r="B59" s="487"/>
      <c r="C59" s="490"/>
      <c r="D59" s="242" t="s">
        <v>167</v>
      </c>
      <c r="E59" s="219">
        <v>44</v>
      </c>
      <c r="F59" s="219">
        <v>44</v>
      </c>
      <c r="G59" s="219">
        <v>83179721.899999976</v>
      </c>
      <c r="H59" s="219">
        <v>45587526.43999999</v>
      </c>
      <c r="I59" s="219">
        <v>25509411.699999999</v>
      </c>
      <c r="J59" s="321">
        <v>20078114.740000002</v>
      </c>
    </row>
    <row r="60" spans="2:10" hidden="1" outlineLevel="2" x14ac:dyDescent="0.35">
      <c r="B60" s="487"/>
      <c r="C60" s="490"/>
      <c r="D60" s="242" t="s">
        <v>166</v>
      </c>
      <c r="E60" s="219">
        <v>65</v>
      </c>
      <c r="F60" s="219">
        <v>55</v>
      </c>
      <c r="G60" s="219">
        <v>127692642.94000003</v>
      </c>
      <c r="H60" s="219">
        <v>68364478.310000002</v>
      </c>
      <c r="I60" s="219">
        <v>36089747.859999999</v>
      </c>
      <c r="J60" s="321">
        <v>32274730.449999992</v>
      </c>
    </row>
    <row r="61" spans="2:10" hidden="1" outlineLevel="2" x14ac:dyDescent="0.35">
      <c r="B61" s="487"/>
      <c r="C61" s="490"/>
      <c r="D61" s="261" t="s">
        <v>165</v>
      </c>
      <c r="E61" s="219">
        <v>31</v>
      </c>
      <c r="F61" s="219">
        <v>31</v>
      </c>
      <c r="G61" s="219">
        <v>71360624.310000002</v>
      </c>
      <c r="H61" s="219">
        <v>40027906.629999995</v>
      </c>
      <c r="I61" s="219">
        <v>28415703.199999999</v>
      </c>
      <c r="J61" s="321">
        <v>11612203.430000002</v>
      </c>
    </row>
    <row r="62" spans="2:10" hidden="1" outlineLevel="2" x14ac:dyDescent="0.35">
      <c r="B62" s="487"/>
      <c r="C62" s="490"/>
      <c r="D62" s="261" t="s">
        <v>164</v>
      </c>
      <c r="E62" s="219">
        <v>64</v>
      </c>
      <c r="F62" s="219">
        <v>58</v>
      </c>
      <c r="G62" s="219">
        <v>125769461.69000001</v>
      </c>
      <c r="H62" s="219">
        <v>65973180.740000002</v>
      </c>
      <c r="I62" s="219">
        <v>37618459.300000004</v>
      </c>
      <c r="J62" s="321">
        <v>28354721.440000005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88</v>
      </c>
      <c r="F63" s="219">
        <f t="shared" si="9"/>
        <v>81</v>
      </c>
      <c r="G63" s="219">
        <f t="shared" si="9"/>
        <v>165266138.34</v>
      </c>
      <c r="H63" s="219">
        <f t="shared" si="9"/>
        <v>100463685.59</v>
      </c>
      <c r="I63" s="219">
        <f t="shared" si="9"/>
        <v>84133824.720000014</v>
      </c>
      <c r="J63" s="321">
        <f t="shared" si="9"/>
        <v>16329860.870000001</v>
      </c>
    </row>
    <row r="64" spans="2:10" hidden="1" outlineLevel="2" x14ac:dyDescent="0.35">
      <c r="B64" s="487"/>
      <c r="C64" s="490"/>
      <c r="D64" s="260" t="s">
        <v>196</v>
      </c>
      <c r="E64" s="219">
        <v>36</v>
      </c>
      <c r="F64" s="219">
        <v>30</v>
      </c>
      <c r="G64" s="219">
        <v>62671826.780000001</v>
      </c>
      <c r="H64" s="219">
        <v>38396425.690000005</v>
      </c>
      <c r="I64" s="219">
        <v>30509574.949999999</v>
      </c>
      <c r="J64" s="321">
        <v>7886850.7399999993</v>
      </c>
    </row>
    <row r="65" spans="2:10" hidden="1" outlineLevel="2" x14ac:dyDescent="0.35">
      <c r="B65" s="487"/>
      <c r="C65" s="490"/>
      <c r="D65" s="260" t="s">
        <v>195</v>
      </c>
      <c r="E65" s="219">
        <v>51</v>
      </c>
      <c r="F65" s="219">
        <v>50</v>
      </c>
      <c r="G65" s="219">
        <v>99582311.560000002</v>
      </c>
      <c r="H65" s="219">
        <v>60169699.899999999</v>
      </c>
      <c r="I65" s="219">
        <v>52043019.770000011</v>
      </c>
      <c r="J65" s="321">
        <v>8126680.1300000008</v>
      </c>
    </row>
    <row r="66" spans="2:10" hidden="1" outlineLevel="2" x14ac:dyDescent="0.35">
      <c r="B66" s="487"/>
      <c r="C66" s="490"/>
      <c r="D66" s="260" t="s">
        <v>194</v>
      </c>
      <c r="E66" s="219">
        <v>1</v>
      </c>
      <c r="F66" s="219">
        <v>1</v>
      </c>
      <c r="G66" s="219">
        <v>3012000</v>
      </c>
      <c r="H66" s="219">
        <v>1897560</v>
      </c>
      <c r="I66" s="219">
        <v>1581230</v>
      </c>
      <c r="J66" s="321">
        <v>316330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302</v>
      </c>
      <c r="F67" s="219">
        <f t="shared" si="10"/>
        <v>258</v>
      </c>
      <c r="G67" s="219">
        <f t="shared" si="10"/>
        <v>712837721.75999999</v>
      </c>
      <c r="H67" s="219">
        <f t="shared" si="10"/>
        <v>398902584.86999995</v>
      </c>
      <c r="I67" s="219">
        <f t="shared" si="10"/>
        <v>308244626.87</v>
      </c>
      <c r="J67" s="321">
        <f t="shared" si="10"/>
        <v>90657957.999999985</v>
      </c>
    </row>
    <row r="68" spans="2:10" hidden="1" outlineLevel="2" x14ac:dyDescent="0.35">
      <c r="B68" s="487"/>
      <c r="C68" s="490"/>
      <c r="D68" s="260" t="s">
        <v>177</v>
      </c>
      <c r="E68" s="219">
        <v>73</v>
      </c>
      <c r="F68" s="219">
        <v>55</v>
      </c>
      <c r="G68" s="219">
        <v>201449194.07999992</v>
      </c>
      <c r="H68" s="219">
        <v>114834187.16999996</v>
      </c>
      <c r="I68" s="219">
        <v>90876496.980000004</v>
      </c>
      <c r="J68" s="321">
        <v>23957690.190000005</v>
      </c>
    </row>
    <row r="69" spans="2:10" hidden="1" outlineLevel="2" x14ac:dyDescent="0.35">
      <c r="B69" s="487"/>
      <c r="C69" s="490"/>
      <c r="D69" s="260" t="s">
        <v>176</v>
      </c>
      <c r="E69" s="219">
        <v>77</v>
      </c>
      <c r="F69" s="219">
        <v>72</v>
      </c>
      <c r="G69" s="219">
        <v>138213739.77000004</v>
      </c>
      <c r="H69" s="219">
        <v>81456905.590000004</v>
      </c>
      <c r="I69" s="219">
        <v>66886041.800000019</v>
      </c>
      <c r="J69" s="321">
        <v>14570863.789999997</v>
      </c>
    </row>
    <row r="70" spans="2:10" hidden="1" outlineLevel="2" x14ac:dyDescent="0.35">
      <c r="B70" s="487"/>
      <c r="C70" s="490"/>
      <c r="D70" s="260" t="s">
        <v>175</v>
      </c>
      <c r="E70" s="219">
        <v>48</v>
      </c>
      <c r="F70" s="219">
        <v>47</v>
      </c>
      <c r="G70" s="219">
        <v>136155705.68000004</v>
      </c>
      <c r="H70" s="219">
        <v>75580950.079999998</v>
      </c>
      <c r="I70" s="219">
        <v>57140015.039999999</v>
      </c>
      <c r="J70" s="321">
        <v>18440935.039999999</v>
      </c>
    </row>
    <row r="71" spans="2:10" hidden="1" outlineLevel="2" x14ac:dyDescent="0.35">
      <c r="B71" s="487"/>
      <c r="C71" s="490"/>
      <c r="D71" s="260" t="s">
        <v>174</v>
      </c>
      <c r="E71" s="219">
        <v>49</v>
      </c>
      <c r="F71" s="219">
        <v>35</v>
      </c>
      <c r="G71" s="219">
        <v>84386815.430000022</v>
      </c>
      <c r="H71" s="219">
        <v>50964790.039999999</v>
      </c>
      <c r="I71" s="219">
        <v>42078679.030000001</v>
      </c>
      <c r="J71" s="321">
        <v>8886111.0100000016</v>
      </c>
    </row>
    <row r="72" spans="2:10" hidden="1" outlineLevel="2" x14ac:dyDescent="0.35">
      <c r="B72" s="487"/>
      <c r="C72" s="490"/>
      <c r="D72" s="260" t="s">
        <v>173</v>
      </c>
      <c r="E72" s="219">
        <v>48</v>
      </c>
      <c r="F72" s="219">
        <v>42</v>
      </c>
      <c r="G72" s="219">
        <v>123101792.79999995</v>
      </c>
      <c r="H72" s="219">
        <v>64957391.089999989</v>
      </c>
      <c r="I72" s="219">
        <v>44315903.329999998</v>
      </c>
      <c r="J72" s="321">
        <v>20641487.75999999</v>
      </c>
    </row>
    <row r="73" spans="2:10" hidden="1" outlineLevel="2" x14ac:dyDescent="0.35">
      <c r="B73" s="487"/>
      <c r="C73" s="490"/>
      <c r="D73" s="260" t="s">
        <v>172</v>
      </c>
      <c r="E73" s="219">
        <v>7</v>
      </c>
      <c r="F73" s="219">
        <v>7</v>
      </c>
      <c r="G73" s="219">
        <v>29530474</v>
      </c>
      <c r="H73" s="219">
        <v>11108360.9</v>
      </c>
      <c r="I73" s="219">
        <v>6947490.6899999995</v>
      </c>
      <c r="J73" s="321">
        <v>4160870.21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21">
        <v>0</v>
      </c>
    </row>
    <row r="75" spans="2:10" x14ac:dyDescent="0.35">
      <c r="B75" s="488"/>
      <c r="C75" s="491"/>
      <c r="D75" s="347" t="s">
        <v>255</v>
      </c>
      <c r="E75" s="383">
        <f t="shared" ref="E75:J75" si="11">SUM(E43,E48:E51,E56,E63,E67)</f>
        <v>830</v>
      </c>
      <c r="F75" s="383">
        <f t="shared" si="11"/>
        <v>728</v>
      </c>
      <c r="G75" s="383">
        <f t="shared" si="11"/>
        <v>2423378623.1800003</v>
      </c>
      <c r="H75" s="383">
        <f t="shared" si="11"/>
        <v>1416576116.5599999</v>
      </c>
      <c r="I75" s="382">
        <f t="shared" si="11"/>
        <v>959161942.99000001</v>
      </c>
      <c r="J75" s="381">
        <f t="shared" si="11"/>
        <v>457414173.56999999</v>
      </c>
    </row>
    <row r="76" spans="2:10" ht="14.5" customHeight="1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01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53</v>
      </c>
      <c r="F77" s="219">
        <f t="shared" si="12"/>
        <v>43</v>
      </c>
      <c r="G77" s="219">
        <f t="shared" si="12"/>
        <v>447395814.03999996</v>
      </c>
      <c r="H77" s="219">
        <f t="shared" si="12"/>
        <v>297056910.96999997</v>
      </c>
      <c r="I77" s="219">
        <f t="shared" si="12"/>
        <v>189900820.24000001</v>
      </c>
      <c r="J77" s="321">
        <f t="shared" si="12"/>
        <v>107156090.73</v>
      </c>
    </row>
    <row r="78" spans="2:10" hidden="1" outlineLevel="2" x14ac:dyDescent="0.35">
      <c r="B78" s="487"/>
      <c r="C78" s="490"/>
      <c r="D78" s="250" t="s">
        <v>192</v>
      </c>
      <c r="E78" s="219">
        <v>38</v>
      </c>
      <c r="F78" s="219">
        <v>28</v>
      </c>
      <c r="G78" s="219">
        <v>314404814.39999998</v>
      </c>
      <c r="H78" s="219">
        <v>220770283.72999999</v>
      </c>
      <c r="I78" s="219">
        <v>130486737.48</v>
      </c>
      <c r="J78" s="321">
        <v>90283546.25</v>
      </c>
    </row>
    <row r="79" spans="2:10" hidden="1" outlineLevel="2" x14ac:dyDescent="0.35">
      <c r="B79" s="487"/>
      <c r="C79" s="490"/>
      <c r="D79" s="250" t="s">
        <v>191</v>
      </c>
      <c r="E79" s="219">
        <v>7</v>
      </c>
      <c r="F79" s="219">
        <v>7</v>
      </c>
      <c r="G79" s="219">
        <v>41591473</v>
      </c>
      <c r="H79" s="219">
        <v>22796756</v>
      </c>
      <c r="I79" s="219">
        <v>12885830.550000001</v>
      </c>
      <c r="J79" s="321">
        <v>9910925.4499999993</v>
      </c>
    </row>
    <row r="80" spans="2:10" hidden="1" outlineLevel="2" x14ac:dyDescent="0.35">
      <c r="B80" s="487"/>
      <c r="C80" s="490"/>
      <c r="D80" s="250" t="s">
        <v>190</v>
      </c>
      <c r="E80" s="219">
        <v>8</v>
      </c>
      <c r="F80" s="219">
        <v>8</v>
      </c>
      <c r="G80" s="219">
        <v>91399526.640000001</v>
      </c>
      <c r="H80" s="219">
        <v>53489871.240000002</v>
      </c>
      <c r="I80" s="219">
        <v>46528252.210000001</v>
      </c>
      <c r="J80" s="321">
        <v>6961619.0300000003</v>
      </c>
    </row>
    <row r="81" spans="2:10" outlineLevel="1" collapsed="1" x14ac:dyDescent="0.35">
      <c r="B81" s="487"/>
      <c r="C81" s="490"/>
      <c r="D81" s="251" t="s">
        <v>158</v>
      </c>
      <c r="E81" s="219">
        <f t="shared" ref="E81:J81" si="13">SUM(E82:E89)</f>
        <v>167</v>
      </c>
      <c r="F81" s="219">
        <f t="shared" si="13"/>
        <v>145</v>
      </c>
      <c r="G81" s="219">
        <f t="shared" si="13"/>
        <v>200197059.91999999</v>
      </c>
      <c r="H81" s="219">
        <f t="shared" si="13"/>
        <v>95396639.639999986</v>
      </c>
      <c r="I81" s="219">
        <f t="shared" si="13"/>
        <v>57445697.57</v>
      </c>
      <c r="J81" s="321">
        <f t="shared" si="13"/>
        <v>37950942.07</v>
      </c>
    </row>
    <row r="82" spans="2:10" hidden="1" outlineLevel="2" x14ac:dyDescent="0.35">
      <c r="B82" s="487"/>
      <c r="C82" s="490"/>
      <c r="D82" s="250" t="s">
        <v>157</v>
      </c>
      <c r="E82" s="219">
        <v>41</v>
      </c>
      <c r="F82" s="219">
        <v>41</v>
      </c>
      <c r="G82" s="219">
        <v>49558018.600000016</v>
      </c>
      <c r="H82" s="219">
        <v>26477205.18</v>
      </c>
      <c r="I82" s="219">
        <v>16328998.82</v>
      </c>
      <c r="J82" s="321">
        <v>10148206.359999999</v>
      </c>
    </row>
    <row r="83" spans="2:10" hidden="1" outlineLevel="2" x14ac:dyDescent="0.35">
      <c r="B83" s="487"/>
      <c r="C83" s="490"/>
      <c r="D83" s="250" t="s">
        <v>156</v>
      </c>
      <c r="E83" s="219">
        <v>44</v>
      </c>
      <c r="F83" s="219">
        <v>25</v>
      </c>
      <c r="G83" s="219">
        <v>51443240.620000005</v>
      </c>
      <c r="H83" s="219">
        <v>24723486.989999995</v>
      </c>
      <c r="I83" s="219">
        <v>13689396.619999999</v>
      </c>
      <c r="J83" s="321">
        <v>11034090.370000001</v>
      </c>
    </row>
    <row r="84" spans="2:10" hidden="1" outlineLevel="2" x14ac:dyDescent="0.35">
      <c r="B84" s="487"/>
      <c r="C84" s="490"/>
      <c r="D84" s="250" t="s">
        <v>155</v>
      </c>
      <c r="E84" s="219">
        <v>10</v>
      </c>
      <c r="F84" s="219">
        <v>9</v>
      </c>
      <c r="G84" s="219">
        <v>12801775.100000001</v>
      </c>
      <c r="H84" s="219">
        <v>4315264.9799999995</v>
      </c>
      <c r="I84" s="219">
        <v>3446884.7199999997</v>
      </c>
      <c r="J84" s="321">
        <v>868380.26</v>
      </c>
    </row>
    <row r="85" spans="2:10" hidden="1" outlineLevel="2" x14ac:dyDescent="0.35">
      <c r="B85" s="487"/>
      <c r="C85" s="490"/>
      <c r="D85" s="250" t="s">
        <v>154</v>
      </c>
      <c r="E85" s="219">
        <v>5</v>
      </c>
      <c r="F85" s="219">
        <v>5</v>
      </c>
      <c r="G85" s="219">
        <v>7104855.0499999998</v>
      </c>
      <c r="H85" s="219">
        <v>2131456.5300000003</v>
      </c>
      <c r="I85" s="219">
        <v>1844737.78</v>
      </c>
      <c r="J85" s="321">
        <v>286718.75</v>
      </c>
    </row>
    <row r="86" spans="2:10" hidden="1" outlineLevel="2" x14ac:dyDescent="0.35">
      <c r="B86" s="487"/>
      <c r="C86" s="490"/>
      <c r="D86" s="250" t="s">
        <v>153</v>
      </c>
      <c r="E86" s="219">
        <v>53</v>
      </c>
      <c r="F86" s="219">
        <v>51</v>
      </c>
      <c r="G86" s="219">
        <v>60607455.249999993</v>
      </c>
      <c r="H86" s="219">
        <v>30371569.319999997</v>
      </c>
      <c r="I86" s="219">
        <v>17488167.169999998</v>
      </c>
      <c r="J86" s="321">
        <v>12883402.149999999</v>
      </c>
    </row>
    <row r="87" spans="2:10" hidden="1" outlineLevel="2" x14ac:dyDescent="0.35">
      <c r="B87" s="487"/>
      <c r="C87" s="490"/>
      <c r="D87" s="250" t="s">
        <v>152</v>
      </c>
      <c r="E87" s="219">
        <v>8</v>
      </c>
      <c r="F87" s="219">
        <v>8</v>
      </c>
      <c r="G87" s="219">
        <v>10069860.700000001</v>
      </c>
      <c r="H87" s="219">
        <v>3945454.3699999996</v>
      </c>
      <c r="I87" s="219">
        <v>2450018.67</v>
      </c>
      <c r="J87" s="321">
        <v>1495435.7</v>
      </c>
    </row>
    <row r="88" spans="2:10" hidden="1" outlineLevel="2" x14ac:dyDescent="0.35">
      <c r="B88" s="487"/>
      <c r="C88" s="490"/>
      <c r="D88" s="250" t="s">
        <v>151</v>
      </c>
      <c r="E88" s="219">
        <v>6</v>
      </c>
      <c r="F88" s="219">
        <v>6</v>
      </c>
      <c r="G88" s="219">
        <v>8611854.5999999996</v>
      </c>
      <c r="H88" s="219">
        <v>3432202.27</v>
      </c>
      <c r="I88" s="219">
        <v>2197493.79</v>
      </c>
      <c r="J88" s="321">
        <v>1234708.48</v>
      </c>
    </row>
    <row r="89" spans="2:10" hidden="1" outlineLevel="2" x14ac:dyDescent="0.35">
      <c r="B89" s="487"/>
      <c r="C89" s="490"/>
      <c r="D89" s="250" t="s">
        <v>150</v>
      </c>
      <c r="E89" s="219">
        <v>0</v>
      </c>
      <c r="F89" s="219">
        <v>0</v>
      </c>
      <c r="G89" s="219">
        <v>0</v>
      </c>
      <c r="H89" s="219">
        <v>0</v>
      </c>
      <c r="I89" s="219">
        <v>0</v>
      </c>
      <c r="J89" s="321">
        <v>0</v>
      </c>
    </row>
    <row r="90" spans="2:10" outlineLevel="1" collapsed="1" x14ac:dyDescent="0.35">
      <c r="B90" s="487"/>
      <c r="C90" s="490"/>
      <c r="D90" s="251" t="s">
        <v>149</v>
      </c>
      <c r="E90" s="219">
        <f t="shared" ref="E90:J90" si="14">SUM(E91:E93)</f>
        <v>139</v>
      </c>
      <c r="F90" s="219">
        <f t="shared" si="14"/>
        <v>128</v>
      </c>
      <c r="G90" s="219">
        <f t="shared" si="14"/>
        <v>347427501.9799999</v>
      </c>
      <c r="H90" s="219">
        <f t="shared" si="14"/>
        <v>103434039.00999999</v>
      </c>
      <c r="I90" s="219">
        <f t="shared" si="14"/>
        <v>87201753.480000004</v>
      </c>
      <c r="J90" s="321">
        <f t="shared" si="14"/>
        <v>16232285.530000001</v>
      </c>
    </row>
    <row r="91" spans="2:10" hidden="1" outlineLevel="2" x14ac:dyDescent="0.35">
      <c r="B91" s="487"/>
      <c r="C91" s="490"/>
      <c r="D91" s="250" t="s">
        <v>148</v>
      </c>
      <c r="E91" s="219">
        <v>66</v>
      </c>
      <c r="F91" s="219">
        <v>60</v>
      </c>
      <c r="G91" s="219">
        <v>154435906.67999998</v>
      </c>
      <c r="H91" s="219">
        <v>46119136.270000011</v>
      </c>
      <c r="I91" s="219">
        <v>42409061.160000004</v>
      </c>
      <c r="J91" s="321">
        <v>3710075.1099999985</v>
      </c>
    </row>
    <row r="92" spans="2:10" hidden="1" outlineLevel="2" x14ac:dyDescent="0.35">
      <c r="B92" s="487"/>
      <c r="C92" s="490"/>
      <c r="D92" s="250" t="s">
        <v>147</v>
      </c>
      <c r="E92" s="219">
        <v>25</v>
      </c>
      <c r="F92" s="219">
        <v>24</v>
      </c>
      <c r="G92" s="219">
        <v>62363744.099999994</v>
      </c>
      <c r="H92" s="219">
        <v>18126547.300000001</v>
      </c>
      <c r="I92" s="219">
        <v>16671354.719999999</v>
      </c>
      <c r="J92" s="321">
        <v>1455192.5799999998</v>
      </c>
    </row>
    <row r="93" spans="2:10" hidden="1" outlineLevel="2" x14ac:dyDescent="0.35">
      <c r="B93" s="487"/>
      <c r="C93" s="490"/>
      <c r="D93" s="250" t="s">
        <v>146</v>
      </c>
      <c r="E93" s="219">
        <v>48</v>
      </c>
      <c r="F93" s="219">
        <v>44</v>
      </c>
      <c r="G93" s="219">
        <v>130627851.19999996</v>
      </c>
      <c r="H93" s="219">
        <v>39188355.43999999</v>
      </c>
      <c r="I93" s="219">
        <v>28121337.599999998</v>
      </c>
      <c r="J93" s="321">
        <v>11067017.840000002</v>
      </c>
    </row>
    <row r="94" spans="2:10" outlineLevel="1" collapsed="1" x14ac:dyDescent="0.35">
      <c r="B94" s="487"/>
      <c r="C94" s="490"/>
      <c r="D94" s="324" t="s">
        <v>133</v>
      </c>
      <c r="E94" s="219">
        <v>8</v>
      </c>
      <c r="F94" s="219">
        <v>8</v>
      </c>
      <c r="G94" s="219">
        <v>32906639.100000001</v>
      </c>
      <c r="H94" s="219">
        <v>8719638.7599999979</v>
      </c>
      <c r="I94" s="219">
        <v>4804910.3600000003</v>
      </c>
      <c r="J94" s="321">
        <v>3914728.4</v>
      </c>
    </row>
    <row r="95" spans="2:10" outlineLevel="1" x14ac:dyDescent="0.35">
      <c r="B95" s="487"/>
      <c r="C95" s="490"/>
      <c r="D95" s="236" t="s">
        <v>140</v>
      </c>
      <c r="E95" s="219">
        <v>17</v>
      </c>
      <c r="F95" s="219">
        <v>11</v>
      </c>
      <c r="G95" s="219">
        <v>164089121</v>
      </c>
      <c r="H95" s="219">
        <v>65550436.599999994</v>
      </c>
      <c r="I95" s="219">
        <v>28224588.670000002</v>
      </c>
      <c r="J95" s="321">
        <v>37325847.93</v>
      </c>
    </row>
    <row r="96" spans="2:10" outlineLevel="1" x14ac:dyDescent="0.35">
      <c r="B96" s="487"/>
      <c r="C96" s="490"/>
      <c r="D96" s="23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21">
        <v>0</v>
      </c>
    </row>
    <row r="97" spans="2:12" outlineLevel="1" x14ac:dyDescent="0.35">
      <c r="B97" s="487"/>
      <c r="C97" s="490"/>
      <c r="D97" s="236" t="s">
        <v>138</v>
      </c>
      <c r="E97" s="219">
        <f t="shared" ref="E97:J97" si="15">SUM(E98:E101)</f>
        <v>82</v>
      </c>
      <c r="F97" s="219">
        <f t="shared" si="15"/>
        <v>79</v>
      </c>
      <c r="G97" s="219">
        <f t="shared" si="15"/>
        <v>99038868.349999994</v>
      </c>
      <c r="H97" s="219">
        <f t="shared" si="15"/>
        <v>34938655.649999991</v>
      </c>
      <c r="I97" s="219">
        <f t="shared" si="15"/>
        <v>22426967.199999996</v>
      </c>
      <c r="J97" s="321">
        <f t="shared" si="15"/>
        <v>12511688.449999996</v>
      </c>
      <c r="L97" s="404"/>
    </row>
    <row r="98" spans="2:12" hidden="1" outlineLevel="2" x14ac:dyDescent="0.35">
      <c r="B98" s="487"/>
      <c r="C98" s="490"/>
      <c r="D98" s="242" t="s">
        <v>137</v>
      </c>
      <c r="E98" s="219">
        <v>40</v>
      </c>
      <c r="F98" s="219">
        <v>38</v>
      </c>
      <c r="G98" s="219">
        <v>45916288.049999997</v>
      </c>
      <c r="H98" s="219">
        <v>17724369.799999997</v>
      </c>
      <c r="I98" s="219">
        <v>11305828.419999996</v>
      </c>
      <c r="J98" s="321">
        <v>6418541.379999999</v>
      </c>
    </row>
    <row r="99" spans="2:12" hidden="1" outlineLevel="2" x14ac:dyDescent="0.35">
      <c r="B99" s="487"/>
      <c r="C99" s="490"/>
      <c r="D99" s="242" t="s">
        <v>136</v>
      </c>
      <c r="E99" s="219">
        <v>13</v>
      </c>
      <c r="F99" s="219">
        <v>13</v>
      </c>
      <c r="G99" s="219">
        <v>16109869.15</v>
      </c>
      <c r="H99" s="219">
        <v>5207312.26</v>
      </c>
      <c r="I99" s="219">
        <v>3841320.0700000003</v>
      </c>
      <c r="J99" s="321">
        <v>1365992.19</v>
      </c>
    </row>
    <row r="100" spans="2:12" hidden="1" outlineLevel="2" x14ac:dyDescent="0.35">
      <c r="B100" s="487"/>
      <c r="C100" s="490"/>
      <c r="D100" s="242" t="s">
        <v>135</v>
      </c>
      <c r="E100" s="219">
        <v>11</v>
      </c>
      <c r="F100" s="219">
        <v>11</v>
      </c>
      <c r="G100" s="219">
        <v>12482904.699999999</v>
      </c>
      <c r="H100" s="219">
        <v>3744871.4299999997</v>
      </c>
      <c r="I100" s="219">
        <v>2332868.2199999997</v>
      </c>
      <c r="J100" s="321">
        <v>1412003.21</v>
      </c>
    </row>
    <row r="101" spans="2:12" hidden="1" outlineLevel="2" x14ac:dyDescent="0.35">
      <c r="B101" s="487"/>
      <c r="C101" s="490"/>
      <c r="D101" s="242" t="s">
        <v>134</v>
      </c>
      <c r="E101" s="219">
        <v>18</v>
      </c>
      <c r="F101" s="219">
        <v>17</v>
      </c>
      <c r="G101" s="219">
        <v>24529806.450000007</v>
      </c>
      <c r="H101" s="219">
        <v>8262102.1600000001</v>
      </c>
      <c r="I101" s="219">
        <v>4946950.49</v>
      </c>
      <c r="J101" s="321">
        <v>3315151.669999999</v>
      </c>
    </row>
    <row r="102" spans="2:12" outlineLevel="1" collapsed="1" x14ac:dyDescent="0.35">
      <c r="B102" s="487"/>
      <c r="C102" s="490"/>
      <c r="D102" s="236" t="s">
        <v>132</v>
      </c>
      <c r="E102" s="219">
        <f t="shared" ref="E102:J102" si="16">SUM(E103:E106)</f>
        <v>48</v>
      </c>
      <c r="F102" s="219">
        <f t="shared" si="16"/>
        <v>46</v>
      </c>
      <c r="G102" s="219">
        <f t="shared" si="16"/>
        <v>122063964.75999998</v>
      </c>
      <c r="H102" s="219">
        <f t="shared" si="16"/>
        <v>33379848.890000004</v>
      </c>
      <c r="I102" s="219">
        <f t="shared" si="16"/>
        <v>19787570.079999998</v>
      </c>
      <c r="J102" s="321">
        <f t="shared" si="16"/>
        <v>13592278.810000001</v>
      </c>
    </row>
    <row r="103" spans="2:12" hidden="1" outlineLevel="2" x14ac:dyDescent="0.35">
      <c r="B103" s="487"/>
      <c r="C103" s="490"/>
      <c r="D103" s="241" t="s">
        <v>131</v>
      </c>
      <c r="E103" s="219">
        <v>13</v>
      </c>
      <c r="F103" s="219">
        <v>13</v>
      </c>
      <c r="G103" s="219">
        <v>31120665.949999999</v>
      </c>
      <c r="H103" s="219">
        <v>9336199.8000000007</v>
      </c>
      <c r="I103" s="219">
        <v>4554379.66</v>
      </c>
      <c r="J103" s="321">
        <v>4781820.1399999997</v>
      </c>
    </row>
    <row r="104" spans="2:12" hidden="1" outlineLevel="2" x14ac:dyDescent="0.35">
      <c r="B104" s="487"/>
      <c r="C104" s="490"/>
      <c r="D104" s="241" t="s">
        <v>130</v>
      </c>
      <c r="E104" s="219">
        <v>3</v>
      </c>
      <c r="F104" s="219">
        <v>3</v>
      </c>
      <c r="G104" s="219">
        <v>9617704.3999999985</v>
      </c>
      <c r="H104" s="219">
        <v>2186369.64</v>
      </c>
      <c r="I104" s="219">
        <v>1635203.71</v>
      </c>
      <c r="J104" s="321">
        <v>551165.93000000005</v>
      </c>
    </row>
    <row r="105" spans="2:12" hidden="1" outlineLevel="2" x14ac:dyDescent="0.35">
      <c r="B105" s="487"/>
      <c r="C105" s="490"/>
      <c r="D105" s="241" t="s">
        <v>129</v>
      </c>
      <c r="E105" s="219">
        <v>32</v>
      </c>
      <c r="F105" s="219">
        <v>30</v>
      </c>
      <c r="G105" s="219">
        <v>81325594.409999982</v>
      </c>
      <c r="H105" s="219">
        <v>21857279.450000003</v>
      </c>
      <c r="I105" s="219">
        <v>13597986.709999999</v>
      </c>
      <c r="J105" s="321">
        <v>8259292.7400000012</v>
      </c>
    </row>
    <row r="106" spans="2:12" hidden="1" outlineLevel="2" x14ac:dyDescent="0.35">
      <c r="B106" s="487"/>
      <c r="C106" s="490"/>
      <c r="D106" s="241" t="s">
        <v>128</v>
      </c>
      <c r="E106" s="219">
        <v>0</v>
      </c>
      <c r="F106" s="219">
        <v>0</v>
      </c>
      <c r="G106" s="219">
        <v>0</v>
      </c>
      <c r="H106" s="219">
        <v>0</v>
      </c>
      <c r="I106" s="219">
        <v>0</v>
      </c>
      <c r="J106" s="321">
        <v>0</v>
      </c>
    </row>
    <row r="107" spans="2:12" outlineLevel="1" collapsed="1" x14ac:dyDescent="0.35">
      <c r="B107" s="487"/>
      <c r="C107" s="490"/>
      <c r="D107" s="236" t="s">
        <v>41</v>
      </c>
      <c r="E107" s="219">
        <v>2</v>
      </c>
      <c r="F107" s="219">
        <v>2</v>
      </c>
      <c r="G107" s="219">
        <v>5966329.75</v>
      </c>
      <c r="H107" s="219">
        <v>1193265.95</v>
      </c>
      <c r="I107" s="219">
        <v>842700.35</v>
      </c>
      <c r="J107" s="321">
        <v>350565.6</v>
      </c>
    </row>
    <row r="108" spans="2:12" x14ac:dyDescent="0.35">
      <c r="B108" s="488"/>
      <c r="C108" s="491"/>
      <c r="D108" s="347" t="s">
        <v>251</v>
      </c>
      <c r="E108" s="383">
        <f t="shared" ref="E108:J108" si="17">SUM(E102,E107,E97,E96,E94,E90,E81,E77,E95)</f>
        <v>516</v>
      </c>
      <c r="F108" s="383">
        <f t="shared" si="17"/>
        <v>462</v>
      </c>
      <c r="G108" s="383">
        <f t="shared" si="17"/>
        <v>1419085298.8999996</v>
      </c>
      <c r="H108" s="383">
        <f t="shared" si="17"/>
        <v>639669435.46999991</v>
      </c>
      <c r="I108" s="382">
        <f t="shared" si="17"/>
        <v>410635007.94999999</v>
      </c>
      <c r="J108" s="381">
        <f t="shared" si="17"/>
        <v>229034427.51999998</v>
      </c>
    </row>
    <row r="109" spans="2:12" ht="19.899999999999999" customHeight="1" outlineLevel="1" x14ac:dyDescent="0.35">
      <c r="B109" s="487" t="s">
        <v>250</v>
      </c>
      <c r="C109" s="490" t="s">
        <v>249</v>
      </c>
      <c r="D109" s="236" t="s">
        <v>123</v>
      </c>
      <c r="E109" s="219">
        <v>14</v>
      </c>
      <c r="F109" s="219">
        <v>14</v>
      </c>
      <c r="G109" s="219">
        <v>32368358.75</v>
      </c>
      <c r="H109" s="219">
        <v>6473671.8099999996</v>
      </c>
      <c r="I109" s="219">
        <v>5108250</v>
      </c>
      <c r="J109" s="321">
        <v>1365421.81</v>
      </c>
    </row>
    <row r="110" spans="2:12" ht="19.899999999999999" customHeight="1" outlineLevel="1" x14ac:dyDescent="0.35">
      <c r="B110" s="487"/>
      <c r="C110" s="490"/>
      <c r="D110" s="236" t="s">
        <v>122</v>
      </c>
      <c r="E110" s="219">
        <v>10</v>
      </c>
      <c r="F110" s="219">
        <v>10</v>
      </c>
      <c r="G110" s="219">
        <v>18274024.649999999</v>
      </c>
      <c r="H110" s="219">
        <v>3654804.95</v>
      </c>
      <c r="I110" s="219">
        <v>2616835.92</v>
      </c>
      <c r="J110" s="321">
        <v>1037969.03</v>
      </c>
    </row>
    <row r="111" spans="2:12" ht="19.899999999999999" customHeight="1" outlineLevel="1" x14ac:dyDescent="0.35">
      <c r="B111" s="487"/>
      <c r="C111" s="490"/>
      <c r="D111" s="236" t="s">
        <v>48</v>
      </c>
      <c r="E111" s="219">
        <v>7</v>
      </c>
      <c r="F111" s="219">
        <v>6</v>
      </c>
      <c r="G111" s="219">
        <v>13458270.989999998</v>
      </c>
      <c r="H111" s="219">
        <v>2691654.22</v>
      </c>
      <c r="I111" s="219">
        <v>1853926.41</v>
      </c>
      <c r="J111" s="321">
        <v>837727.80999999982</v>
      </c>
    </row>
    <row r="112" spans="2:12" ht="19.899999999999999" customHeight="1" outlineLevel="1" x14ac:dyDescent="0.35">
      <c r="B112" s="487"/>
      <c r="C112" s="490"/>
      <c r="D112" s="236" t="s">
        <v>47</v>
      </c>
      <c r="E112" s="219">
        <v>2</v>
      </c>
      <c r="F112" s="219">
        <v>2</v>
      </c>
      <c r="G112" s="219">
        <v>4900826.8499999996</v>
      </c>
      <c r="H112" s="219">
        <v>980165.38</v>
      </c>
      <c r="I112" s="219">
        <v>967781.5</v>
      </c>
      <c r="J112" s="321">
        <v>12383.880000000001</v>
      </c>
    </row>
    <row r="113" spans="2:11" ht="19.899999999999999" customHeight="1" outlineLevel="1" x14ac:dyDescent="0.35">
      <c r="B113" s="487"/>
      <c r="C113" s="490"/>
      <c r="D113" s="236" t="s">
        <v>40</v>
      </c>
      <c r="E113" s="219">
        <v>0</v>
      </c>
      <c r="F113" s="219">
        <v>0</v>
      </c>
      <c r="G113" s="219">
        <v>0</v>
      </c>
      <c r="H113" s="219">
        <v>0</v>
      </c>
      <c r="I113" s="219">
        <v>0</v>
      </c>
      <c r="J113" s="321">
        <v>0</v>
      </c>
    </row>
    <row r="114" spans="2:11" ht="19.899999999999999" customHeight="1" outlineLevel="1" x14ac:dyDescent="0.35">
      <c r="B114" s="487"/>
      <c r="C114" s="490"/>
      <c r="D114" s="236" t="s">
        <v>39</v>
      </c>
      <c r="E114" s="219">
        <v>0</v>
      </c>
      <c r="F114" s="219">
        <v>0</v>
      </c>
      <c r="G114" s="219">
        <v>0</v>
      </c>
      <c r="H114" s="219">
        <v>0</v>
      </c>
      <c r="I114" s="219">
        <v>0</v>
      </c>
      <c r="J114" s="321">
        <v>0</v>
      </c>
    </row>
    <row r="115" spans="2:11" ht="19.899999999999999" customHeight="1" outlineLevel="1" x14ac:dyDescent="0.35">
      <c r="B115" s="487"/>
      <c r="C115" s="490"/>
      <c r="D115" s="236" t="s">
        <v>38</v>
      </c>
      <c r="E115" s="219">
        <v>0</v>
      </c>
      <c r="F115" s="219">
        <v>0</v>
      </c>
      <c r="G115" s="219">
        <v>0</v>
      </c>
      <c r="H115" s="219">
        <v>0</v>
      </c>
      <c r="I115" s="219">
        <v>0</v>
      </c>
      <c r="J115" s="321">
        <v>0</v>
      </c>
    </row>
    <row r="116" spans="2:11" x14ac:dyDescent="0.35">
      <c r="B116" s="488"/>
      <c r="C116" s="491"/>
      <c r="D116" s="347" t="s">
        <v>248</v>
      </c>
      <c r="E116" s="383">
        <f t="shared" ref="E116:J116" si="18">SUM(E109:E115)</f>
        <v>33</v>
      </c>
      <c r="F116" s="383">
        <f t="shared" si="18"/>
        <v>32</v>
      </c>
      <c r="G116" s="383">
        <f t="shared" si="18"/>
        <v>69001481.239999995</v>
      </c>
      <c r="H116" s="383">
        <f t="shared" si="18"/>
        <v>13800296.360000001</v>
      </c>
      <c r="I116" s="382">
        <f t="shared" si="18"/>
        <v>10546793.83</v>
      </c>
      <c r="J116" s="381">
        <f t="shared" si="18"/>
        <v>3253502.5299999993</v>
      </c>
    </row>
    <row r="117" spans="2:11" ht="19.899999999999999" customHeight="1" outlineLevel="1" x14ac:dyDescent="0.35">
      <c r="B117" s="487" t="s">
        <v>247</v>
      </c>
      <c r="C117" s="490" t="s">
        <v>246</v>
      </c>
      <c r="D117" s="236" t="s">
        <v>36</v>
      </c>
      <c r="E117" s="219">
        <v>0</v>
      </c>
      <c r="F117" s="219">
        <v>0</v>
      </c>
      <c r="G117" s="219">
        <v>0</v>
      </c>
      <c r="H117" s="219">
        <v>0</v>
      </c>
      <c r="I117" s="219">
        <v>0</v>
      </c>
      <c r="J117" s="321">
        <v>0</v>
      </c>
    </row>
    <row r="118" spans="2:11" ht="19.899999999999999" customHeight="1" outlineLevel="1" x14ac:dyDescent="0.35">
      <c r="B118" s="487"/>
      <c r="C118" s="490"/>
      <c r="D118" s="236" t="s">
        <v>35</v>
      </c>
      <c r="E118" s="219">
        <v>0</v>
      </c>
      <c r="F118" s="219">
        <v>0</v>
      </c>
      <c r="G118" s="219">
        <v>0</v>
      </c>
      <c r="H118" s="219">
        <v>0</v>
      </c>
      <c r="I118" s="219">
        <v>0</v>
      </c>
      <c r="J118" s="321">
        <v>0</v>
      </c>
    </row>
    <row r="119" spans="2:11" ht="19.899999999999999" customHeight="1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21">
        <v>0</v>
      </c>
    </row>
    <row r="120" spans="2:11" ht="19.899999999999999" customHeight="1" outlineLevel="1" x14ac:dyDescent="0.35">
      <c r="B120" s="487"/>
      <c r="C120" s="490"/>
      <c r="D120" s="236" t="s">
        <v>33</v>
      </c>
      <c r="E120" s="219">
        <v>0</v>
      </c>
      <c r="F120" s="219">
        <v>0</v>
      </c>
      <c r="G120" s="219">
        <v>0</v>
      </c>
      <c r="H120" s="219">
        <v>0</v>
      </c>
      <c r="I120" s="219">
        <v>0</v>
      </c>
      <c r="J120" s="321">
        <v>0</v>
      </c>
    </row>
    <row r="121" spans="2:11" x14ac:dyDescent="0.35">
      <c r="B121" s="488"/>
      <c r="C121" s="491"/>
      <c r="D121" s="347" t="s">
        <v>245</v>
      </c>
      <c r="E121" s="383">
        <f t="shared" ref="E121:J121" si="19">SUM(E117:E120)</f>
        <v>0</v>
      </c>
      <c r="F121" s="383">
        <f t="shared" si="19"/>
        <v>0</v>
      </c>
      <c r="G121" s="383">
        <f t="shared" si="19"/>
        <v>0</v>
      </c>
      <c r="H121" s="383">
        <f t="shared" si="19"/>
        <v>0</v>
      </c>
      <c r="I121" s="382">
        <f t="shared" si="19"/>
        <v>0</v>
      </c>
      <c r="J121" s="381">
        <f t="shared" si="19"/>
        <v>0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298"/>
      <c r="K122" s="297"/>
    </row>
    <row r="123" spans="2:11" outlineLevel="1" x14ac:dyDescent="0.35">
      <c r="B123" s="492"/>
      <c r="C123" s="485"/>
      <c r="D123" s="225" t="s">
        <v>145</v>
      </c>
      <c r="E123" s="219">
        <f t="shared" ref="E123:J123" si="20">SUM(E124:E127)</f>
        <v>12</v>
      </c>
      <c r="F123" s="219">
        <f t="shared" si="20"/>
        <v>12</v>
      </c>
      <c r="G123" s="219">
        <f t="shared" si="20"/>
        <v>167504536.45999998</v>
      </c>
      <c r="H123" s="219">
        <f t="shared" si="20"/>
        <v>57149401.670000002</v>
      </c>
      <c r="I123" s="219">
        <f t="shared" si="20"/>
        <v>34620858.509999998</v>
      </c>
      <c r="J123" s="321">
        <f t="shared" si="20"/>
        <v>22528543.159999996</v>
      </c>
    </row>
    <row r="124" spans="2:11" hidden="1" outlineLevel="2" x14ac:dyDescent="0.35">
      <c r="B124" s="492"/>
      <c r="C124" s="485"/>
      <c r="D124" s="222" t="s">
        <v>144</v>
      </c>
      <c r="E124" s="219">
        <v>10</v>
      </c>
      <c r="F124" s="219">
        <v>10</v>
      </c>
      <c r="G124" s="219">
        <v>131735143.45999999</v>
      </c>
      <c r="H124" s="219">
        <v>48188988.07</v>
      </c>
      <c r="I124" s="219">
        <v>29482384.09</v>
      </c>
      <c r="J124" s="321">
        <v>18706603.979999997</v>
      </c>
    </row>
    <row r="125" spans="2:11" hidden="1" outlineLevel="2" x14ac:dyDescent="0.35">
      <c r="B125" s="492"/>
      <c r="C125" s="485"/>
      <c r="D125" s="223" t="s">
        <v>143</v>
      </c>
      <c r="E125" s="219">
        <v>1</v>
      </c>
      <c r="F125" s="219">
        <v>1</v>
      </c>
      <c r="G125" s="219">
        <v>17704043</v>
      </c>
      <c r="H125" s="219">
        <v>3540808.6</v>
      </c>
      <c r="I125" s="219">
        <v>2819537</v>
      </c>
      <c r="J125" s="321">
        <v>721271.6</v>
      </c>
    </row>
    <row r="126" spans="2:11" hidden="1" outlineLevel="2" x14ac:dyDescent="0.35">
      <c r="B126" s="492"/>
      <c r="C126" s="485"/>
      <c r="D126" s="223" t="s">
        <v>142</v>
      </c>
      <c r="E126" s="219">
        <v>1</v>
      </c>
      <c r="F126" s="219">
        <v>1</v>
      </c>
      <c r="G126" s="219">
        <v>18065350</v>
      </c>
      <c r="H126" s="219">
        <v>5419605</v>
      </c>
      <c r="I126" s="219">
        <v>2318937.42</v>
      </c>
      <c r="J126" s="321">
        <v>3100667.58</v>
      </c>
    </row>
    <row r="127" spans="2:11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21">
        <v>0</v>
      </c>
    </row>
    <row r="128" spans="2:11" outlineLevel="1" collapsed="1" x14ac:dyDescent="0.35">
      <c r="B128" s="492"/>
      <c r="C128" s="485"/>
      <c r="D128" s="221" t="s">
        <v>121</v>
      </c>
      <c r="E128" s="219">
        <f t="shared" ref="E128:J128" si="21">SUM(E129:E162)</f>
        <v>299</v>
      </c>
      <c r="F128" s="219">
        <f t="shared" si="21"/>
        <v>137</v>
      </c>
      <c r="G128" s="219">
        <f t="shared" si="21"/>
        <v>224772903.02000001</v>
      </c>
      <c r="H128" s="219">
        <f t="shared" si="21"/>
        <v>95999934.670000002</v>
      </c>
      <c r="I128" s="219">
        <f t="shared" si="21"/>
        <v>59439082.11999999</v>
      </c>
      <c r="J128" s="321">
        <f t="shared" si="21"/>
        <v>36560852.550000004</v>
      </c>
    </row>
    <row r="129" spans="2:10" hidden="1" outlineLevel="2" x14ac:dyDescent="0.35">
      <c r="B129" s="492"/>
      <c r="C129" s="485"/>
      <c r="D129" s="224" t="s">
        <v>119</v>
      </c>
      <c r="E129" s="219">
        <f>SUM(E130:E163)</f>
        <v>163</v>
      </c>
      <c r="F129" s="219">
        <v>6</v>
      </c>
      <c r="G129" s="219">
        <v>7849756.6399999997</v>
      </c>
      <c r="H129" s="219">
        <v>3084005.36</v>
      </c>
      <c r="I129" s="219">
        <v>1867017.62</v>
      </c>
      <c r="J129" s="321">
        <v>1216987.7400000002</v>
      </c>
    </row>
    <row r="130" spans="2:10" hidden="1" outlineLevel="2" x14ac:dyDescent="0.35">
      <c r="B130" s="492"/>
      <c r="C130" s="485"/>
      <c r="D130" s="223" t="s">
        <v>118</v>
      </c>
      <c r="E130" s="219">
        <v>16</v>
      </c>
      <c r="F130" s="219">
        <v>16</v>
      </c>
      <c r="G130" s="219">
        <v>25373664.839999996</v>
      </c>
      <c r="H130" s="219">
        <v>11721144.15</v>
      </c>
      <c r="I130" s="219">
        <v>7484787.6400000006</v>
      </c>
      <c r="J130" s="321">
        <v>4236356.51</v>
      </c>
    </row>
    <row r="131" spans="2:10" hidden="1" outlineLevel="2" x14ac:dyDescent="0.35">
      <c r="B131" s="492"/>
      <c r="C131" s="485"/>
      <c r="D131" s="223" t="s">
        <v>117</v>
      </c>
      <c r="E131" s="219">
        <v>4</v>
      </c>
      <c r="F131" s="219">
        <v>4</v>
      </c>
      <c r="G131" s="219">
        <v>5794561.2400000002</v>
      </c>
      <c r="H131" s="219">
        <v>2718740.12</v>
      </c>
      <c r="I131" s="219">
        <v>1618147.38</v>
      </c>
      <c r="J131" s="321">
        <v>1100592.74</v>
      </c>
    </row>
    <row r="132" spans="2:10" hidden="1" outlineLevel="2" x14ac:dyDescent="0.35">
      <c r="B132" s="492"/>
      <c r="C132" s="485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21">
        <v>0</v>
      </c>
    </row>
    <row r="133" spans="2:10" hidden="1" outlineLevel="2" x14ac:dyDescent="0.35">
      <c r="B133" s="492"/>
      <c r="C133" s="485"/>
      <c r="D133" s="223" t="s">
        <v>114</v>
      </c>
      <c r="E133" s="219">
        <v>4</v>
      </c>
      <c r="F133" s="219">
        <v>4</v>
      </c>
      <c r="G133" s="219">
        <v>5417387.1000000006</v>
      </c>
      <c r="H133" s="219">
        <v>2566445.25</v>
      </c>
      <c r="I133" s="219">
        <v>1777123.3800000001</v>
      </c>
      <c r="J133" s="321">
        <v>789321.87000000011</v>
      </c>
    </row>
    <row r="134" spans="2:10" hidden="1" outlineLevel="2" x14ac:dyDescent="0.35">
      <c r="B134" s="492"/>
      <c r="C134" s="485"/>
      <c r="D134" s="223" t="s">
        <v>113</v>
      </c>
      <c r="E134" s="219">
        <v>18</v>
      </c>
      <c r="F134" s="219">
        <v>17</v>
      </c>
      <c r="G134" s="219">
        <v>26762274.429999992</v>
      </c>
      <c r="H134" s="219">
        <v>12666138.130000001</v>
      </c>
      <c r="I134" s="219">
        <v>7397385.2200000007</v>
      </c>
      <c r="J134" s="321">
        <v>5268752.9099999992</v>
      </c>
    </row>
    <row r="135" spans="2:10" hidden="1" outlineLevel="2" x14ac:dyDescent="0.35">
      <c r="B135" s="492"/>
      <c r="C135" s="485"/>
      <c r="D135" s="223" t="s">
        <v>112</v>
      </c>
      <c r="E135" s="219">
        <v>9</v>
      </c>
      <c r="F135" s="219">
        <v>8</v>
      </c>
      <c r="G135" s="219">
        <v>15392402.460000003</v>
      </c>
      <c r="H135" s="219">
        <v>7455079.8300000001</v>
      </c>
      <c r="I135" s="219">
        <v>4923034</v>
      </c>
      <c r="J135" s="321">
        <v>2532045.83</v>
      </c>
    </row>
    <row r="136" spans="2:10" hidden="1" outlineLevel="2" x14ac:dyDescent="0.35">
      <c r="B136" s="492"/>
      <c r="C136" s="485"/>
      <c r="D136" s="223" t="s">
        <v>111</v>
      </c>
      <c r="E136" s="219">
        <v>3</v>
      </c>
      <c r="F136" s="219">
        <v>2</v>
      </c>
      <c r="G136" s="219">
        <v>10227913.029999999</v>
      </c>
      <c r="H136" s="219">
        <v>4385497.09</v>
      </c>
      <c r="I136" s="219">
        <v>3438931.8</v>
      </c>
      <c r="J136" s="321">
        <v>946565.29</v>
      </c>
    </row>
    <row r="137" spans="2:10" hidden="1" outlineLevel="2" x14ac:dyDescent="0.35">
      <c r="B137" s="492"/>
      <c r="C137" s="485"/>
      <c r="D137" s="222" t="s">
        <v>109</v>
      </c>
      <c r="E137" s="219">
        <v>9</v>
      </c>
      <c r="F137" s="219">
        <v>9</v>
      </c>
      <c r="G137" s="219">
        <v>14730969</v>
      </c>
      <c r="H137" s="219">
        <v>6444563.5300000003</v>
      </c>
      <c r="I137" s="219">
        <v>3698347.36</v>
      </c>
      <c r="J137" s="321">
        <v>2746216.17</v>
      </c>
    </row>
    <row r="138" spans="2:10" hidden="1" outlineLevel="2" x14ac:dyDescent="0.35">
      <c r="B138" s="492"/>
      <c r="C138" s="485"/>
      <c r="D138" s="222" t="s">
        <v>108</v>
      </c>
      <c r="E138" s="219">
        <v>22</v>
      </c>
      <c r="F138" s="219">
        <v>21</v>
      </c>
      <c r="G138" s="219">
        <v>28551885</v>
      </c>
      <c r="H138" s="219">
        <v>13259759.260000002</v>
      </c>
      <c r="I138" s="219">
        <v>9052818.0699999984</v>
      </c>
      <c r="J138" s="321">
        <v>4206941.1899999995</v>
      </c>
    </row>
    <row r="139" spans="2:10" hidden="1" outlineLevel="2" x14ac:dyDescent="0.35">
      <c r="B139" s="492"/>
      <c r="C139" s="485"/>
      <c r="D139" s="222" t="s">
        <v>107</v>
      </c>
      <c r="E139" s="219">
        <v>5</v>
      </c>
      <c r="F139" s="219">
        <v>5</v>
      </c>
      <c r="G139" s="219">
        <v>6233380.919999999</v>
      </c>
      <c r="H139" s="219">
        <v>2990900.2</v>
      </c>
      <c r="I139" s="219">
        <v>1829366.97</v>
      </c>
      <c r="J139" s="321">
        <v>1161533.23</v>
      </c>
    </row>
    <row r="140" spans="2:10" hidden="1" outlineLevel="2" x14ac:dyDescent="0.35">
      <c r="B140" s="492"/>
      <c r="C140" s="485"/>
      <c r="D140" s="222" t="s">
        <v>106</v>
      </c>
      <c r="E140" s="219">
        <v>0</v>
      </c>
      <c r="F140" s="219">
        <v>0</v>
      </c>
      <c r="G140" s="219">
        <v>0</v>
      </c>
      <c r="H140" s="219">
        <v>0</v>
      </c>
      <c r="I140" s="219">
        <v>0</v>
      </c>
      <c r="J140" s="321">
        <v>0</v>
      </c>
    </row>
    <row r="141" spans="2:10" hidden="1" outlineLevel="2" x14ac:dyDescent="0.35">
      <c r="B141" s="492"/>
      <c r="C141" s="485"/>
      <c r="D141" s="222" t="s">
        <v>104</v>
      </c>
      <c r="E141" s="219">
        <v>2</v>
      </c>
      <c r="F141" s="219">
        <v>2</v>
      </c>
      <c r="G141" s="219">
        <v>3678995.1799999997</v>
      </c>
      <c r="H141" s="219">
        <v>1229647.8599999999</v>
      </c>
      <c r="I141" s="219">
        <v>733850.21</v>
      </c>
      <c r="J141" s="321">
        <v>495797.65</v>
      </c>
    </row>
    <row r="142" spans="2:10" hidden="1" outlineLevel="2" x14ac:dyDescent="0.35">
      <c r="B142" s="492"/>
      <c r="C142" s="485"/>
      <c r="D142" s="222" t="s">
        <v>103</v>
      </c>
      <c r="E142" s="219">
        <v>10</v>
      </c>
      <c r="F142" s="219">
        <v>10</v>
      </c>
      <c r="G142" s="219">
        <v>14543948.17</v>
      </c>
      <c r="H142" s="219">
        <v>5696287.8400000008</v>
      </c>
      <c r="I142" s="219">
        <v>3272703.01</v>
      </c>
      <c r="J142" s="321">
        <v>2423584.83</v>
      </c>
    </row>
    <row r="143" spans="2:10" hidden="1" outlineLevel="2" x14ac:dyDescent="0.35">
      <c r="B143" s="492"/>
      <c r="C143" s="485"/>
      <c r="D143" s="222" t="s">
        <v>102</v>
      </c>
      <c r="E143" s="219">
        <v>3</v>
      </c>
      <c r="F143" s="219">
        <v>3</v>
      </c>
      <c r="G143" s="219">
        <v>4169585.64</v>
      </c>
      <c r="H143" s="219">
        <v>1667834.27</v>
      </c>
      <c r="I143" s="219">
        <v>864229</v>
      </c>
      <c r="J143" s="321">
        <v>803605.27</v>
      </c>
    </row>
    <row r="144" spans="2:10" hidden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21">
        <v>0</v>
      </c>
    </row>
    <row r="145" spans="2:10" hidden="1" outlineLevel="2" x14ac:dyDescent="0.35">
      <c r="B145" s="492"/>
      <c r="C145" s="485"/>
      <c r="D145" s="223" t="s">
        <v>99</v>
      </c>
      <c r="E145" s="219">
        <v>2</v>
      </c>
      <c r="F145" s="219">
        <v>2</v>
      </c>
      <c r="G145" s="219">
        <v>2538498.11</v>
      </c>
      <c r="H145" s="219">
        <v>1015399.24</v>
      </c>
      <c r="I145" s="219">
        <v>511688.49</v>
      </c>
      <c r="J145" s="321">
        <v>503710.75</v>
      </c>
    </row>
    <row r="146" spans="2:10" hidden="1" outlineLevel="2" x14ac:dyDescent="0.35">
      <c r="B146" s="492"/>
      <c r="C146" s="485"/>
      <c r="D146" s="223" t="s">
        <v>98</v>
      </c>
      <c r="E146" s="219">
        <v>1</v>
      </c>
      <c r="F146" s="219">
        <v>1</v>
      </c>
      <c r="G146" s="219">
        <v>1475570.6</v>
      </c>
      <c r="H146" s="219">
        <v>442671.18</v>
      </c>
      <c r="I146" s="219">
        <v>291743.90000000002</v>
      </c>
      <c r="J146" s="321">
        <v>150927.28</v>
      </c>
    </row>
    <row r="147" spans="2:10" hidden="1" outlineLevel="2" x14ac:dyDescent="0.35">
      <c r="B147" s="492"/>
      <c r="C147" s="485"/>
      <c r="D147" s="223" t="s">
        <v>97</v>
      </c>
      <c r="E147" s="219">
        <v>2</v>
      </c>
      <c r="F147" s="219">
        <v>2</v>
      </c>
      <c r="G147" s="219">
        <v>5769439.6200000001</v>
      </c>
      <c r="H147" s="219">
        <v>2307775.85</v>
      </c>
      <c r="I147" s="219">
        <v>1352432.9300000002</v>
      </c>
      <c r="J147" s="321">
        <v>955342.92</v>
      </c>
    </row>
    <row r="148" spans="2:10" hidden="1" outlineLevel="2" x14ac:dyDescent="0.35">
      <c r="B148" s="492"/>
      <c r="C148" s="485"/>
      <c r="D148" s="223" t="s">
        <v>96</v>
      </c>
      <c r="E148" s="219">
        <v>3</v>
      </c>
      <c r="F148" s="219">
        <v>3</v>
      </c>
      <c r="G148" s="219">
        <v>5131225.8499999996</v>
      </c>
      <c r="H148" s="219">
        <v>1847234.69</v>
      </c>
      <c r="I148" s="219">
        <v>848295.66999999993</v>
      </c>
      <c r="J148" s="321">
        <v>998939.02</v>
      </c>
    </row>
    <row r="149" spans="2:10" hidden="1" outlineLevel="2" x14ac:dyDescent="0.35">
      <c r="B149" s="492"/>
      <c r="C149" s="485"/>
      <c r="D149" s="223" t="s">
        <v>94</v>
      </c>
      <c r="E149" s="219">
        <v>3</v>
      </c>
      <c r="F149" s="219">
        <v>3</v>
      </c>
      <c r="G149" s="219">
        <v>7209926.3299999991</v>
      </c>
      <c r="H149" s="219">
        <v>2685875.84</v>
      </c>
      <c r="I149" s="219">
        <v>1827053.1500000001</v>
      </c>
      <c r="J149" s="321">
        <v>858822.69000000006</v>
      </c>
    </row>
    <row r="150" spans="2:10" hidden="1" outlineLevel="2" x14ac:dyDescent="0.35">
      <c r="B150" s="492"/>
      <c r="C150" s="485"/>
      <c r="D150" s="223" t="s">
        <v>93</v>
      </c>
      <c r="E150" s="219">
        <v>2</v>
      </c>
      <c r="F150" s="219">
        <v>2</v>
      </c>
      <c r="G150" s="219">
        <v>2431928.75</v>
      </c>
      <c r="H150" s="219">
        <v>972771.52</v>
      </c>
      <c r="I150" s="219">
        <v>555825.15</v>
      </c>
      <c r="J150" s="321">
        <v>416946.37</v>
      </c>
    </row>
    <row r="151" spans="2:10" hidden="1" outlineLevel="2" x14ac:dyDescent="0.35">
      <c r="B151" s="492"/>
      <c r="C151" s="485"/>
      <c r="D151" s="223" t="s">
        <v>92</v>
      </c>
      <c r="E151" s="219">
        <v>1</v>
      </c>
      <c r="F151" s="219">
        <v>1</v>
      </c>
      <c r="G151" s="219">
        <v>1214812.5</v>
      </c>
      <c r="H151" s="219">
        <v>485925</v>
      </c>
      <c r="I151" s="219">
        <v>242963</v>
      </c>
      <c r="J151" s="321">
        <v>242962</v>
      </c>
    </row>
    <row r="152" spans="2:10" hidden="1" outlineLevel="2" x14ac:dyDescent="0.35">
      <c r="B152" s="492"/>
      <c r="C152" s="485"/>
      <c r="D152" s="223" t="s">
        <v>91</v>
      </c>
      <c r="E152" s="219">
        <v>6</v>
      </c>
      <c r="F152" s="219">
        <v>5</v>
      </c>
      <c r="G152" s="219">
        <v>10880287.470000001</v>
      </c>
      <c r="H152" s="219">
        <v>3890167.99</v>
      </c>
      <c r="I152" s="219">
        <v>1952349.2999999998</v>
      </c>
      <c r="J152" s="321">
        <v>1937818.6900000002</v>
      </c>
    </row>
    <row r="153" spans="2:10" hidden="1" outlineLevel="2" x14ac:dyDescent="0.35">
      <c r="B153" s="492"/>
      <c r="C153" s="485"/>
      <c r="D153" s="223" t="s">
        <v>89</v>
      </c>
      <c r="E153" s="219">
        <v>2</v>
      </c>
      <c r="F153" s="219">
        <v>2</v>
      </c>
      <c r="G153" s="219">
        <v>3474007.28</v>
      </c>
      <c r="H153" s="219">
        <v>1389602.9</v>
      </c>
      <c r="I153" s="219">
        <v>1002944.14</v>
      </c>
      <c r="J153" s="321">
        <v>386658.76</v>
      </c>
    </row>
    <row r="154" spans="2:10" hidden="1" outlineLevel="2" x14ac:dyDescent="0.35">
      <c r="B154" s="492"/>
      <c r="C154" s="485"/>
      <c r="D154" s="223" t="s">
        <v>88</v>
      </c>
      <c r="E154" s="219">
        <v>1</v>
      </c>
      <c r="F154" s="219">
        <v>1</v>
      </c>
      <c r="G154" s="219">
        <v>3976088.79</v>
      </c>
      <c r="H154" s="219">
        <v>1192826.6399999999</v>
      </c>
      <c r="I154" s="219">
        <v>397937</v>
      </c>
      <c r="J154" s="321">
        <v>794889.64</v>
      </c>
    </row>
    <row r="155" spans="2:10" hidden="1" outlineLevel="2" x14ac:dyDescent="0.35">
      <c r="B155" s="492"/>
      <c r="C155" s="485"/>
      <c r="D155" s="223" t="s">
        <v>87</v>
      </c>
      <c r="E155" s="219">
        <v>1</v>
      </c>
      <c r="F155" s="219">
        <v>1</v>
      </c>
      <c r="G155" s="219">
        <v>1568764.54</v>
      </c>
      <c r="H155" s="219">
        <v>627505.81000000006</v>
      </c>
      <c r="I155" s="219">
        <v>466598.36</v>
      </c>
      <c r="J155" s="321">
        <v>160907.45000000001</v>
      </c>
    </row>
    <row r="156" spans="2:10" hidden="1" outlineLevel="2" x14ac:dyDescent="0.35">
      <c r="B156" s="492"/>
      <c r="C156" s="485"/>
      <c r="D156" s="223" t="s">
        <v>86</v>
      </c>
      <c r="E156" s="219">
        <v>4</v>
      </c>
      <c r="F156" s="219">
        <v>4</v>
      </c>
      <c r="G156" s="219">
        <v>5905046.0500000007</v>
      </c>
      <c r="H156" s="219">
        <v>2362018.42</v>
      </c>
      <c r="I156" s="219">
        <v>1390487.98</v>
      </c>
      <c r="J156" s="321">
        <v>971530.44</v>
      </c>
    </row>
    <row r="157" spans="2:10" hidden="1" outlineLevel="2" x14ac:dyDescent="0.35">
      <c r="B157" s="492"/>
      <c r="C157" s="485"/>
      <c r="D157" s="223" t="s">
        <v>84</v>
      </c>
      <c r="E157" s="219">
        <v>2</v>
      </c>
      <c r="F157" s="219">
        <v>2</v>
      </c>
      <c r="G157" s="219">
        <v>3031690.9</v>
      </c>
      <c r="H157" s="219">
        <v>606338.17999999993</v>
      </c>
      <c r="I157" s="219">
        <v>496909.39</v>
      </c>
      <c r="J157" s="321">
        <v>109428.79</v>
      </c>
    </row>
    <row r="158" spans="2:10" hidden="1" outlineLevel="2" x14ac:dyDescent="0.35">
      <c r="B158" s="492"/>
      <c r="C158" s="485"/>
      <c r="D158" s="223" t="s">
        <v>83</v>
      </c>
      <c r="E158" s="219">
        <v>0</v>
      </c>
      <c r="F158" s="219">
        <v>0</v>
      </c>
      <c r="G158" s="219">
        <v>0</v>
      </c>
      <c r="H158" s="219">
        <v>0</v>
      </c>
      <c r="I158" s="219">
        <v>0</v>
      </c>
      <c r="J158" s="321">
        <v>0</v>
      </c>
    </row>
    <row r="159" spans="2:10" hidden="1" outlineLevel="2" x14ac:dyDescent="0.35">
      <c r="B159" s="492"/>
      <c r="C159" s="485"/>
      <c r="D159" s="223" t="s">
        <v>82</v>
      </c>
      <c r="E159" s="219">
        <v>0</v>
      </c>
      <c r="F159" s="219">
        <v>0</v>
      </c>
      <c r="G159" s="219">
        <v>0</v>
      </c>
      <c r="H159" s="219">
        <v>0</v>
      </c>
      <c r="I159" s="219">
        <v>0</v>
      </c>
      <c r="J159" s="321">
        <v>0</v>
      </c>
    </row>
    <row r="160" spans="2:10" hidden="1" outlineLevel="2" x14ac:dyDescent="0.35">
      <c r="B160" s="492"/>
      <c r="C160" s="485"/>
      <c r="D160" s="223" t="s">
        <v>81</v>
      </c>
      <c r="E160" s="219">
        <v>1</v>
      </c>
      <c r="F160" s="219">
        <v>1</v>
      </c>
      <c r="G160" s="219">
        <v>1438892.58</v>
      </c>
      <c r="H160" s="219">
        <v>287778.52</v>
      </c>
      <c r="I160" s="219">
        <v>144112</v>
      </c>
      <c r="J160" s="321">
        <v>143666.51999999999</v>
      </c>
    </row>
    <row r="161" spans="2:10" hidden="1" outlineLevel="2" x14ac:dyDescent="0.35">
      <c r="B161" s="492"/>
      <c r="C161" s="485"/>
      <c r="D161" s="223" t="s">
        <v>79</v>
      </c>
      <c r="E161" s="219">
        <v>0</v>
      </c>
      <c r="F161" s="219">
        <v>0</v>
      </c>
      <c r="G161" s="219">
        <v>0</v>
      </c>
      <c r="H161" s="219">
        <v>0</v>
      </c>
      <c r="I161" s="219">
        <v>0</v>
      </c>
      <c r="J161" s="321">
        <v>0</v>
      </c>
    </row>
    <row r="162" spans="2:10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21">
        <v>0</v>
      </c>
    </row>
    <row r="163" spans="2:10" outlineLevel="1" collapsed="1" x14ac:dyDescent="0.35">
      <c r="B163" s="492"/>
      <c r="C163" s="485"/>
      <c r="D163" s="221" t="s">
        <v>77</v>
      </c>
      <c r="E163" s="219">
        <f t="shared" ref="E163:J163" si="22">SUM(E164:E185)</f>
        <v>27</v>
      </c>
      <c r="F163" s="219">
        <f t="shared" si="22"/>
        <v>25</v>
      </c>
      <c r="G163" s="219">
        <f t="shared" si="22"/>
        <v>42431454.669999994</v>
      </c>
      <c r="H163" s="219">
        <f t="shared" si="22"/>
        <v>13728458.370000003</v>
      </c>
      <c r="I163" s="219">
        <f t="shared" si="22"/>
        <v>7875955.3499999996</v>
      </c>
      <c r="J163" s="321">
        <f t="shared" si="22"/>
        <v>5852503.0200000005</v>
      </c>
    </row>
    <row r="164" spans="2:10" hidden="1" outlineLevel="2" x14ac:dyDescent="0.35">
      <c r="B164" s="492"/>
      <c r="C164" s="485"/>
      <c r="D164" s="222" t="s">
        <v>75</v>
      </c>
      <c r="E164" s="219">
        <v>1</v>
      </c>
      <c r="F164" s="219">
        <v>1</v>
      </c>
      <c r="G164" s="219">
        <v>1364594.69</v>
      </c>
      <c r="H164" s="219">
        <v>545837.88</v>
      </c>
      <c r="I164" s="219">
        <v>272920</v>
      </c>
      <c r="J164" s="321">
        <v>272917.88</v>
      </c>
    </row>
    <row r="165" spans="2:10" hidden="1" outlineLevel="2" x14ac:dyDescent="0.35">
      <c r="B165" s="492"/>
      <c r="C165" s="485"/>
      <c r="D165" s="222" t="s">
        <v>74</v>
      </c>
      <c r="E165" s="219">
        <v>5</v>
      </c>
      <c r="F165" s="219">
        <v>5</v>
      </c>
      <c r="G165" s="219">
        <v>8053675.8699999992</v>
      </c>
      <c r="H165" s="219">
        <v>2869858.05</v>
      </c>
      <c r="I165" s="219">
        <v>1800597.71</v>
      </c>
      <c r="J165" s="321">
        <v>1069260.3400000001</v>
      </c>
    </row>
    <row r="166" spans="2:10" hidden="1" outlineLevel="2" x14ac:dyDescent="0.35">
      <c r="B166" s="492"/>
      <c r="C166" s="485"/>
      <c r="D166" s="222" t="s">
        <v>73</v>
      </c>
      <c r="E166" s="219">
        <v>2</v>
      </c>
      <c r="F166" s="219">
        <v>1</v>
      </c>
      <c r="G166" s="219">
        <v>3526064.78</v>
      </c>
      <c r="H166" s="219">
        <v>1410425.92</v>
      </c>
      <c r="I166" s="219">
        <v>985213</v>
      </c>
      <c r="J166" s="321">
        <v>425212.92</v>
      </c>
    </row>
    <row r="167" spans="2:10" hidden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21">
        <v>0</v>
      </c>
    </row>
    <row r="168" spans="2:10" hidden="1" outlineLevel="2" x14ac:dyDescent="0.35">
      <c r="B168" s="492"/>
      <c r="C168" s="485"/>
      <c r="D168" s="222" t="s">
        <v>70</v>
      </c>
      <c r="E168" s="219">
        <v>4</v>
      </c>
      <c r="F168" s="219">
        <v>4</v>
      </c>
      <c r="G168" s="219">
        <v>5515074.96</v>
      </c>
      <c r="H168" s="219">
        <v>1931703.6800000002</v>
      </c>
      <c r="I168" s="219">
        <v>979364.06</v>
      </c>
      <c r="J168" s="321">
        <v>952339.62</v>
      </c>
    </row>
    <row r="169" spans="2:10" hidden="1" outlineLevel="2" x14ac:dyDescent="0.35">
      <c r="B169" s="492"/>
      <c r="C169" s="485"/>
      <c r="D169" s="222" t="s">
        <v>69</v>
      </c>
      <c r="E169" s="219">
        <v>5</v>
      </c>
      <c r="F169" s="219">
        <v>4</v>
      </c>
      <c r="G169" s="219">
        <v>6818118.9299999997</v>
      </c>
      <c r="H169" s="219">
        <v>2323560.04</v>
      </c>
      <c r="I169" s="219">
        <v>1054856.1099999999</v>
      </c>
      <c r="J169" s="321">
        <v>1268703.93</v>
      </c>
    </row>
    <row r="170" spans="2:10" hidden="1" outlineLevel="2" x14ac:dyDescent="0.35">
      <c r="B170" s="492"/>
      <c r="C170" s="485"/>
      <c r="D170" s="222" t="s">
        <v>68</v>
      </c>
      <c r="E170" s="219">
        <v>2</v>
      </c>
      <c r="F170" s="219">
        <v>2</v>
      </c>
      <c r="G170" s="219">
        <v>2918994.79</v>
      </c>
      <c r="H170" s="219">
        <v>1167597.8900000001</v>
      </c>
      <c r="I170" s="219">
        <v>682780.24</v>
      </c>
      <c r="J170" s="321">
        <v>484817.65</v>
      </c>
    </row>
    <row r="171" spans="2:10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21">
        <v>0</v>
      </c>
    </row>
    <row r="172" spans="2:10" hidden="1" outlineLevel="2" x14ac:dyDescent="0.35">
      <c r="B172" s="492"/>
      <c r="C172" s="485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21">
        <v>0</v>
      </c>
    </row>
    <row r="173" spans="2:10" hidden="1" outlineLevel="2" x14ac:dyDescent="0.35">
      <c r="B173" s="492"/>
      <c r="C173" s="485"/>
      <c r="D173" s="222" t="s">
        <v>64</v>
      </c>
      <c r="E173" s="219">
        <v>2</v>
      </c>
      <c r="F173" s="219">
        <v>2</v>
      </c>
      <c r="G173" s="219">
        <v>3451856.77</v>
      </c>
      <c r="H173" s="219">
        <v>821270.72</v>
      </c>
      <c r="I173" s="219">
        <v>345288</v>
      </c>
      <c r="J173" s="321">
        <v>475982.72</v>
      </c>
    </row>
    <row r="174" spans="2:10" hidden="1" outlineLevel="2" x14ac:dyDescent="0.35">
      <c r="B174" s="492"/>
      <c r="C174" s="485"/>
      <c r="D174" s="222" t="s">
        <v>63</v>
      </c>
      <c r="E174" s="219">
        <v>0</v>
      </c>
      <c r="F174" s="219">
        <v>0</v>
      </c>
      <c r="G174" s="219">
        <v>0</v>
      </c>
      <c r="H174" s="219">
        <v>0</v>
      </c>
      <c r="I174" s="219">
        <v>0</v>
      </c>
      <c r="J174" s="321">
        <v>0</v>
      </c>
    </row>
    <row r="175" spans="2:10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21">
        <v>0</v>
      </c>
    </row>
    <row r="176" spans="2:10" hidden="1" outlineLevel="2" x14ac:dyDescent="0.35">
      <c r="B176" s="492"/>
      <c r="C176" s="485"/>
      <c r="D176" s="222" t="s">
        <v>60</v>
      </c>
      <c r="E176" s="219">
        <v>3</v>
      </c>
      <c r="F176" s="219">
        <v>3</v>
      </c>
      <c r="G176" s="219">
        <v>5767180.1299999999</v>
      </c>
      <c r="H176" s="219">
        <v>1153436.05</v>
      </c>
      <c r="I176" s="219">
        <v>1025101.23</v>
      </c>
      <c r="J176" s="321">
        <v>128334.81999999999</v>
      </c>
    </row>
    <row r="177" spans="2:10" hidden="1" outlineLevel="2" x14ac:dyDescent="0.35">
      <c r="B177" s="492"/>
      <c r="C177" s="485"/>
      <c r="D177" s="222" t="s">
        <v>59</v>
      </c>
      <c r="E177" s="219">
        <v>2</v>
      </c>
      <c r="F177" s="219">
        <v>2</v>
      </c>
      <c r="G177" s="219">
        <v>3172738.75</v>
      </c>
      <c r="H177" s="219">
        <v>951821.64</v>
      </c>
      <c r="I177" s="219">
        <v>407278</v>
      </c>
      <c r="J177" s="321">
        <v>544543.64</v>
      </c>
    </row>
    <row r="178" spans="2:10" hidden="1" outlineLevel="2" x14ac:dyDescent="0.35">
      <c r="B178" s="492"/>
      <c r="C178" s="485"/>
      <c r="D178" s="222" t="s">
        <v>58</v>
      </c>
      <c r="E178" s="219">
        <v>1</v>
      </c>
      <c r="F178" s="219">
        <v>1</v>
      </c>
      <c r="G178" s="219">
        <v>1843155</v>
      </c>
      <c r="H178" s="219">
        <v>552946.5</v>
      </c>
      <c r="I178" s="219">
        <v>322557</v>
      </c>
      <c r="J178" s="321">
        <v>230389.5</v>
      </c>
    </row>
    <row r="179" spans="2:10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21">
        <v>0</v>
      </c>
    </row>
    <row r="180" spans="2:10" hidden="1" outlineLevel="2" x14ac:dyDescent="0.35">
      <c r="B180" s="492"/>
      <c r="C180" s="485"/>
      <c r="D180" s="222" t="s">
        <v>55</v>
      </c>
      <c r="E180" s="219">
        <v>0</v>
      </c>
      <c r="F180" s="219">
        <v>0</v>
      </c>
      <c r="G180" s="219">
        <v>0</v>
      </c>
      <c r="H180" s="219">
        <v>0</v>
      </c>
      <c r="I180" s="219">
        <v>0</v>
      </c>
      <c r="J180" s="321">
        <v>0</v>
      </c>
    </row>
    <row r="181" spans="2:10" hidden="1" outlineLevel="2" x14ac:dyDescent="0.35">
      <c r="B181" s="492"/>
      <c r="C181" s="485"/>
      <c r="D181" s="222" t="s">
        <v>54</v>
      </c>
      <c r="E181" s="219">
        <v>0</v>
      </c>
      <c r="F181" s="219">
        <v>0</v>
      </c>
      <c r="G181" s="219">
        <v>0</v>
      </c>
      <c r="H181" s="219">
        <v>0</v>
      </c>
      <c r="I181" s="219">
        <v>0</v>
      </c>
      <c r="J181" s="321">
        <v>0</v>
      </c>
    </row>
    <row r="182" spans="2:10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21">
        <v>0</v>
      </c>
    </row>
    <row r="183" spans="2:10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21">
        <v>0</v>
      </c>
    </row>
    <row r="184" spans="2:10" hidden="1" outlineLevel="2" x14ac:dyDescent="0.35">
      <c r="B184" s="492"/>
      <c r="C184" s="485"/>
      <c r="D184" s="222" t="s">
        <v>50</v>
      </c>
      <c r="E184" s="219">
        <v>0</v>
      </c>
      <c r="F184" s="219">
        <v>0</v>
      </c>
      <c r="G184" s="219">
        <v>0</v>
      </c>
      <c r="H184" s="219">
        <v>0</v>
      </c>
      <c r="I184" s="219">
        <v>0</v>
      </c>
      <c r="J184" s="321">
        <v>0</v>
      </c>
    </row>
    <row r="185" spans="2:10" hidden="1" outlineLevel="2" x14ac:dyDescent="0.35">
      <c r="B185" s="492"/>
      <c r="C185" s="485"/>
      <c r="D185" s="222" t="s">
        <v>49</v>
      </c>
      <c r="E185" s="219">
        <v>0</v>
      </c>
      <c r="F185" s="219">
        <v>0</v>
      </c>
      <c r="G185" s="219">
        <v>0</v>
      </c>
      <c r="H185" s="219">
        <v>0</v>
      </c>
      <c r="I185" s="219">
        <v>0</v>
      </c>
      <c r="J185" s="321">
        <v>0</v>
      </c>
    </row>
    <row r="186" spans="2:10" x14ac:dyDescent="0.35">
      <c r="B186" s="492"/>
      <c r="C186" s="485"/>
      <c r="D186" s="347" t="s">
        <v>243</v>
      </c>
      <c r="E186" s="383">
        <f t="shared" ref="E186:J186" si="23">SUM(E163,E128,E123)</f>
        <v>338</v>
      </c>
      <c r="F186" s="383">
        <f t="shared" si="23"/>
        <v>174</v>
      </c>
      <c r="G186" s="383">
        <f t="shared" si="23"/>
        <v>434708894.14999998</v>
      </c>
      <c r="H186" s="383">
        <f t="shared" si="23"/>
        <v>166877794.71000001</v>
      </c>
      <c r="I186" s="382">
        <f t="shared" si="23"/>
        <v>101935895.97999999</v>
      </c>
      <c r="J186" s="381">
        <f t="shared" si="23"/>
        <v>64941898.730000004</v>
      </c>
    </row>
    <row r="187" spans="2:10" outlineLevel="1" x14ac:dyDescent="0.35">
      <c r="B187" s="549" t="s">
        <v>242</v>
      </c>
      <c r="C187" s="551" t="s">
        <v>241</v>
      </c>
      <c r="D187" s="221" t="s">
        <v>240</v>
      </c>
      <c r="E187" s="219">
        <f t="shared" ref="E187:J187" si="24">SUM(E188:E190)</f>
        <v>15</v>
      </c>
      <c r="F187" s="219">
        <f t="shared" si="24"/>
        <v>12</v>
      </c>
      <c r="G187" s="219">
        <f t="shared" si="24"/>
        <v>20494337.110000003</v>
      </c>
      <c r="H187" s="219">
        <f t="shared" si="24"/>
        <v>5704446.6299999999</v>
      </c>
      <c r="I187" s="219">
        <f t="shared" si="24"/>
        <v>3004827.9</v>
      </c>
      <c r="J187" s="321">
        <f t="shared" si="24"/>
        <v>2699618.73</v>
      </c>
    </row>
    <row r="188" spans="2:10" ht="15" hidden="1" customHeight="1" outlineLevel="2" x14ac:dyDescent="0.35">
      <c r="B188" s="549"/>
      <c r="C188" s="551"/>
      <c r="D188" s="222" t="s">
        <v>126</v>
      </c>
      <c r="E188" s="219">
        <v>8</v>
      </c>
      <c r="F188" s="219">
        <v>7</v>
      </c>
      <c r="G188" s="219">
        <v>10015018.350000001</v>
      </c>
      <c r="H188" s="219">
        <v>3163941.84</v>
      </c>
      <c r="I188" s="219">
        <v>1390213.24</v>
      </c>
      <c r="J188" s="321">
        <v>1773728.5999999999</v>
      </c>
    </row>
    <row r="189" spans="2:10" ht="15" hidden="1" customHeight="1" outlineLevel="2" x14ac:dyDescent="0.35">
      <c r="B189" s="549"/>
      <c r="C189" s="551"/>
      <c r="D189" s="222" t="s">
        <v>125</v>
      </c>
      <c r="E189" s="219">
        <v>3</v>
      </c>
      <c r="F189" s="219">
        <v>1</v>
      </c>
      <c r="G189" s="219">
        <v>4543667.6900000004</v>
      </c>
      <c r="H189" s="219">
        <v>908733.54</v>
      </c>
      <c r="I189" s="219">
        <v>898621.35000000009</v>
      </c>
      <c r="J189" s="321">
        <v>10112.19</v>
      </c>
    </row>
    <row r="190" spans="2:10" ht="15" hidden="1" customHeight="1" outlineLevel="2" x14ac:dyDescent="0.35">
      <c r="B190" s="549"/>
      <c r="C190" s="551"/>
      <c r="D190" s="222" t="s">
        <v>124</v>
      </c>
      <c r="E190" s="219">
        <v>4</v>
      </c>
      <c r="F190" s="219">
        <v>4</v>
      </c>
      <c r="G190" s="219">
        <v>5935651.0700000003</v>
      </c>
      <c r="H190" s="219">
        <v>1631771.25</v>
      </c>
      <c r="I190" s="219">
        <v>715993.31</v>
      </c>
      <c r="J190" s="321">
        <v>915777.94000000006</v>
      </c>
    </row>
    <row r="191" spans="2:10" outlineLevel="1" collapsed="1" x14ac:dyDescent="0.35">
      <c r="B191" s="549"/>
      <c r="C191" s="551"/>
      <c r="D191" s="221" t="s">
        <v>46</v>
      </c>
      <c r="E191" s="219">
        <f t="shared" ref="E191:J191" si="25">SUM(E192:E195)</f>
        <v>0</v>
      </c>
      <c r="F191" s="219">
        <f t="shared" si="25"/>
        <v>0</v>
      </c>
      <c r="G191" s="219">
        <f t="shared" si="25"/>
        <v>0</v>
      </c>
      <c r="H191" s="219">
        <f t="shared" si="25"/>
        <v>0</v>
      </c>
      <c r="I191" s="219">
        <f t="shared" si="25"/>
        <v>0</v>
      </c>
      <c r="J191" s="321">
        <f t="shared" si="25"/>
        <v>0</v>
      </c>
    </row>
    <row r="192" spans="2:10" ht="15" hidden="1" customHeight="1" outlineLevel="2" x14ac:dyDescent="0.35">
      <c r="B192" s="549"/>
      <c r="C192" s="551"/>
      <c r="D192" s="222" t="s">
        <v>45</v>
      </c>
      <c r="E192" s="219">
        <v>0</v>
      </c>
      <c r="F192" s="219">
        <v>0</v>
      </c>
      <c r="G192" s="219">
        <v>0</v>
      </c>
      <c r="H192" s="219">
        <v>0</v>
      </c>
      <c r="I192" s="219">
        <v>0</v>
      </c>
      <c r="J192" s="321">
        <v>0</v>
      </c>
    </row>
    <row r="193" spans="2:10" ht="15" hidden="1" customHeight="1" outlineLevel="2" x14ac:dyDescent="0.35">
      <c r="B193" s="549"/>
      <c r="C193" s="551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21">
        <v>0</v>
      </c>
    </row>
    <row r="194" spans="2:10" ht="15" hidden="1" customHeight="1" outlineLevel="2" x14ac:dyDescent="0.35">
      <c r="B194" s="549"/>
      <c r="C194" s="551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21">
        <v>0</v>
      </c>
    </row>
    <row r="195" spans="2:10" ht="15" hidden="1" customHeight="1" outlineLevel="2" x14ac:dyDescent="0.35">
      <c r="B195" s="549"/>
      <c r="C195" s="551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21">
        <v>0</v>
      </c>
    </row>
    <row r="196" spans="2:10" x14ac:dyDescent="0.35">
      <c r="B196" s="550"/>
      <c r="C196" s="552"/>
      <c r="D196" s="347" t="s">
        <v>239</v>
      </c>
      <c r="E196" s="383">
        <f t="shared" ref="E196:J196" si="26">SUM(E191,E187)</f>
        <v>15</v>
      </c>
      <c r="F196" s="383">
        <f t="shared" si="26"/>
        <v>12</v>
      </c>
      <c r="G196" s="383">
        <f t="shared" si="26"/>
        <v>20494337.110000003</v>
      </c>
      <c r="H196" s="383">
        <f t="shared" si="26"/>
        <v>5704446.6299999999</v>
      </c>
      <c r="I196" s="382">
        <f t="shared" si="26"/>
        <v>3004827.9</v>
      </c>
      <c r="J196" s="381">
        <f t="shared" si="26"/>
        <v>2699618.73</v>
      </c>
    </row>
    <row r="197" spans="2:10" outlineLevel="1" x14ac:dyDescent="0.35">
      <c r="B197" s="549" t="s">
        <v>238</v>
      </c>
      <c r="C197" s="551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5" hidden="1" customHeight="1" outlineLevel="2" x14ac:dyDescent="0.35">
      <c r="B198" s="549"/>
      <c r="C198" s="551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21">
        <v>0</v>
      </c>
    </row>
    <row r="199" spans="2:10" ht="15" hidden="1" customHeight="1" outlineLevel="2" x14ac:dyDescent="0.35">
      <c r="B199" s="549"/>
      <c r="C199" s="551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21">
        <v>0</v>
      </c>
    </row>
    <row r="200" spans="2:10" ht="15" hidden="1" customHeight="1" outlineLevel="2" x14ac:dyDescent="0.35">
      <c r="B200" s="549"/>
      <c r="C200" s="551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21">
        <v>0</v>
      </c>
    </row>
    <row r="201" spans="2:10" outlineLevel="1" collapsed="1" x14ac:dyDescent="0.35">
      <c r="B201" s="549"/>
      <c r="C201" s="551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21">
        <v>0</v>
      </c>
    </row>
    <row r="202" spans="2:10" outlineLevel="1" x14ac:dyDescent="0.35">
      <c r="B202" s="549"/>
      <c r="C202" s="551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21">
        <v>0</v>
      </c>
    </row>
    <row r="203" spans="2:10" x14ac:dyDescent="0.35">
      <c r="B203" s="550"/>
      <c r="C203" s="552"/>
      <c r="D203" s="347" t="s">
        <v>236</v>
      </c>
      <c r="E203" s="383">
        <f t="shared" ref="E203:J203" si="28">SUM(E202,E201,E197)</f>
        <v>0</v>
      </c>
      <c r="F203" s="383">
        <f t="shared" si="28"/>
        <v>0</v>
      </c>
      <c r="G203" s="383">
        <f t="shared" si="28"/>
        <v>0</v>
      </c>
      <c r="H203" s="383">
        <f t="shared" si="28"/>
        <v>0</v>
      </c>
      <c r="I203" s="382">
        <f t="shared" si="28"/>
        <v>0</v>
      </c>
      <c r="J203" s="381">
        <f t="shared" si="28"/>
        <v>0</v>
      </c>
    </row>
    <row r="204" spans="2:10" ht="15" thickBot="1" x14ac:dyDescent="0.4">
      <c r="B204" s="553" t="s">
        <v>235</v>
      </c>
      <c r="C204" s="546"/>
      <c r="D204" s="339" t="s">
        <v>15</v>
      </c>
      <c r="E204" s="380">
        <f t="shared" ref="E204:J204" si="29">SUM(E203,E186,E121,E108,E75,E41,E116,E196)</f>
        <v>1828</v>
      </c>
      <c r="F204" s="380">
        <f t="shared" si="29"/>
        <v>1502</v>
      </c>
      <c r="G204" s="380">
        <f t="shared" si="29"/>
        <v>4724028297.1199999</v>
      </c>
      <c r="H204" s="380">
        <f t="shared" si="29"/>
        <v>2590127473.9699998</v>
      </c>
      <c r="I204" s="380">
        <f t="shared" si="29"/>
        <v>1697838836.49</v>
      </c>
      <c r="J204" s="379">
        <f t="shared" si="29"/>
        <v>892288637.4799999</v>
      </c>
    </row>
    <row r="205" spans="2:10" x14ac:dyDescent="0.35">
      <c r="E205" s="197">
        <f>SUM(E204,'B1'!E204,'B2'!E204,'B3'!E204,'B4'!E204,'B5'!E204)</f>
        <v>7256</v>
      </c>
      <c r="J205" s="196">
        <f>'Overdue-2'!N204</f>
        <v>892288637.4799999</v>
      </c>
    </row>
    <row r="226" spans="10:10" x14ac:dyDescent="0.35">
      <c r="J226" s="290"/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505" right="0.70866141732283505" top="0.74803149606299202" bottom="0.74803149606299202" header="0.31496062992126" footer="0.31496062992126"/>
  <pageSetup paperSize="8" scale="76" orientation="landscape" r:id="rId1"/>
  <headerFooter alignWithMargins="0">
    <oddHeader>&amp;LSOBHA LLC&amp;C&amp;"Tahoma,Regular"&amp;14
OVERDUE AGEING_ Age calc. from first date of Deliquency_180+ Days&amp;R&amp;D</oddHeader>
    <oddFooter>&amp;LCOLLECTIONS&amp;R&amp;P/&amp;N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281B-A0D2-4AEB-951E-D93EE43CE48B}">
  <sheetPr>
    <pageSetUpPr fitToPage="1"/>
  </sheetPr>
  <dimension ref="B3:R209"/>
  <sheetViews>
    <sheetView view="pageBreakPreview" topLeftCell="A90" zoomScale="70" zoomScaleNormal="100" zoomScaleSheetLayoutView="70" workbookViewId="0"/>
  </sheetViews>
  <sheetFormatPr defaultRowHeight="14.5" outlineLevelRow="2" x14ac:dyDescent="0.35"/>
  <cols>
    <col min="2" max="2" width="26" bestFit="1" customWidth="1"/>
    <col min="3" max="3" width="2.7265625" bestFit="1" customWidth="1"/>
    <col min="4" max="4" width="38.26953125" bestFit="1" customWidth="1"/>
    <col min="5" max="5" width="14" style="196" bestFit="1" customWidth="1"/>
    <col min="6" max="6" width="20.26953125" style="196" bestFit="1" customWidth="1"/>
    <col min="7" max="7" width="17.81640625" style="196" bestFit="1" customWidth="1"/>
    <col min="8" max="8" width="29.26953125" style="196" customWidth="1"/>
    <col min="9" max="9" width="17.81640625" style="196" bestFit="1" customWidth="1"/>
    <col min="10" max="10" width="16.26953125" style="196" bestFit="1" customWidth="1"/>
    <col min="11" max="11" width="15" style="196" bestFit="1" customWidth="1"/>
    <col min="12" max="12" width="14.81640625" style="196" bestFit="1" customWidth="1"/>
    <col min="13" max="13" width="15" style="196" bestFit="1" customWidth="1"/>
    <col min="14" max="14" width="16.26953125" style="196" bestFit="1" customWidth="1"/>
    <col min="15" max="15" width="17.26953125" style="196" bestFit="1" customWidth="1"/>
    <col min="16" max="16" width="17.7265625" style="196" bestFit="1" customWidth="1"/>
    <col min="17" max="17" width="14.453125" bestFit="1" customWidth="1"/>
    <col min="18" max="18" width="16.453125" bestFit="1" customWidth="1"/>
  </cols>
  <sheetData>
    <row r="3" spans="2:18" x14ac:dyDescent="0.35">
      <c r="B3" s="288">
        <v>46143</v>
      </c>
    </row>
    <row r="4" spans="2:18" ht="15" thickBot="1" x14ac:dyDescent="0.4"/>
    <row r="5" spans="2:18" ht="14.5" customHeight="1" x14ac:dyDescent="0.35">
      <c r="B5" s="565" t="s">
        <v>276</v>
      </c>
      <c r="C5" s="566"/>
      <c r="D5" s="565" t="s">
        <v>275</v>
      </c>
      <c r="E5" s="554" t="s">
        <v>281</v>
      </c>
      <c r="F5" s="554" t="s">
        <v>274</v>
      </c>
      <c r="G5" s="554" t="s">
        <v>294</v>
      </c>
      <c r="H5" s="556" t="s">
        <v>293</v>
      </c>
      <c r="I5" s="558" t="s">
        <v>292</v>
      </c>
      <c r="J5" s="559"/>
      <c r="K5" s="559"/>
      <c r="L5" s="559"/>
      <c r="M5" s="559"/>
      <c r="N5" s="559"/>
      <c r="O5" s="560"/>
      <c r="P5" s="556" t="s">
        <v>291</v>
      </c>
    </row>
    <row r="6" spans="2:18" ht="31.15" customHeight="1" thickBot="1" x14ac:dyDescent="0.4">
      <c r="B6" s="567"/>
      <c r="C6" s="568"/>
      <c r="D6" s="567"/>
      <c r="E6" s="555"/>
      <c r="F6" s="555"/>
      <c r="G6" s="555"/>
      <c r="H6" s="557"/>
      <c r="I6" s="561"/>
      <c r="J6" s="562"/>
      <c r="K6" s="562"/>
      <c r="L6" s="562"/>
      <c r="M6" s="562"/>
      <c r="N6" s="562"/>
      <c r="O6" s="563"/>
      <c r="P6" s="564"/>
    </row>
    <row r="7" spans="2:18" x14ac:dyDescent="0.35">
      <c r="B7" s="378"/>
      <c r="C7" s="431" t="s">
        <v>270</v>
      </c>
      <c r="D7" s="430"/>
      <c r="E7" s="234"/>
      <c r="F7" s="234"/>
      <c r="G7" s="234"/>
      <c r="H7" s="235"/>
      <c r="I7" s="429" t="s">
        <v>268</v>
      </c>
      <c r="J7" s="428" t="s">
        <v>267</v>
      </c>
      <c r="K7" s="428" t="s">
        <v>266</v>
      </c>
      <c r="L7" s="428" t="s">
        <v>265</v>
      </c>
      <c r="M7" s="428" t="s">
        <v>264</v>
      </c>
      <c r="N7" s="427" t="s">
        <v>263</v>
      </c>
      <c r="O7" s="426" t="s">
        <v>4</v>
      </c>
      <c r="P7" s="426" t="s">
        <v>4</v>
      </c>
    </row>
    <row r="8" spans="2:18" s="196" customFormat="1" outlineLevel="1" x14ac:dyDescent="0.35">
      <c r="B8" s="486" t="s">
        <v>287</v>
      </c>
      <c r="C8" s="529" t="s">
        <v>260</v>
      </c>
      <c r="D8" s="236" t="s">
        <v>218</v>
      </c>
      <c r="E8" s="234">
        <f t="shared" ref="E8:P8" si="0">SUM(E9:E14)</f>
        <v>1</v>
      </c>
      <c r="F8" s="234">
        <f t="shared" si="0"/>
        <v>1206348</v>
      </c>
      <c r="G8" s="234">
        <f t="shared" si="0"/>
        <v>1206348</v>
      </c>
      <c r="H8" s="235">
        <f t="shared" si="0"/>
        <v>315830</v>
      </c>
      <c r="I8" s="425">
        <f t="shared" si="0"/>
        <v>0</v>
      </c>
      <c r="J8" s="235">
        <f t="shared" si="0"/>
        <v>0</v>
      </c>
      <c r="K8" s="235">
        <f t="shared" si="0"/>
        <v>0</v>
      </c>
      <c r="L8" s="235">
        <f t="shared" si="0"/>
        <v>0</v>
      </c>
      <c r="M8" s="235">
        <f t="shared" si="0"/>
        <v>0</v>
      </c>
      <c r="N8" s="363">
        <f t="shared" si="0"/>
        <v>890518</v>
      </c>
      <c r="O8" s="417">
        <f t="shared" si="0"/>
        <v>890518</v>
      </c>
      <c r="P8" s="417">
        <f t="shared" si="0"/>
        <v>890518</v>
      </c>
      <c r="Q8" s="196">
        <v>3531253.1799999997</v>
      </c>
      <c r="R8" s="196">
        <f t="shared" ref="R8:R39" si="1">Q8-P8</f>
        <v>2640735.1799999997</v>
      </c>
    </row>
    <row r="9" spans="2:18" s="196" customFormat="1" ht="14.5" hidden="1" customHeight="1" outlineLevel="2" x14ac:dyDescent="0.35">
      <c r="B9" s="487"/>
      <c r="C9" s="529"/>
      <c r="D9" s="242" t="s">
        <v>217</v>
      </c>
      <c r="E9" s="234">
        <v>1</v>
      </c>
      <c r="F9" s="234">
        <v>1206348</v>
      </c>
      <c r="G9" s="234">
        <v>1206348</v>
      </c>
      <c r="H9" s="235">
        <v>315830</v>
      </c>
      <c r="I9" s="425">
        <v>0</v>
      </c>
      <c r="J9" s="235">
        <v>0</v>
      </c>
      <c r="K9" s="235">
        <v>0</v>
      </c>
      <c r="L9" s="235">
        <v>0</v>
      </c>
      <c r="M9" s="235">
        <v>0</v>
      </c>
      <c r="N9" s="363">
        <v>890518</v>
      </c>
      <c r="O9" s="417">
        <f t="shared" ref="O9:O15" si="2">SUM(I9:N9)</f>
        <v>890518</v>
      </c>
      <c r="P9" s="417">
        <v>890518</v>
      </c>
      <c r="Q9" s="196">
        <v>901192.10000000009</v>
      </c>
      <c r="R9" s="196">
        <f t="shared" si="1"/>
        <v>10674.100000000093</v>
      </c>
    </row>
    <row r="10" spans="2:18" s="196" customFormat="1" ht="14.5" hidden="1" customHeight="1" outlineLevel="2" x14ac:dyDescent="0.35">
      <c r="B10" s="487"/>
      <c r="C10" s="529"/>
      <c r="D10" s="242" t="s">
        <v>216</v>
      </c>
      <c r="E10" s="234">
        <v>0</v>
      </c>
      <c r="F10" s="234">
        <v>0</v>
      </c>
      <c r="G10" s="234">
        <v>0</v>
      </c>
      <c r="H10" s="235">
        <v>0</v>
      </c>
      <c r="I10" s="425">
        <v>0</v>
      </c>
      <c r="J10" s="235">
        <v>0</v>
      </c>
      <c r="K10" s="235">
        <v>0</v>
      </c>
      <c r="L10" s="235">
        <v>0</v>
      </c>
      <c r="M10" s="235">
        <v>0</v>
      </c>
      <c r="N10" s="363">
        <v>0</v>
      </c>
      <c r="O10" s="417">
        <f t="shared" si="2"/>
        <v>0</v>
      </c>
      <c r="P10" s="417">
        <v>0</v>
      </c>
      <c r="Q10" s="196">
        <v>6.38</v>
      </c>
      <c r="R10" s="196">
        <f t="shared" si="1"/>
        <v>6.38</v>
      </c>
    </row>
    <row r="11" spans="2:18" s="196" customFormat="1" ht="14.5" hidden="1" customHeight="1" outlineLevel="2" x14ac:dyDescent="0.35">
      <c r="B11" s="487"/>
      <c r="C11" s="529"/>
      <c r="D11" s="242" t="s">
        <v>215</v>
      </c>
      <c r="E11" s="234">
        <v>0</v>
      </c>
      <c r="F11" s="234">
        <v>0</v>
      </c>
      <c r="G11" s="234">
        <v>0</v>
      </c>
      <c r="H11" s="235">
        <v>0</v>
      </c>
      <c r="I11" s="425">
        <v>0</v>
      </c>
      <c r="J11" s="235">
        <v>0</v>
      </c>
      <c r="K11" s="235">
        <v>0</v>
      </c>
      <c r="L11" s="235">
        <v>0</v>
      </c>
      <c r="M11" s="235">
        <v>0</v>
      </c>
      <c r="N11" s="363">
        <v>0</v>
      </c>
      <c r="O11" s="417">
        <f t="shared" si="2"/>
        <v>0</v>
      </c>
      <c r="P11" s="417">
        <v>0</v>
      </c>
      <c r="Q11" s="196">
        <v>273096.53999999998</v>
      </c>
      <c r="R11" s="196">
        <f t="shared" si="1"/>
        <v>273096.53999999998</v>
      </c>
    </row>
    <row r="12" spans="2:18" s="196" customFormat="1" ht="14.5" hidden="1" customHeight="1" outlineLevel="2" x14ac:dyDescent="0.35">
      <c r="B12" s="487"/>
      <c r="C12" s="529"/>
      <c r="D12" s="242" t="s">
        <v>214</v>
      </c>
      <c r="E12" s="234">
        <v>0</v>
      </c>
      <c r="F12" s="234">
        <v>0</v>
      </c>
      <c r="G12" s="234">
        <v>0</v>
      </c>
      <c r="H12" s="235">
        <v>0</v>
      </c>
      <c r="I12" s="425">
        <v>0</v>
      </c>
      <c r="J12" s="235">
        <v>0</v>
      </c>
      <c r="K12" s="235">
        <v>0</v>
      </c>
      <c r="L12" s="235">
        <v>0</v>
      </c>
      <c r="M12" s="235">
        <v>0</v>
      </c>
      <c r="N12" s="363">
        <v>0</v>
      </c>
      <c r="O12" s="417">
        <f t="shared" si="2"/>
        <v>0</v>
      </c>
      <c r="P12" s="417">
        <v>0</v>
      </c>
      <c r="Q12" s="196">
        <v>94701.560000000012</v>
      </c>
      <c r="R12" s="196">
        <f t="shared" si="1"/>
        <v>94701.560000000012</v>
      </c>
    </row>
    <row r="13" spans="2:18" s="196" customFormat="1" ht="14.5" hidden="1" customHeight="1" outlineLevel="2" x14ac:dyDescent="0.35">
      <c r="B13" s="487"/>
      <c r="C13" s="529"/>
      <c r="D13" s="242" t="s">
        <v>213</v>
      </c>
      <c r="E13" s="234">
        <v>0</v>
      </c>
      <c r="F13" s="234">
        <v>0</v>
      </c>
      <c r="G13" s="234">
        <v>0</v>
      </c>
      <c r="H13" s="235">
        <v>0</v>
      </c>
      <c r="I13" s="425">
        <v>0</v>
      </c>
      <c r="J13" s="235">
        <v>0</v>
      </c>
      <c r="K13" s="235">
        <v>0</v>
      </c>
      <c r="L13" s="235">
        <v>0</v>
      </c>
      <c r="M13" s="235">
        <v>0</v>
      </c>
      <c r="N13" s="363">
        <v>0</v>
      </c>
      <c r="O13" s="417">
        <f t="shared" si="2"/>
        <v>0</v>
      </c>
      <c r="P13" s="417">
        <v>0</v>
      </c>
      <c r="Q13" s="196">
        <v>1588849.6199999999</v>
      </c>
      <c r="R13" s="196">
        <f t="shared" si="1"/>
        <v>1588849.6199999999</v>
      </c>
    </row>
    <row r="14" spans="2:18" s="196" customFormat="1" ht="14.5" hidden="1" customHeight="1" outlineLevel="2" x14ac:dyDescent="0.35">
      <c r="B14" s="487"/>
      <c r="C14" s="529"/>
      <c r="D14" s="242" t="s">
        <v>212</v>
      </c>
      <c r="E14" s="234">
        <v>0</v>
      </c>
      <c r="F14" s="234">
        <v>0</v>
      </c>
      <c r="G14" s="234">
        <v>0</v>
      </c>
      <c r="H14" s="235">
        <v>0</v>
      </c>
      <c r="I14" s="425">
        <v>0</v>
      </c>
      <c r="J14" s="235">
        <v>0</v>
      </c>
      <c r="K14" s="235">
        <v>0</v>
      </c>
      <c r="L14" s="235">
        <v>0</v>
      </c>
      <c r="M14" s="235">
        <v>0</v>
      </c>
      <c r="N14" s="363">
        <v>0</v>
      </c>
      <c r="O14" s="417">
        <f t="shared" si="2"/>
        <v>0</v>
      </c>
      <c r="P14" s="417">
        <v>0</v>
      </c>
      <c r="Q14" s="196">
        <v>673406.97999999975</v>
      </c>
      <c r="R14" s="196">
        <f t="shared" si="1"/>
        <v>673406.97999999975</v>
      </c>
    </row>
    <row r="15" spans="2:18" s="196" customFormat="1" outlineLevel="1" collapsed="1" x14ac:dyDescent="0.35">
      <c r="B15" s="487"/>
      <c r="C15" s="529"/>
      <c r="D15" s="236" t="s">
        <v>10</v>
      </c>
      <c r="E15" s="234">
        <v>2</v>
      </c>
      <c r="F15" s="234">
        <v>4112597.13</v>
      </c>
      <c r="G15" s="234">
        <v>2684506.73</v>
      </c>
      <c r="H15" s="235">
        <v>2316330</v>
      </c>
      <c r="I15" s="425">
        <v>0</v>
      </c>
      <c r="J15" s="235">
        <v>0</v>
      </c>
      <c r="K15" s="235">
        <v>0</v>
      </c>
      <c r="L15" s="235">
        <v>0</v>
      </c>
      <c r="M15" s="235">
        <v>0</v>
      </c>
      <c r="N15" s="363">
        <v>368176.73</v>
      </c>
      <c r="O15" s="417">
        <f t="shared" si="2"/>
        <v>368176.73</v>
      </c>
      <c r="P15" s="417">
        <v>1796267.13</v>
      </c>
      <c r="Q15" s="196">
        <v>1801856.45</v>
      </c>
      <c r="R15" s="196">
        <f t="shared" si="1"/>
        <v>5589.3200000000652</v>
      </c>
    </row>
    <row r="16" spans="2:18" s="196" customFormat="1" outlineLevel="1" x14ac:dyDescent="0.35">
      <c r="B16" s="487"/>
      <c r="C16" s="529"/>
      <c r="D16" s="236" t="s">
        <v>211</v>
      </c>
      <c r="E16" s="234">
        <f t="shared" ref="E16:P16" si="3">SUM(E17:E21)</f>
        <v>0</v>
      </c>
      <c r="F16" s="234">
        <f t="shared" si="3"/>
        <v>0</v>
      </c>
      <c r="G16" s="234">
        <f t="shared" si="3"/>
        <v>0</v>
      </c>
      <c r="H16" s="235">
        <f t="shared" si="3"/>
        <v>0</v>
      </c>
      <c r="I16" s="425">
        <f t="shared" si="3"/>
        <v>0</v>
      </c>
      <c r="J16" s="235">
        <f t="shared" si="3"/>
        <v>0</v>
      </c>
      <c r="K16" s="235">
        <f t="shared" si="3"/>
        <v>0</v>
      </c>
      <c r="L16" s="235">
        <f t="shared" si="3"/>
        <v>0</v>
      </c>
      <c r="M16" s="235">
        <f t="shared" si="3"/>
        <v>0</v>
      </c>
      <c r="N16" s="363">
        <f t="shared" si="3"/>
        <v>0</v>
      </c>
      <c r="O16" s="417">
        <f t="shared" si="3"/>
        <v>0</v>
      </c>
      <c r="P16" s="417">
        <f t="shared" si="3"/>
        <v>0</v>
      </c>
      <c r="Q16" s="196">
        <v>4520296.7700000005</v>
      </c>
      <c r="R16" s="196">
        <f t="shared" si="1"/>
        <v>4520296.7700000005</v>
      </c>
    </row>
    <row r="17" spans="2:18" s="196" customFormat="1" ht="14.5" hidden="1" customHeight="1" outlineLevel="2" x14ac:dyDescent="0.35">
      <c r="B17" s="487"/>
      <c r="C17" s="529"/>
      <c r="D17" s="242" t="s">
        <v>206</v>
      </c>
      <c r="E17" s="234">
        <v>0</v>
      </c>
      <c r="F17" s="234">
        <v>0</v>
      </c>
      <c r="G17" s="234">
        <v>0</v>
      </c>
      <c r="H17" s="235">
        <v>0</v>
      </c>
      <c r="I17" s="425">
        <v>0</v>
      </c>
      <c r="J17" s="235">
        <v>0</v>
      </c>
      <c r="K17" s="235">
        <v>0</v>
      </c>
      <c r="L17" s="235">
        <v>0</v>
      </c>
      <c r="M17" s="235">
        <v>0</v>
      </c>
      <c r="N17" s="363">
        <v>0</v>
      </c>
      <c r="O17" s="417">
        <f>SUM(I17:N17)</f>
        <v>0</v>
      </c>
      <c r="P17" s="417">
        <v>0</v>
      </c>
      <c r="Q17" s="196">
        <v>6.4300000000000006</v>
      </c>
      <c r="R17" s="196">
        <f t="shared" si="1"/>
        <v>6.4300000000000006</v>
      </c>
    </row>
    <row r="18" spans="2:18" s="196" customFormat="1" ht="14.5" hidden="1" customHeight="1" outlineLevel="2" x14ac:dyDescent="0.35">
      <c r="B18" s="487"/>
      <c r="C18" s="529"/>
      <c r="D18" s="242" t="s">
        <v>210</v>
      </c>
      <c r="E18" s="234">
        <v>0</v>
      </c>
      <c r="F18" s="234">
        <v>0</v>
      </c>
      <c r="G18" s="234">
        <v>0</v>
      </c>
      <c r="H18" s="235">
        <v>0</v>
      </c>
      <c r="I18" s="425">
        <v>0</v>
      </c>
      <c r="J18" s="235">
        <v>0</v>
      </c>
      <c r="K18" s="235">
        <v>0</v>
      </c>
      <c r="L18" s="235">
        <v>0</v>
      </c>
      <c r="M18" s="235">
        <v>0</v>
      </c>
      <c r="N18" s="363">
        <v>0</v>
      </c>
      <c r="O18" s="417">
        <f>SUM(I18:N18)</f>
        <v>0</v>
      </c>
      <c r="P18" s="417">
        <v>0</v>
      </c>
      <c r="Q18" s="196">
        <v>25411.390000000003</v>
      </c>
      <c r="R18" s="196">
        <f t="shared" si="1"/>
        <v>25411.390000000003</v>
      </c>
    </row>
    <row r="19" spans="2:18" s="196" customFormat="1" ht="14.5" hidden="1" customHeight="1" outlineLevel="2" x14ac:dyDescent="0.35">
      <c r="B19" s="487"/>
      <c r="C19" s="529"/>
      <c r="D19" s="242" t="s">
        <v>209</v>
      </c>
      <c r="E19" s="234">
        <v>0</v>
      </c>
      <c r="F19" s="234">
        <v>0</v>
      </c>
      <c r="G19" s="234">
        <v>0</v>
      </c>
      <c r="H19" s="235">
        <v>0</v>
      </c>
      <c r="I19" s="425">
        <v>0</v>
      </c>
      <c r="J19" s="235">
        <v>0</v>
      </c>
      <c r="K19" s="235">
        <v>0</v>
      </c>
      <c r="L19" s="235">
        <v>0</v>
      </c>
      <c r="M19" s="235">
        <v>0</v>
      </c>
      <c r="N19" s="363">
        <v>0</v>
      </c>
      <c r="O19" s="417">
        <f>SUM(I19:N19)</f>
        <v>0</v>
      </c>
      <c r="P19" s="417">
        <v>0</v>
      </c>
      <c r="Q19" s="196">
        <v>49503.619999999995</v>
      </c>
      <c r="R19" s="196">
        <f t="shared" si="1"/>
        <v>49503.619999999995</v>
      </c>
    </row>
    <row r="20" spans="2:18" s="196" customFormat="1" ht="14.5" hidden="1" customHeight="1" outlineLevel="2" x14ac:dyDescent="0.35">
      <c r="B20" s="487"/>
      <c r="C20" s="529"/>
      <c r="D20" s="242" t="s">
        <v>208</v>
      </c>
      <c r="E20" s="234">
        <v>0</v>
      </c>
      <c r="F20" s="234">
        <v>0</v>
      </c>
      <c r="G20" s="234">
        <v>0</v>
      </c>
      <c r="H20" s="235">
        <v>0</v>
      </c>
      <c r="I20" s="425">
        <v>0</v>
      </c>
      <c r="J20" s="235">
        <v>0</v>
      </c>
      <c r="K20" s="235">
        <v>0</v>
      </c>
      <c r="L20" s="235">
        <v>0</v>
      </c>
      <c r="M20" s="235">
        <v>0</v>
      </c>
      <c r="N20" s="363">
        <v>0</v>
      </c>
      <c r="O20" s="417">
        <f>SUM(I20:N20)</f>
        <v>0</v>
      </c>
      <c r="P20" s="417">
        <v>0</v>
      </c>
      <c r="Q20" s="196">
        <v>4445375.33</v>
      </c>
      <c r="R20" s="196">
        <f t="shared" si="1"/>
        <v>4445375.33</v>
      </c>
    </row>
    <row r="21" spans="2:18" s="196" customFormat="1" ht="14.5" hidden="1" customHeight="1" outlineLevel="2" x14ac:dyDescent="0.35">
      <c r="B21" s="487"/>
      <c r="C21" s="529"/>
      <c r="D21" s="242" t="s">
        <v>207</v>
      </c>
      <c r="E21" s="234">
        <v>0</v>
      </c>
      <c r="F21" s="234">
        <v>0</v>
      </c>
      <c r="G21" s="234">
        <v>0</v>
      </c>
      <c r="H21" s="235">
        <v>0</v>
      </c>
      <c r="I21" s="425">
        <v>0</v>
      </c>
      <c r="J21" s="235">
        <v>0</v>
      </c>
      <c r="K21" s="235">
        <v>0</v>
      </c>
      <c r="L21" s="235">
        <v>0</v>
      </c>
      <c r="M21" s="235">
        <v>0</v>
      </c>
      <c r="N21" s="363">
        <v>0</v>
      </c>
      <c r="O21" s="417">
        <f>SUM(I21:N21)</f>
        <v>0</v>
      </c>
      <c r="P21" s="417">
        <v>0</v>
      </c>
      <c r="Q21" s="196">
        <v>0</v>
      </c>
      <c r="R21" s="196">
        <f t="shared" si="1"/>
        <v>0</v>
      </c>
    </row>
    <row r="22" spans="2:18" s="196" customFormat="1" outlineLevel="1" collapsed="1" x14ac:dyDescent="0.35">
      <c r="B22" s="487"/>
      <c r="C22" s="529"/>
      <c r="D22" s="236" t="s">
        <v>205</v>
      </c>
      <c r="E22" s="234">
        <f t="shared" ref="E22:P22" si="4">SUM(E23:E26)</f>
        <v>0</v>
      </c>
      <c r="F22" s="234">
        <f t="shared" si="4"/>
        <v>0</v>
      </c>
      <c r="G22" s="234">
        <f t="shared" si="4"/>
        <v>0</v>
      </c>
      <c r="H22" s="235">
        <f t="shared" si="4"/>
        <v>0</v>
      </c>
      <c r="I22" s="425">
        <f t="shared" si="4"/>
        <v>0</v>
      </c>
      <c r="J22" s="235">
        <f t="shared" si="4"/>
        <v>0</v>
      </c>
      <c r="K22" s="235">
        <f t="shared" si="4"/>
        <v>0</v>
      </c>
      <c r="L22" s="235">
        <f t="shared" si="4"/>
        <v>0</v>
      </c>
      <c r="M22" s="235">
        <f t="shared" si="4"/>
        <v>0</v>
      </c>
      <c r="N22" s="363">
        <f t="shared" si="4"/>
        <v>0</v>
      </c>
      <c r="O22" s="417">
        <f t="shared" si="4"/>
        <v>0</v>
      </c>
      <c r="P22" s="417">
        <f t="shared" si="4"/>
        <v>0</v>
      </c>
      <c r="Q22" s="196">
        <v>2590134.1100000003</v>
      </c>
      <c r="R22" s="196">
        <f t="shared" si="1"/>
        <v>2590134.1100000003</v>
      </c>
    </row>
    <row r="23" spans="2:18" s="196" customFormat="1" ht="14.5" hidden="1" customHeight="1" outlineLevel="2" x14ac:dyDescent="0.35">
      <c r="B23" s="487"/>
      <c r="C23" s="529"/>
      <c r="D23" s="242" t="s">
        <v>9</v>
      </c>
      <c r="E23" s="234">
        <v>0</v>
      </c>
      <c r="F23" s="234">
        <v>0</v>
      </c>
      <c r="G23" s="234">
        <v>0</v>
      </c>
      <c r="H23" s="235">
        <v>0</v>
      </c>
      <c r="I23" s="425">
        <v>0</v>
      </c>
      <c r="J23" s="235">
        <v>0</v>
      </c>
      <c r="K23" s="235">
        <v>0</v>
      </c>
      <c r="L23" s="235">
        <v>0</v>
      </c>
      <c r="M23" s="235">
        <v>0</v>
      </c>
      <c r="N23" s="363">
        <v>0</v>
      </c>
      <c r="O23" s="417">
        <f t="shared" ref="O23:O28" si="5">SUM(I23:N23)</f>
        <v>0</v>
      </c>
      <c r="P23" s="417">
        <v>0</v>
      </c>
      <c r="Q23" s="196">
        <v>1519743.5700000003</v>
      </c>
      <c r="R23" s="196">
        <f t="shared" si="1"/>
        <v>1519743.5700000003</v>
      </c>
    </row>
    <row r="24" spans="2:18" s="196" customFormat="1" ht="14.5" hidden="1" customHeight="1" outlineLevel="2" x14ac:dyDescent="0.35">
      <c r="B24" s="487"/>
      <c r="C24" s="529"/>
      <c r="D24" s="242" t="s">
        <v>7</v>
      </c>
      <c r="E24" s="234">
        <v>0</v>
      </c>
      <c r="F24" s="234">
        <v>0</v>
      </c>
      <c r="G24" s="234">
        <v>0</v>
      </c>
      <c r="H24" s="235">
        <v>0</v>
      </c>
      <c r="I24" s="425">
        <v>0</v>
      </c>
      <c r="J24" s="235">
        <v>0</v>
      </c>
      <c r="K24" s="235">
        <v>0</v>
      </c>
      <c r="L24" s="235">
        <v>0</v>
      </c>
      <c r="M24" s="235">
        <v>0</v>
      </c>
      <c r="N24" s="363">
        <v>0</v>
      </c>
      <c r="O24" s="417">
        <f t="shared" si="5"/>
        <v>0</v>
      </c>
      <c r="P24" s="417">
        <v>0</v>
      </c>
      <c r="Q24" s="196">
        <v>358102.36999999988</v>
      </c>
      <c r="R24" s="196">
        <f t="shared" si="1"/>
        <v>358102.36999999988</v>
      </c>
    </row>
    <row r="25" spans="2:18" s="196" customFormat="1" ht="14.5" hidden="1" customHeight="1" outlineLevel="2" x14ac:dyDescent="0.35">
      <c r="B25" s="487"/>
      <c r="C25" s="529"/>
      <c r="D25" s="242" t="s">
        <v>13</v>
      </c>
      <c r="E25" s="234">
        <v>0</v>
      </c>
      <c r="F25" s="234">
        <v>0</v>
      </c>
      <c r="G25" s="234">
        <v>0</v>
      </c>
      <c r="H25" s="235">
        <v>0</v>
      </c>
      <c r="I25" s="425">
        <v>0</v>
      </c>
      <c r="J25" s="235">
        <v>0</v>
      </c>
      <c r="K25" s="235">
        <v>0</v>
      </c>
      <c r="L25" s="235">
        <v>0</v>
      </c>
      <c r="M25" s="235">
        <v>0</v>
      </c>
      <c r="N25" s="363">
        <v>0</v>
      </c>
      <c r="O25" s="417">
        <f t="shared" si="5"/>
        <v>0</v>
      </c>
      <c r="P25" s="417">
        <v>0</v>
      </c>
      <c r="Q25" s="196">
        <v>646226.25000000012</v>
      </c>
      <c r="R25" s="196">
        <f t="shared" si="1"/>
        <v>646226.25000000012</v>
      </c>
    </row>
    <row r="26" spans="2:18" s="196" customFormat="1" ht="14.5" hidden="1" customHeight="1" outlineLevel="2" x14ac:dyDescent="0.35">
      <c r="B26" s="487"/>
      <c r="C26" s="529"/>
      <c r="D26" s="242" t="s">
        <v>11</v>
      </c>
      <c r="E26" s="234">
        <v>0</v>
      </c>
      <c r="F26" s="234">
        <v>0</v>
      </c>
      <c r="G26" s="234">
        <v>0</v>
      </c>
      <c r="H26" s="235">
        <v>0</v>
      </c>
      <c r="I26" s="425">
        <v>0</v>
      </c>
      <c r="J26" s="235">
        <v>0</v>
      </c>
      <c r="K26" s="235">
        <v>0</v>
      </c>
      <c r="L26" s="235">
        <v>0</v>
      </c>
      <c r="M26" s="235">
        <v>0</v>
      </c>
      <c r="N26" s="363">
        <v>0</v>
      </c>
      <c r="O26" s="417">
        <f t="shared" si="5"/>
        <v>0</v>
      </c>
      <c r="P26" s="417">
        <v>0</v>
      </c>
      <c r="Q26" s="196">
        <v>66061.920000000013</v>
      </c>
      <c r="R26" s="196">
        <f t="shared" si="1"/>
        <v>66061.920000000013</v>
      </c>
    </row>
    <row r="27" spans="2:18" s="196" customFormat="1" outlineLevel="1" collapsed="1" x14ac:dyDescent="0.35">
      <c r="B27" s="487"/>
      <c r="C27" s="529"/>
      <c r="D27" s="236" t="s">
        <v>5</v>
      </c>
      <c r="E27" s="234">
        <v>0</v>
      </c>
      <c r="F27" s="234">
        <v>0</v>
      </c>
      <c r="G27" s="234">
        <v>0</v>
      </c>
      <c r="H27" s="235">
        <v>0</v>
      </c>
      <c r="I27" s="425">
        <v>0</v>
      </c>
      <c r="J27" s="235">
        <v>0</v>
      </c>
      <c r="K27" s="235">
        <v>0</v>
      </c>
      <c r="L27" s="235">
        <v>0</v>
      </c>
      <c r="M27" s="235">
        <v>0</v>
      </c>
      <c r="N27" s="363">
        <v>0</v>
      </c>
      <c r="O27" s="417">
        <f t="shared" si="5"/>
        <v>0</v>
      </c>
      <c r="P27" s="417">
        <v>0</v>
      </c>
      <c r="Q27" s="196">
        <v>958128.30999999994</v>
      </c>
      <c r="R27" s="196">
        <f t="shared" si="1"/>
        <v>958128.30999999994</v>
      </c>
    </row>
    <row r="28" spans="2:18" s="196" customFormat="1" outlineLevel="1" x14ac:dyDescent="0.35">
      <c r="B28" s="487"/>
      <c r="C28" s="529"/>
      <c r="D28" s="236" t="s">
        <v>6</v>
      </c>
      <c r="E28" s="234">
        <v>0</v>
      </c>
      <c r="F28" s="234">
        <v>0</v>
      </c>
      <c r="G28" s="234">
        <v>0</v>
      </c>
      <c r="H28" s="235">
        <v>0</v>
      </c>
      <c r="I28" s="425">
        <v>0</v>
      </c>
      <c r="J28" s="235">
        <v>0</v>
      </c>
      <c r="K28" s="235">
        <v>0</v>
      </c>
      <c r="L28" s="235">
        <v>0</v>
      </c>
      <c r="M28" s="235">
        <v>0</v>
      </c>
      <c r="N28" s="363">
        <v>0</v>
      </c>
      <c r="O28" s="417">
        <f t="shared" si="5"/>
        <v>0</v>
      </c>
      <c r="P28" s="417">
        <v>0</v>
      </c>
      <c r="Q28" s="196">
        <v>1051915.9399999997</v>
      </c>
      <c r="R28" s="196">
        <f t="shared" si="1"/>
        <v>1051915.9399999997</v>
      </c>
    </row>
    <row r="29" spans="2:18" s="196" customFormat="1" outlineLevel="1" x14ac:dyDescent="0.35">
      <c r="B29" s="487"/>
      <c r="C29" s="529"/>
      <c r="D29" s="236" t="s">
        <v>163</v>
      </c>
      <c r="E29" s="234">
        <f t="shared" ref="E29:P29" si="6">SUM(E30:E32)</f>
        <v>0</v>
      </c>
      <c r="F29" s="234">
        <f t="shared" si="6"/>
        <v>0</v>
      </c>
      <c r="G29" s="234">
        <f t="shared" si="6"/>
        <v>0</v>
      </c>
      <c r="H29" s="235">
        <f t="shared" si="6"/>
        <v>0</v>
      </c>
      <c r="I29" s="425">
        <f t="shared" si="6"/>
        <v>0</v>
      </c>
      <c r="J29" s="235">
        <f t="shared" si="6"/>
        <v>0</v>
      </c>
      <c r="K29" s="235">
        <f t="shared" si="6"/>
        <v>0</v>
      </c>
      <c r="L29" s="235">
        <f t="shared" si="6"/>
        <v>0</v>
      </c>
      <c r="M29" s="235">
        <f t="shared" si="6"/>
        <v>0</v>
      </c>
      <c r="N29" s="363">
        <f t="shared" si="6"/>
        <v>0</v>
      </c>
      <c r="O29" s="417">
        <f t="shared" si="6"/>
        <v>0</v>
      </c>
      <c r="P29" s="417">
        <f t="shared" si="6"/>
        <v>0</v>
      </c>
      <c r="Q29" s="196">
        <v>2851.1000000000004</v>
      </c>
      <c r="R29" s="196">
        <f t="shared" si="1"/>
        <v>2851.1000000000004</v>
      </c>
    </row>
    <row r="30" spans="2:18" s="196" customFormat="1" ht="14.5" hidden="1" customHeight="1" outlineLevel="2" x14ac:dyDescent="0.35">
      <c r="B30" s="487"/>
      <c r="C30" s="529"/>
      <c r="D30" s="242" t="s">
        <v>161</v>
      </c>
      <c r="E30" s="234">
        <v>0</v>
      </c>
      <c r="F30" s="234">
        <v>0</v>
      </c>
      <c r="G30" s="234">
        <v>0</v>
      </c>
      <c r="H30" s="235">
        <v>0</v>
      </c>
      <c r="I30" s="425">
        <v>0</v>
      </c>
      <c r="J30" s="235">
        <v>0</v>
      </c>
      <c r="K30" s="235">
        <v>0</v>
      </c>
      <c r="L30" s="235">
        <v>0</v>
      </c>
      <c r="M30" s="235">
        <v>0</v>
      </c>
      <c r="N30" s="363">
        <v>0</v>
      </c>
      <c r="O30" s="417">
        <f>SUM(I30:N30)</f>
        <v>0</v>
      </c>
      <c r="P30" s="417">
        <v>0</v>
      </c>
      <c r="Q30" s="196">
        <v>143.37999999999997</v>
      </c>
      <c r="R30" s="196">
        <f t="shared" si="1"/>
        <v>143.37999999999997</v>
      </c>
    </row>
    <row r="31" spans="2:18" s="196" customFormat="1" ht="14.5" hidden="1" customHeight="1" outlineLevel="2" x14ac:dyDescent="0.35">
      <c r="B31" s="487"/>
      <c r="C31" s="529"/>
      <c r="D31" s="242" t="s">
        <v>162</v>
      </c>
      <c r="E31" s="234">
        <v>0</v>
      </c>
      <c r="F31" s="234">
        <v>0</v>
      </c>
      <c r="G31" s="234">
        <v>0</v>
      </c>
      <c r="H31" s="235">
        <v>0</v>
      </c>
      <c r="I31" s="425">
        <v>0</v>
      </c>
      <c r="J31" s="235">
        <v>0</v>
      </c>
      <c r="K31" s="235">
        <v>0</v>
      </c>
      <c r="L31" s="235">
        <v>0</v>
      </c>
      <c r="M31" s="235">
        <v>0</v>
      </c>
      <c r="N31" s="363">
        <v>0</v>
      </c>
      <c r="O31" s="417">
        <f>SUM(I31:N31)</f>
        <v>0</v>
      </c>
      <c r="P31" s="417">
        <v>0</v>
      </c>
      <c r="Q31" s="196">
        <v>2176.2400000000002</v>
      </c>
      <c r="R31" s="196">
        <f t="shared" si="1"/>
        <v>2176.2400000000002</v>
      </c>
    </row>
    <row r="32" spans="2:18" s="196" customFormat="1" ht="14.5" hidden="1" customHeight="1" outlineLevel="2" x14ac:dyDescent="0.35">
      <c r="B32" s="487"/>
      <c r="C32" s="529"/>
      <c r="D32" s="242" t="s">
        <v>160</v>
      </c>
      <c r="E32" s="234">
        <v>0</v>
      </c>
      <c r="F32" s="234">
        <v>0</v>
      </c>
      <c r="G32" s="234">
        <v>0</v>
      </c>
      <c r="H32" s="235">
        <v>0</v>
      </c>
      <c r="I32" s="425">
        <v>0</v>
      </c>
      <c r="J32" s="235">
        <v>0</v>
      </c>
      <c r="K32" s="235">
        <v>0</v>
      </c>
      <c r="L32" s="235">
        <v>0</v>
      </c>
      <c r="M32" s="235">
        <v>0</v>
      </c>
      <c r="N32" s="363">
        <v>0</v>
      </c>
      <c r="O32" s="417">
        <f>SUM(I32:N32)</f>
        <v>0</v>
      </c>
      <c r="P32" s="417">
        <v>0</v>
      </c>
      <c r="Q32" s="196">
        <v>531.4799999999999</v>
      </c>
      <c r="R32" s="196">
        <f t="shared" si="1"/>
        <v>531.4799999999999</v>
      </c>
    </row>
    <row r="33" spans="2:18" s="196" customFormat="1" outlineLevel="1" collapsed="1" x14ac:dyDescent="0.35">
      <c r="B33" s="487"/>
      <c r="C33" s="529"/>
      <c r="D33" s="272" t="s">
        <v>204</v>
      </c>
      <c r="E33" s="234">
        <v>0</v>
      </c>
      <c r="F33" s="234">
        <v>0</v>
      </c>
      <c r="G33" s="234">
        <v>0</v>
      </c>
      <c r="H33" s="235">
        <v>0</v>
      </c>
      <c r="I33" s="425">
        <v>0</v>
      </c>
      <c r="J33" s="235">
        <v>0</v>
      </c>
      <c r="K33" s="235">
        <v>0</v>
      </c>
      <c r="L33" s="235">
        <v>0</v>
      </c>
      <c r="M33" s="235">
        <v>0</v>
      </c>
      <c r="N33" s="363">
        <v>0</v>
      </c>
      <c r="O33" s="417">
        <f>SUM(I33:N33)</f>
        <v>0</v>
      </c>
      <c r="P33" s="417">
        <v>0</v>
      </c>
      <c r="Q33" s="196">
        <v>11249138.710000006</v>
      </c>
      <c r="R33" s="196">
        <f t="shared" si="1"/>
        <v>11249138.710000006</v>
      </c>
    </row>
    <row r="34" spans="2:18" s="196" customFormat="1" outlineLevel="1" x14ac:dyDescent="0.35">
      <c r="B34" s="487"/>
      <c r="C34" s="529"/>
      <c r="D34" s="263" t="s">
        <v>23</v>
      </c>
      <c r="E34" s="234">
        <f t="shared" ref="E34:P34" si="7">SUM(E35:E39)</f>
        <v>3</v>
      </c>
      <c r="F34" s="234">
        <f t="shared" si="7"/>
        <v>6327694.1099999994</v>
      </c>
      <c r="G34" s="234">
        <f t="shared" si="7"/>
        <v>2084361.58</v>
      </c>
      <c r="H34" s="235">
        <f t="shared" si="7"/>
        <v>1070619.3</v>
      </c>
      <c r="I34" s="425">
        <f t="shared" si="7"/>
        <v>0</v>
      </c>
      <c r="J34" s="235">
        <f t="shared" si="7"/>
        <v>0</v>
      </c>
      <c r="K34" s="235">
        <f t="shared" si="7"/>
        <v>0</v>
      </c>
      <c r="L34" s="235">
        <f t="shared" si="7"/>
        <v>0</v>
      </c>
      <c r="M34" s="235">
        <f t="shared" si="7"/>
        <v>352658</v>
      </c>
      <c r="N34" s="363">
        <f t="shared" si="7"/>
        <v>661084.28</v>
      </c>
      <c r="O34" s="417">
        <f t="shared" si="7"/>
        <v>1013742.28</v>
      </c>
      <c r="P34" s="417">
        <f t="shared" si="7"/>
        <v>3385197.42</v>
      </c>
      <c r="Q34" s="196">
        <v>22475583.109999999</v>
      </c>
      <c r="R34" s="196">
        <f t="shared" si="1"/>
        <v>19090385.689999998</v>
      </c>
    </row>
    <row r="35" spans="2:18" s="196" customFormat="1" ht="14.5" hidden="1" customHeight="1" outlineLevel="2" x14ac:dyDescent="0.35">
      <c r="B35" s="487"/>
      <c r="C35" s="529"/>
      <c r="D35" s="242" t="s">
        <v>22</v>
      </c>
      <c r="E35" s="234">
        <v>1</v>
      </c>
      <c r="F35" s="234">
        <v>2482942</v>
      </c>
      <c r="G35" s="234">
        <v>248294.2</v>
      </c>
      <c r="H35" s="235">
        <v>134439.29999999999</v>
      </c>
      <c r="I35" s="425">
        <v>0</v>
      </c>
      <c r="J35" s="235">
        <v>0</v>
      </c>
      <c r="K35" s="235">
        <v>0</v>
      </c>
      <c r="L35" s="235">
        <v>0</v>
      </c>
      <c r="M35" s="235">
        <v>0</v>
      </c>
      <c r="N35" s="363">
        <v>113854.9</v>
      </c>
      <c r="O35" s="417">
        <f t="shared" ref="O35:O40" si="8">SUM(I35:N35)</f>
        <v>113854.9</v>
      </c>
      <c r="P35" s="417">
        <v>2348502.7000000002</v>
      </c>
      <c r="Q35" s="196">
        <v>13926093.34</v>
      </c>
      <c r="R35" s="196">
        <f t="shared" si="1"/>
        <v>11577590.640000001</v>
      </c>
    </row>
    <row r="36" spans="2:18" s="196" customFormat="1" ht="14.5" hidden="1" customHeight="1" outlineLevel="2" x14ac:dyDescent="0.35">
      <c r="B36" s="487"/>
      <c r="C36" s="529"/>
      <c r="D36" s="242" t="s">
        <v>21</v>
      </c>
      <c r="E36" s="234">
        <v>0</v>
      </c>
      <c r="F36" s="234">
        <v>0</v>
      </c>
      <c r="G36" s="234">
        <v>0</v>
      </c>
      <c r="H36" s="235">
        <v>0</v>
      </c>
      <c r="I36" s="425">
        <v>0</v>
      </c>
      <c r="J36" s="235">
        <v>0</v>
      </c>
      <c r="K36" s="235">
        <v>0</v>
      </c>
      <c r="L36" s="235">
        <v>0</v>
      </c>
      <c r="M36" s="235">
        <v>0</v>
      </c>
      <c r="N36" s="363">
        <v>0</v>
      </c>
      <c r="O36" s="417">
        <f t="shared" si="8"/>
        <v>0</v>
      </c>
      <c r="P36" s="417">
        <v>0</v>
      </c>
      <c r="Q36" s="196">
        <v>4455689.7799999993</v>
      </c>
      <c r="R36" s="196">
        <f t="shared" si="1"/>
        <v>4455689.7799999993</v>
      </c>
    </row>
    <row r="37" spans="2:18" s="196" customFormat="1" ht="14.5" hidden="1" customHeight="1" outlineLevel="2" x14ac:dyDescent="0.35">
      <c r="B37" s="487"/>
      <c r="C37" s="529"/>
      <c r="D37" s="242" t="s">
        <v>20</v>
      </c>
      <c r="E37" s="234">
        <v>1</v>
      </c>
      <c r="F37" s="234">
        <v>1094458.75</v>
      </c>
      <c r="G37" s="234">
        <v>547229.38</v>
      </c>
      <c r="H37" s="235">
        <v>0</v>
      </c>
      <c r="I37" s="425">
        <v>0</v>
      </c>
      <c r="J37" s="235">
        <v>0</v>
      </c>
      <c r="K37" s="235">
        <v>0</v>
      </c>
      <c r="L37" s="235">
        <v>0</v>
      </c>
      <c r="M37" s="235">
        <v>0</v>
      </c>
      <c r="N37" s="363">
        <v>547229.38</v>
      </c>
      <c r="O37" s="417">
        <f t="shared" si="8"/>
        <v>547229.38</v>
      </c>
      <c r="P37" s="417">
        <v>684036.72</v>
      </c>
      <c r="Q37" s="196">
        <v>3714388.7800000007</v>
      </c>
      <c r="R37" s="196">
        <f t="shared" si="1"/>
        <v>3030352.0600000005</v>
      </c>
    </row>
    <row r="38" spans="2:18" s="196" customFormat="1" ht="14.5" hidden="1" customHeight="1" outlineLevel="2" x14ac:dyDescent="0.35">
      <c r="B38" s="487"/>
      <c r="C38" s="529"/>
      <c r="D38" s="242" t="s">
        <v>19</v>
      </c>
      <c r="E38" s="234">
        <v>1</v>
      </c>
      <c r="F38" s="234">
        <v>2750293.36</v>
      </c>
      <c r="G38" s="234">
        <v>1288838</v>
      </c>
      <c r="H38" s="235">
        <v>936180</v>
      </c>
      <c r="I38" s="425">
        <v>0</v>
      </c>
      <c r="J38" s="235">
        <v>0</v>
      </c>
      <c r="K38" s="235">
        <v>0</v>
      </c>
      <c r="L38" s="235">
        <v>0</v>
      </c>
      <c r="M38" s="235">
        <v>352658</v>
      </c>
      <c r="N38" s="363">
        <v>0</v>
      </c>
      <c r="O38" s="417">
        <f t="shared" si="8"/>
        <v>352658</v>
      </c>
      <c r="P38" s="417">
        <v>352658</v>
      </c>
      <c r="Q38" s="196">
        <v>378397.54999999993</v>
      </c>
      <c r="R38" s="196">
        <f t="shared" si="1"/>
        <v>25739.54999999993</v>
      </c>
    </row>
    <row r="39" spans="2:18" s="196" customFormat="1" ht="14.5" hidden="1" customHeight="1" outlineLevel="2" x14ac:dyDescent="0.35">
      <c r="B39" s="487"/>
      <c r="C39" s="529"/>
      <c r="D39" s="242" t="s">
        <v>18</v>
      </c>
      <c r="E39" s="234">
        <v>0</v>
      </c>
      <c r="F39" s="234">
        <v>0</v>
      </c>
      <c r="G39" s="234">
        <v>0</v>
      </c>
      <c r="H39" s="235">
        <v>0</v>
      </c>
      <c r="I39" s="425">
        <v>0</v>
      </c>
      <c r="J39" s="235">
        <v>0</v>
      </c>
      <c r="K39" s="235">
        <v>0</v>
      </c>
      <c r="L39" s="235">
        <v>0</v>
      </c>
      <c r="M39" s="235">
        <v>0</v>
      </c>
      <c r="N39" s="363">
        <v>0</v>
      </c>
      <c r="O39" s="417">
        <f t="shared" si="8"/>
        <v>0</v>
      </c>
      <c r="P39" s="417">
        <v>0</v>
      </c>
      <c r="Q39" s="196">
        <v>1013.66</v>
      </c>
      <c r="R39" s="196">
        <f t="shared" si="1"/>
        <v>1013.66</v>
      </c>
    </row>
    <row r="40" spans="2:18" s="196" customFormat="1" outlineLevel="1" collapsed="1" x14ac:dyDescent="0.35">
      <c r="B40" s="487"/>
      <c r="C40" s="529"/>
      <c r="D40" s="263" t="s">
        <v>17</v>
      </c>
      <c r="E40" s="234">
        <v>0</v>
      </c>
      <c r="F40" s="234">
        <v>0</v>
      </c>
      <c r="G40" s="234">
        <v>0</v>
      </c>
      <c r="H40" s="235">
        <v>0</v>
      </c>
      <c r="I40" s="418">
        <v>0</v>
      </c>
      <c r="J40" s="234">
        <v>0</v>
      </c>
      <c r="K40" s="234">
        <v>0</v>
      </c>
      <c r="L40" s="234">
        <v>0</v>
      </c>
      <c r="M40" s="234">
        <v>0</v>
      </c>
      <c r="N40" s="363">
        <v>0</v>
      </c>
      <c r="O40" s="417">
        <f t="shared" si="8"/>
        <v>0</v>
      </c>
      <c r="P40" s="417">
        <v>0</v>
      </c>
      <c r="Q40" s="196">
        <v>103807958.50999999</v>
      </c>
      <c r="R40" s="196">
        <f t="shared" ref="R40:R71" si="9">Q40-P40</f>
        <v>103807958.50999999</v>
      </c>
    </row>
    <row r="41" spans="2:18" s="196" customFormat="1" x14ac:dyDescent="0.35">
      <c r="B41" s="487"/>
      <c r="C41" s="529"/>
      <c r="D41" s="416" t="s">
        <v>259</v>
      </c>
      <c r="E41" s="416">
        <f t="shared" ref="E41:P41" si="10">SUM(E8,E15:E16,E27:E29,E22,E33:E34,E40)</f>
        <v>6</v>
      </c>
      <c r="F41" s="416">
        <f t="shared" si="10"/>
        <v>11646639.239999998</v>
      </c>
      <c r="G41" s="416">
        <f t="shared" si="10"/>
        <v>5975216.3100000005</v>
      </c>
      <c r="H41" s="415">
        <f t="shared" si="10"/>
        <v>3702779.3</v>
      </c>
      <c r="I41" s="414">
        <f t="shared" si="10"/>
        <v>0</v>
      </c>
      <c r="J41" s="413">
        <f t="shared" si="10"/>
        <v>0</v>
      </c>
      <c r="K41" s="413">
        <f t="shared" si="10"/>
        <v>0</v>
      </c>
      <c r="L41" s="413">
        <f t="shared" si="10"/>
        <v>0</v>
      </c>
      <c r="M41" s="413">
        <f t="shared" si="10"/>
        <v>352658</v>
      </c>
      <c r="N41" s="412">
        <f t="shared" si="10"/>
        <v>1919779.01</v>
      </c>
      <c r="O41" s="411">
        <f t="shared" si="10"/>
        <v>2272437.0099999998</v>
      </c>
      <c r="P41" s="411">
        <f t="shared" si="10"/>
        <v>6071982.5499999998</v>
      </c>
      <c r="Q41" s="196">
        <v>151989116.19</v>
      </c>
      <c r="R41" s="196">
        <f t="shared" si="9"/>
        <v>145917133.63999999</v>
      </c>
    </row>
    <row r="42" spans="2:18" s="196" customFormat="1" outlineLevel="1" x14ac:dyDescent="0.35">
      <c r="B42" s="487" t="s">
        <v>258</v>
      </c>
      <c r="C42" s="529" t="s">
        <v>257</v>
      </c>
      <c r="D42" s="272"/>
      <c r="E42" s="284"/>
      <c r="F42" s="284"/>
      <c r="G42" s="284"/>
      <c r="H42" s="365"/>
      <c r="I42" s="424"/>
      <c r="J42" s="365"/>
      <c r="K42" s="365"/>
      <c r="L42" s="365"/>
      <c r="M42" s="365"/>
      <c r="N42" s="367"/>
      <c r="O42" s="423"/>
      <c r="P42" s="423"/>
      <c r="Q42" s="196">
        <v>0</v>
      </c>
      <c r="R42" s="196">
        <f t="shared" si="9"/>
        <v>0</v>
      </c>
    </row>
    <row r="43" spans="2:18" s="196" customFormat="1" outlineLevel="1" x14ac:dyDescent="0.35">
      <c r="B43" s="487"/>
      <c r="C43" s="529"/>
      <c r="D43" s="236" t="s">
        <v>203</v>
      </c>
      <c r="E43" s="234">
        <f t="shared" ref="E43:P43" si="11">SUM(E44:E47)</f>
        <v>0</v>
      </c>
      <c r="F43" s="234">
        <f t="shared" si="11"/>
        <v>0</v>
      </c>
      <c r="G43" s="234">
        <f t="shared" si="11"/>
        <v>0</v>
      </c>
      <c r="H43" s="235">
        <f t="shared" si="11"/>
        <v>0</v>
      </c>
      <c r="I43" s="418">
        <f t="shared" si="11"/>
        <v>0</v>
      </c>
      <c r="J43" s="234">
        <f t="shared" si="11"/>
        <v>0</v>
      </c>
      <c r="K43" s="234">
        <f t="shared" si="11"/>
        <v>0</v>
      </c>
      <c r="L43" s="234">
        <f t="shared" si="11"/>
        <v>0</v>
      </c>
      <c r="M43" s="234">
        <f t="shared" si="11"/>
        <v>0</v>
      </c>
      <c r="N43" s="363">
        <f t="shared" si="11"/>
        <v>0</v>
      </c>
      <c r="O43" s="417">
        <f t="shared" si="11"/>
        <v>0</v>
      </c>
      <c r="P43" s="417">
        <f t="shared" si="11"/>
        <v>0</v>
      </c>
      <c r="Q43" s="196">
        <v>110932827.58000004</v>
      </c>
      <c r="R43" s="196">
        <f t="shared" si="9"/>
        <v>110932827.58000004</v>
      </c>
    </row>
    <row r="44" spans="2:18" s="196" customFormat="1" ht="14.5" hidden="1" customHeight="1" outlineLevel="2" x14ac:dyDescent="0.35">
      <c r="B44" s="487"/>
      <c r="C44" s="529"/>
      <c r="D44" s="262" t="s">
        <v>202</v>
      </c>
      <c r="E44" s="234">
        <v>0</v>
      </c>
      <c r="F44" s="234">
        <v>0</v>
      </c>
      <c r="G44" s="234">
        <v>0</v>
      </c>
      <c r="H44" s="235">
        <v>0</v>
      </c>
      <c r="I44" s="418">
        <v>0</v>
      </c>
      <c r="J44" s="234">
        <v>0</v>
      </c>
      <c r="K44" s="234">
        <v>0</v>
      </c>
      <c r="L44" s="234">
        <v>0</v>
      </c>
      <c r="M44" s="234">
        <v>0</v>
      </c>
      <c r="N44" s="363">
        <v>0</v>
      </c>
      <c r="O44" s="417">
        <f t="shared" ref="O44:O50" si="12">SUM(I44:N44)</f>
        <v>0</v>
      </c>
      <c r="P44" s="417">
        <v>0</v>
      </c>
      <c r="Q44" s="196">
        <v>44713031.140000015</v>
      </c>
      <c r="R44" s="196">
        <f t="shared" si="9"/>
        <v>44713031.140000015</v>
      </c>
    </row>
    <row r="45" spans="2:18" s="196" customFormat="1" ht="14.5" hidden="1" customHeight="1" outlineLevel="2" x14ac:dyDescent="0.35">
      <c r="B45" s="487"/>
      <c r="C45" s="529"/>
      <c r="D45" s="242" t="s">
        <v>201</v>
      </c>
      <c r="E45" s="234">
        <v>0</v>
      </c>
      <c r="F45" s="234">
        <v>0</v>
      </c>
      <c r="G45" s="234">
        <v>0</v>
      </c>
      <c r="H45" s="235">
        <v>0</v>
      </c>
      <c r="I45" s="418">
        <v>0</v>
      </c>
      <c r="J45" s="234">
        <v>0</v>
      </c>
      <c r="K45" s="234">
        <v>0</v>
      </c>
      <c r="L45" s="234">
        <v>0</v>
      </c>
      <c r="M45" s="234">
        <v>0</v>
      </c>
      <c r="N45" s="363">
        <v>0</v>
      </c>
      <c r="O45" s="417">
        <f t="shared" si="12"/>
        <v>0</v>
      </c>
      <c r="P45" s="417">
        <v>0</v>
      </c>
      <c r="Q45" s="196">
        <v>21210086.129999992</v>
      </c>
      <c r="R45" s="196">
        <f t="shared" si="9"/>
        <v>21210086.129999992</v>
      </c>
    </row>
    <row r="46" spans="2:18" s="196" customFormat="1" ht="14.5" hidden="1" customHeight="1" outlineLevel="2" x14ac:dyDescent="0.35">
      <c r="B46" s="487"/>
      <c r="C46" s="529"/>
      <c r="D46" s="242" t="s">
        <v>200</v>
      </c>
      <c r="E46" s="234">
        <v>0</v>
      </c>
      <c r="F46" s="234">
        <v>0</v>
      </c>
      <c r="G46" s="234">
        <v>0</v>
      </c>
      <c r="H46" s="235">
        <v>0</v>
      </c>
      <c r="I46" s="418">
        <v>0</v>
      </c>
      <c r="J46" s="234">
        <v>0</v>
      </c>
      <c r="K46" s="234">
        <v>0</v>
      </c>
      <c r="L46" s="234">
        <v>0</v>
      </c>
      <c r="M46" s="234">
        <v>0</v>
      </c>
      <c r="N46" s="363">
        <v>0</v>
      </c>
      <c r="O46" s="417">
        <f t="shared" si="12"/>
        <v>0</v>
      </c>
      <c r="P46" s="417">
        <v>0</v>
      </c>
      <c r="Q46" s="196">
        <v>44017264.690000027</v>
      </c>
      <c r="R46" s="196">
        <f t="shared" si="9"/>
        <v>44017264.690000027</v>
      </c>
    </row>
    <row r="47" spans="2:18" s="196" customFormat="1" ht="14.5" hidden="1" customHeight="1" outlineLevel="2" x14ac:dyDescent="0.35">
      <c r="B47" s="487"/>
      <c r="C47" s="529"/>
      <c r="D47" s="242" t="s">
        <v>199</v>
      </c>
      <c r="E47" s="234">
        <v>0</v>
      </c>
      <c r="F47" s="234">
        <v>0</v>
      </c>
      <c r="G47" s="234">
        <v>0</v>
      </c>
      <c r="H47" s="235">
        <v>0</v>
      </c>
      <c r="I47" s="418">
        <v>0</v>
      </c>
      <c r="J47" s="234">
        <v>0</v>
      </c>
      <c r="K47" s="234">
        <v>0</v>
      </c>
      <c r="L47" s="234">
        <v>0</v>
      </c>
      <c r="M47" s="234">
        <v>0</v>
      </c>
      <c r="N47" s="363">
        <v>0</v>
      </c>
      <c r="O47" s="417">
        <f t="shared" si="12"/>
        <v>0</v>
      </c>
      <c r="P47" s="417">
        <v>0</v>
      </c>
      <c r="Q47" s="196">
        <v>992445.62000000011</v>
      </c>
      <c r="R47" s="196">
        <f t="shared" si="9"/>
        <v>992445.62000000011</v>
      </c>
    </row>
    <row r="48" spans="2:18" s="196" customFormat="1" outlineLevel="1" collapsed="1" x14ac:dyDescent="0.35">
      <c r="B48" s="487"/>
      <c r="C48" s="529"/>
      <c r="D48" s="263" t="s">
        <v>198</v>
      </c>
      <c r="E48" s="234">
        <v>1</v>
      </c>
      <c r="F48" s="234">
        <v>1568541</v>
      </c>
      <c r="G48" s="234">
        <v>156854.1</v>
      </c>
      <c r="H48" s="235">
        <v>155269.35999999999</v>
      </c>
      <c r="I48" s="418">
        <v>0</v>
      </c>
      <c r="J48" s="234">
        <v>0</v>
      </c>
      <c r="K48" s="234">
        <v>0</v>
      </c>
      <c r="L48" s="234">
        <v>0</v>
      </c>
      <c r="M48" s="234">
        <v>0</v>
      </c>
      <c r="N48" s="363">
        <v>1584.74</v>
      </c>
      <c r="O48" s="417">
        <f t="shared" si="12"/>
        <v>1584.74</v>
      </c>
      <c r="P48" s="417">
        <v>785855.24</v>
      </c>
      <c r="Q48" s="196">
        <v>10032510.960000001</v>
      </c>
      <c r="R48" s="196">
        <f t="shared" si="9"/>
        <v>9246655.7200000007</v>
      </c>
    </row>
    <row r="49" spans="2:18" s="196" customFormat="1" outlineLevel="1" x14ac:dyDescent="0.35">
      <c r="B49" s="487"/>
      <c r="C49" s="529"/>
      <c r="D49" s="236" t="s">
        <v>189</v>
      </c>
      <c r="E49" s="234">
        <v>4</v>
      </c>
      <c r="F49" s="234">
        <v>11547577.300000001</v>
      </c>
      <c r="G49" s="234">
        <v>2014281.46</v>
      </c>
      <c r="H49" s="235">
        <v>1604026.22</v>
      </c>
      <c r="I49" s="418">
        <v>0</v>
      </c>
      <c r="J49" s="234">
        <v>0</v>
      </c>
      <c r="K49" s="234">
        <v>193046.27</v>
      </c>
      <c r="L49" s="234">
        <v>0</v>
      </c>
      <c r="M49" s="234">
        <v>26545</v>
      </c>
      <c r="N49" s="363">
        <v>190663.97</v>
      </c>
      <c r="O49" s="417">
        <f t="shared" si="12"/>
        <v>410255.24</v>
      </c>
      <c r="P49" s="417">
        <v>2790991.89</v>
      </c>
      <c r="Q49" s="196">
        <v>27734900.610000011</v>
      </c>
      <c r="R49" s="196">
        <f t="shared" si="9"/>
        <v>24943908.72000001</v>
      </c>
    </row>
    <row r="50" spans="2:18" s="196" customFormat="1" outlineLevel="1" x14ac:dyDescent="0.35">
      <c r="B50" s="487"/>
      <c r="C50" s="529"/>
      <c r="D50" s="263" t="s">
        <v>179</v>
      </c>
      <c r="E50" s="234">
        <v>5</v>
      </c>
      <c r="F50" s="234">
        <v>32732212.57</v>
      </c>
      <c r="G50" s="234">
        <v>6582252.5200000005</v>
      </c>
      <c r="H50" s="235">
        <v>4313975.83</v>
      </c>
      <c r="I50" s="418">
        <v>0</v>
      </c>
      <c r="J50" s="234">
        <v>0</v>
      </c>
      <c r="K50" s="234">
        <v>0</v>
      </c>
      <c r="L50" s="234">
        <v>0</v>
      </c>
      <c r="M50" s="234">
        <v>680390.09</v>
      </c>
      <c r="N50" s="363">
        <v>1587886.6</v>
      </c>
      <c r="O50" s="417">
        <f t="shared" si="12"/>
        <v>2268276.69</v>
      </c>
      <c r="P50" s="417">
        <v>14304766.58</v>
      </c>
      <c r="Q50" s="196">
        <v>114400144.38999999</v>
      </c>
      <c r="R50" s="196">
        <f t="shared" si="9"/>
        <v>100095377.80999999</v>
      </c>
    </row>
    <row r="51" spans="2:18" s="196" customFormat="1" outlineLevel="1" x14ac:dyDescent="0.35">
      <c r="B51" s="487"/>
      <c r="C51" s="529"/>
      <c r="D51" s="263" t="s">
        <v>188</v>
      </c>
      <c r="E51" s="234">
        <f t="shared" ref="E51:P51" si="13">SUM(E52:E55)</f>
        <v>0</v>
      </c>
      <c r="F51" s="234">
        <f t="shared" si="13"/>
        <v>0</v>
      </c>
      <c r="G51" s="234">
        <f t="shared" si="13"/>
        <v>0</v>
      </c>
      <c r="H51" s="235">
        <f t="shared" si="13"/>
        <v>0</v>
      </c>
      <c r="I51" s="418">
        <f t="shared" si="13"/>
        <v>0</v>
      </c>
      <c r="J51" s="234">
        <f t="shared" si="13"/>
        <v>0</v>
      </c>
      <c r="K51" s="234">
        <f t="shared" si="13"/>
        <v>0</v>
      </c>
      <c r="L51" s="234">
        <f t="shared" si="13"/>
        <v>0</v>
      </c>
      <c r="M51" s="234">
        <f t="shared" si="13"/>
        <v>0</v>
      </c>
      <c r="N51" s="363">
        <f t="shared" si="13"/>
        <v>0</v>
      </c>
      <c r="O51" s="417">
        <f t="shared" si="13"/>
        <v>0</v>
      </c>
      <c r="P51" s="417">
        <f t="shared" si="13"/>
        <v>0</v>
      </c>
      <c r="Q51" s="196">
        <v>113781748.85000002</v>
      </c>
      <c r="R51" s="196">
        <f t="shared" si="9"/>
        <v>113781748.85000002</v>
      </c>
    </row>
    <row r="52" spans="2:18" s="196" customFormat="1" ht="14.5" hidden="1" customHeight="1" outlineLevel="2" x14ac:dyDescent="0.35">
      <c r="B52" s="487"/>
      <c r="C52" s="529"/>
      <c r="D52" s="242" t="s">
        <v>186</v>
      </c>
      <c r="E52" s="234">
        <v>0</v>
      </c>
      <c r="F52" s="234">
        <v>0</v>
      </c>
      <c r="G52" s="234">
        <v>0</v>
      </c>
      <c r="H52" s="235">
        <v>0</v>
      </c>
      <c r="I52" s="418">
        <v>0</v>
      </c>
      <c r="J52" s="234">
        <v>0</v>
      </c>
      <c r="K52" s="234">
        <v>0</v>
      </c>
      <c r="L52" s="234">
        <v>0</v>
      </c>
      <c r="M52" s="234">
        <v>0</v>
      </c>
      <c r="N52" s="363">
        <v>0</v>
      </c>
      <c r="O52" s="417">
        <f>SUM(I52:N52)</f>
        <v>0</v>
      </c>
      <c r="P52" s="417">
        <v>0</v>
      </c>
      <c r="Q52" s="196">
        <v>28215504.420000002</v>
      </c>
      <c r="R52" s="196">
        <f t="shared" si="9"/>
        <v>28215504.420000002</v>
      </c>
    </row>
    <row r="53" spans="2:18" s="196" customFormat="1" ht="14.5" hidden="1" customHeight="1" outlineLevel="2" x14ac:dyDescent="0.35">
      <c r="B53" s="487"/>
      <c r="C53" s="529"/>
      <c r="D53" s="242" t="s">
        <v>184</v>
      </c>
      <c r="E53" s="234">
        <v>0</v>
      </c>
      <c r="F53" s="234">
        <v>0</v>
      </c>
      <c r="G53" s="234">
        <v>0</v>
      </c>
      <c r="H53" s="235">
        <v>0</v>
      </c>
      <c r="I53" s="418">
        <v>0</v>
      </c>
      <c r="J53" s="234">
        <v>0</v>
      </c>
      <c r="K53" s="234">
        <v>0</v>
      </c>
      <c r="L53" s="234">
        <v>0</v>
      </c>
      <c r="M53" s="234">
        <v>0</v>
      </c>
      <c r="N53" s="363">
        <v>0</v>
      </c>
      <c r="O53" s="417">
        <f>SUM(I53:N53)</f>
        <v>0</v>
      </c>
      <c r="P53" s="417">
        <v>0</v>
      </c>
      <c r="Q53" s="196">
        <v>0</v>
      </c>
      <c r="R53" s="196">
        <f t="shared" si="9"/>
        <v>0</v>
      </c>
    </row>
    <row r="54" spans="2:18" s="196" customFormat="1" ht="14.5" hidden="1" customHeight="1" outlineLevel="2" x14ac:dyDescent="0.35">
      <c r="B54" s="487"/>
      <c r="C54" s="529"/>
      <c r="D54" s="262" t="s">
        <v>182</v>
      </c>
      <c r="E54" s="234">
        <v>0</v>
      </c>
      <c r="F54" s="234">
        <v>0</v>
      </c>
      <c r="G54" s="234">
        <v>0</v>
      </c>
      <c r="H54" s="235">
        <v>0</v>
      </c>
      <c r="I54" s="418">
        <v>0</v>
      </c>
      <c r="J54" s="234">
        <v>0</v>
      </c>
      <c r="K54" s="234">
        <v>0</v>
      </c>
      <c r="L54" s="234">
        <v>0</v>
      </c>
      <c r="M54" s="234">
        <v>0</v>
      </c>
      <c r="N54" s="363">
        <v>0</v>
      </c>
      <c r="O54" s="417">
        <f>SUM(I54:N54)</f>
        <v>0</v>
      </c>
      <c r="P54" s="417">
        <v>0</v>
      </c>
      <c r="Q54" s="196">
        <v>85566244.430000022</v>
      </c>
      <c r="R54" s="196">
        <f t="shared" si="9"/>
        <v>85566244.430000022</v>
      </c>
    </row>
    <row r="55" spans="2:18" s="196" customFormat="1" ht="14.5" hidden="1" customHeight="1" outlineLevel="2" x14ac:dyDescent="0.35">
      <c r="B55" s="487"/>
      <c r="C55" s="529"/>
      <c r="D55" s="262" t="s">
        <v>180</v>
      </c>
      <c r="E55" s="234">
        <v>0</v>
      </c>
      <c r="F55" s="234">
        <v>0</v>
      </c>
      <c r="G55" s="234">
        <v>0</v>
      </c>
      <c r="H55" s="235">
        <v>0</v>
      </c>
      <c r="I55" s="418">
        <v>0</v>
      </c>
      <c r="J55" s="234">
        <v>0</v>
      </c>
      <c r="K55" s="234">
        <v>0</v>
      </c>
      <c r="L55" s="234">
        <v>0</v>
      </c>
      <c r="M55" s="234">
        <v>0</v>
      </c>
      <c r="N55" s="363">
        <v>0</v>
      </c>
      <c r="O55" s="417">
        <f>SUM(I55:N55)</f>
        <v>0</v>
      </c>
      <c r="P55" s="417">
        <v>0</v>
      </c>
      <c r="Q55" s="196">
        <v>0</v>
      </c>
      <c r="R55" s="196">
        <f t="shared" si="9"/>
        <v>0</v>
      </c>
    </row>
    <row r="56" spans="2:18" s="196" customFormat="1" outlineLevel="1" collapsed="1" x14ac:dyDescent="0.35">
      <c r="B56" s="487"/>
      <c r="C56" s="529"/>
      <c r="D56" s="246" t="s">
        <v>170</v>
      </c>
      <c r="E56" s="234">
        <f t="shared" ref="E56:P56" si="14">SUM(E57:E62)</f>
        <v>29</v>
      </c>
      <c r="F56" s="234">
        <f t="shared" si="14"/>
        <v>83550069.349999994</v>
      </c>
      <c r="G56" s="234">
        <f t="shared" si="14"/>
        <v>17816826.969999999</v>
      </c>
      <c r="H56" s="235">
        <f t="shared" si="14"/>
        <v>12722231.17</v>
      </c>
      <c r="I56" s="418">
        <f t="shared" si="14"/>
        <v>144998</v>
      </c>
      <c r="J56" s="234">
        <f t="shared" si="14"/>
        <v>1215529.6000000001</v>
      </c>
      <c r="K56" s="234">
        <f t="shared" si="14"/>
        <v>0</v>
      </c>
      <c r="L56" s="234">
        <f t="shared" si="14"/>
        <v>0</v>
      </c>
      <c r="M56" s="234">
        <f t="shared" si="14"/>
        <v>158346.82999999999</v>
      </c>
      <c r="N56" s="363">
        <f t="shared" si="14"/>
        <v>3575721.37</v>
      </c>
      <c r="O56" s="417">
        <f t="shared" si="14"/>
        <v>5094595.8</v>
      </c>
      <c r="P56" s="417">
        <f t="shared" si="14"/>
        <v>20145138.449999999</v>
      </c>
      <c r="Q56" s="196">
        <v>246326481.47000006</v>
      </c>
      <c r="R56" s="196">
        <f t="shared" si="9"/>
        <v>226181343.02000007</v>
      </c>
    </row>
    <row r="57" spans="2:18" s="196" customFormat="1" ht="14.5" hidden="1" customHeight="1" outlineLevel="2" x14ac:dyDescent="0.35">
      <c r="B57" s="487"/>
      <c r="C57" s="529"/>
      <c r="D57" s="242" t="s">
        <v>169</v>
      </c>
      <c r="E57" s="234">
        <v>6</v>
      </c>
      <c r="F57" s="234">
        <v>15570167.940000001</v>
      </c>
      <c r="G57" s="234">
        <v>5932473.4399999995</v>
      </c>
      <c r="H57" s="235">
        <v>4950779.09</v>
      </c>
      <c r="I57" s="418">
        <v>144998</v>
      </c>
      <c r="J57" s="234">
        <v>0</v>
      </c>
      <c r="K57" s="234">
        <v>0</v>
      </c>
      <c r="L57" s="234">
        <v>0</v>
      </c>
      <c r="M57" s="234">
        <v>0</v>
      </c>
      <c r="N57" s="363">
        <v>836696.35000000009</v>
      </c>
      <c r="O57" s="417">
        <f t="shared" ref="O57:O62" si="15">SUM(I57:N57)</f>
        <v>981694.35000000009</v>
      </c>
      <c r="P57" s="417">
        <v>4671518.5600000005</v>
      </c>
      <c r="Q57" s="196">
        <v>39520361.940000005</v>
      </c>
      <c r="R57" s="196">
        <f t="shared" si="9"/>
        <v>34848843.380000003</v>
      </c>
    </row>
    <row r="58" spans="2:18" s="196" customFormat="1" ht="14.5" hidden="1" customHeight="1" outlineLevel="2" x14ac:dyDescent="0.35">
      <c r="B58" s="487"/>
      <c r="C58" s="529"/>
      <c r="D58" s="242" t="s">
        <v>168</v>
      </c>
      <c r="E58" s="234">
        <v>5</v>
      </c>
      <c r="F58" s="234">
        <v>8756480.8000000007</v>
      </c>
      <c r="G58" s="234">
        <v>1751296.16</v>
      </c>
      <c r="H58" s="235">
        <v>1009180.5900000001</v>
      </c>
      <c r="I58" s="418">
        <v>0</v>
      </c>
      <c r="J58" s="234">
        <v>0</v>
      </c>
      <c r="K58" s="234">
        <v>0</v>
      </c>
      <c r="L58" s="234">
        <v>0</v>
      </c>
      <c r="M58" s="234">
        <v>132437.24</v>
      </c>
      <c r="N58" s="363">
        <v>609678.32999999996</v>
      </c>
      <c r="O58" s="417">
        <f t="shared" si="15"/>
        <v>742115.57</v>
      </c>
      <c r="P58" s="417">
        <v>3113286.79</v>
      </c>
      <c r="Q58" s="196">
        <v>40586941.81000004</v>
      </c>
      <c r="R58" s="196">
        <f t="shared" si="9"/>
        <v>37473655.020000041</v>
      </c>
    </row>
    <row r="59" spans="2:18" s="196" customFormat="1" ht="14.5" hidden="1" customHeight="1" outlineLevel="2" x14ac:dyDescent="0.35">
      <c r="B59" s="487"/>
      <c r="C59" s="529"/>
      <c r="D59" s="242" t="s">
        <v>167</v>
      </c>
      <c r="E59" s="234">
        <v>4</v>
      </c>
      <c r="F59" s="234">
        <v>6747869.9500000002</v>
      </c>
      <c r="G59" s="234">
        <v>1349573.99</v>
      </c>
      <c r="H59" s="235">
        <v>810544.65000000014</v>
      </c>
      <c r="I59" s="418">
        <v>0</v>
      </c>
      <c r="J59" s="234">
        <v>0</v>
      </c>
      <c r="K59" s="234">
        <v>0</v>
      </c>
      <c r="L59" s="234">
        <v>0</v>
      </c>
      <c r="M59" s="234">
        <v>0</v>
      </c>
      <c r="N59" s="363">
        <v>539029.34</v>
      </c>
      <c r="O59" s="417">
        <f t="shared" si="15"/>
        <v>539029.34</v>
      </c>
      <c r="P59" s="417">
        <v>3076280.88</v>
      </c>
      <c r="Q59" s="196">
        <v>30835555.449999999</v>
      </c>
      <c r="R59" s="196">
        <f t="shared" si="9"/>
        <v>27759274.57</v>
      </c>
    </row>
    <row r="60" spans="2:18" s="196" customFormat="1" ht="14.5" hidden="1" customHeight="1" outlineLevel="2" x14ac:dyDescent="0.35">
      <c r="B60" s="487"/>
      <c r="C60" s="529"/>
      <c r="D60" s="242" t="s">
        <v>166</v>
      </c>
      <c r="E60" s="234">
        <v>7</v>
      </c>
      <c r="F60" s="234">
        <v>18890106</v>
      </c>
      <c r="G60" s="234">
        <v>2989702.2</v>
      </c>
      <c r="H60" s="235">
        <v>1930929.87</v>
      </c>
      <c r="I60" s="418">
        <v>0</v>
      </c>
      <c r="J60" s="234">
        <v>0</v>
      </c>
      <c r="K60" s="234">
        <v>0</v>
      </c>
      <c r="L60" s="234">
        <v>0</v>
      </c>
      <c r="M60" s="234">
        <v>25909.59</v>
      </c>
      <c r="N60" s="363">
        <v>1032862.74</v>
      </c>
      <c r="O60" s="417">
        <f t="shared" si="15"/>
        <v>1058772.33</v>
      </c>
      <c r="P60" s="417">
        <v>4402773.97</v>
      </c>
      <c r="Q60" s="196">
        <v>56592605.720000014</v>
      </c>
      <c r="R60" s="196">
        <f t="shared" si="9"/>
        <v>52189831.750000015</v>
      </c>
    </row>
    <row r="61" spans="2:18" s="196" customFormat="1" ht="14.5" hidden="1" customHeight="1" outlineLevel="2" x14ac:dyDescent="0.35">
      <c r="B61" s="487"/>
      <c r="C61" s="529"/>
      <c r="D61" s="261" t="s">
        <v>165</v>
      </c>
      <c r="E61" s="234">
        <v>3</v>
      </c>
      <c r="F61" s="234">
        <v>4520678.3600000003</v>
      </c>
      <c r="G61" s="234">
        <v>2126868.92</v>
      </c>
      <c r="H61" s="235">
        <v>1924854.6400000001</v>
      </c>
      <c r="I61" s="418">
        <v>0</v>
      </c>
      <c r="J61" s="234">
        <v>120629.6</v>
      </c>
      <c r="K61" s="234">
        <v>0</v>
      </c>
      <c r="L61" s="234">
        <v>0</v>
      </c>
      <c r="M61" s="234">
        <v>0</v>
      </c>
      <c r="N61" s="363">
        <v>81384.679999999993</v>
      </c>
      <c r="O61" s="417">
        <f t="shared" si="15"/>
        <v>202014.28</v>
      </c>
      <c r="P61" s="417">
        <v>720365.79999999993</v>
      </c>
      <c r="Q61" s="196">
        <v>26998269.660000004</v>
      </c>
      <c r="R61" s="196">
        <f t="shared" si="9"/>
        <v>26277903.860000003</v>
      </c>
    </row>
    <row r="62" spans="2:18" s="196" customFormat="1" ht="14.5" hidden="1" customHeight="1" outlineLevel="2" x14ac:dyDescent="0.35">
      <c r="B62" s="487"/>
      <c r="C62" s="529"/>
      <c r="D62" s="261" t="s">
        <v>164</v>
      </c>
      <c r="E62" s="234">
        <v>4</v>
      </c>
      <c r="F62" s="234">
        <v>29064766.300000001</v>
      </c>
      <c r="G62" s="234">
        <v>3666912.26</v>
      </c>
      <c r="H62" s="235">
        <v>2095942.33</v>
      </c>
      <c r="I62" s="418">
        <v>0</v>
      </c>
      <c r="J62" s="234">
        <v>1094900</v>
      </c>
      <c r="K62" s="234">
        <v>0</v>
      </c>
      <c r="L62" s="234">
        <v>0</v>
      </c>
      <c r="M62" s="234">
        <v>0</v>
      </c>
      <c r="N62" s="363">
        <v>476069.93</v>
      </c>
      <c r="O62" s="417">
        <f t="shared" si="15"/>
        <v>1570969.93</v>
      </c>
      <c r="P62" s="417">
        <v>4160912.45</v>
      </c>
      <c r="Q62" s="196">
        <v>51792746.889999993</v>
      </c>
      <c r="R62" s="196">
        <f t="shared" si="9"/>
        <v>47631834.43999999</v>
      </c>
    </row>
    <row r="63" spans="2:18" s="196" customFormat="1" outlineLevel="1" collapsed="1" x14ac:dyDescent="0.35">
      <c r="B63" s="487"/>
      <c r="C63" s="529"/>
      <c r="D63" s="246" t="s">
        <v>256</v>
      </c>
      <c r="E63" s="234">
        <f t="shared" ref="E63:P63" si="16">SUM(E64:E66)</f>
        <v>6</v>
      </c>
      <c r="F63" s="234">
        <f t="shared" si="16"/>
        <v>9776757.9299999997</v>
      </c>
      <c r="G63" s="234">
        <f t="shared" si="16"/>
        <v>3177243.85</v>
      </c>
      <c r="H63" s="235">
        <f t="shared" si="16"/>
        <v>1487643.88</v>
      </c>
      <c r="I63" s="418">
        <f t="shared" si="16"/>
        <v>270355</v>
      </c>
      <c r="J63" s="234">
        <f t="shared" si="16"/>
        <v>1331366</v>
      </c>
      <c r="K63" s="234">
        <f t="shared" si="16"/>
        <v>0</v>
      </c>
      <c r="L63" s="234">
        <f t="shared" si="16"/>
        <v>0</v>
      </c>
      <c r="M63" s="234">
        <f t="shared" si="16"/>
        <v>0</v>
      </c>
      <c r="N63" s="363">
        <f t="shared" si="16"/>
        <v>87878.97</v>
      </c>
      <c r="O63" s="417">
        <f t="shared" si="16"/>
        <v>1689599.97</v>
      </c>
      <c r="P63" s="417">
        <f t="shared" si="16"/>
        <v>3223766.92</v>
      </c>
      <c r="Q63" s="196">
        <v>20972071.429999996</v>
      </c>
      <c r="R63" s="196">
        <f t="shared" si="9"/>
        <v>17748304.509999998</v>
      </c>
    </row>
    <row r="64" spans="2:18" s="196" customFormat="1" ht="14.5" hidden="1" customHeight="1" outlineLevel="2" x14ac:dyDescent="0.35">
      <c r="B64" s="487"/>
      <c r="C64" s="529"/>
      <c r="D64" s="260" t="s">
        <v>196</v>
      </c>
      <c r="E64" s="234">
        <v>2</v>
      </c>
      <c r="F64" s="234">
        <v>2561181.83</v>
      </c>
      <c r="G64" s="234">
        <v>256118.19</v>
      </c>
      <c r="H64" s="235">
        <v>183664.88</v>
      </c>
      <c r="I64" s="418">
        <v>0</v>
      </c>
      <c r="J64" s="234">
        <v>0</v>
      </c>
      <c r="K64" s="234">
        <v>0</v>
      </c>
      <c r="L64" s="234">
        <v>0</v>
      </c>
      <c r="M64" s="234">
        <v>0</v>
      </c>
      <c r="N64" s="363">
        <v>72453.31</v>
      </c>
      <c r="O64" s="417">
        <f>SUM(I64:N64)</f>
        <v>72453.31</v>
      </c>
      <c r="P64" s="417">
        <v>1353044.26</v>
      </c>
      <c r="Q64" s="196">
        <v>8254316.509999997</v>
      </c>
      <c r="R64" s="196">
        <f t="shared" si="9"/>
        <v>6901272.2499999972</v>
      </c>
    </row>
    <row r="65" spans="2:18" s="196" customFormat="1" ht="14.5" hidden="1" customHeight="1" outlineLevel="2" x14ac:dyDescent="0.35">
      <c r="B65" s="487"/>
      <c r="C65" s="529"/>
      <c r="D65" s="260" t="s">
        <v>195</v>
      </c>
      <c r="E65" s="234">
        <v>4</v>
      </c>
      <c r="F65" s="234">
        <v>7215576.0999999996</v>
      </c>
      <c r="G65" s="234">
        <v>2921125.66</v>
      </c>
      <c r="H65" s="235">
        <v>1303979</v>
      </c>
      <c r="I65" s="418">
        <v>270355</v>
      </c>
      <c r="J65" s="234">
        <v>1331366</v>
      </c>
      <c r="K65" s="234">
        <v>0</v>
      </c>
      <c r="L65" s="234">
        <v>0</v>
      </c>
      <c r="M65" s="234">
        <v>0</v>
      </c>
      <c r="N65" s="363">
        <v>15425.66</v>
      </c>
      <c r="O65" s="417">
        <f>SUM(I65:N65)</f>
        <v>1617146.66</v>
      </c>
      <c r="P65" s="417">
        <v>1870722.6600000001</v>
      </c>
      <c r="Q65" s="196">
        <v>12401424.919999998</v>
      </c>
      <c r="R65" s="196">
        <f t="shared" si="9"/>
        <v>10530702.259999998</v>
      </c>
    </row>
    <row r="66" spans="2:18" s="196" customFormat="1" ht="14.5" hidden="1" customHeight="1" outlineLevel="2" x14ac:dyDescent="0.35">
      <c r="B66" s="487"/>
      <c r="C66" s="529"/>
      <c r="D66" s="260" t="s">
        <v>194</v>
      </c>
      <c r="E66" s="234">
        <v>0</v>
      </c>
      <c r="F66" s="234">
        <v>0</v>
      </c>
      <c r="G66" s="234">
        <v>0</v>
      </c>
      <c r="H66" s="235">
        <v>0</v>
      </c>
      <c r="I66" s="418">
        <v>0</v>
      </c>
      <c r="J66" s="234">
        <v>0</v>
      </c>
      <c r="K66" s="234">
        <v>0</v>
      </c>
      <c r="L66" s="234">
        <v>0</v>
      </c>
      <c r="M66" s="234">
        <v>0</v>
      </c>
      <c r="N66" s="363">
        <v>0</v>
      </c>
      <c r="O66" s="417">
        <f>SUM(I66:N66)</f>
        <v>0</v>
      </c>
      <c r="P66" s="417">
        <v>0</v>
      </c>
      <c r="Q66" s="196">
        <v>316330</v>
      </c>
      <c r="R66" s="196">
        <f t="shared" si="9"/>
        <v>316330</v>
      </c>
    </row>
    <row r="67" spans="2:18" s="196" customFormat="1" outlineLevel="1" collapsed="1" x14ac:dyDescent="0.35">
      <c r="B67" s="487"/>
      <c r="C67" s="529"/>
      <c r="D67" s="246" t="s">
        <v>178</v>
      </c>
      <c r="E67" s="234">
        <f t="shared" ref="E67:P67" si="17">SUM(E68:E74)</f>
        <v>24</v>
      </c>
      <c r="F67" s="234">
        <f t="shared" si="17"/>
        <v>54946614.109999999</v>
      </c>
      <c r="G67" s="234">
        <f t="shared" si="17"/>
        <v>13681939.260000002</v>
      </c>
      <c r="H67" s="235">
        <f t="shared" si="17"/>
        <v>10351798.119999999</v>
      </c>
      <c r="I67" s="418">
        <f t="shared" si="17"/>
        <v>541946.99</v>
      </c>
      <c r="J67" s="234">
        <f t="shared" si="17"/>
        <v>0</v>
      </c>
      <c r="K67" s="234">
        <f t="shared" si="17"/>
        <v>0</v>
      </c>
      <c r="L67" s="234">
        <f t="shared" si="17"/>
        <v>0</v>
      </c>
      <c r="M67" s="234">
        <f t="shared" si="17"/>
        <v>3520.78</v>
      </c>
      <c r="N67" s="363">
        <f t="shared" si="17"/>
        <v>2784673.37</v>
      </c>
      <c r="O67" s="417">
        <f t="shared" si="17"/>
        <v>3330141.1399999997</v>
      </c>
      <c r="P67" s="417">
        <f t="shared" si="17"/>
        <v>19571505.41</v>
      </c>
      <c r="Q67" s="196">
        <v>146011945.82999998</v>
      </c>
      <c r="R67" s="196">
        <f t="shared" si="9"/>
        <v>126440440.41999999</v>
      </c>
    </row>
    <row r="68" spans="2:18" s="196" customFormat="1" ht="14.5" hidden="1" customHeight="1" outlineLevel="2" x14ac:dyDescent="0.35">
      <c r="B68" s="487"/>
      <c r="C68" s="529"/>
      <c r="D68" s="260" t="s">
        <v>177</v>
      </c>
      <c r="E68" s="234">
        <v>3</v>
      </c>
      <c r="F68" s="234">
        <v>8958635.1799999997</v>
      </c>
      <c r="G68" s="234">
        <v>4020956.2800000003</v>
      </c>
      <c r="H68" s="235">
        <v>3388775.51</v>
      </c>
      <c r="I68" s="418">
        <v>133970.21</v>
      </c>
      <c r="J68" s="234">
        <v>0</v>
      </c>
      <c r="K68" s="234">
        <v>0</v>
      </c>
      <c r="L68" s="234">
        <v>0</v>
      </c>
      <c r="M68" s="234">
        <v>0</v>
      </c>
      <c r="N68" s="363">
        <v>498210.56</v>
      </c>
      <c r="O68" s="417">
        <f t="shared" ref="O68:O74" si="18">SUM(I68:N68)</f>
        <v>632180.77</v>
      </c>
      <c r="P68" s="417">
        <v>2102179.5099999998</v>
      </c>
      <c r="Q68" s="196">
        <v>33260288.219999995</v>
      </c>
      <c r="R68" s="196">
        <f t="shared" si="9"/>
        <v>31158108.709999993</v>
      </c>
    </row>
    <row r="69" spans="2:18" s="196" customFormat="1" ht="14.5" hidden="1" customHeight="1" outlineLevel="2" x14ac:dyDescent="0.35">
      <c r="B69" s="487"/>
      <c r="C69" s="529"/>
      <c r="D69" s="260" t="s">
        <v>176</v>
      </c>
      <c r="E69" s="234">
        <v>5</v>
      </c>
      <c r="F69" s="234">
        <v>9027273.0500000007</v>
      </c>
      <c r="G69" s="234">
        <v>1295194.94</v>
      </c>
      <c r="H69" s="235">
        <v>698631.23</v>
      </c>
      <c r="I69" s="418">
        <v>354214.28</v>
      </c>
      <c r="J69" s="234">
        <v>0</v>
      </c>
      <c r="K69" s="234">
        <v>0</v>
      </c>
      <c r="L69" s="234">
        <v>0</v>
      </c>
      <c r="M69" s="234">
        <v>0</v>
      </c>
      <c r="N69" s="363">
        <v>242349.43</v>
      </c>
      <c r="O69" s="417">
        <f t="shared" si="18"/>
        <v>596563.71</v>
      </c>
      <c r="P69" s="417">
        <v>2846661.2199999997</v>
      </c>
      <c r="Q69" s="196">
        <v>22324892.669999979</v>
      </c>
      <c r="R69" s="196">
        <f t="shared" si="9"/>
        <v>19478231.449999981</v>
      </c>
    </row>
    <row r="70" spans="2:18" s="196" customFormat="1" ht="14.5" hidden="1" customHeight="1" outlineLevel="2" x14ac:dyDescent="0.35">
      <c r="B70" s="487"/>
      <c r="C70" s="529"/>
      <c r="D70" s="260" t="s">
        <v>175</v>
      </c>
      <c r="E70" s="234">
        <v>3</v>
      </c>
      <c r="F70" s="234">
        <v>9567130.1999999993</v>
      </c>
      <c r="G70" s="234">
        <v>1673550.04</v>
      </c>
      <c r="H70" s="235">
        <v>1242542.31</v>
      </c>
      <c r="I70" s="418">
        <v>0</v>
      </c>
      <c r="J70" s="234">
        <v>0</v>
      </c>
      <c r="K70" s="234">
        <v>0</v>
      </c>
      <c r="L70" s="234">
        <v>0</v>
      </c>
      <c r="M70" s="234">
        <v>0</v>
      </c>
      <c r="N70" s="363">
        <v>431007.73</v>
      </c>
      <c r="O70" s="417">
        <f t="shared" si="18"/>
        <v>431007.73</v>
      </c>
      <c r="P70" s="417">
        <v>4497735.8499999996</v>
      </c>
      <c r="Q70" s="196">
        <v>26353240.890000004</v>
      </c>
      <c r="R70" s="196">
        <f t="shared" si="9"/>
        <v>21855505.040000007</v>
      </c>
    </row>
    <row r="71" spans="2:18" s="196" customFormat="1" ht="14.5" hidden="1" customHeight="1" outlineLevel="2" x14ac:dyDescent="0.35">
      <c r="B71" s="487"/>
      <c r="C71" s="529"/>
      <c r="D71" s="260" t="s">
        <v>174</v>
      </c>
      <c r="E71" s="234">
        <v>5</v>
      </c>
      <c r="F71" s="234">
        <v>8932012.7799999993</v>
      </c>
      <c r="G71" s="234">
        <v>2999925.42</v>
      </c>
      <c r="H71" s="235">
        <v>2237955.23</v>
      </c>
      <c r="I71" s="418">
        <v>0</v>
      </c>
      <c r="J71" s="234">
        <v>0</v>
      </c>
      <c r="K71" s="234">
        <v>0</v>
      </c>
      <c r="L71" s="234">
        <v>0</v>
      </c>
      <c r="M71" s="234">
        <v>0</v>
      </c>
      <c r="N71" s="363">
        <v>761970.19</v>
      </c>
      <c r="O71" s="417">
        <f t="shared" si="18"/>
        <v>761970.19</v>
      </c>
      <c r="P71" s="417">
        <v>3728013.8700000006</v>
      </c>
      <c r="Q71" s="196">
        <v>17392209.650000002</v>
      </c>
      <c r="R71" s="196">
        <f t="shared" si="9"/>
        <v>13664195.780000001</v>
      </c>
    </row>
    <row r="72" spans="2:18" s="196" customFormat="1" ht="14.5" hidden="1" customHeight="1" outlineLevel="2" x14ac:dyDescent="0.35">
      <c r="B72" s="487"/>
      <c r="C72" s="529"/>
      <c r="D72" s="260" t="s">
        <v>173</v>
      </c>
      <c r="E72" s="234">
        <v>6</v>
      </c>
      <c r="F72" s="234">
        <v>14585663.9</v>
      </c>
      <c r="G72" s="234">
        <v>2917132.7800000003</v>
      </c>
      <c r="H72" s="235">
        <v>2065997.32</v>
      </c>
      <c r="I72" s="418">
        <v>0</v>
      </c>
      <c r="J72" s="234">
        <v>0</v>
      </c>
      <c r="K72" s="234">
        <v>0</v>
      </c>
      <c r="L72" s="234">
        <v>0</v>
      </c>
      <c r="M72" s="234">
        <v>0</v>
      </c>
      <c r="N72" s="363">
        <v>851135.46000000008</v>
      </c>
      <c r="O72" s="417">
        <f t="shared" si="18"/>
        <v>851135.46000000008</v>
      </c>
      <c r="P72" s="417">
        <v>6339631.6799999997</v>
      </c>
      <c r="Q72" s="196">
        <v>28975144.890000008</v>
      </c>
      <c r="R72" s="196">
        <f t="shared" ref="R72:R103" si="19">Q72-P72</f>
        <v>22635513.210000008</v>
      </c>
    </row>
    <row r="73" spans="2:18" s="196" customFormat="1" ht="14.5" hidden="1" customHeight="1" outlineLevel="2" x14ac:dyDescent="0.35">
      <c r="B73" s="487"/>
      <c r="C73" s="529"/>
      <c r="D73" s="260" t="s">
        <v>172</v>
      </c>
      <c r="E73" s="234">
        <v>2</v>
      </c>
      <c r="F73" s="234">
        <v>3875899</v>
      </c>
      <c r="G73" s="234">
        <v>775179.8</v>
      </c>
      <c r="H73" s="235">
        <v>717896.52</v>
      </c>
      <c r="I73" s="418">
        <v>53762.5</v>
      </c>
      <c r="J73" s="234">
        <v>0</v>
      </c>
      <c r="K73" s="234">
        <v>0</v>
      </c>
      <c r="L73" s="234">
        <v>0</v>
      </c>
      <c r="M73" s="234">
        <v>3520.78</v>
      </c>
      <c r="N73" s="363">
        <v>0</v>
      </c>
      <c r="O73" s="417">
        <f t="shared" si="18"/>
        <v>57283.28</v>
      </c>
      <c r="P73" s="417">
        <v>57283.28</v>
      </c>
      <c r="Q73" s="196">
        <v>11324065.51</v>
      </c>
      <c r="R73" s="196">
        <f t="shared" si="19"/>
        <v>11266782.23</v>
      </c>
    </row>
    <row r="74" spans="2:18" s="196" customFormat="1" ht="14.5" hidden="1" customHeight="1" outlineLevel="2" x14ac:dyDescent="0.35">
      <c r="B74" s="487"/>
      <c r="C74" s="529"/>
      <c r="D74" s="260" t="s">
        <v>171</v>
      </c>
      <c r="E74" s="234">
        <v>0</v>
      </c>
      <c r="F74" s="234">
        <v>0</v>
      </c>
      <c r="G74" s="234">
        <v>0</v>
      </c>
      <c r="H74" s="235">
        <v>0</v>
      </c>
      <c r="I74" s="418">
        <v>0</v>
      </c>
      <c r="J74" s="234">
        <v>0</v>
      </c>
      <c r="K74" s="234">
        <v>0</v>
      </c>
      <c r="L74" s="234">
        <v>0</v>
      </c>
      <c r="M74" s="234">
        <v>0</v>
      </c>
      <c r="N74" s="363">
        <v>0</v>
      </c>
      <c r="O74" s="417">
        <f t="shared" si="18"/>
        <v>0</v>
      </c>
      <c r="P74" s="417">
        <v>0</v>
      </c>
      <c r="Q74" s="196">
        <v>6382104</v>
      </c>
      <c r="R74" s="196">
        <f t="shared" si="19"/>
        <v>6382104</v>
      </c>
    </row>
    <row r="75" spans="2:18" s="196" customFormat="1" x14ac:dyDescent="0.35">
      <c r="B75" s="487"/>
      <c r="C75" s="529"/>
      <c r="D75" s="416" t="s">
        <v>255</v>
      </c>
      <c r="E75" s="416">
        <f t="shared" ref="E75:P75" si="20">SUM(E43,E48:E51,E56,E63,E67)</f>
        <v>69</v>
      </c>
      <c r="F75" s="416">
        <f t="shared" si="20"/>
        <v>194121772.25999999</v>
      </c>
      <c r="G75" s="416">
        <f t="shared" si="20"/>
        <v>43429398.159999996</v>
      </c>
      <c r="H75" s="415">
        <f t="shared" si="20"/>
        <v>30634944.579999998</v>
      </c>
      <c r="I75" s="414">
        <f t="shared" si="20"/>
        <v>957299.99</v>
      </c>
      <c r="J75" s="413">
        <f t="shared" si="20"/>
        <v>2546895.6</v>
      </c>
      <c r="K75" s="413">
        <f t="shared" si="20"/>
        <v>193046.27</v>
      </c>
      <c r="L75" s="413">
        <f t="shared" si="20"/>
        <v>0</v>
      </c>
      <c r="M75" s="413">
        <f t="shared" si="20"/>
        <v>868802.7</v>
      </c>
      <c r="N75" s="412">
        <f t="shared" si="20"/>
        <v>8228409.0199999996</v>
      </c>
      <c r="O75" s="411">
        <f t="shared" si="20"/>
        <v>12794453.579999998</v>
      </c>
      <c r="P75" s="411">
        <f t="shared" si="20"/>
        <v>60822024.489999995</v>
      </c>
      <c r="Q75" s="196">
        <v>790192631.12000012</v>
      </c>
      <c r="R75" s="196">
        <f t="shared" si="19"/>
        <v>729370606.63000011</v>
      </c>
    </row>
    <row r="76" spans="2:18" s="196" customFormat="1" outlineLevel="1" x14ac:dyDescent="0.35">
      <c r="B76" s="487" t="s">
        <v>254</v>
      </c>
      <c r="C76" s="529" t="s">
        <v>253</v>
      </c>
      <c r="D76" s="422"/>
      <c r="E76" s="234"/>
      <c r="F76" s="234"/>
      <c r="G76" s="234"/>
      <c r="H76" s="235"/>
      <c r="I76" s="418"/>
      <c r="J76" s="234"/>
      <c r="K76" s="234"/>
      <c r="L76" s="234"/>
      <c r="M76" s="234"/>
      <c r="N76" s="363"/>
      <c r="O76" s="265"/>
      <c r="P76" s="265"/>
      <c r="Q76" s="196">
        <v>0</v>
      </c>
      <c r="R76" s="196">
        <f t="shared" si="19"/>
        <v>0</v>
      </c>
    </row>
    <row r="77" spans="2:18" s="196" customFormat="1" outlineLevel="1" x14ac:dyDescent="0.35">
      <c r="B77" s="487"/>
      <c r="C77" s="529"/>
      <c r="D77" s="251" t="s">
        <v>252</v>
      </c>
      <c r="E77" s="234">
        <f t="shared" ref="E77:P77" si="21">SUM(E78:E80)</f>
        <v>6</v>
      </c>
      <c r="F77" s="234">
        <f t="shared" si="21"/>
        <v>92673085.460000008</v>
      </c>
      <c r="G77" s="234">
        <f t="shared" si="21"/>
        <v>32341893.860000003</v>
      </c>
      <c r="H77" s="235">
        <f t="shared" si="21"/>
        <v>29833084.530000001</v>
      </c>
      <c r="I77" s="418">
        <f t="shared" si="21"/>
        <v>1859957.6</v>
      </c>
      <c r="J77" s="234">
        <f t="shared" si="21"/>
        <v>0</v>
      </c>
      <c r="K77" s="234">
        <f t="shared" si="21"/>
        <v>0</v>
      </c>
      <c r="L77" s="234">
        <f t="shared" si="21"/>
        <v>0</v>
      </c>
      <c r="M77" s="234">
        <f t="shared" si="21"/>
        <v>0</v>
      </c>
      <c r="N77" s="363">
        <f t="shared" si="21"/>
        <v>648851.72999999986</v>
      </c>
      <c r="O77" s="417">
        <f t="shared" si="21"/>
        <v>2508809.33</v>
      </c>
      <c r="P77" s="417">
        <f t="shared" si="21"/>
        <v>21015619.880000003</v>
      </c>
      <c r="Q77" s="196">
        <v>0</v>
      </c>
      <c r="R77" s="196">
        <f t="shared" si="19"/>
        <v>-21015619.880000003</v>
      </c>
    </row>
    <row r="78" spans="2:18" s="196" customFormat="1" ht="14.5" hidden="1" customHeight="1" outlineLevel="2" x14ac:dyDescent="0.35">
      <c r="B78" s="487"/>
      <c r="C78" s="529"/>
      <c r="D78" s="250" t="s">
        <v>192</v>
      </c>
      <c r="E78" s="234">
        <v>4</v>
      </c>
      <c r="F78" s="234">
        <v>52160716.5</v>
      </c>
      <c r="G78" s="234">
        <v>10432143.300000001</v>
      </c>
      <c r="H78" s="235">
        <v>9785839.3900000006</v>
      </c>
      <c r="I78" s="418">
        <v>0</v>
      </c>
      <c r="J78" s="234">
        <v>0</v>
      </c>
      <c r="K78" s="234">
        <v>0</v>
      </c>
      <c r="L78" s="234">
        <v>0</v>
      </c>
      <c r="M78" s="234">
        <v>0</v>
      </c>
      <c r="N78" s="363">
        <v>646303.90999999992</v>
      </c>
      <c r="O78" s="417">
        <f>SUM(I78:N78)</f>
        <v>646303.90999999992</v>
      </c>
      <c r="P78" s="417">
        <v>19153114.460000001</v>
      </c>
      <c r="Q78" s="196">
        <v>132277651.73000002</v>
      </c>
      <c r="R78" s="196">
        <f t="shared" si="19"/>
        <v>113124537.27000001</v>
      </c>
    </row>
    <row r="79" spans="2:18" s="196" customFormat="1" ht="14.5" hidden="1" customHeight="1" outlineLevel="2" x14ac:dyDescent="0.35">
      <c r="B79" s="487"/>
      <c r="C79" s="529"/>
      <c r="D79" s="250" t="s">
        <v>191</v>
      </c>
      <c r="E79" s="234">
        <v>0</v>
      </c>
      <c r="F79" s="234">
        <v>0</v>
      </c>
      <c r="G79" s="234">
        <v>0</v>
      </c>
      <c r="H79" s="235">
        <v>0</v>
      </c>
      <c r="I79" s="418">
        <v>0</v>
      </c>
      <c r="J79" s="234">
        <v>0</v>
      </c>
      <c r="K79" s="234">
        <v>0</v>
      </c>
      <c r="L79" s="234">
        <v>0</v>
      </c>
      <c r="M79" s="234">
        <v>0</v>
      </c>
      <c r="N79" s="363">
        <v>0</v>
      </c>
      <c r="O79" s="417">
        <f>SUM(I79:N79)</f>
        <v>0</v>
      </c>
      <c r="P79" s="417">
        <v>0</v>
      </c>
      <c r="Q79" s="196">
        <v>37608371.609999992</v>
      </c>
      <c r="R79" s="196">
        <f t="shared" si="19"/>
        <v>37608371.609999992</v>
      </c>
    </row>
    <row r="80" spans="2:18" s="196" customFormat="1" ht="14.5" hidden="1" customHeight="1" outlineLevel="2" x14ac:dyDescent="0.35">
      <c r="B80" s="487"/>
      <c r="C80" s="529"/>
      <c r="D80" s="250" t="s">
        <v>190</v>
      </c>
      <c r="E80" s="234">
        <v>2</v>
      </c>
      <c r="F80" s="234">
        <v>40512368.960000001</v>
      </c>
      <c r="G80" s="234">
        <v>21909750.560000002</v>
      </c>
      <c r="H80" s="235">
        <v>20047245.140000001</v>
      </c>
      <c r="I80" s="418">
        <v>1859957.6</v>
      </c>
      <c r="J80" s="234">
        <v>0</v>
      </c>
      <c r="K80" s="234">
        <v>0</v>
      </c>
      <c r="L80" s="234">
        <v>0</v>
      </c>
      <c r="M80" s="234">
        <v>0</v>
      </c>
      <c r="N80" s="363">
        <v>2547.8200000000002</v>
      </c>
      <c r="O80" s="417">
        <f>SUM(I80:N80)</f>
        <v>1862505.4200000002</v>
      </c>
      <c r="P80" s="417">
        <v>1862505.4200000002</v>
      </c>
      <c r="Q80" s="196">
        <v>30692944.770000003</v>
      </c>
      <c r="R80" s="196">
        <f t="shared" si="19"/>
        <v>28830439.350000001</v>
      </c>
    </row>
    <row r="81" spans="2:18" s="196" customFormat="1" outlineLevel="1" collapsed="1" x14ac:dyDescent="0.35">
      <c r="B81" s="487"/>
      <c r="C81" s="529"/>
      <c r="D81" s="251" t="s">
        <v>158</v>
      </c>
      <c r="E81" s="234">
        <f t="shared" ref="E81:P81" si="22">SUM(E82:E89)</f>
        <v>13</v>
      </c>
      <c r="F81" s="234">
        <f t="shared" si="22"/>
        <v>18680348.199999999</v>
      </c>
      <c r="G81" s="234">
        <f t="shared" si="22"/>
        <v>3524756.3899999997</v>
      </c>
      <c r="H81" s="235">
        <f t="shared" si="22"/>
        <v>2428134.44</v>
      </c>
      <c r="I81" s="418">
        <f t="shared" si="22"/>
        <v>355328.55</v>
      </c>
      <c r="J81" s="234">
        <f t="shared" si="22"/>
        <v>0</v>
      </c>
      <c r="K81" s="234">
        <f t="shared" si="22"/>
        <v>4331.59</v>
      </c>
      <c r="L81" s="234">
        <f t="shared" si="22"/>
        <v>0</v>
      </c>
      <c r="M81" s="234">
        <f t="shared" si="22"/>
        <v>6273.75</v>
      </c>
      <c r="N81" s="363">
        <f t="shared" si="22"/>
        <v>730688.06</v>
      </c>
      <c r="O81" s="417">
        <f t="shared" si="22"/>
        <v>1096621.95</v>
      </c>
      <c r="P81" s="417">
        <f t="shared" si="22"/>
        <v>4507163.1099999994</v>
      </c>
      <c r="Q81" s="196">
        <v>74622959.759999961</v>
      </c>
      <c r="R81" s="196">
        <f t="shared" si="19"/>
        <v>70115796.649999961</v>
      </c>
    </row>
    <row r="82" spans="2:18" s="196" customFormat="1" ht="14.5" hidden="1" customHeight="1" outlineLevel="2" x14ac:dyDescent="0.35">
      <c r="B82" s="487"/>
      <c r="C82" s="529"/>
      <c r="D82" s="250" t="s">
        <v>157</v>
      </c>
      <c r="E82" s="234">
        <v>3</v>
      </c>
      <c r="F82" s="234">
        <v>4137113.2</v>
      </c>
      <c r="G82" s="234">
        <v>827422.64</v>
      </c>
      <c r="H82" s="235">
        <v>613585.79</v>
      </c>
      <c r="I82" s="418">
        <v>0</v>
      </c>
      <c r="J82" s="234">
        <v>0</v>
      </c>
      <c r="K82" s="234">
        <v>4331.59</v>
      </c>
      <c r="L82" s="234">
        <v>0</v>
      </c>
      <c r="M82" s="234">
        <v>0</v>
      </c>
      <c r="N82" s="363">
        <v>209505.26</v>
      </c>
      <c r="O82" s="417">
        <f t="shared" ref="O82:O89" si="23">SUM(I82:N82)</f>
        <v>213836.85</v>
      </c>
      <c r="P82" s="417">
        <v>1057620.1299999999</v>
      </c>
      <c r="Q82" s="196">
        <v>21115774.149999999</v>
      </c>
      <c r="R82" s="196">
        <f t="shared" si="19"/>
        <v>20058154.02</v>
      </c>
    </row>
    <row r="83" spans="2:18" s="196" customFormat="1" ht="14.5" hidden="1" customHeight="1" outlineLevel="2" x14ac:dyDescent="0.35">
      <c r="B83" s="487"/>
      <c r="C83" s="529"/>
      <c r="D83" s="250" t="s">
        <v>156</v>
      </c>
      <c r="E83" s="234">
        <v>3</v>
      </c>
      <c r="F83" s="234">
        <v>5385006</v>
      </c>
      <c r="G83" s="234">
        <v>1077001.2</v>
      </c>
      <c r="H83" s="235">
        <v>976521.2</v>
      </c>
      <c r="I83" s="418">
        <v>98857</v>
      </c>
      <c r="J83" s="234">
        <v>0</v>
      </c>
      <c r="K83" s="234">
        <v>0</v>
      </c>
      <c r="L83" s="234">
        <v>0</v>
      </c>
      <c r="M83" s="234">
        <v>0</v>
      </c>
      <c r="N83" s="363">
        <v>1623</v>
      </c>
      <c r="O83" s="417">
        <f t="shared" si="23"/>
        <v>100480</v>
      </c>
      <c r="P83" s="417">
        <v>506380</v>
      </c>
      <c r="Q83" s="196">
        <v>16357478.419999996</v>
      </c>
      <c r="R83" s="196">
        <f t="shared" si="19"/>
        <v>15851098.419999996</v>
      </c>
    </row>
    <row r="84" spans="2:18" s="196" customFormat="1" ht="14.5" hidden="1" customHeight="1" outlineLevel="2" x14ac:dyDescent="0.35">
      <c r="B84" s="487"/>
      <c r="C84" s="529"/>
      <c r="D84" s="250" t="s">
        <v>155</v>
      </c>
      <c r="E84" s="234">
        <v>0</v>
      </c>
      <c r="F84" s="234">
        <v>0</v>
      </c>
      <c r="G84" s="234">
        <v>0</v>
      </c>
      <c r="H84" s="235">
        <v>0</v>
      </c>
      <c r="I84" s="418">
        <v>0</v>
      </c>
      <c r="J84" s="234">
        <v>0</v>
      </c>
      <c r="K84" s="234">
        <v>0</v>
      </c>
      <c r="L84" s="234">
        <v>0</v>
      </c>
      <c r="M84" s="234">
        <v>0</v>
      </c>
      <c r="N84" s="363">
        <v>0</v>
      </c>
      <c r="O84" s="417">
        <f t="shared" si="23"/>
        <v>0</v>
      </c>
      <c r="P84" s="417">
        <v>0</v>
      </c>
      <c r="Q84" s="196">
        <v>3379579.6700000004</v>
      </c>
      <c r="R84" s="196">
        <f t="shared" si="19"/>
        <v>3379579.6700000004</v>
      </c>
    </row>
    <row r="85" spans="2:18" s="196" customFormat="1" ht="14.5" hidden="1" customHeight="1" outlineLevel="2" x14ac:dyDescent="0.35">
      <c r="B85" s="487"/>
      <c r="C85" s="529"/>
      <c r="D85" s="250" t="s">
        <v>154</v>
      </c>
      <c r="E85" s="234">
        <v>1</v>
      </c>
      <c r="F85" s="234">
        <v>1591512.75</v>
      </c>
      <c r="G85" s="234">
        <v>318302.55</v>
      </c>
      <c r="H85" s="235">
        <v>61831</v>
      </c>
      <c r="I85" s="418">
        <v>256471.55</v>
      </c>
      <c r="J85" s="234">
        <v>0</v>
      </c>
      <c r="K85" s="234">
        <v>0</v>
      </c>
      <c r="L85" s="234">
        <v>0</v>
      </c>
      <c r="M85" s="234">
        <v>0</v>
      </c>
      <c r="N85" s="363">
        <v>0</v>
      </c>
      <c r="O85" s="417">
        <f t="shared" si="23"/>
        <v>256471.55</v>
      </c>
      <c r="P85" s="417">
        <v>256471.55</v>
      </c>
      <c r="Q85" s="196">
        <v>2903307.82</v>
      </c>
      <c r="R85" s="196">
        <f t="shared" si="19"/>
        <v>2646836.27</v>
      </c>
    </row>
    <row r="86" spans="2:18" s="196" customFormat="1" ht="14.5" hidden="1" customHeight="1" outlineLevel="2" x14ac:dyDescent="0.35">
      <c r="B86" s="487"/>
      <c r="C86" s="529"/>
      <c r="D86" s="250" t="s">
        <v>153</v>
      </c>
      <c r="E86" s="234">
        <v>5</v>
      </c>
      <c r="F86" s="234">
        <v>5342366.25</v>
      </c>
      <c r="G86" s="234">
        <v>1068473.25</v>
      </c>
      <c r="H86" s="235">
        <v>548913.44999999995</v>
      </c>
      <c r="I86" s="418">
        <v>0</v>
      </c>
      <c r="J86" s="234">
        <v>0</v>
      </c>
      <c r="K86" s="234">
        <v>0</v>
      </c>
      <c r="L86" s="234">
        <v>0</v>
      </c>
      <c r="M86" s="234">
        <v>0</v>
      </c>
      <c r="N86" s="363">
        <v>519559.80000000005</v>
      </c>
      <c r="O86" s="417">
        <f t="shared" si="23"/>
        <v>519559.80000000005</v>
      </c>
      <c r="P86" s="417">
        <v>2446860.9299999997</v>
      </c>
      <c r="Q86" s="196">
        <v>22730627.799999975</v>
      </c>
      <c r="R86" s="196">
        <f t="shared" si="19"/>
        <v>20283766.869999975</v>
      </c>
    </row>
    <row r="87" spans="2:18" s="196" customFormat="1" ht="14.5" hidden="1" customHeight="1" outlineLevel="2" x14ac:dyDescent="0.35">
      <c r="B87" s="487"/>
      <c r="C87" s="529"/>
      <c r="D87" s="250" t="s">
        <v>152</v>
      </c>
      <c r="E87" s="234">
        <v>0</v>
      </c>
      <c r="F87" s="234">
        <v>0</v>
      </c>
      <c r="G87" s="234">
        <v>0</v>
      </c>
      <c r="H87" s="235">
        <v>0</v>
      </c>
      <c r="I87" s="418">
        <v>0</v>
      </c>
      <c r="J87" s="234">
        <v>0</v>
      </c>
      <c r="K87" s="234">
        <v>0</v>
      </c>
      <c r="L87" s="234">
        <v>0</v>
      </c>
      <c r="M87" s="234">
        <v>0</v>
      </c>
      <c r="N87" s="363">
        <v>0</v>
      </c>
      <c r="O87" s="417">
        <f t="shared" si="23"/>
        <v>0</v>
      </c>
      <c r="P87" s="417">
        <v>0</v>
      </c>
      <c r="Q87" s="196">
        <v>4574820.3800000008</v>
      </c>
      <c r="R87" s="196">
        <f t="shared" si="19"/>
        <v>4574820.3800000008</v>
      </c>
    </row>
    <row r="88" spans="2:18" s="196" customFormat="1" ht="14.5" hidden="1" customHeight="1" outlineLevel="2" x14ac:dyDescent="0.35">
      <c r="B88" s="487"/>
      <c r="C88" s="529"/>
      <c r="D88" s="250" t="s">
        <v>151</v>
      </c>
      <c r="E88" s="234">
        <v>0</v>
      </c>
      <c r="F88" s="234">
        <v>0</v>
      </c>
      <c r="G88" s="234">
        <v>0</v>
      </c>
      <c r="H88" s="235">
        <v>0</v>
      </c>
      <c r="I88" s="418">
        <v>0</v>
      </c>
      <c r="J88" s="234">
        <v>0</v>
      </c>
      <c r="K88" s="234">
        <v>0</v>
      </c>
      <c r="L88" s="234">
        <v>0</v>
      </c>
      <c r="M88" s="234">
        <v>0</v>
      </c>
      <c r="N88" s="363">
        <v>0</v>
      </c>
      <c r="O88" s="417">
        <f t="shared" si="23"/>
        <v>0</v>
      </c>
      <c r="P88" s="417">
        <v>0</v>
      </c>
      <c r="Q88" s="196">
        <v>3270466.4200000004</v>
      </c>
      <c r="R88" s="196">
        <f t="shared" si="19"/>
        <v>3270466.4200000004</v>
      </c>
    </row>
    <row r="89" spans="2:18" s="196" customFormat="1" ht="14.5" hidden="1" customHeight="1" outlineLevel="2" x14ac:dyDescent="0.35">
      <c r="B89" s="487"/>
      <c r="C89" s="529"/>
      <c r="D89" s="250" t="s">
        <v>150</v>
      </c>
      <c r="E89" s="234">
        <v>1</v>
      </c>
      <c r="F89" s="234">
        <v>2224350</v>
      </c>
      <c r="G89" s="234">
        <v>233556.75</v>
      </c>
      <c r="H89" s="235">
        <v>227283</v>
      </c>
      <c r="I89" s="418">
        <v>0</v>
      </c>
      <c r="J89" s="234">
        <v>0</v>
      </c>
      <c r="K89" s="234">
        <v>0</v>
      </c>
      <c r="L89" s="234">
        <v>0</v>
      </c>
      <c r="M89" s="234">
        <v>6273.75</v>
      </c>
      <c r="N89" s="363">
        <v>0</v>
      </c>
      <c r="O89" s="417">
        <f t="shared" si="23"/>
        <v>6273.75</v>
      </c>
      <c r="P89" s="417">
        <v>239830.5</v>
      </c>
      <c r="Q89" s="196">
        <v>290905.09999999998</v>
      </c>
      <c r="R89" s="196">
        <f t="shared" si="19"/>
        <v>51074.599999999977</v>
      </c>
    </row>
    <row r="90" spans="2:18" s="196" customFormat="1" outlineLevel="1" collapsed="1" x14ac:dyDescent="0.35">
      <c r="B90" s="487"/>
      <c r="C90" s="529"/>
      <c r="D90" s="251" t="s">
        <v>149</v>
      </c>
      <c r="E90" s="234">
        <f t="shared" ref="E90:P90" si="24">SUM(E91:E93)</f>
        <v>16</v>
      </c>
      <c r="F90" s="234">
        <f t="shared" si="24"/>
        <v>48785473.450000003</v>
      </c>
      <c r="G90" s="234">
        <f t="shared" si="24"/>
        <v>7521059.3199999994</v>
      </c>
      <c r="H90" s="235">
        <f t="shared" si="24"/>
        <v>3749186.4299999997</v>
      </c>
      <c r="I90" s="418">
        <f t="shared" si="24"/>
        <v>1777412.83</v>
      </c>
      <c r="J90" s="234">
        <f t="shared" si="24"/>
        <v>405647</v>
      </c>
      <c r="K90" s="234">
        <f t="shared" si="24"/>
        <v>0</v>
      </c>
      <c r="L90" s="234">
        <f t="shared" si="24"/>
        <v>3333.64</v>
      </c>
      <c r="M90" s="234">
        <f t="shared" si="24"/>
        <v>0</v>
      </c>
      <c r="N90" s="363">
        <f t="shared" si="24"/>
        <v>1585479.42</v>
      </c>
      <c r="O90" s="417">
        <f t="shared" si="24"/>
        <v>3771872.89</v>
      </c>
      <c r="P90" s="417">
        <f t="shared" si="24"/>
        <v>7209059.4699999997</v>
      </c>
      <c r="Q90" s="196">
        <v>40179190.149999999</v>
      </c>
      <c r="R90" s="196">
        <f t="shared" si="19"/>
        <v>32970130.68</v>
      </c>
    </row>
    <row r="91" spans="2:18" s="196" customFormat="1" ht="14.5" hidden="1" customHeight="1" outlineLevel="2" x14ac:dyDescent="0.35">
      <c r="B91" s="487"/>
      <c r="C91" s="529"/>
      <c r="D91" s="250" t="s">
        <v>148</v>
      </c>
      <c r="E91" s="234">
        <v>6</v>
      </c>
      <c r="F91" s="234">
        <v>16540462</v>
      </c>
      <c r="G91" s="234">
        <v>2690481.48</v>
      </c>
      <c r="H91" s="235">
        <v>1726723.8599999999</v>
      </c>
      <c r="I91" s="418">
        <v>849268.17</v>
      </c>
      <c r="J91" s="234">
        <v>0</v>
      </c>
      <c r="K91" s="234">
        <v>0</v>
      </c>
      <c r="L91" s="234">
        <v>3333.64</v>
      </c>
      <c r="M91" s="234">
        <v>0</v>
      </c>
      <c r="N91" s="363">
        <v>111155.81000000001</v>
      </c>
      <c r="O91" s="417">
        <f t="shared" ref="O91:O96" si="25">SUM(I91:N91)</f>
        <v>963757.62000000011</v>
      </c>
      <c r="P91" s="417">
        <v>1612207.9</v>
      </c>
      <c r="Q91" s="196">
        <v>10945812.010000002</v>
      </c>
      <c r="R91" s="196">
        <f t="shared" si="19"/>
        <v>9333604.1100000013</v>
      </c>
    </row>
    <row r="92" spans="2:18" s="196" customFormat="1" ht="14.5" hidden="1" customHeight="1" outlineLevel="2" x14ac:dyDescent="0.35">
      <c r="B92" s="487"/>
      <c r="C92" s="529"/>
      <c r="D92" s="250" t="s">
        <v>147</v>
      </c>
      <c r="E92" s="234">
        <v>2</v>
      </c>
      <c r="F92" s="234">
        <v>4132831.05</v>
      </c>
      <c r="G92" s="234">
        <v>413283.11</v>
      </c>
      <c r="H92" s="235">
        <v>78950</v>
      </c>
      <c r="I92" s="418">
        <v>334333.11</v>
      </c>
      <c r="J92" s="234">
        <v>0</v>
      </c>
      <c r="K92" s="234">
        <v>0</v>
      </c>
      <c r="L92" s="234">
        <v>0</v>
      </c>
      <c r="M92" s="234">
        <v>0</v>
      </c>
      <c r="N92" s="363">
        <v>0</v>
      </c>
      <c r="O92" s="417">
        <f t="shared" si="25"/>
        <v>334333.11</v>
      </c>
      <c r="P92" s="417">
        <v>334333.11</v>
      </c>
      <c r="Q92" s="196">
        <v>7039407.3900000006</v>
      </c>
      <c r="R92" s="196">
        <f t="shared" si="19"/>
        <v>6705074.2800000003</v>
      </c>
    </row>
    <row r="93" spans="2:18" s="196" customFormat="1" ht="14.5" hidden="1" customHeight="1" outlineLevel="2" x14ac:dyDescent="0.35">
      <c r="B93" s="487"/>
      <c r="C93" s="529"/>
      <c r="D93" s="250" t="s">
        <v>146</v>
      </c>
      <c r="E93" s="234">
        <v>8</v>
      </c>
      <c r="F93" s="234">
        <v>28112180.399999999</v>
      </c>
      <c r="G93" s="234">
        <v>4417294.7299999995</v>
      </c>
      <c r="H93" s="235">
        <v>1943512.57</v>
      </c>
      <c r="I93" s="418">
        <v>593811.55000000005</v>
      </c>
      <c r="J93" s="234">
        <v>405647</v>
      </c>
      <c r="K93" s="234">
        <v>0</v>
      </c>
      <c r="L93" s="234">
        <v>0</v>
      </c>
      <c r="M93" s="234">
        <v>0</v>
      </c>
      <c r="N93" s="363">
        <v>1474323.6099999999</v>
      </c>
      <c r="O93" s="417">
        <f t="shared" si="25"/>
        <v>2473782.16</v>
      </c>
      <c r="P93" s="417">
        <v>5262518.46</v>
      </c>
      <c r="Q93" s="196">
        <v>22193970.749999996</v>
      </c>
      <c r="R93" s="196">
        <f t="shared" si="19"/>
        <v>16931452.289999995</v>
      </c>
    </row>
    <row r="94" spans="2:18" s="196" customFormat="1" ht="14.5" customHeight="1" outlineLevel="1" collapsed="1" x14ac:dyDescent="0.35">
      <c r="B94" s="487"/>
      <c r="C94" s="529"/>
      <c r="D94" s="246" t="s">
        <v>133</v>
      </c>
      <c r="E94" s="234">
        <v>6</v>
      </c>
      <c r="F94" s="234">
        <v>26750037</v>
      </c>
      <c r="G94" s="234">
        <v>4515041.78</v>
      </c>
      <c r="H94" s="235">
        <v>3492342.88</v>
      </c>
      <c r="I94" s="418">
        <v>722563.78</v>
      </c>
      <c r="J94" s="234">
        <v>0</v>
      </c>
      <c r="K94" s="234">
        <v>0</v>
      </c>
      <c r="L94" s="234">
        <v>0</v>
      </c>
      <c r="M94" s="234">
        <v>1798.25</v>
      </c>
      <c r="N94" s="363">
        <v>298336.87</v>
      </c>
      <c r="O94" s="417">
        <f t="shared" si="25"/>
        <v>1022698.9</v>
      </c>
      <c r="P94" s="417">
        <v>2166313.59</v>
      </c>
      <c r="Q94" s="196">
        <v>19145773</v>
      </c>
      <c r="R94" s="196">
        <f t="shared" si="19"/>
        <v>16979459.41</v>
      </c>
    </row>
    <row r="95" spans="2:18" s="196" customFormat="1" outlineLevel="1" x14ac:dyDescent="0.35">
      <c r="B95" s="487"/>
      <c r="C95" s="529"/>
      <c r="D95" s="236" t="s">
        <v>140</v>
      </c>
      <c r="E95" s="234">
        <v>3</v>
      </c>
      <c r="F95" s="234">
        <v>29876294</v>
      </c>
      <c r="G95" s="234">
        <v>8998274</v>
      </c>
      <c r="H95" s="235">
        <v>1939677.6</v>
      </c>
      <c r="I95" s="418">
        <v>6260788.7999999998</v>
      </c>
      <c r="J95" s="234">
        <v>0</v>
      </c>
      <c r="K95" s="234">
        <v>0</v>
      </c>
      <c r="L95" s="234">
        <v>0</v>
      </c>
      <c r="M95" s="234">
        <v>0</v>
      </c>
      <c r="N95" s="363">
        <v>797807.6</v>
      </c>
      <c r="O95" s="417">
        <f t="shared" si="25"/>
        <v>7058596.3999999994</v>
      </c>
      <c r="P95" s="417">
        <v>12891052.399999999</v>
      </c>
      <c r="Q95" s="196">
        <v>66579196.550000019</v>
      </c>
      <c r="R95" s="196">
        <f t="shared" si="19"/>
        <v>53688144.150000021</v>
      </c>
    </row>
    <row r="96" spans="2:18" s="196" customFormat="1" outlineLevel="1" x14ac:dyDescent="0.35">
      <c r="B96" s="487"/>
      <c r="C96" s="529"/>
      <c r="D96" s="236" t="s">
        <v>139</v>
      </c>
      <c r="E96" s="234">
        <v>0</v>
      </c>
      <c r="F96" s="234">
        <v>0</v>
      </c>
      <c r="G96" s="234">
        <v>0</v>
      </c>
      <c r="H96" s="235">
        <v>0</v>
      </c>
      <c r="I96" s="418">
        <v>0</v>
      </c>
      <c r="J96" s="234">
        <v>0</v>
      </c>
      <c r="K96" s="234">
        <v>0</v>
      </c>
      <c r="L96" s="234">
        <v>0</v>
      </c>
      <c r="M96" s="234">
        <v>0</v>
      </c>
      <c r="N96" s="363">
        <v>0</v>
      </c>
      <c r="O96" s="417">
        <f t="shared" si="25"/>
        <v>0</v>
      </c>
      <c r="P96" s="417">
        <v>0</v>
      </c>
      <c r="Q96" s="196">
        <v>7780304</v>
      </c>
      <c r="R96" s="196">
        <f t="shared" si="19"/>
        <v>7780304</v>
      </c>
    </row>
    <row r="97" spans="2:18" s="196" customFormat="1" outlineLevel="1" x14ac:dyDescent="0.35">
      <c r="B97" s="487"/>
      <c r="C97" s="529"/>
      <c r="D97" s="236" t="s">
        <v>138</v>
      </c>
      <c r="E97" s="234">
        <f t="shared" ref="E97:P97" si="26">SUM(E98:E101)</f>
        <v>7</v>
      </c>
      <c r="F97" s="234">
        <f t="shared" si="26"/>
        <v>13623683.199999999</v>
      </c>
      <c r="G97" s="234">
        <f t="shared" si="26"/>
        <v>2112076.04</v>
      </c>
      <c r="H97" s="235">
        <f t="shared" si="26"/>
        <v>1467976.37</v>
      </c>
      <c r="I97" s="418">
        <f t="shared" si="26"/>
        <v>322937.59999999998</v>
      </c>
      <c r="J97" s="234">
        <f t="shared" si="26"/>
        <v>0</v>
      </c>
      <c r="K97" s="234">
        <f t="shared" si="26"/>
        <v>161683</v>
      </c>
      <c r="L97" s="234">
        <f t="shared" si="26"/>
        <v>0</v>
      </c>
      <c r="M97" s="234">
        <f t="shared" si="26"/>
        <v>0</v>
      </c>
      <c r="N97" s="363">
        <f t="shared" si="26"/>
        <v>159479.07</v>
      </c>
      <c r="O97" s="417">
        <f t="shared" si="26"/>
        <v>644099.67000000004</v>
      </c>
      <c r="P97" s="417">
        <f t="shared" si="26"/>
        <v>1218284.8400000001</v>
      </c>
      <c r="Q97" s="196">
        <v>40576528.490000002</v>
      </c>
      <c r="R97" s="196">
        <f t="shared" si="19"/>
        <v>39358243.649999999</v>
      </c>
    </row>
    <row r="98" spans="2:18" s="196" customFormat="1" ht="14.5" hidden="1" customHeight="1" outlineLevel="2" x14ac:dyDescent="0.35">
      <c r="B98" s="487"/>
      <c r="C98" s="529"/>
      <c r="D98" s="242" t="s">
        <v>137</v>
      </c>
      <c r="E98" s="234">
        <v>3</v>
      </c>
      <c r="F98" s="234">
        <v>7698911.0999999996</v>
      </c>
      <c r="G98" s="234">
        <v>1161340.6200000001</v>
      </c>
      <c r="H98" s="235">
        <v>666267</v>
      </c>
      <c r="I98" s="418">
        <v>322937.59999999998</v>
      </c>
      <c r="J98" s="234">
        <v>0</v>
      </c>
      <c r="K98" s="234">
        <v>149356</v>
      </c>
      <c r="L98" s="234">
        <v>0</v>
      </c>
      <c r="M98" s="234">
        <v>0</v>
      </c>
      <c r="N98" s="363">
        <v>22780.02</v>
      </c>
      <c r="O98" s="417">
        <f>SUM(I98:N98)</f>
        <v>495073.62</v>
      </c>
      <c r="P98" s="417">
        <v>608927.13</v>
      </c>
      <c r="Q98" s="196">
        <v>14689383.100000003</v>
      </c>
      <c r="R98" s="196">
        <f t="shared" si="19"/>
        <v>14080455.970000003</v>
      </c>
    </row>
    <row r="99" spans="2:18" s="196" customFormat="1" ht="14.5" hidden="1" customHeight="1" outlineLevel="2" x14ac:dyDescent="0.35">
      <c r="B99" s="487"/>
      <c r="C99" s="529"/>
      <c r="D99" s="242" t="s">
        <v>136</v>
      </c>
      <c r="E99" s="234">
        <v>1</v>
      </c>
      <c r="F99" s="234">
        <v>2465460</v>
      </c>
      <c r="G99" s="234">
        <v>258873</v>
      </c>
      <c r="H99" s="235">
        <v>246546</v>
      </c>
      <c r="I99" s="418">
        <v>0</v>
      </c>
      <c r="J99" s="234">
        <v>0</v>
      </c>
      <c r="K99" s="234">
        <v>12327</v>
      </c>
      <c r="L99" s="234">
        <v>0</v>
      </c>
      <c r="M99" s="234">
        <v>0</v>
      </c>
      <c r="N99" s="363">
        <v>0</v>
      </c>
      <c r="O99" s="417">
        <f>SUM(I99:N99)</f>
        <v>12327</v>
      </c>
      <c r="P99" s="417">
        <v>12327</v>
      </c>
      <c r="Q99" s="196">
        <v>9486622.0499999989</v>
      </c>
      <c r="R99" s="196">
        <f t="shared" si="19"/>
        <v>9474295.0499999989</v>
      </c>
    </row>
    <row r="100" spans="2:18" s="196" customFormat="1" ht="14.5" hidden="1" customHeight="1" outlineLevel="2" x14ac:dyDescent="0.35">
      <c r="B100" s="487"/>
      <c r="C100" s="529"/>
      <c r="D100" s="242" t="s">
        <v>135</v>
      </c>
      <c r="E100" s="234">
        <v>1</v>
      </c>
      <c r="F100" s="234">
        <v>1096824.95</v>
      </c>
      <c r="G100" s="234">
        <v>219364.99</v>
      </c>
      <c r="H100" s="235">
        <v>204848.85</v>
      </c>
      <c r="I100" s="418">
        <v>0</v>
      </c>
      <c r="J100" s="234">
        <v>0</v>
      </c>
      <c r="K100" s="234">
        <v>0</v>
      </c>
      <c r="L100" s="234">
        <v>0</v>
      </c>
      <c r="M100" s="234">
        <v>0</v>
      </c>
      <c r="N100" s="363">
        <v>14516.14</v>
      </c>
      <c r="O100" s="417">
        <f>SUM(I100:N100)</f>
        <v>14516.14</v>
      </c>
      <c r="P100" s="417">
        <v>124198.64</v>
      </c>
      <c r="Q100" s="196">
        <v>6892826.910000002</v>
      </c>
      <c r="R100" s="196">
        <f t="shared" si="19"/>
        <v>6768628.2700000023</v>
      </c>
    </row>
    <row r="101" spans="2:18" s="196" customFormat="1" ht="14.5" hidden="1" customHeight="1" outlineLevel="2" x14ac:dyDescent="0.35">
      <c r="B101" s="487"/>
      <c r="C101" s="529"/>
      <c r="D101" s="242" t="s">
        <v>134</v>
      </c>
      <c r="E101" s="234">
        <v>2</v>
      </c>
      <c r="F101" s="234">
        <v>2362487.1500000004</v>
      </c>
      <c r="G101" s="234">
        <v>472497.43</v>
      </c>
      <c r="H101" s="235">
        <v>350314.52</v>
      </c>
      <c r="I101" s="418">
        <v>0</v>
      </c>
      <c r="J101" s="234">
        <v>0</v>
      </c>
      <c r="K101" s="234">
        <v>0</v>
      </c>
      <c r="L101" s="234">
        <v>0</v>
      </c>
      <c r="M101" s="234">
        <v>0</v>
      </c>
      <c r="N101" s="363">
        <v>122182.90999999999</v>
      </c>
      <c r="O101" s="417">
        <f>SUM(I101:N101)</f>
        <v>122182.90999999999</v>
      </c>
      <c r="P101" s="417">
        <v>472832.07</v>
      </c>
      <c r="Q101" s="196">
        <v>9507696.4299999978</v>
      </c>
      <c r="R101" s="196">
        <f t="shared" si="19"/>
        <v>9034864.3599999975</v>
      </c>
    </row>
    <row r="102" spans="2:18" s="196" customFormat="1" outlineLevel="1" collapsed="1" x14ac:dyDescent="0.35">
      <c r="B102" s="487"/>
      <c r="C102" s="529"/>
      <c r="D102" s="236" t="s">
        <v>132</v>
      </c>
      <c r="E102" s="234">
        <f t="shared" ref="E102:P102" si="27">SUM(E103:E106)</f>
        <v>51</v>
      </c>
      <c r="F102" s="234">
        <f t="shared" si="27"/>
        <v>132317093.30000001</v>
      </c>
      <c r="G102" s="234">
        <f t="shared" si="27"/>
        <v>21289915.579999998</v>
      </c>
      <c r="H102" s="235">
        <f t="shared" si="27"/>
        <v>15083179.26</v>
      </c>
      <c r="I102" s="418">
        <f t="shared" si="27"/>
        <v>3537027.0199999996</v>
      </c>
      <c r="J102" s="234">
        <f t="shared" si="27"/>
        <v>707333.75</v>
      </c>
      <c r="K102" s="234">
        <f t="shared" si="27"/>
        <v>273155.28999999998</v>
      </c>
      <c r="L102" s="234">
        <f t="shared" si="27"/>
        <v>433183.72</v>
      </c>
      <c r="M102" s="234">
        <f t="shared" si="27"/>
        <v>541035.85</v>
      </c>
      <c r="N102" s="363">
        <f t="shared" si="27"/>
        <v>715000.69000000018</v>
      </c>
      <c r="O102" s="417">
        <f t="shared" si="27"/>
        <v>6206736.3199999994</v>
      </c>
      <c r="P102" s="417">
        <f t="shared" si="27"/>
        <v>9179965.1000000015</v>
      </c>
      <c r="Q102" s="196">
        <v>91113169.230000049</v>
      </c>
      <c r="R102" s="196">
        <f t="shared" si="19"/>
        <v>81933204.130000055</v>
      </c>
    </row>
    <row r="103" spans="2:18" s="196" customFormat="1" ht="14.5" hidden="1" customHeight="1" outlineLevel="2" x14ac:dyDescent="0.35">
      <c r="B103" s="487"/>
      <c r="C103" s="529"/>
      <c r="D103" s="242" t="s">
        <v>131</v>
      </c>
      <c r="E103" s="234">
        <v>2</v>
      </c>
      <c r="F103" s="234">
        <v>3493881.6</v>
      </c>
      <c r="G103" s="234">
        <v>698776.32000000007</v>
      </c>
      <c r="H103" s="235">
        <v>688550.15999999992</v>
      </c>
      <c r="I103" s="418">
        <v>0</v>
      </c>
      <c r="J103" s="234">
        <v>0</v>
      </c>
      <c r="K103" s="234">
        <v>0</v>
      </c>
      <c r="L103" s="234">
        <v>0</v>
      </c>
      <c r="M103" s="234">
        <v>0</v>
      </c>
      <c r="N103" s="363">
        <v>10226.16</v>
      </c>
      <c r="O103" s="417">
        <f>SUM(I103:N103)</f>
        <v>10226.16</v>
      </c>
      <c r="P103" s="417">
        <v>359614.32</v>
      </c>
      <c r="Q103" s="196">
        <v>17349754.600000005</v>
      </c>
      <c r="R103" s="196">
        <f t="shared" si="19"/>
        <v>16990140.280000005</v>
      </c>
    </row>
    <row r="104" spans="2:18" s="196" customFormat="1" ht="14.5" hidden="1" customHeight="1" outlineLevel="2" x14ac:dyDescent="0.35">
      <c r="B104" s="487"/>
      <c r="C104" s="529"/>
      <c r="D104" s="242" t="s">
        <v>130</v>
      </c>
      <c r="E104" s="234">
        <v>2</v>
      </c>
      <c r="F104" s="234">
        <v>6989416.7999999998</v>
      </c>
      <c r="G104" s="234">
        <v>1397883.3599999999</v>
      </c>
      <c r="H104" s="235">
        <v>1372262.73</v>
      </c>
      <c r="I104" s="418">
        <v>0</v>
      </c>
      <c r="J104" s="234">
        <v>0</v>
      </c>
      <c r="K104" s="234">
        <v>0</v>
      </c>
      <c r="L104" s="234">
        <v>0</v>
      </c>
      <c r="M104" s="234">
        <v>0</v>
      </c>
      <c r="N104" s="363">
        <v>25620.63</v>
      </c>
      <c r="O104" s="417">
        <f>SUM(I104:N104)</f>
        <v>25620.63</v>
      </c>
      <c r="P104" s="417">
        <v>25620.63</v>
      </c>
      <c r="Q104" s="196">
        <v>20167748.99000001</v>
      </c>
      <c r="R104" s="196">
        <f t="shared" ref="R104:R135" si="28">Q104-P104</f>
        <v>20142128.360000011</v>
      </c>
    </row>
    <row r="105" spans="2:18" s="196" customFormat="1" ht="14.5" hidden="1" customHeight="1" outlineLevel="2" x14ac:dyDescent="0.35">
      <c r="B105" s="487"/>
      <c r="C105" s="529"/>
      <c r="D105" s="242" t="s">
        <v>129</v>
      </c>
      <c r="E105" s="234">
        <v>16</v>
      </c>
      <c r="F105" s="234">
        <v>44946473.099999994</v>
      </c>
      <c r="G105" s="234">
        <v>7851952.1599999992</v>
      </c>
      <c r="H105" s="235">
        <v>6246827.8300000001</v>
      </c>
      <c r="I105" s="418">
        <v>880538.97</v>
      </c>
      <c r="J105" s="234">
        <v>0</v>
      </c>
      <c r="K105" s="234">
        <v>0</v>
      </c>
      <c r="L105" s="234">
        <v>0</v>
      </c>
      <c r="M105" s="234">
        <v>45431.46</v>
      </c>
      <c r="N105" s="363">
        <v>679153.90000000014</v>
      </c>
      <c r="O105" s="417">
        <f>SUM(I105:N105)</f>
        <v>1605124.33</v>
      </c>
      <c r="P105" s="417">
        <v>4010957.45</v>
      </c>
      <c r="Q105" s="196">
        <v>41586452.110000022</v>
      </c>
      <c r="R105" s="196">
        <f t="shared" si="28"/>
        <v>37575494.660000019</v>
      </c>
    </row>
    <row r="106" spans="2:18" s="196" customFormat="1" ht="14.5" hidden="1" customHeight="1" outlineLevel="2" x14ac:dyDescent="0.35">
      <c r="B106" s="487"/>
      <c r="C106" s="529"/>
      <c r="D106" s="242" t="s">
        <v>128</v>
      </c>
      <c r="E106" s="234">
        <v>31</v>
      </c>
      <c r="F106" s="234">
        <v>76887321.800000012</v>
      </c>
      <c r="G106" s="234">
        <v>11341303.74</v>
      </c>
      <c r="H106" s="235">
        <v>6775538.54</v>
      </c>
      <c r="I106" s="418">
        <v>2656488.0499999998</v>
      </c>
      <c r="J106" s="234">
        <v>707333.75</v>
      </c>
      <c r="K106" s="234">
        <v>273155.28999999998</v>
      </c>
      <c r="L106" s="234">
        <v>433183.72</v>
      </c>
      <c r="M106" s="234">
        <v>495604.39</v>
      </c>
      <c r="N106" s="363">
        <v>0</v>
      </c>
      <c r="O106" s="417">
        <f>SUM(I106:N106)</f>
        <v>4565765.1999999993</v>
      </c>
      <c r="P106" s="417">
        <v>4783772.7</v>
      </c>
      <c r="Q106" s="196">
        <v>12009213.530000001</v>
      </c>
      <c r="R106" s="196">
        <f t="shared" si="28"/>
        <v>7225440.830000001</v>
      </c>
    </row>
    <row r="107" spans="2:18" s="196" customFormat="1" outlineLevel="1" collapsed="1" x14ac:dyDescent="0.35">
      <c r="B107" s="487"/>
      <c r="C107" s="529"/>
      <c r="D107" s="236" t="s">
        <v>41</v>
      </c>
      <c r="E107" s="234">
        <v>2</v>
      </c>
      <c r="F107" s="234">
        <v>5966329.75</v>
      </c>
      <c r="G107" s="234">
        <v>1193265.95</v>
      </c>
      <c r="H107" s="235">
        <v>842700.35</v>
      </c>
      <c r="I107" s="418">
        <v>0</v>
      </c>
      <c r="J107" s="234">
        <v>0</v>
      </c>
      <c r="K107" s="234">
        <v>0</v>
      </c>
      <c r="L107" s="234">
        <v>0</v>
      </c>
      <c r="M107" s="234">
        <v>0</v>
      </c>
      <c r="N107" s="363">
        <v>350565.6</v>
      </c>
      <c r="O107" s="417">
        <f>SUM(I107:N107)</f>
        <v>350565.6</v>
      </c>
      <c r="P107" s="417">
        <v>350565.6</v>
      </c>
      <c r="Q107" s="196">
        <v>5145981.82</v>
      </c>
      <c r="R107" s="196">
        <f t="shared" si="28"/>
        <v>4795416.2200000007</v>
      </c>
    </row>
    <row r="108" spans="2:18" s="196" customFormat="1" x14ac:dyDescent="0.35">
      <c r="B108" s="488"/>
      <c r="C108" s="530"/>
      <c r="D108" s="416" t="s">
        <v>251</v>
      </c>
      <c r="E108" s="416">
        <f t="shared" ref="E108:P108" si="29">SUM(E102,E107,E97,E96,E94,E90,E81,E77,E95)</f>
        <v>104</v>
      </c>
      <c r="F108" s="416">
        <f t="shared" si="29"/>
        <v>368672344.36000001</v>
      </c>
      <c r="G108" s="416">
        <f t="shared" si="29"/>
        <v>81496282.920000002</v>
      </c>
      <c r="H108" s="415">
        <f t="shared" si="29"/>
        <v>58836281.860000007</v>
      </c>
      <c r="I108" s="414">
        <f t="shared" si="29"/>
        <v>14836016.18</v>
      </c>
      <c r="J108" s="413">
        <f t="shared" si="29"/>
        <v>1112980.75</v>
      </c>
      <c r="K108" s="413">
        <f t="shared" si="29"/>
        <v>439169.88</v>
      </c>
      <c r="L108" s="413">
        <f t="shared" si="29"/>
        <v>436517.36</v>
      </c>
      <c r="M108" s="413">
        <f t="shared" si="29"/>
        <v>549107.85</v>
      </c>
      <c r="N108" s="412">
        <f t="shared" si="29"/>
        <v>5286209.0399999991</v>
      </c>
      <c r="O108" s="411">
        <f t="shared" si="29"/>
        <v>22660001.059999999</v>
      </c>
      <c r="P108" s="411">
        <f t="shared" si="29"/>
        <v>58538023.990000002</v>
      </c>
      <c r="Q108" s="196">
        <v>545722071.11000013</v>
      </c>
      <c r="R108" s="196">
        <f t="shared" si="28"/>
        <v>487184047.12000012</v>
      </c>
    </row>
    <row r="109" spans="2:18" s="196" customFormat="1" ht="14.5" customHeight="1" outlineLevel="1" x14ac:dyDescent="0.35">
      <c r="B109" s="487" t="s">
        <v>250</v>
      </c>
      <c r="C109" s="529" t="s">
        <v>249</v>
      </c>
      <c r="D109" s="236" t="s">
        <v>123</v>
      </c>
      <c r="E109" s="234">
        <v>9</v>
      </c>
      <c r="F109" s="234">
        <v>24413281.800000001</v>
      </c>
      <c r="G109" s="234">
        <v>4084930.5199999996</v>
      </c>
      <c r="H109" s="235">
        <v>2215852.2800000003</v>
      </c>
      <c r="I109" s="418">
        <v>1853290.7100000002</v>
      </c>
      <c r="J109" s="234">
        <v>0</v>
      </c>
      <c r="K109" s="234">
        <v>0</v>
      </c>
      <c r="L109" s="234">
        <v>1723.55</v>
      </c>
      <c r="M109" s="234">
        <v>0</v>
      </c>
      <c r="N109" s="363">
        <v>14063.98</v>
      </c>
      <c r="O109" s="417">
        <f t="shared" ref="O109:O115" si="30">SUM(I109:N109)</f>
        <v>1869078.2400000002</v>
      </c>
      <c r="P109" s="417">
        <v>2071271.6800000004</v>
      </c>
      <c r="Q109" s="196">
        <v>5822662.3200000003</v>
      </c>
      <c r="R109" s="196">
        <f t="shared" si="28"/>
        <v>3751390.6399999997</v>
      </c>
    </row>
    <row r="110" spans="2:18" s="196" customFormat="1" ht="14.5" customHeight="1" outlineLevel="1" x14ac:dyDescent="0.35">
      <c r="B110" s="487"/>
      <c r="C110" s="529"/>
      <c r="D110" s="236" t="s">
        <v>122</v>
      </c>
      <c r="E110" s="234">
        <v>3</v>
      </c>
      <c r="F110" s="234">
        <v>6039003.25</v>
      </c>
      <c r="G110" s="234">
        <v>987905.1</v>
      </c>
      <c r="H110" s="235">
        <v>729226.31</v>
      </c>
      <c r="I110" s="418">
        <v>0</v>
      </c>
      <c r="J110" s="234">
        <v>0</v>
      </c>
      <c r="K110" s="234">
        <v>0</v>
      </c>
      <c r="L110" s="234">
        <v>0</v>
      </c>
      <c r="M110" s="234">
        <v>0</v>
      </c>
      <c r="N110" s="363">
        <v>258678.79</v>
      </c>
      <c r="O110" s="417">
        <f t="shared" si="30"/>
        <v>258678.79</v>
      </c>
      <c r="P110" s="417">
        <v>478574.33999999997</v>
      </c>
      <c r="Q110" s="196">
        <v>2585292.5100000002</v>
      </c>
      <c r="R110" s="196">
        <f t="shared" si="28"/>
        <v>2106718.1700000004</v>
      </c>
    </row>
    <row r="111" spans="2:18" s="196" customFormat="1" ht="14.5" customHeight="1" outlineLevel="1" x14ac:dyDescent="0.35">
      <c r="B111" s="487"/>
      <c r="C111" s="529"/>
      <c r="D111" s="236" t="s">
        <v>48</v>
      </c>
      <c r="E111" s="234">
        <v>10</v>
      </c>
      <c r="F111" s="234">
        <v>21479312.740000002</v>
      </c>
      <c r="G111" s="234">
        <v>3578641.9600000004</v>
      </c>
      <c r="H111" s="235">
        <v>2129728.42</v>
      </c>
      <c r="I111" s="418">
        <v>209000.65</v>
      </c>
      <c r="J111" s="234">
        <v>180210.92</v>
      </c>
      <c r="K111" s="234">
        <v>203976.85</v>
      </c>
      <c r="L111" s="234">
        <v>0</v>
      </c>
      <c r="M111" s="234">
        <v>391346.54000000004</v>
      </c>
      <c r="N111" s="363">
        <v>464378.57999999996</v>
      </c>
      <c r="O111" s="417">
        <f t="shared" si="30"/>
        <v>1448913.54</v>
      </c>
      <c r="P111" s="417">
        <v>1448913.5399999998</v>
      </c>
      <c r="Q111" s="196">
        <v>1943469.51</v>
      </c>
      <c r="R111" s="196">
        <f t="shared" si="28"/>
        <v>494555.9700000002</v>
      </c>
    </row>
    <row r="112" spans="2:18" s="196" customFormat="1" ht="14.5" customHeight="1" outlineLevel="1" x14ac:dyDescent="0.35">
      <c r="B112" s="487"/>
      <c r="C112" s="529"/>
      <c r="D112" s="236" t="s">
        <v>47</v>
      </c>
      <c r="E112" s="234">
        <v>5</v>
      </c>
      <c r="F112" s="234">
        <v>11998164.700000001</v>
      </c>
      <c r="G112" s="234">
        <v>2145220.94</v>
      </c>
      <c r="H112" s="235">
        <v>1606737.5</v>
      </c>
      <c r="I112" s="418">
        <v>203411</v>
      </c>
      <c r="J112" s="234">
        <v>0</v>
      </c>
      <c r="K112" s="234">
        <v>0</v>
      </c>
      <c r="L112" s="234">
        <v>0</v>
      </c>
      <c r="M112" s="234">
        <v>335072.44</v>
      </c>
      <c r="N112" s="363">
        <v>0</v>
      </c>
      <c r="O112" s="417">
        <f t="shared" si="30"/>
        <v>538483.43999999994</v>
      </c>
      <c r="P112" s="417">
        <v>538483.43999999994</v>
      </c>
      <c r="Q112" s="196">
        <v>4436214.78</v>
      </c>
      <c r="R112" s="196">
        <f t="shared" si="28"/>
        <v>3897731.3400000003</v>
      </c>
    </row>
    <row r="113" spans="2:18" s="196" customFormat="1" ht="14.5" customHeight="1" outlineLevel="1" x14ac:dyDescent="0.35">
      <c r="B113" s="487"/>
      <c r="C113" s="529"/>
      <c r="D113" s="236" t="s">
        <v>40</v>
      </c>
      <c r="E113" s="234">
        <v>29</v>
      </c>
      <c r="F113" s="234">
        <v>70112455.590000004</v>
      </c>
      <c r="G113" s="234">
        <v>11987880.639999999</v>
      </c>
      <c r="H113" s="235">
        <v>9665032.370000001</v>
      </c>
      <c r="I113" s="418">
        <v>1646702.7200000002</v>
      </c>
      <c r="J113" s="234">
        <v>361099.1</v>
      </c>
      <c r="K113" s="234">
        <v>262566</v>
      </c>
      <c r="L113" s="234">
        <v>2508.0500000000002</v>
      </c>
      <c r="M113" s="234">
        <v>49972.4</v>
      </c>
      <c r="N113" s="363">
        <v>0</v>
      </c>
      <c r="O113" s="417">
        <f t="shared" si="30"/>
        <v>2322848.27</v>
      </c>
      <c r="P113" s="417">
        <v>2322848.2700000005</v>
      </c>
      <c r="Q113" s="196">
        <v>7611405.870000001</v>
      </c>
      <c r="R113" s="196">
        <f t="shared" si="28"/>
        <v>5288557.6000000006</v>
      </c>
    </row>
    <row r="114" spans="2:18" s="196" customFormat="1" ht="14.5" customHeight="1" outlineLevel="1" x14ac:dyDescent="0.35">
      <c r="B114" s="487"/>
      <c r="C114" s="529"/>
      <c r="D114" s="236" t="s">
        <v>39</v>
      </c>
      <c r="E114" s="234">
        <v>54</v>
      </c>
      <c r="F114" s="234">
        <v>131434417.09</v>
      </c>
      <c r="G114" s="234">
        <v>19546441.930000011</v>
      </c>
      <c r="H114" s="235">
        <v>13964694.560000002</v>
      </c>
      <c r="I114" s="418">
        <v>3715385.2700000005</v>
      </c>
      <c r="J114" s="234">
        <v>1064743.33</v>
      </c>
      <c r="K114" s="234">
        <v>429797.2</v>
      </c>
      <c r="L114" s="234">
        <v>173653.50000000003</v>
      </c>
      <c r="M114" s="234">
        <v>198168.07</v>
      </c>
      <c r="N114" s="363">
        <v>0</v>
      </c>
      <c r="O114" s="417">
        <f t="shared" si="30"/>
        <v>5581747.370000001</v>
      </c>
      <c r="P114" s="417">
        <v>6220054.0300000012</v>
      </c>
      <c r="Q114" s="196">
        <v>14833919.010000002</v>
      </c>
      <c r="R114" s="196">
        <f t="shared" si="28"/>
        <v>8613864.9800000004</v>
      </c>
    </row>
    <row r="115" spans="2:18" s="196" customFormat="1" ht="14.5" customHeight="1" outlineLevel="1" x14ac:dyDescent="0.35">
      <c r="B115" s="487"/>
      <c r="C115" s="529"/>
      <c r="D115" s="236" t="s">
        <v>38</v>
      </c>
      <c r="E115" s="234">
        <v>15</v>
      </c>
      <c r="F115" s="234">
        <v>127067445</v>
      </c>
      <c r="G115" s="234">
        <v>19566106.549999997</v>
      </c>
      <c r="H115" s="235">
        <v>16108741.859999999</v>
      </c>
      <c r="I115" s="418">
        <v>2544159.2000000002</v>
      </c>
      <c r="J115" s="234">
        <v>0</v>
      </c>
      <c r="K115" s="234">
        <v>16587.05</v>
      </c>
      <c r="L115" s="234">
        <v>697481.84000000008</v>
      </c>
      <c r="M115" s="234">
        <v>199136.6</v>
      </c>
      <c r="N115" s="363">
        <v>0</v>
      </c>
      <c r="O115" s="417">
        <f t="shared" si="30"/>
        <v>3457364.69</v>
      </c>
      <c r="P115" s="417">
        <v>4774947.74</v>
      </c>
      <c r="Q115" s="196">
        <v>6719846.9500000002</v>
      </c>
      <c r="R115" s="196">
        <f t="shared" si="28"/>
        <v>1944899.21</v>
      </c>
    </row>
    <row r="116" spans="2:18" s="196" customFormat="1" x14ac:dyDescent="0.35">
      <c r="B116" s="488"/>
      <c r="C116" s="530"/>
      <c r="D116" s="416" t="s">
        <v>248</v>
      </c>
      <c r="E116" s="416">
        <f t="shared" ref="E116:P116" si="31">SUM(E109:E115)</f>
        <v>125</v>
      </c>
      <c r="F116" s="416">
        <f t="shared" si="31"/>
        <v>392544080.17000002</v>
      </c>
      <c r="G116" s="416">
        <f t="shared" si="31"/>
        <v>61897127.640000001</v>
      </c>
      <c r="H116" s="415">
        <f t="shared" si="31"/>
        <v>46420013.300000004</v>
      </c>
      <c r="I116" s="414">
        <f t="shared" si="31"/>
        <v>10171949.550000001</v>
      </c>
      <c r="J116" s="413">
        <f t="shared" si="31"/>
        <v>1606053.35</v>
      </c>
      <c r="K116" s="413">
        <f t="shared" si="31"/>
        <v>912927.10000000009</v>
      </c>
      <c r="L116" s="413">
        <f t="shared" si="31"/>
        <v>875366.94000000018</v>
      </c>
      <c r="M116" s="413">
        <f t="shared" si="31"/>
        <v>1173696.05</v>
      </c>
      <c r="N116" s="412">
        <f t="shared" si="31"/>
        <v>737121.35</v>
      </c>
      <c r="O116" s="411">
        <f t="shared" si="31"/>
        <v>15477114.340000002</v>
      </c>
      <c r="P116" s="411">
        <f t="shared" si="31"/>
        <v>17855093.039999999</v>
      </c>
      <c r="Q116" s="196">
        <v>43952810.950000003</v>
      </c>
      <c r="R116" s="196">
        <f t="shared" si="28"/>
        <v>26097717.910000004</v>
      </c>
    </row>
    <row r="117" spans="2:18" s="196" customFormat="1" ht="14.5" customHeight="1" outlineLevel="1" x14ac:dyDescent="0.35">
      <c r="B117" s="487" t="s">
        <v>247</v>
      </c>
      <c r="C117" s="529" t="s">
        <v>246</v>
      </c>
      <c r="D117" s="236" t="s">
        <v>36</v>
      </c>
      <c r="E117" s="234">
        <v>14</v>
      </c>
      <c r="F117" s="234">
        <v>68133855.590000004</v>
      </c>
      <c r="G117" s="234">
        <v>9175093.75</v>
      </c>
      <c r="H117" s="235">
        <v>2465114.7999999998</v>
      </c>
      <c r="I117" s="418">
        <v>4462993.37</v>
      </c>
      <c r="J117" s="234">
        <v>324538.3</v>
      </c>
      <c r="K117" s="234">
        <v>556996.6</v>
      </c>
      <c r="L117" s="234">
        <v>1365450.68</v>
      </c>
      <c r="M117" s="234">
        <v>0</v>
      </c>
      <c r="N117" s="363">
        <v>0</v>
      </c>
      <c r="O117" s="417">
        <f>SUM(I117:N117)</f>
        <v>6709978.9499999993</v>
      </c>
      <c r="P117" s="417">
        <v>6709978.9499999993</v>
      </c>
      <c r="Q117" s="196">
        <v>19878672.65000001</v>
      </c>
      <c r="R117" s="196">
        <f t="shared" si="28"/>
        <v>13168693.70000001</v>
      </c>
    </row>
    <row r="118" spans="2:18" s="196" customFormat="1" ht="14.5" customHeight="1" outlineLevel="1" x14ac:dyDescent="0.35">
      <c r="B118" s="487"/>
      <c r="C118" s="529"/>
      <c r="D118" s="236" t="s">
        <v>35</v>
      </c>
      <c r="E118" s="234">
        <v>15</v>
      </c>
      <c r="F118" s="234">
        <v>88983517</v>
      </c>
      <c r="G118" s="234">
        <v>10838367.210000001</v>
      </c>
      <c r="H118" s="235">
        <v>5339725.9399999995</v>
      </c>
      <c r="I118" s="418">
        <v>3109434.3</v>
      </c>
      <c r="J118" s="234">
        <v>668457.4</v>
      </c>
      <c r="K118" s="234">
        <v>834686.30999999994</v>
      </c>
      <c r="L118" s="234">
        <v>886063.26</v>
      </c>
      <c r="M118" s="234">
        <v>0</v>
      </c>
      <c r="N118" s="363">
        <v>0</v>
      </c>
      <c r="O118" s="417">
        <f>SUM(I118:N118)</f>
        <v>5498641.2699999996</v>
      </c>
      <c r="P118" s="417">
        <v>6081782.0699999994</v>
      </c>
      <c r="Q118" s="196">
        <v>15395476.810000008</v>
      </c>
      <c r="R118" s="196">
        <f t="shared" si="28"/>
        <v>9313694.7400000095</v>
      </c>
    </row>
    <row r="119" spans="2:18" s="196" customFormat="1" ht="14.5" customHeight="1" outlineLevel="1" x14ac:dyDescent="0.35">
      <c r="B119" s="487"/>
      <c r="C119" s="529"/>
      <c r="D119" s="236" t="s">
        <v>34</v>
      </c>
      <c r="E119" s="234">
        <v>2</v>
      </c>
      <c r="F119" s="234">
        <v>22300278</v>
      </c>
      <c r="G119" s="234">
        <v>2230027.7999999998</v>
      </c>
      <c r="H119" s="235">
        <v>634958</v>
      </c>
      <c r="I119" s="418">
        <v>1595069.7999999998</v>
      </c>
      <c r="J119" s="234">
        <v>0</v>
      </c>
      <c r="K119" s="234">
        <v>0</v>
      </c>
      <c r="L119" s="234">
        <v>0</v>
      </c>
      <c r="M119" s="234">
        <v>0</v>
      </c>
      <c r="N119" s="363">
        <v>0</v>
      </c>
      <c r="O119" s="417">
        <f>SUM(I119:N119)</f>
        <v>1595069.7999999998</v>
      </c>
      <c r="P119" s="417">
        <v>1595069.7999999998</v>
      </c>
      <c r="Q119" s="196">
        <v>3690508.7800000003</v>
      </c>
      <c r="R119" s="196">
        <f t="shared" si="28"/>
        <v>2095438.9800000004</v>
      </c>
    </row>
    <row r="120" spans="2:18" s="196" customFormat="1" ht="14.5" customHeight="1" outlineLevel="1" x14ac:dyDescent="0.35">
      <c r="B120" s="487"/>
      <c r="C120" s="529"/>
      <c r="D120" s="236" t="s">
        <v>33</v>
      </c>
      <c r="E120" s="234">
        <v>24</v>
      </c>
      <c r="F120" s="234">
        <v>105797144</v>
      </c>
      <c r="G120" s="234">
        <v>11162855.200000003</v>
      </c>
      <c r="H120" s="235">
        <v>2079286.67</v>
      </c>
      <c r="I120" s="418">
        <v>7285052.5299999993</v>
      </c>
      <c r="J120" s="234">
        <v>1798516.0000000002</v>
      </c>
      <c r="K120" s="234">
        <v>0</v>
      </c>
      <c r="L120" s="234">
        <v>0</v>
      </c>
      <c r="M120" s="234">
        <v>0</v>
      </c>
      <c r="N120" s="363">
        <v>0</v>
      </c>
      <c r="O120" s="417">
        <f>SUM(I120:N120)</f>
        <v>9083568.5299999993</v>
      </c>
      <c r="P120" s="417">
        <v>9489306.8300000019</v>
      </c>
      <c r="Q120" s="196">
        <v>11451027.140000002</v>
      </c>
      <c r="R120" s="196">
        <f t="shared" si="28"/>
        <v>1961720.3100000005</v>
      </c>
    </row>
    <row r="121" spans="2:18" s="196" customFormat="1" x14ac:dyDescent="0.35">
      <c r="B121" s="488"/>
      <c r="C121" s="530"/>
      <c r="D121" s="416" t="s">
        <v>245</v>
      </c>
      <c r="E121" s="416">
        <f t="shared" ref="E121:P121" si="32">SUM(E117:E120)</f>
        <v>55</v>
      </c>
      <c r="F121" s="416">
        <f t="shared" si="32"/>
        <v>285214794.59000003</v>
      </c>
      <c r="G121" s="416">
        <f t="shared" si="32"/>
        <v>33406343.960000005</v>
      </c>
      <c r="H121" s="415">
        <f t="shared" si="32"/>
        <v>10519085.409999998</v>
      </c>
      <c r="I121" s="414">
        <f t="shared" si="32"/>
        <v>16452549.999999998</v>
      </c>
      <c r="J121" s="413">
        <f t="shared" si="32"/>
        <v>2791511.7</v>
      </c>
      <c r="K121" s="413">
        <f t="shared" si="32"/>
        <v>1391682.91</v>
      </c>
      <c r="L121" s="413">
        <f t="shared" si="32"/>
        <v>2251513.94</v>
      </c>
      <c r="M121" s="413">
        <f t="shared" si="32"/>
        <v>0</v>
      </c>
      <c r="N121" s="412">
        <f t="shared" si="32"/>
        <v>0</v>
      </c>
      <c r="O121" s="411">
        <f t="shared" si="32"/>
        <v>22887258.549999997</v>
      </c>
      <c r="P121" s="411">
        <f t="shared" si="32"/>
        <v>23876137.650000002</v>
      </c>
      <c r="Q121" s="196">
        <v>50415685.380000018</v>
      </c>
      <c r="R121" s="196">
        <f t="shared" si="28"/>
        <v>26539547.730000015</v>
      </c>
    </row>
    <row r="122" spans="2:18" s="196" customFormat="1" outlineLevel="1" x14ac:dyDescent="0.35">
      <c r="B122" s="497" t="s">
        <v>144</v>
      </c>
      <c r="C122" s="484" t="s">
        <v>244</v>
      </c>
      <c r="D122" s="231"/>
      <c r="E122" s="354"/>
      <c r="F122" s="354"/>
      <c r="G122" s="354"/>
      <c r="H122" s="421"/>
      <c r="I122" s="420"/>
      <c r="J122" s="354"/>
      <c r="K122" s="354"/>
      <c r="L122" s="354"/>
      <c r="M122" s="354"/>
      <c r="N122" s="353"/>
      <c r="O122" s="419"/>
      <c r="P122" s="419"/>
      <c r="Q122" s="196">
        <v>0</v>
      </c>
      <c r="R122" s="196">
        <f t="shared" si="28"/>
        <v>0</v>
      </c>
    </row>
    <row r="123" spans="2:18" s="196" customFormat="1" outlineLevel="1" x14ac:dyDescent="0.35">
      <c r="B123" s="492"/>
      <c r="C123" s="485"/>
      <c r="D123" s="225" t="s">
        <v>145</v>
      </c>
      <c r="E123" s="234">
        <f t="shared" ref="E123:P123" si="33">SUM(E124:E127)</f>
        <v>3</v>
      </c>
      <c r="F123" s="234">
        <f t="shared" si="33"/>
        <v>33025916</v>
      </c>
      <c r="G123" s="234">
        <f t="shared" si="33"/>
        <v>4455884.4000000004</v>
      </c>
      <c r="H123" s="235">
        <f t="shared" si="33"/>
        <v>255000</v>
      </c>
      <c r="I123" s="418">
        <f t="shared" si="33"/>
        <v>3176235</v>
      </c>
      <c r="J123" s="234">
        <f t="shared" si="33"/>
        <v>1024649.4</v>
      </c>
      <c r="K123" s="234">
        <f t="shared" si="33"/>
        <v>0</v>
      </c>
      <c r="L123" s="234">
        <f t="shared" si="33"/>
        <v>0</v>
      </c>
      <c r="M123" s="234">
        <f t="shared" si="33"/>
        <v>0</v>
      </c>
      <c r="N123" s="363">
        <f t="shared" si="33"/>
        <v>0</v>
      </c>
      <c r="O123" s="417">
        <f t="shared" si="33"/>
        <v>4200884.4000000004</v>
      </c>
      <c r="P123" s="417">
        <f t="shared" si="33"/>
        <v>4200884.4000000004</v>
      </c>
      <c r="Q123" s="196">
        <v>74434639.870000005</v>
      </c>
      <c r="R123" s="196">
        <f t="shared" si="28"/>
        <v>70233755.469999999</v>
      </c>
    </row>
    <row r="124" spans="2:18" s="196" customFormat="1" ht="14.5" hidden="1" customHeight="1" outlineLevel="2" x14ac:dyDescent="0.35">
      <c r="B124" s="492"/>
      <c r="C124" s="485"/>
      <c r="D124" s="222" t="s">
        <v>144</v>
      </c>
      <c r="E124" s="234">
        <v>3</v>
      </c>
      <c r="F124" s="234">
        <v>33025916</v>
      </c>
      <c r="G124" s="234">
        <v>4455884.4000000004</v>
      </c>
      <c r="H124" s="235">
        <v>255000</v>
      </c>
      <c r="I124" s="418">
        <v>3176235</v>
      </c>
      <c r="J124" s="234">
        <v>1024649.4</v>
      </c>
      <c r="K124" s="234">
        <v>0</v>
      </c>
      <c r="L124" s="234">
        <v>0</v>
      </c>
      <c r="M124" s="234">
        <v>0</v>
      </c>
      <c r="N124" s="363">
        <v>0</v>
      </c>
      <c r="O124" s="417">
        <f>SUM(I124:N124)</f>
        <v>4200884.4000000004</v>
      </c>
      <c r="P124" s="417">
        <v>4200884.4000000004</v>
      </c>
      <c r="Q124" s="196">
        <v>52630240.069999993</v>
      </c>
      <c r="R124" s="196">
        <f t="shared" si="28"/>
        <v>48429355.669999994</v>
      </c>
    </row>
    <row r="125" spans="2:18" s="196" customFormat="1" ht="14.5" hidden="1" customHeight="1" outlineLevel="2" x14ac:dyDescent="0.35">
      <c r="B125" s="492"/>
      <c r="C125" s="485"/>
      <c r="D125" s="223" t="s">
        <v>143</v>
      </c>
      <c r="E125" s="234">
        <v>0</v>
      </c>
      <c r="F125" s="234">
        <v>0</v>
      </c>
      <c r="G125" s="234">
        <v>0</v>
      </c>
      <c r="H125" s="235">
        <v>0</v>
      </c>
      <c r="I125" s="418">
        <v>0</v>
      </c>
      <c r="J125" s="234">
        <v>0</v>
      </c>
      <c r="K125" s="234">
        <v>0</v>
      </c>
      <c r="L125" s="234">
        <v>0</v>
      </c>
      <c r="M125" s="234">
        <v>0</v>
      </c>
      <c r="N125" s="363">
        <v>0</v>
      </c>
      <c r="O125" s="417">
        <f>SUM(I125:N125)</f>
        <v>0</v>
      </c>
      <c r="P125" s="417">
        <v>0</v>
      </c>
      <c r="Q125" s="196">
        <v>12964056.67</v>
      </c>
      <c r="R125" s="196">
        <f t="shared" si="28"/>
        <v>12964056.67</v>
      </c>
    </row>
    <row r="126" spans="2:18" s="196" customFormat="1" ht="14.5" hidden="1" customHeight="1" outlineLevel="2" x14ac:dyDescent="0.35">
      <c r="B126" s="492"/>
      <c r="C126" s="485"/>
      <c r="D126" s="223" t="s">
        <v>142</v>
      </c>
      <c r="E126" s="234">
        <v>0</v>
      </c>
      <c r="F126" s="234">
        <v>0</v>
      </c>
      <c r="G126" s="234">
        <v>0</v>
      </c>
      <c r="H126" s="235">
        <v>0</v>
      </c>
      <c r="I126" s="418">
        <v>0</v>
      </c>
      <c r="J126" s="234">
        <v>0</v>
      </c>
      <c r="K126" s="234">
        <v>0</v>
      </c>
      <c r="L126" s="234">
        <v>0</v>
      </c>
      <c r="M126" s="234">
        <v>0</v>
      </c>
      <c r="N126" s="363">
        <v>0</v>
      </c>
      <c r="O126" s="417">
        <f>SUM(I126:N126)</f>
        <v>0</v>
      </c>
      <c r="P126" s="417">
        <v>0</v>
      </c>
      <c r="Q126" s="196">
        <v>8840343.1300000027</v>
      </c>
      <c r="R126" s="196">
        <f t="shared" si="28"/>
        <v>8840343.1300000027</v>
      </c>
    </row>
    <row r="127" spans="2:18" s="196" customFormat="1" ht="14.5" hidden="1" customHeight="1" outlineLevel="2" x14ac:dyDescent="0.35">
      <c r="B127" s="492"/>
      <c r="C127" s="485"/>
      <c r="D127" s="223" t="s">
        <v>141</v>
      </c>
      <c r="E127" s="234">
        <v>0</v>
      </c>
      <c r="F127" s="234">
        <v>0</v>
      </c>
      <c r="G127" s="234">
        <v>0</v>
      </c>
      <c r="H127" s="235">
        <v>0</v>
      </c>
      <c r="I127" s="418">
        <v>0</v>
      </c>
      <c r="J127" s="234">
        <v>0</v>
      </c>
      <c r="K127" s="234">
        <v>0</v>
      </c>
      <c r="L127" s="234">
        <v>0</v>
      </c>
      <c r="M127" s="234">
        <v>0</v>
      </c>
      <c r="N127" s="363">
        <v>0</v>
      </c>
      <c r="O127" s="417">
        <f>SUM(I127:N127)</f>
        <v>0</v>
      </c>
      <c r="P127" s="417">
        <v>0</v>
      </c>
      <c r="Q127" s="196">
        <v>0</v>
      </c>
      <c r="R127" s="196">
        <f t="shared" si="28"/>
        <v>0</v>
      </c>
    </row>
    <row r="128" spans="2:18" s="196" customFormat="1" outlineLevel="1" collapsed="1" x14ac:dyDescent="0.35">
      <c r="B128" s="492"/>
      <c r="C128" s="485"/>
      <c r="D128" s="221" t="s">
        <v>121</v>
      </c>
      <c r="E128" s="234">
        <f t="shared" ref="E128:P128" si="34">SUM(E129:E162)</f>
        <v>17</v>
      </c>
      <c r="F128" s="234">
        <f t="shared" si="34"/>
        <v>29776216.630000003</v>
      </c>
      <c r="G128" s="234">
        <f t="shared" si="34"/>
        <v>4198614.6500000004</v>
      </c>
      <c r="H128" s="235">
        <f t="shared" si="34"/>
        <v>1596103.21</v>
      </c>
      <c r="I128" s="418">
        <f t="shared" si="34"/>
        <v>1360863.3499999999</v>
      </c>
      <c r="J128" s="234">
        <f t="shared" si="34"/>
        <v>243496.95</v>
      </c>
      <c r="K128" s="234">
        <f t="shared" si="34"/>
        <v>0</v>
      </c>
      <c r="L128" s="234">
        <f t="shared" si="34"/>
        <v>0</v>
      </c>
      <c r="M128" s="234">
        <f t="shared" si="34"/>
        <v>251489.9</v>
      </c>
      <c r="N128" s="363">
        <f t="shared" si="34"/>
        <v>746661.24</v>
      </c>
      <c r="O128" s="417">
        <f t="shared" si="34"/>
        <v>2602511.44</v>
      </c>
      <c r="P128" s="417">
        <f t="shared" si="34"/>
        <v>3394412.01</v>
      </c>
      <c r="Q128" s="196">
        <v>105491297.08</v>
      </c>
      <c r="R128" s="196">
        <f t="shared" si="28"/>
        <v>102096885.06999999</v>
      </c>
    </row>
    <row r="129" spans="2:18" s="196" customFormat="1" ht="14.5" hidden="1" customHeight="1" outlineLevel="2" x14ac:dyDescent="0.35">
      <c r="B129" s="492"/>
      <c r="C129" s="485"/>
      <c r="D129" s="224" t="s">
        <v>119</v>
      </c>
      <c r="E129" s="234">
        <v>1</v>
      </c>
      <c r="F129" s="234">
        <v>1959624</v>
      </c>
      <c r="G129" s="234">
        <v>195962.4</v>
      </c>
      <c r="H129" s="235">
        <v>0</v>
      </c>
      <c r="I129" s="418">
        <v>0</v>
      </c>
      <c r="J129" s="234">
        <v>0</v>
      </c>
      <c r="K129" s="234">
        <v>0</v>
      </c>
      <c r="L129" s="234">
        <v>0</v>
      </c>
      <c r="M129" s="234">
        <v>0</v>
      </c>
      <c r="N129" s="363">
        <v>195962.4</v>
      </c>
      <c r="O129" s="417">
        <f t="shared" ref="O129:O162" si="35">SUM(I129:N129)</f>
        <v>195962.4</v>
      </c>
      <c r="P129" s="417">
        <v>391924.8</v>
      </c>
      <c r="Q129" s="196">
        <v>2922077.95</v>
      </c>
      <c r="R129" s="196">
        <f t="shared" si="28"/>
        <v>2530153.1500000004</v>
      </c>
    </row>
    <row r="130" spans="2:18" s="196" customFormat="1" ht="14.5" hidden="1" customHeight="1" outlineLevel="2" x14ac:dyDescent="0.35">
      <c r="B130" s="492"/>
      <c r="C130" s="485"/>
      <c r="D130" s="223" t="s">
        <v>118</v>
      </c>
      <c r="E130" s="234">
        <v>1</v>
      </c>
      <c r="F130" s="234">
        <v>1113544.79</v>
      </c>
      <c r="G130" s="234">
        <v>111354.48</v>
      </c>
      <c r="H130" s="235">
        <v>22271</v>
      </c>
      <c r="I130" s="418">
        <v>0</v>
      </c>
      <c r="J130" s="234">
        <v>0</v>
      </c>
      <c r="K130" s="234">
        <v>0</v>
      </c>
      <c r="L130" s="234">
        <v>0</v>
      </c>
      <c r="M130" s="234">
        <v>0</v>
      </c>
      <c r="N130" s="363">
        <v>89083.48</v>
      </c>
      <c r="O130" s="417">
        <f t="shared" si="35"/>
        <v>89083.48</v>
      </c>
      <c r="P130" s="417">
        <v>200437.96</v>
      </c>
      <c r="Q130" s="196">
        <v>7890097.5199999996</v>
      </c>
      <c r="R130" s="196">
        <f t="shared" si="28"/>
        <v>7689659.5599999996</v>
      </c>
    </row>
    <row r="131" spans="2:18" s="196" customFormat="1" ht="14.5" hidden="1" customHeight="1" outlineLevel="2" x14ac:dyDescent="0.35">
      <c r="B131" s="492"/>
      <c r="C131" s="485"/>
      <c r="D131" s="223" t="s">
        <v>117</v>
      </c>
      <c r="E131" s="234">
        <v>0</v>
      </c>
      <c r="F131" s="234">
        <v>0</v>
      </c>
      <c r="G131" s="234">
        <v>0</v>
      </c>
      <c r="H131" s="235">
        <v>0</v>
      </c>
      <c r="I131" s="418">
        <v>0</v>
      </c>
      <c r="J131" s="234">
        <v>0</v>
      </c>
      <c r="K131" s="234">
        <v>0</v>
      </c>
      <c r="L131" s="234">
        <v>0</v>
      </c>
      <c r="M131" s="234">
        <v>0</v>
      </c>
      <c r="N131" s="363">
        <v>0</v>
      </c>
      <c r="O131" s="417">
        <f t="shared" si="35"/>
        <v>0</v>
      </c>
      <c r="P131" s="417">
        <v>0</v>
      </c>
      <c r="Q131" s="196">
        <v>2988866</v>
      </c>
      <c r="R131" s="196">
        <f t="shared" si="28"/>
        <v>2988866</v>
      </c>
    </row>
    <row r="132" spans="2:18" s="196" customFormat="1" ht="14.5" hidden="1" customHeight="1" outlineLevel="2" x14ac:dyDescent="0.35">
      <c r="B132" s="492"/>
      <c r="C132" s="485"/>
      <c r="D132" s="223" t="s">
        <v>116</v>
      </c>
      <c r="E132" s="234">
        <v>0</v>
      </c>
      <c r="F132" s="234">
        <v>0</v>
      </c>
      <c r="G132" s="234">
        <v>0</v>
      </c>
      <c r="H132" s="235">
        <v>0</v>
      </c>
      <c r="I132" s="418">
        <v>0</v>
      </c>
      <c r="J132" s="234">
        <v>0</v>
      </c>
      <c r="K132" s="234">
        <v>0</v>
      </c>
      <c r="L132" s="234">
        <v>0</v>
      </c>
      <c r="M132" s="234">
        <v>0</v>
      </c>
      <c r="N132" s="363">
        <v>0</v>
      </c>
      <c r="O132" s="417">
        <f t="shared" si="35"/>
        <v>0</v>
      </c>
      <c r="P132" s="417">
        <v>0</v>
      </c>
      <c r="Q132" s="196">
        <v>1360024.52</v>
      </c>
      <c r="R132" s="196">
        <f t="shared" si="28"/>
        <v>1360024.52</v>
      </c>
    </row>
    <row r="133" spans="2:18" s="196" customFormat="1" ht="14.5" hidden="1" customHeight="1" outlineLevel="2" x14ac:dyDescent="0.35">
      <c r="B133" s="492"/>
      <c r="C133" s="485"/>
      <c r="D133" s="224" t="s">
        <v>114</v>
      </c>
      <c r="E133" s="234">
        <v>0</v>
      </c>
      <c r="F133" s="234">
        <v>0</v>
      </c>
      <c r="G133" s="234">
        <v>0</v>
      </c>
      <c r="H133" s="235">
        <v>0</v>
      </c>
      <c r="I133" s="418">
        <v>0</v>
      </c>
      <c r="J133" s="234">
        <v>0</v>
      </c>
      <c r="K133" s="234">
        <v>0</v>
      </c>
      <c r="L133" s="234">
        <v>0</v>
      </c>
      <c r="M133" s="234">
        <v>0</v>
      </c>
      <c r="N133" s="363">
        <v>0</v>
      </c>
      <c r="O133" s="417">
        <f t="shared" si="35"/>
        <v>0</v>
      </c>
      <c r="P133" s="417">
        <v>0</v>
      </c>
      <c r="Q133" s="196">
        <v>2360657.7199999997</v>
      </c>
      <c r="R133" s="196">
        <f t="shared" si="28"/>
        <v>2360657.7199999997</v>
      </c>
    </row>
    <row r="134" spans="2:18" s="196" customFormat="1" ht="14.5" hidden="1" customHeight="1" outlineLevel="2" x14ac:dyDescent="0.35">
      <c r="B134" s="492"/>
      <c r="C134" s="485"/>
      <c r="D134" s="223" t="s">
        <v>113</v>
      </c>
      <c r="E134" s="234">
        <v>0</v>
      </c>
      <c r="F134" s="234">
        <v>0</v>
      </c>
      <c r="G134" s="234">
        <v>0</v>
      </c>
      <c r="H134" s="235">
        <v>0</v>
      </c>
      <c r="I134" s="418">
        <v>0</v>
      </c>
      <c r="J134" s="234">
        <v>0</v>
      </c>
      <c r="K134" s="234">
        <v>0</v>
      </c>
      <c r="L134" s="234">
        <v>0</v>
      </c>
      <c r="M134" s="234">
        <v>0</v>
      </c>
      <c r="N134" s="363">
        <v>0</v>
      </c>
      <c r="O134" s="417">
        <f t="shared" si="35"/>
        <v>0</v>
      </c>
      <c r="P134" s="417">
        <v>0</v>
      </c>
      <c r="Q134" s="196">
        <v>10390805.970000004</v>
      </c>
      <c r="R134" s="196">
        <f t="shared" si="28"/>
        <v>10390805.970000004</v>
      </c>
    </row>
    <row r="135" spans="2:18" s="196" customFormat="1" ht="14.5" hidden="1" customHeight="1" outlineLevel="2" x14ac:dyDescent="0.35">
      <c r="B135" s="492"/>
      <c r="C135" s="485"/>
      <c r="D135" s="223" t="s">
        <v>112</v>
      </c>
      <c r="E135" s="234">
        <v>0</v>
      </c>
      <c r="F135" s="234">
        <v>0</v>
      </c>
      <c r="G135" s="234">
        <v>0</v>
      </c>
      <c r="H135" s="235">
        <v>0</v>
      </c>
      <c r="I135" s="418">
        <v>0</v>
      </c>
      <c r="J135" s="234">
        <v>0</v>
      </c>
      <c r="K135" s="234">
        <v>0</v>
      </c>
      <c r="L135" s="234">
        <v>0</v>
      </c>
      <c r="M135" s="234">
        <v>0</v>
      </c>
      <c r="N135" s="363">
        <v>0</v>
      </c>
      <c r="O135" s="417">
        <f t="shared" si="35"/>
        <v>0</v>
      </c>
      <c r="P135" s="417">
        <v>0</v>
      </c>
      <c r="Q135" s="196">
        <v>6072215.2300000042</v>
      </c>
      <c r="R135" s="196">
        <f t="shared" si="28"/>
        <v>6072215.2300000042</v>
      </c>
    </row>
    <row r="136" spans="2:18" s="196" customFormat="1" ht="14.5" hidden="1" customHeight="1" outlineLevel="2" x14ac:dyDescent="0.35">
      <c r="B136" s="492"/>
      <c r="C136" s="485"/>
      <c r="D136" s="223" t="s">
        <v>111</v>
      </c>
      <c r="E136" s="234">
        <v>0</v>
      </c>
      <c r="F136" s="234">
        <v>0</v>
      </c>
      <c r="G136" s="234">
        <v>0</v>
      </c>
      <c r="H136" s="235">
        <v>0</v>
      </c>
      <c r="I136" s="418">
        <v>0</v>
      </c>
      <c r="J136" s="234">
        <v>0</v>
      </c>
      <c r="K136" s="234">
        <v>0</v>
      </c>
      <c r="L136" s="234">
        <v>0</v>
      </c>
      <c r="M136" s="234">
        <v>0</v>
      </c>
      <c r="N136" s="363">
        <v>0</v>
      </c>
      <c r="O136" s="417">
        <f t="shared" si="35"/>
        <v>0</v>
      </c>
      <c r="P136" s="417">
        <v>0</v>
      </c>
      <c r="Q136" s="196">
        <v>2617790.9399999995</v>
      </c>
      <c r="R136" s="196">
        <f t="shared" ref="R136:R167" si="36">Q136-P136</f>
        <v>2617790.9399999995</v>
      </c>
    </row>
    <row r="137" spans="2:18" s="196" customFormat="1" ht="14.5" hidden="1" customHeight="1" outlineLevel="2" x14ac:dyDescent="0.35">
      <c r="B137" s="492"/>
      <c r="C137" s="485"/>
      <c r="D137" s="222" t="s">
        <v>109</v>
      </c>
      <c r="E137" s="234">
        <v>0</v>
      </c>
      <c r="F137" s="234">
        <v>0</v>
      </c>
      <c r="G137" s="234">
        <v>0</v>
      </c>
      <c r="H137" s="235">
        <v>0</v>
      </c>
      <c r="I137" s="418">
        <v>0</v>
      </c>
      <c r="J137" s="234">
        <v>0</v>
      </c>
      <c r="K137" s="234">
        <v>0</v>
      </c>
      <c r="L137" s="234">
        <v>0</v>
      </c>
      <c r="M137" s="234">
        <v>0</v>
      </c>
      <c r="N137" s="363">
        <v>0</v>
      </c>
      <c r="O137" s="417">
        <f t="shared" si="35"/>
        <v>0</v>
      </c>
      <c r="P137" s="417">
        <v>0</v>
      </c>
      <c r="Q137" s="196">
        <v>5411438.580000001</v>
      </c>
      <c r="R137" s="196">
        <f t="shared" si="36"/>
        <v>5411438.580000001</v>
      </c>
    </row>
    <row r="138" spans="2:18" s="196" customFormat="1" ht="14.5" hidden="1" customHeight="1" outlineLevel="2" x14ac:dyDescent="0.35">
      <c r="B138" s="492"/>
      <c r="C138" s="485"/>
      <c r="D138" s="222" t="s">
        <v>108</v>
      </c>
      <c r="E138" s="234">
        <v>0</v>
      </c>
      <c r="F138" s="234">
        <v>0</v>
      </c>
      <c r="G138" s="234">
        <v>0</v>
      </c>
      <c r="H138" s="235">
        <v>0</v>
      </c>
      <c r="I138" s="418">
        <v>0</v>
      </c>
      <c r="J138" s="234">
        <v>0</v>
      </c>
      <c r="K138" s="234">
        <v>0</v>
      </c>
      <c r="L138" s="234">
        <v>0</v>
      </c>
      <c r="M138" s="234">
        <v>0</v>
      </c>
      <c r="N138" s="363">
        <v>0</v>
      </c>
      <c r="O138" s="417">
        <f t="shared" si="35"/>
        <v>0</v>
      </c>
      <c r="P138" s="417">
        <v>0</v>
      </c>
      <c r="Q138" s="196">
        <v>11868664.720000003</v>
      </c>
      <c r="R138" s="196">
        <f t="shared" si="36"/>
        <v>11868664.720000003</v>
      </c>
    </row>
    <row r="139" spans="2:18" s="196" customFormat="1" ht="14.5" hidden="1" customHeight="1" outlineLevel="2" x14ac:dyDescent="0.35">
      <c r="B139" s="492"/>
      <c r="C139" s="485"/>
      <c r="D139" s="222" t="s">
        <v>107</v>
      </c>
      <c r="E139" s="234">
        <v>0</v>
      </c>
      <c r="F139" s="234">
        <v>0</v>
      </c>
      <c r="G139" s="234">
        <v>0</v>
      </c>
      <c r="H139" s="235">
        <v>0</v>
      </c>
      <c r="I139" s="418">
        <v>0</v>
      </c>
      <c r="J139" s="234">
        <v>0</v>
      </c>
      <c r="K139" s="234">
        <v>0</v>
      </c>
      <c r="L139" s="234">
        <v>0</v>
      </c>
      <c r="M139" s="234">
        <v>0</v>
      </c>
      <c r="N139" s="363">
        <v>0</v>
      </c>
      <c r="O139" s="417">
        <f t="shared" si="35"/>
        <v>0</v>
      </c>
      <c r="P139" s="417">
        <v>0</v>
      </c>
      <c r="Q139" s="196">
        <v>4000350.3800000008</v>
      </c>
      <c r="R139" s="196">
        <f t="shared" si="36"/>
        <v>4000350.3800000008</v>
      </c>
    </row>
    <row r="140" spans="2:18" s="196" customFormat="1" ht="14.5" hidden="1" customHeight="1" outlineLevel="2" x14ac:dyDescent="0.35">
      <c r="B140" s="492"/>
      <c r="C140" s="485"/>
      <c r="D140" s="222" t="s">
        <v>106</v>
      </c>
      <c r="E140" s="234">
        <v>0</v>
      </c>
      <c r="F140" s="234">
        <v>0</v>
      </c>
      <c r="G140" s="234">
        <v>0</v>
      </c>
      <c r="H140" s="235">
        <v>0</v>
      </c>
      <c r="I140" s="418">
        <v>0</v>
      </c>
      <c r="J140" s="234">
        <v>0</v>
      </c>
      <c r="K140" s="234">
        <v>0</v>
      </c>
      <c r="L140" s="234">
        <v>0</v>
      </c>
      <c r="M140" s="234">
        <v>0</v>
      </c>
      <c r="N140" s="363">
        <v>0</v>
      </c>
      <c r="O140" s="417">
        <f t="shared" si="35"/>
        <v>0</v>
      </c>
      <c r="P140" s="417">
        <v>0</v>
      </c>
      <c r="Q140" s="196">
        <v>2161499.9300000002</v>
      </c>
      <c r="R140" s="196">
        <f t="shared" si="36"/>
        <v>2161499.9300000002</v>
      </c>
    </row>
    <row r="141" spans="2:18" s="196" customFormat="1" ht="14.5" hidden="1" customHeight="1" outlineLevel="2" x14ac:dyDescent="0.35">
      <c r="B141" s="492"/>
      <c r="C141" s="485"/>
      <c r="D141" s="222" t="s">
        <v>104</v>
      </c>
      <c r="E141" s="234">
        <v>1</v>
      </c>
      <c r="F141" s="234">
        <v>2419502.11</v>
      </c>
      <c r="G141" s="234">
        <v>483900.42</v>
      </c>
      <c r="H141" s="235">
        <v>481950.21</v>
      </c>
      <c r="I141" s="418">
        <v>0</v>
      </c>
      <c r="J141" s="234">
        <v>0</v>
      </c>
      <c r="K141" s="234">
        <v>0</v>
      </c>
      <c r="L141" s="234">
        <v>0</v>
      </c>
      <c r="M141" s="234">
        <v>0</v>
      </c>
      <c r="N141" s="363">
        <v>1950.21</v>
      </c>
      <c r="O141" s="417">
        <f t="shared" si="35"/>
        <v>1950.21</v>
      </c>
      <c r="P141" s="417">
        <v>243900.42</v>
      </c>
      <c r="Q141" s="196">
        <v>915867.05</v>
      </c>
      <c r="R141" s="196">
        <f t="shared" si="36"/>
        <v>671966.63</v>
      </c>
    </row>
    <row r="142" spans="2:18" s="196" customFormat="1" ht="14.5" hidden="1" customHeight="1" outlineLevel="2" x14ac:dyDescent="0.35">
      <c r="B142" s="492"/>
      <c r="C142" s="485"/>
      <c r="D142" s="222" t="s">
        <v>103</v>
      </c>
      <c r="E142" s="234">
        <v>1</v>
      </c>
      <c r="F142" s="234">
        <v>1213167.3600000001</v>
      </c>
      <c r="G142" s="234">
        <v>242633.47</v>
      </c>
      <c r="H142" s="235">
        <v>121400</v>
      </c>
      <c r="I142" s="418">
        <v>0</v>
      </c>
      <c r="J142" s="234">
        <v>0</v>
      </c>
      <c r="K142" s="234">
        <v>0</v>
      </c>
      <c r="L142" s="234">
        <v>0</v>
      </c>
      <c r="M142" s="234">
        <v>0</v>
      </c>
      <c r="N142" s="363">
        <v>121233.47</v>
      </c>
      <c r="O142" s="417">
        <f t="shared" si="35"/>
        <v>121233.47</v>
      </c>
      <c r="P142" s="417">
        <v>363866.95</v>
      </c>
      <c r="Q142" s="196">
        <v>4294491.5900000017</v>
      </c>
      <c r="R142" s="196">
        <f t="shared" si="36"/>
        <v>3930624.6400000015</v>
      </c>
    </row>
    <row r="143" spans="2:18" s="196" customFormat="1" ht="14.5" hidden="1" customHeight="1" outlineLevel="2" x14ac:dyDescent="0.35">
      <c r="B143" s="492"/>
      <c r="C143" s="485"/>
      <c r="D143" s="222" t="s">
        <v>102</v>
      </c>
      <c r="E143" s="234">
        <v>0</v>
      </c>
      <c r="F143" s="234">
        <v>0</v>
      </c>
      <c r="G143" s="234">
        <v>0</v>
      </c>
      <c r="H143" s="235">
        <v>0</v>
      </c>
      <c r="I143" s="418">
        <v>0</v>
      </c>
      <c r="J143" s="234">
        <v>0</v>
      </c>
      <c r="K143" s="234">
        <v>0</v>
      </c>
      <c r="L143" s="234">
        <v>0</v>
      </c>
      <c r="M143" s="234">
        <v>0</v>
      </c>
      <c r="N143" s="363">
        <v>0</v>
      </c>
      <c r="O143" s="417">
        <f t="shared" si="35"/>
        <v>0</v>
      </c>
      <c r="P143" s="417">
        <v>0</v>
      </c>
      <c r="Q143" s="196">
        <v>1901471.4399999997</v>
      </c>
      <c r="R143" s="196">
        <f t="shared" si="36"/>
        <v>1901471.4399999997</v>
      </c>
    </row>
    <row r="144" spans="2:18" s="196" customFormat="1" ht="14.5" hidden="1" customHeight="1" outlineLevel="2" x14ac:dyDescent="0.35">
      <c r="B144" s="492"/>
      <c r="C144" s="485"/>
      <c r="D144" s="222" t="s">
        <v>101</v>
      </c>
      <c r="E144" s="234">
        <v>0</v>
      </c>
      <c r="F144" s="234">
        <v>0</v>
      </c>
      <c r="G144" s="234">
        <v>0</v>
      </c>
      <c r="H144" s="235">
        <v>0</v>
      </c>
      <c r="I144" s="418">
        <v>0</v>
      </c>
      <c r="J144" s="234">
        <v>0</v>
      </c>
      <c r="K144" s="234">
        <v>0</v>
      </c>
      <c r="L144" s="234">
        <v>0</v>
      </c>
      <c r="M144" s="234">
        <v>0</v>
      </c>
      <c r="N144" s="363">
        <v>0</v>
      </c>
      <c r="O144" s="417">
        <f t="shared" si="35"/>
        <v>0</v>
      </c>
      <c r="P144" s="417">
        <v>0</v>
      </c>
      <c r="Q144" s="196">
        <v>218819.88999999998</v>
      </c>
      <c r="R144" s="196">
        <f t="shared" si="36"/>
        <v>218819.88999999998</v>
      </c>
    </row>
    <row r="145" spans="2:18" s="196" customFormat="1" ht="14.5" hidden="1" customHeight="1" outlineLevel="2" x14ac:dyDescent="0.35">
      <c r="B145" s="492"/>
      <c r="C145" s="485"/>
      <c r="D145" s="223" t="s">
        <v>99</v>
      </c>
      <c r="E145" s="234">
        <v>0</v>
      </c>
      <c r="F145" s="234">
        <v>0</v>
      </c>
      <c r="G145" s="234">
        <v>0</v>
      </c>
      <c r="H145" s="235">
        <v>0</v>
      </c>
      <c r="I145" s="418">
        <v>0</v>
      </c>
      <c r="J145" s="234">
        <v>0</v>
      </c>
      <c r="K145" s="234">
        <v>0</v>
      </c>
      <c r="L145" s="234">
        <v>0</v>
      </c>
      <c r="M145" s="234">
        <v>0</v>
      </c>
      <c r="N145" s="363">
        <v>0</v>
      </c>
      <c r="O145" s="417">
        <f t="shared" si="35"/>
        <v>0</v>
      </c>
      <c r="P145" s="417">
        <v>0</v>
      </c>
      <c r="Q145" s="196">
        <v>2486681.5500000003</v>
      </c>
      <c r="R145" s="196">
        <f t="shared" si="36"/>
        <v>2486681.5500000003</v>
      </c>
    </row>
    <row r="146" spans="2:18" s="196" customFormat="1" ht="14.5" hidden="1" customHeight="1" outlineLevel="2" x14ac:dyDescent="0.35">
      <c r="B146" s="492"/>
      <c r="C146" s="485"/>
      <c r="D146" s="223" t="s">
        <v>98</v>
      </c>
      <c r="E146" s="234">
        <v>0</v>
      </c>
      <c r="F146" s="234">
        <v>0</v>
      </c>
      <c r="G146" s="234">
        <v>0</v>
      </c>
      <c r="H146" s="235">
        <v>0</v>
      </c>
      <c r="I146" s="418">
        <v>0</v>
      </c>
      <c r="J146" s="234">
        <v>0</v>
      </c>
      <c r="K146" s="234">
        <v>0</v>
      </c>
      <c r="L146" s="234">
        <v>0</v>
      </c>
      <c r="M146" s="234">
        <v>0</v>
      </c>
      <c r="N146" s="363">
        <v>0</v>
      </c>
      <c r="O146" s="417">
        <f t="shared" si="35"/>
        <v>0</v>
      </c>
      <c r="P146" s="417">
        <v>0</v>
      </c>
      <c r="Q146" s="196">
        <v>923517.2699999999</v>
      </c>
      <c r="R146" s="196">
        <f t="shared" si="36"/>
        <v>923517.2699999999</v>
      </c>
    </row>
    <row r="147" spans="2:18" s="196" customFormat="1" ht="14.5" hidden="1" customHeight="1" outlineLevel="2" x14ac:dyDescent="0.35">
      <c r="B147" s="492"/>
      <c r="C147" s="485"/>
      <c r="D147" s="223" t="s">
        <v>97</v>
      </c>
      <c r="E147" s="234">
        <v>0</v>
      </c>
      <c r="F147" s="234">
        <v>0</v>
      </c>
      <c r="G147" s="234">
        <v>0</v>
      </c>
      <c r="H147" s="235">
        <v>0</v>
      </c>
      <c r="I147" s="418">
        <v>0</v>
      </c>
      <c r="J147" s="234">
        <v>0</v>
      </c>
      <c r="K147" s="234">
        <v>0</v>
      </c>
      <c r="L147" s="234">
        <v>0</v>
      </c>
      <c r="M147" s="234">
        <v>0</v>
      </c>
      <c r="N147" s="363">
        <v>0</v>
      </c>
      <c r="O147" s="417">
        <f t="shared" si="35"/>
        <v>0</v>
      </c>
      <c r="P147" s="417">
        <v>0</v>
      </c>
      <c r="Q147" s="196">
        <v>1462325.26</v>
      </c>
      <c r="R147" s="196">
        <f t="shared" si="36"/>
        <v>1462325.26</v>
      </c>
    </row>
    <row r="148" spans="2:18" s="196" customFormat="1" ht="14.5" hidden="1" customHeight="1" outlineLevel="2" x14ac:dyDescent="0.35">
      <c r="B148" s="492"/>
      <c r="C148" s="485"/>
      <c r="D148" s="223" t="s">
        <v>96</v>
      </c>
      <c r="E148" s="234">
        <v>0</v>
      </c>
      <c r="F148" s="234">
        <v>0</v>
      </c>
      <c r="G148" s="234">
        <v>0</v>
      </c>
      <c r="H148" s="235">
        <v>0</v>
      </c>
      <c r="I148" s="418">
        <v>0</v>
      </c>
      <c r="J148" s="234">
        <v>0</v>
      </c>
      <c r="K148" s="234">
        <v>0</v>
      </c>
      <c r="L148" s="234">
        <v>0</v>
      </c>
      <c r="M148" s="234">
        <v>0</v>
      </c>
      <c r="N148" s="363">
        <v>0</v>
      </c>
      <c r="O148" s="417">
        <f t="shared" si="35"/>
        <v>0</v>
      </c>
      <c r="P148" s="417">
        <v>0</v>
      </c>
      <c r="Q148" s="196">
        <v>2505867.5499999998</v>
      </c>
      <c r="R148" s="196">
        <f t="shared" si="36"/>
        <v>2505867.5499999998</v>
      </c>
    </row>
    <row r="149" spans="2:18" s="196" customFormat="1" ht="14.5" hidden="1" customHeight="1" outlineLevel="2" x14ac:dyDescent="0.35">
      <c r="B149" s="492"/>
      <c r="C149" s="485"/>
      <c r="D149" s="223" t="s">
        <v>94</v>
      </c>
      <c r="E149" s="234">
        <v>0</v>
      </c>
      <c r="F149" s="234">
        <v>0</v>
      </c>
      <c r="G149" s="234">
        <v>0</v>
      </c>
      <c r="H149" s="235">
        <v>0</v>
      </c>
      <c r="I149" s="418">
        <v>0</v>
      </c>
      <c r="J149" s="234">
        <v>0</v>
      </c>
      <c r="K149" s="234">
        <v>0</v>
      </c>
      <c r="L149" s="234">
        <v>0</v>
      </c>
      <c r="M149" s="234">
        <v>0</v>
      </c>
      <c r="N149" s="363">
        <v>0</v>
      </c>
      <c r="O149" s="417">
        <f t="shared" si="35"/>
        <v>0</v>
      </c>
      <c r="P149" s="417">
        <v>0</v>
      </c>
      <c r="Q149" s="196">
        <v>3221767.0900000008</v>
      </c>
      <c r="R149" s="196">
        <f t="shared" si="36"/>
        <v>3221767.0900000008</v>
      </c>
    </row>
    <row r="150" spans="2:18" s="196" customFormat="1" ht="14.5" hidden="1" customHeight="1" outlineLevel="2" x14ac:dyDescent="0.35">
      <c r="B150" s="492"/>
      <c r="C150" s="485"/>
      <c r="D150" s="223" t="s">
        <v>93</v>
      </c>
      <c r="E150" s="234">
        <v>0</v>
      </c>
      <c r="F150" s="234">
        <v>0</v>
      </c>
      <c r="G150" s="234">
        <v>0</v>
      </c>
      <c r="H150" s="235">
        <v>0</v>
      </c>
      <c r="I150" s="418">
        <v>0</v>
      </c>
      <c r="J150" s="234">
        <v>0</v>
      </c>
      <c r="K150" s="234">
        <v>0</v>
      </c>
      <c r="L150" s="234">
        <v>0</v>
      </c>
      <c r="M150" s="234">
        <v>0</v>
      </c>
      <c r="N150" s="363">
        <v>0</v>
      </c>
      <c r="O150" s="417">
        <f t="shared" si="35"/>
        <v>0</v>
      </c>
      <c r="P150" s="417">
        <v>0</v>
      </c>
      <c r="Q150" s="196">
        <v>1473670.83</v>
      </c>
      <c r="R150" s="196">
        <f t="shared" si="36"/>
        <v>1473670.83</v>
      </c>
    </row>
    <row r="151" spans="2:18" s="196" customFormat="1" ht="14.5" hidden="1" customHeight="1" outlineLevel="2" x14ac:dyDescent="0.35">
      <c r="B151" s="492"/>
      <c r="C151" s="485"/>
      <c r="D151" s="223" t="s">
        <v>92</v>
      </c>
      <c r="E151" s="234">
        <v>0</v>
      </c>
      <c r="F151" s="234">
        <v>0</v>
      </c>
      <c r="G151" s="234">
        <v>0</v>
      </c>
      <c r="H151" s="235">
        <v>0</v>
      </c>
      <c r="I151" s="418">
        <v>0</v>
      </c>
      <c r="J151" s="234">
        <v>0</v>
      </c>
      <c r="K151" s="234">
        <v>0</v>
      </c>
      <c r="L151" s="234">
        <v>0</v>
      </c>
      <c r="M151" s="234">
        <v>0</v>
      </c>
      <c r="N151" s="363">
        <v>0</v>
      </c>
      <c r="O151" s="417">
        <f t="shared" si="35"/>
        <v>0</v>
      </c>
      <c r="P151" s="417">
        <v>0</v>
      </c>
      <c r="Q151" s="196">
        <v>1540820.8</v>
      </c>
      <c r="R151" s="196">
        <f t="shared" si="36"/>
        <v>1540820.8</v>
      </c>
    </row>
    <row r="152" spans="2:18" s="196" customFormat="1" ht="14.5" hidden="1" customHeight="1" outlineLevel="2" x14ac:dyDescent="0.35">
      <c r="B152" s="492"/>
      <c r="C152" s="485"/>
      <c r="D152" s="223" t="s">
        <v>91</v>
      </c>
      <c r="E152" s="234">
        <v>1</v>
      </c>
      <c r="F152" s="234">
        <v>2309735</v>
      </c>
      <c r="G152" s="234">
        <v>461947</v>
      </c>
      <c r="H152" s="235">
        <v>230974</v>
      </c>
      <c r="I152" s="418">
        <v>0</v>
      </c>
      <c r="J152" s="234">
        <v>0</v>
      </c>
      <c r="K152" s="234">
        <v>0</v>
      </c>
      <c r="L152" s="234">
        <v>0</v>
      </c>
      <c r="M152" s="234">
        <v>0</v>
      </c>
      <c r="N152" s="363">
        <v>230973</v>
      </c>
      <c r="O152" s="417">
        <f t="shared" si="35"/>
        <v>230973</v>
      </c>
      <c r="P152" s="417">
        <v>230973</v>
      </c>
      <c r="Q152" s="196">
        <v>4834416.66</v>
      </c>
      <c r="R152" s="196">
        <f t="shared" si="36"/>
        <v>4603443.66</v>
      </c>
    </row>
    <row r="153" spans="2:18" s="196" customFormat="1" ht="14.5" hidden="1" customHeight="1" outlineLevel="2" x14ac:dyDescent="0.35">
      <c r="B153" s="492"/>
      <c r="C153" s="485"/>
      <c r="D153" s="223" t="s">
        <v>89</v>
      </c>
      <c r="E153" s="234">
        <v>0</v>
      </c>
      <c r="F153" s="234">
        <v>0</v>
      </c>
      <c r="G153" s="234">
        <v>0</v>
      </c>
      <c r="H153" s="235">
        <v>0</v>
      </c>
      <c r="I153" s="418">
        <v>0</v>
      </c>
      <c r="J153" s="234">
        <v>0</v>
      </c>
      <c r="K153" s="234">
        <v>0</v>
      </c>
      <c r="L153" s="234">
        <v>0</v>
      </c>
      <c r="M153" s="234">
        <v>0</v>
      </c>
      <c r="N153" s="363">
        <v>0</v>
      </c>
      <c r="O153" s="417">
        <f t="shared" si="35"/>
        <v>0</v>
      </c>
      <c r="P153" s="417">
        <v>0</v>
      </c>
      <c r="Q153" s="196">
        <v>4347266.5599999996</v>
      </c>
      <c r="R153" s="196">
        <f t="shared" si="36"/>
        <v>4347266.5599999996</v>
      </c>
    </row>
    <row r="154" spans="2:18" s="196" customFormat="1" ht="14.5" hidden="1" customHeight="1" outlineLevel="2" x14ac:dyDescent="0.35">
      <c r="B154" s="492"/>
      <c r="C154" s="485"/>
      <c r="D154" s="223" t="s">
        <v>88</v>
      </c>
      <c r="E154" s="234">
        <v>0</v>
      </c>
      <c r="F154" s="234">
        <v>0</v>
      </c>
      <c r="G154" s="234">
        <v>0</v>
      </c>
      <c r="H154" s="235">
        <v>0</v>
      </c>
      <c r="I154" s="418">
        <v>0</v>
      </c>
      <c r="J154" s="234">
        <v>0</v>
      </c>
      <c r="K154" s="234">
        <v>0</v>
      </c>
      <c r="L154" s="234">
        <v>0</v>
      </c>
      <c r="M154" s="234">
        <v>0</v>
      </c>
      <c r="N154" s="363">
        <v>0</v>
      </c>
      <c r="O154" s="417">
        <f t="shared" si="35"/>
        <v>0</v>
      </c>
      <c r="P154" s="417">
        <v>0</v>
      </c>
      <c r="Q154" s="196">
        <v>4126140.040000001</v>
      </c>
      <c r="R154" s="196">
        <f t="shared" si="36"/>
        <v>4126140.040000001</v>
      </c>
    </row>
    <row r="155" spans="2:18" s="196" customFormat="1" ht="14.5" hidden="1" customHeight="1" outlineLevel="2" x14ac:dyDescent="0.35">
      <c r="B155" s="492"/>
      <c r="C155" s="485"/>
      <c r="D155" s="223" t="s">
        <v>87</v>
      </c>
      <c r="E155" s="234">
        <v>0</v>
      </c>
      <c r="F155" s="234">
        <v>0</v>
      </c>
      <c r="G155" s="234">
        <v>0</v>
      </c>
      <c r="H155" s="235">
        <v>0</v>
      </c>
      <c r="I155" s="418">
        <v>0</v>
      </c>
      <c r="J155" s="234">
        <v>0</v>
      </c>
      <c r="K155" s="234">
        <v>0</v>
      </c>
      <c r="L155" s="234">
        <v>0</v>
      </c>
      <c r="M155" s="234">
        <v>0</v>
      </c>
      <c r="N155" s="363">
        <v>0</v>
      </c>
      <c r="O155" s="417">
        <f t="shared" si="35"/>
        <v>0</v>
      </c>
      <c r="P155" s="417">
        <v>0</v>
      </c>
      <c r="Q155" s="196">
        <v>2346823.52</v>
      </c>
      <c r="R155" s="196">
        <f t="shared" si="36"/>
        <v>2346823.52</v>
      </c>
    </row>
    <row r="156" spans="2:18" s="196" customFormat="1" ht="14.5" hidden="1" customHeight="1" outlineLevel="2" x14ac:dyDescent="0.35">
      <c r="B156" s="492"/>
      <c r="C156" s="485"/>
      <c r="D156" s="223" t="s">
        <v>86</v>
      </c>
      <c r="E156" s="234">
        <v>0</v>
      </c>
      <c r="F156" s="234">
        <v>0</v>
      </c>
      <c r="G156" s="234">
        <v>0</v>
      </c>
      <c r="H156" s="235">
        <v>0</v>
      </c>
      <c r="I156" s="418">
        <v>0</v>
      </c>
      <c r="J156" s="234">
        <v>0</v>
      </c>
      <c r="K156" s="234">
        <v>0</v>
      </c>
      <c r="L156" s="234">
        <v>0</v>
      </c>
      <c r="M156" s="234">
        <v>0</v>
      </c>
      <c r="N156" s="363">
        <v>0</v>
      </c>
      <c r="O156" s="417">
        <f t="shared" si="35"/>
        <v>0</v>
      </c>
      <c r="P156" s="417">
        <v>0</v>
      </c>
      <c r="Q156" s="196">
        <v>2706079.17</v>
      </c>
      <c r="R156" s="196">
        <f t="shared" si="36"/>
        <v>2706079.17</v>
      </c>
    </row>
    <row r="157" spans="2:18" s="196" customFormat="1" ht="14.5" hidden="1" customHeight="1" outlineLevel="2" x14ac:dyDescent="0.35">
      <c r="B157" s="492"/>
      <c r="C157" s="485"/>
      <c r="D157" s="223" t="s">
        <v>84</v>
      </c>
      <c r="E157" s="234">
        <v>2</v>
      </c>
      <c r="F157" s="234">
        <v>4039482.3899999997</v>
      </c>
      <c r="G157" s="234">
        <v>556406.57999999996</v>
      </c>
      <c r="H157" s="235">
        <v>197458</v>
      </c>
      <c r="I157" s="418">
        <v>0</v>
      </c>
      <c r="J157" s="234">
        <v>0</v>
      </c>
      <c r="K157" s="234">
        <v>0</v>
      </c>
      <c r="L157" s="234">
        <v>0</v>
      </c>
      <c r="M157" s="234">
        <v>251489.9</v>
      </c>
      <c r="N157" s="363">
        <v>107458.68</v>
      </c>
      <c r="O157" s="417">
        <f t="shared" si="35"/>
        <v>358948.57999999996</v>
      </c>
      <c r="P157" s="417">
        <v>358948.57999999996</v>
      </c>
      <c r="Q157" s="196">
        <v>1594925.1399999997</v>
      </c>
      <c r="R157" s="196">
        <f t="shared" si="36"/>
        <v>1235976.5599999996</v>
      </c>
    </row>
    <row r="158" spans="2:18" s="196" customFormat="1" ht="14.5" hidden="1" customHeight="1" outlineLevel="2" x14ac:dyDescent="0.35">
      <c r="B158" s="492"/>
      <c r="C158" s="485"/>
      <c r="D158" s="223" t="s">
        <v>83</v>
      </c>
      <c r="E158" s="234">
        <v>0</v>
      </c>
      <c r="F158" s="234">
        <v>0</v>
      </c>
      <c r="G158" s="234">
        <v>0</v>
      </c>
      <c r="H158" s="235">
        <v>0</v>
      </c>
      <c r="I158" s="418">
        <v>0</v>
      </c>
      <c r="J158" s="234">
        <v>0</v>
      </c>
      <c r="K158" s="234">
        <v>0</v>
      </c>
      <c r="L158" s="234">
        <v>0</v>
      </c>
      <c r="M158" s="234">
        <v>0</v>
      </c>
      <c r="N158" s="363">
        <v>0</v>
      </c>
      <c r="O158" s="417">
        <f t="shared" si="35"/>
        <v>0</v>
      </c>
      <c r="P158" s="417">
        <v>0</v>
      </c>
      <c r="Q158" s="196">
        <v>993642.19</v>
      </c>
      <c r="R158" s="196">
        <f t="shared" si="36"/>
        <v>993642.19</v>
      </c>
    </row>
    <row r="159" spans="2:18" s="196" customFormat="1" ht="14.5" hidden="1" customHeight="1" outlineLevel="2" x14ac:dyDescent="0.35">
      <c r="B159" s="492"/>
      <c r="C159" s="485"/>
      <c r="D159" s="223" t="s">
        <v>82</v>
      </c>
      <c r="E159" s="234">
        <v>0</v>
      </c>
      <c r="F159" s="234">
        <v>0</v>
      </c>
      <c r="G159" s="234">
        <v>0</v>
      </c>
      <c r="H159" s="235">
        <v>0</v>
      </c>
      <c r="I159" s="418">
        <v>0</v>
      </c>
      <c r="J159" s="234">
        <v>0</v>
      </c>
      <c r="K159" s="234">
        <v>0</v>
      </c>
      <c r="L159" s="234">
        <v>0</v>
      </c>
      <c r="M159" s="234">
        <v>0</v>
      </c>
      <c r="N159" s="363">
        <v>0</v>
      </c>
      <c r="O159" s="417">
        <f t="shared" si="35"/>
        <v>0</v>
      </c>
      <c r="P159" s="417">
        <v>0</v>
      </c>
      <c r="Q159" s="196">
        <v>686863.97</v>
      </c>
      <c r="R159" s="196">
        <f t="shared" si="36"/>
        <v>686863.97</v>
      </c>
    </row>
    <row r="160" spans="2:18" s="196" customFormat="1" ht="14.5" hidden="1" customHeight="1" outlineLevel="2" x14ac:dyDescent="0.35">
      <c r="B160" s="492"/>
      <c r="C160" s="485"/>
      <c r="D160" s="223" t="s">
        <v>81</v>
      </c>
      <c r="E160" s="234">
        <v>0</v>
      </c>
      <c r="F160" s="234">
        <v>0</v>
      </c>
      <c r="G160" s="234">
        <v>0</v>
      </c>
      <c r="H160" s="235">
        <v>0</v>
      </c>
      <c r="I160" s="418">
        <v>0</v>
      </c>
      <c r="J160" s="234">
        <v>0</v>
      </c>
      <c r="K160" s="234">
        <v>0</v>
      </c>
      <c r="L160" s="234">
        <v>0</v>
      </c>
      <c r="M160" s="234">
        <v>0</v>
      </c>
      <c r="N160" s="363">
        <v>0</v>
      </c>
      <c r="O160" s="417">
        <f t="shared" si="35"/>
        <v>0</v>
      </c>
      <c r="P160" s="417">
        <v>0</v>
      </c>
      <c r="Q160" s="196">
        <v>1114795.92</v>
      </c>
      <c r="R160" s="196">
        <f t="shared" si="36"/>
        <v>1114795.92</v>
      </c>
    </row>
    <row r="161" spans="2:18" s="196" customFormat="1" ht="14.5" hidden="1" customHeight="1" outlineLevel="2" x14ac:dyDescent="0.35">
      <c r="B161" s="492"/>
      <c r="C161" s="485"/>
      <c r="D161" s="223" t="s">
        <v>79</v>
      </c>
      <c r="E161" s="234">
        <v>10</v>
      </c>
      <c r="F161" s="234">
        <v>16721160.98</v>
      </c>
      <c r="G161" s="234">
        <v>2146410.2999999998</v>
      </c>
      <c r="H161" s="235">
        <v>542050</v>
      </c>
      <c r="I161" s="418">
        <v>1360863.3499999999</v>
      </c>
      <c r="J161" s="234">
        <v>243496.95</v>
      </c>
      <c r="K161" s="234">
        <v>0</v>
      </c>
      <c r="L161" s="234">
        <v>0</v>
      </c>
      <c r="M161" s="234">
        <v>0</v>
      </c>
      <c r="N161" s="363">
        <v>0</v>
      </c>
      <c r="O161" s="417">
        <f t="shared" si="35"/>
        <v>1604360.2999999998</v>
      </c>
      <c r="P161" s="417">
        <v>1604360.2999999998</v>
      </c>
      <c r="Q161" s="196">
        <v>1750554.13</v>
      </c>
      <c r="R161" s="196">
        <f t="shared" si="36"/>
        <v>146193.83000000007</v>
      </c>
    </row>
    <row r="162" spans="2:18" s="196" customFormat="1" ht="14.5" hidden="1" customHeight="1" outlineLevel="2" x14ac:dyDescent="0.35">
      <c r="B162" s="492"/>
      <c r="C162" s="485"/>
      <c r="D162" s="223" t="s">
        <v>78</v>
      </c>
      <c r="E162" s="234">
        <v>0</v>
      </c>
      <c r="F162" s="234">
        <v>0</v>
      </c>
      <c r="G162" s="234">
        <v>0</v>
      </c>
      <c r="H162" s="235">
        <v>0</v>
      </c>
      <c r="I162" s="418">
        <v>0</v>
      </c>
      <c r="J162" s="234">
        <v>0</v>
      </c>
      <c r="K162" s="234">
        <v>0</v>
      </c>
      <c r="L162" s="234">
        <v>0</v>
      </c>
      <c r="M162" s="234">
        <v>0</v>
      </c>
      <c r="N162" s="363">
        <v>0</v>
      </c>
      <c r="O162" s="417">
        <f t="shared" si="35"/>
        <v>0</v>
      </c>
      <c r="P162" s="417">
        <v>0</v>
      </c>
      <c r="Q162" s="196">
        <v>0</v>
      </c>
      <c r="R162" s="196">
        <f t="shared" si="36"/>
        <v>0</v>
      </c>
    </row>
    <row r="163" spans="2:18" s="196" customFormat="1" outlineLevel="1" collapsed="1" x14ac:dyDescent="0.35">
      <c r="B163" s="492"/>
      <c r="C163" s="485"/>
      <c r="D163" s="221" t="s">
        <v>77</v>
      </c>
      <c r="E163" s="234">
        <f t="shared" ref="E163:P163" si="37">SUM(E164:E185)</f>
        <v>13</v>
      </c>
      <c r="F163" s="234">
        <f t="shared" si="37"/>
        <v>22383941.739999998</v>
      </c>
      <c r="G163" s="234">
        <f t="shared" si="37"/>
        <v>3778527.44</v>
      </c>
      <c r="H163" s="235">
        <f t="shared" si="37"/>
        <v>2653244.4500000002</v>
      </c>
      <c r="I163" s="418">
        <f t="shared" si="37"/>
        <v>399287.67000000004</v>
      </c>
      <c r="J163" s="234">
        <f t="shared" si="37"/>
        <v>143431.25</v>
      </c>
      <c r="K163" s="234">
        <f t="shared" si="37"/>
        <v>213888.91</v>
      </c>
      <c r="L163" s="234">
        <f t="shared" si="37"/>
        <v>91260.72</v>
      </c>
      <c r="M163" s="234">
        <f t="shared" si="37"/>
        <v>4430.5</v>
      </c>
      <c r="N163" s="363">
        <f t="shared" si="37"/>
        <v>272983.94</v>
      </c>
      <c r="O163" s="417">
        <f t="shared" si="37"/>
        <v>1125282.99</v>
      </c>
      <c r="P163" s="417">
        <f t="shared" si="37"/>
        <v>1382486.6099999999</v>
      </c>
      <c r="Q163" s="196">
        <v>34356978.32</v>
      </c>
      <c r="R163" s="196">
        <f t="shared" si="36"/>
        <v>32974491.710000001</v>
      </c>
    </row>
    <row r="164" spans="2:18" s="196" customFormat="1" ht="14.5" hidden="1" customHeight="1" outlineLevel="2" x14ac:dyDescent="0.35">
      <c r="B164" s="492"/>
      <c r="C164" s="485"/>
      <c r="D164" s="222" t="s">
        <v>75</v>
      </c>
      <c r="E164" s="234">
        <v>0</v>
      </c>
      <c r="F164" s="234">
        <v>0</v>
      </c>
      <c r="G164" s="234">
        <v>0</v>
      </c>
      <c r="H164" s="235">
        <v>0</v>
      </c>
      <c r="I164" s="418">
        <v>0</v>
      </c>
      <c r="J164" s="234">
        <v>0</v>
      </c>
      <c r="K164" s="234">
        <v>0</v>
      </c>
      <c r="L164" s="234">
        <v>0</v>
      </c>
      <c r="M164" s="234">
        <v>0</v>
      </c>
      <c r="N164" s="363">
        <v>0</v>
      </c>
      <c r="O164" s="417">
        <f t="shared" ref="O164:O185" si="38">SUM(I164:N164)</f>
        <v>0</v>
      </c>
      <c r="P164" s="417">
        <v>0</v>
      </c>
      <c r="Q164" s="196">
        <v>1600747.7500000005</v>
      </c>
      <c r="R164" s="196">
        <f t="shared" si="36"/>
        <v>1600747.7500000005</v>
      </c>
    </row>
    <row r="165" spans="2:18" s="196" customFormat="1" ht="14.5" hidden="1" customHeight="1" outlineLevel="2" x14ac:dyDescent="0.35">
      <c r="B165" s="492"/>
      <c r="C165" s="485"/>
      <c r="D165" s="222" t="s">
        <v>74</v>
      </c>
      <c r="E165" s="234">
        <v>1</v>
      </c>
      <c r="F165" s="234">
        <v>1286018.1499999999</v>
      </c>
      <c r="G165" s="234">
        <v>257203.63</v>
      </c>
      <c r="H165" s="235">
        <v>255600</v>
      </c>
      <c r="I165" s="418">
        <v>0</v>
      </c>
      <c r="J165" s="234">
        <v>0</v>
      </c>
      <c r="K165" s="234">
        <v>0</v>
      </c>
      <c r="L165" s="234">
        <v>0</v>
      </c>
      <c r="M165" s="234">
        <v>0</v>
      </c>
      <c r="N165" s="363">
        <v>1603.63</v>
      </c>
      <c r="O165" s="417">
        <f t="shared" si="38"/>
        <v>1603.63</v>
      </c>
      <c r="P165" s="417">
        <v>258807.25</v>
      </c>
      <c r="Q165" s="196">
        <v>5491791.9400000004</v>
      </c>
      <c r="R165" s="196">
        <f t="shared" si="36"/>
        <v>5232984.6900000004</v>
      </c>
    </row>
    <row r="166" spans="2:18" s="196" customFormat="1" ht="14.5" hidden="1" customHeight="1" outlineLevel="2" x14ac:dyDescent="0.35">
      <c r="B166" s="492"/>
      <c r="C166" s="485"/>
      <c r="D166" s="222" t="s">
        <v>73</v>
      </c>
      <c r="E166" s="234">
        <v>0</v>
      </c>
      <c r="F166" s="234">
        <v>0</v>
      </c>
      <c r="G166" s="234">
        <v>0</v>
      </c>
      <c r="H166" s="235">
        <v>0</v>
      </c>
      <c r="I166" s="418">
        <v>0</v>
      </c>
      <c r="J166" s="234">
        <v>0</v>
      </c>
      <c r="K166" s="234">
        <v>0</v>
      </c>
      <c r="L166" s="234">
        <v>0</v>
      </c>
      <c r="M166" s="234">
        <v>0</v>
      </c>
      <c r="N166" s="363">
        <v>0</v>
      </c>
      <c r="O166" s="417">
        <f t="shared" si="38"/>
        <v>0</v>
      </c>
      <c r="P166" s="417">
        <v>0</v>
      </c>
      <c r="Q166" s="196">
        <v>2298256.0100000002</v>
      </c>
      <c r="R166" s="196">
        <f t="shared" si="36"/>
        <v>2298256.0100000002</v>
      </c>
    </row>
    <row r="167" spans="2:18" s="196" customFormat="1" ht="14.5" hidden="1" customHeight="1" outlineLevel="2" x14ac:dyDescent="0.35">
      <c r="B167" s="492"/>
      <c r="C167" s="485"/>
      <c r="D167" s="222" t="s">
        <v>72</v>
      </c>
      <c r="E167" s="234">
        <v>0</v>
      </c>
      <c r="F167" s="234">
        <v>0</v>
      </c>
      <c r="G167" s="234">
        <v>0</v>
      </c>
      <c r="H167" s="235">
        <v>0</v>
      </c>
      <c r="I167" s="418">
        <v>0</v>
      </c>
      <c r="J167" s="234">
        <v>0</v>
      </c>
      <c r="K167" s="234">
        <v>0</v>
      </c>
      <c r="L167" s="234">
        <v>0</v>
      </c>
      <c r="M167" s="234">
        <v>0</v>
      </c>
      <c r="N167" s="363">
        <v>0</v>
      </c>
      <c r="O167" s="417">
        <f t="shared" si="38"/>
        <v>0</v>
      </c>
      <c r="P167" s="417">
        <v>0</v>
      </c>
      <c r="Q167" s="196">
        <v>70593.210000000006</v>
      </c>
      <c r="R167" s="196">
        <f t="shared" si="36"/>
        <v>70593.210000000006</v>
      </c>
    </row>
    <row r="168" spans="2:18" s="196" customFormat="1" ht="14.5" hidden="1" customHeight="1" outlineLevel="2" x14ac:dyDescent="0.35">
      <c r="B168" s="492"/>
      <c r="C168" s="485"/>
      <c r="D168" s="222" t="s">
        <v>70</v>
      </c>
      <c r="E168" s="234">
        <v>1</v>
      </c>
      <c r="F168" s="234">
        <v>1794612.89</v>
      </c>
      <c r="G168" s="234">
        <v>358922.58</v>
      </c>
      <c r="H168" s="235">
        <v>269192.26</v>
      </c>
      <c r="I168" s="418">
        <v>0</v>
      </c>
      <c r="J168" s="234">
        <v>0</v>
      </c>
      <c r="K168" s="234">
        <v>0</v>
      </c>
      <c r="L168" s="234">
        <v>89730.32</v>
      </c>
      <c r="M168" s="234">
        <v>0</v>
      </c>
      <c r="N168" s="363">
        <v>0</v>
      </c>
      <c r="O168" s="417">
        <f t="shared" si="38"/>
        <v>89730.32</v>
      </c>
      <c r="P168" s="417">
        <v>89730.32</v>
      </c>
      <c r="Q168" s="196">
        <v>2743086.68</v>
      </c>
      <c r="R168" s="196">
        <f t="shared" ref="R168:R199" si="39">Q168-P168</f>
        <v>2653356.3600000003</v>
      </c>
    </row>
    <row r="169" spans="2:18" s="196" customFormat="1" ht="14.5" hidden="1" customHeight="1" outlineLevel="2" x14ac:dyDescent="0.35">
      <c r="B169" s="492"/>
      <c r="C169" s="485"/>
      <c r="D169" s="222" t="s">
        <v>69</v>
      </c>
      <c r="E169" s="234">
        <v>0</v>
      </c>
      <c r="F169" s="234">
        <v>0</v>
      </c>
      <c r="G169" s="234">
        <v>0</v>
      </c>
      <c r="H169" s="235">
        <v>0</v>
      </c>
      <c r="I169" s="418">
        <v>0</v>
      </c>
      <c r="J169" s="234">
        <v>0</v>
      </c>
      <c r="K169" s="234">
        <v>0</v>
      </c>
      <c r="L169" s="234">
        <v>0</v>
      </c>
      <c r="M169" s="234">
        <v>0</v>
      </c>
      <c r="N169" s="363">
        <v>0</v>
      </c>
      <c r="O169" s="417">
        <f t="shared" si="38"/>
        <v>0</v>
      </c>
      <c r="P169" s="417">
        <v>0</v>
      </c>
      <c r="Q169" s="196">
        <v>4335934.209999999</v>
      </c>
      <c r="R169" s="196">
        <f t="shared" si="39"/>
        <v>4335934.209999999</v>
      </c>
    </row>
    <row r="170" spans="2:18" s="196" customFormat="1" ht="14.5" hidden="1" customHeight="1" outlineLevel="2" x14ac:dyDescent="0.35">
      <c r="B170" s="492"/>
      <c r="C170" s="485"/>
      <c r="D170" s="222" t="s">
        <v>68</v>
      </c>
      <c r="E170" s="234">
        <v>0</v>
      </c>
      <c r="F170" s="234">
        <v>0</v>
      </c>
      <c r="G170" s="234">
        <v>0</v>
      </c>
      <c r="H170" s="235">
        <v>0</v>
      </c>
      <c r="I170" s="418">
        <v>0</v>
      </c>
      <c r="J170" s="234">
        <v>0</v>
      </c>
      <c r="K170" s="234">
        <v>0</v>
      </c>
      <c r="L170" s="234">
        <v>0</v>
      </c>
      <c r="M170" s="234">
        <v>0</v>
      </c>
      <c r="N170" s="363">
        <v>0</v>
      </c>
      <c r="O170" s="417">
        <f t="shared" si="38"/>
        <v>0</v>
      </c>
      <c r="P170" s="417">
        <v>0</v>
      </c>
      <c r="Q170" s="196">
        <v>1533220.1199999996</v>
      </c>
      <c r="R170" s="196">
        <f t="shared" si="39"/>
        <v>1533220.1199999996</v>
      </c>
    </row>
    <row r="171" spans="2:18" s="196" customFormat="1" ht="14.5" hidden="1" customHeight="1" outlineLevel="2" x14ac:dyDescent="0.35">
      <c r="B171" s="492"/>
      <c r="C171" s="485"/>
      <c r="D171" s="222" t="s">
        <v>67</v>
      </c>
      <c r="E171" s="234">
        <v>0</v>
      </c>
      <c r="F171" s="234">
        <v>0</v>
      </c>
      <c r="G171" s="234">
        <v>0</v>
      </c>
      <c r="H171" s="235">
        <v>0</v>
      </c>
      <c r="I171" s="418">
        <v>0</v>
      </c>
      <c r="J171" s="234">
        <v>0</v>
      </c>
      <c r="K171" s="234">
        <v>0</v>
      </c>
      <c r="L171" s="234">
        <v>0</v>
      </c>
      <c r="M171" s="234">
        <v>0</v>
      </c>
      <c r="N171" s="363">
        <v>0</v>
      </c>
      <c r="O171" s="417">
        <f t="shared" si="38"/>
        <v>0</v>
      </c>
      <c r="P171" s="417">
        <v>0</v>
      </c>
      <c r="Q171" s="196">
        <v>0</v>
      </c>
      <c r="R171" s="196">
        <f t="shared" si="39"/>
        <v>0</v>
      </c>
    </row>
    <row r="172" spans="2:18" s="196" customFormat="1" ht="14.5" hidden="1" customHeight="1" outlineLevel="2" x14ac:dyDescent="0.35">
      <c r="B172" s="492"/>
      <c r="C172" s="485"/>
      <c r="D172" s="222" t="s">
        <v>65</v>
      </c>
      <c r="E172" s="234">
        <v>0</v>
      </c>
      <c r="F172" s="234">
        <v>0</v>
      </c>
      <c r="G172" s="234">
        <v>0</v>
      </c>
      <c r="H172" s="235">
        <v>0</v>
      </c>
      <c r="I172" s="418">
        <v>0</v>
      </c>
      <c r="J172" s="234">
        <v>0</v>
      </c>
      <c r="K172" s="234">
        <v>0</v>
      </c>
      <c r="L172" s="234">
        <v>0</v>
      </c>
      <c r="M172" s="234">
        <v>0</v>
      </c>
      <c r="N172" s="363">
        <v>0</v>
      </c>
      <c r="O172" s="417">
        <f t="shared" si="38"/>
        <v>0</v>
      </c>
      <c r="P172" s="417">
        <v>0</v>
      </c>
      <c r="Q172" s="196">
        <v>119963.2</v>
      </c>
      <c r="R172" s="196">
        <f t="shared" si="39"/>
        <v>119963.2</v>
      </c>
    </row>
    <row r="173" spans="2:18" s="196" customFormat="1" ht="14.5" hidden="1" customHeight="1" outlineLevel="2" x14ac:dyDescent="0.35">
      <c r="B173" s="492"/>
      <c r="C173" s="485"/>
      <c r="D173" s="222" t="s">
        <v>64</v>
      </c>
      <c r="E173" s="234">
        <v>1</v>
      </c>
      <c r="F173" s="234">
        <v>2142863.06</v>
      </c>
      <c r="G173" s="234">
        <v>428572.61</v>
      </c>
      <c r="H173" s="235">
        <v>214288</v>
      </c>
      <c r="I173" s="418">
        <v>0</v>
      </c>
      <c r="J173" s="234">
        <v>0</v>
      </c>
      <c r="K173" s="234">
        <v>0</v>
      </c>
      <c r="L173" s="234">
        <v>0</v>
      </c>
      <c r="M173" s="234">
        <v>0</v>
      </c>
      <c r="N173" s="363">
        <v>214284.61</v>
      </c>
      <c r="O173" s="417">
        <f t="shared" si="38"/>
        <v>214284.61</v>
      </c>
      <c r="P173" s="417">
        <v>214284.61</v>
      </c>
      <c r="Q173" s="196">
        <v>2794069.7000000007</v>
      </c>
      <c r="R173" s="196">
        <f t="shared" si="39"/>
        <v>2579785.0900000008</v>
      </c>
    </row>
    <row r="174" spans="2:18" s="196" customFormat="1" ht="14.5" hidden="1" customHeight="1" outlineLevel="2" x14ac:dyDescent="0.35">
      <c r="B174" s="492"/>
      <c r="C174" s="485"/>
      <c r="D174" s="222" t="s">
        <v>63</v>
      </c>
      <c r="E174" s="234">
        <v>1</v>
      </c>
      <c r="F174" s="234">
        <v>1782998.64</v>
      </c>
      <c r="G174" s="234">
        <v>356599.73</v>
      </c>
      <c r="H174" s="235">
        <v>178300</v>
      </c>
      <c r="I174" s="418">
        <v>0</v>
      </c>
      <c r="J174" s="234">
        <v>0</v>
      </c>
      <c r="K174" s="234">
        <v>178299.73</v>
      </c>
      <c r="L174" s="234">
        <v>0</v>
      </c>
      <c r="M174" s="234">
        <v>0</v>
      </c>
      <c r="N174" s="363">
        <v>0</v>
      </c>
      <c r="O174" s="417">
        <f t="shared" si="38"/>
        <v>178299.73</v>
      </c>
      <c r="P174" s="417">
        <v>178299.73</v>
      </c>
      <c r="Q174" s="196">
        <v>610704.47000000009</v>
      </c>
      <c r="R174" s="196">
        <f t="shared" si="39"/>
        <v>432404.74000000011</v>
      </c>
    </row>
    <row r="175" spans="2:18" s="196" customFormat="1" ht="14.5" hidden="1" customHeight="1" outlineLevel="2" x14ac:dyDescent="0.35">
      <c r="B175" s="492"/>
      <c r="C175" s="485"/>
      <c r="D175" s="222" t="s">
        <v>62</v>
      </c>
      <c r="E175" s="234">
        <v>0</v>
      </c>
      <c r="F175" s="234">
        <v>0</v>
      </c>
      <c r="G175" s="234">
        <v>0</v>
      </c>
      <c r="H175" s="235">
        <v>0</v>
      </c>
      <c r="I175" s="418">
        <v>0</v>
      </c>
      <c r="J175" s="234">
        <v>0</v>
      </c>
      <c r="K175" s="234">
        <v>0</v>
      </c>
      <c r="L175" s="234">
        <v>0</v>
      </c>
      <c r="M175" s="234">
        <v>0</v>
      </c>
      <c r="N175" s="363">
        <v>0</v>
      </c>
      <c r="O175" s="417">
        <f t="shared" si="38"/>
        <v>0</v>
      </c>
      <c r="P175" s="417">
        <v>0</v>
      </c>
      <c r="Q175" s="196">
        <v>0</v>
      </c>
      <c r="R175" s="196">
        <f t="shared" si="39"/>
        <v>0</v>
      </c>
    </row>
    <row r="176" spans="2:18" s="196" customFormat="1" ht="14.5" hidden="1" customHeight="1" outlineLevel="2" x14ac:dyDescent="0.35">
      <c r="B176" s="492"/>
      <c r="C176" s="485"/>
      <c r="D176" s="222" t="s">
        <v>60</v>
      </c>
      <c r="E176" s="234">
        <v>1</v>
      </c>
      <c r="F176" s="234">
        <v>2854784.63</v>
      </c>
      <c r="G176" s="234">
        <v>570956.93000000005</v>
      </c>
      <c r="H176" s="235">
        <v>513861.23</v>
      </c>
      <c r="I176" s="418">
        <v>0</v>
      </c>
      <c r="J176" s="234">
        <v>0</v>
      </c>
      <c r="K176" s="234">
        <v>0</v>
      </c>
      <c r="L176" s="234">
        <v>0</v>
      </c>
      <c r="M176" s="234">
        <v>0</v>
      </c>
      <c r="N176" s="363">
        <v>57095.7</v>
      </c>
      <c r="O176" s="417">
        <f t="shared" si="38"/>
        <v>57095.7</v>
      </c>
      <c r="P176" s="417">
        <v>57095.7</v>
      </c>
      <c r="Q176" s="196">
        <v>1153294.48</v>
      </c>
      <c r="R176" s="196">
        <f t="shared" si="39"/>
        <v>1096198.78</v>
      </c>
    </row>
    <row r="177" spans="2:18" s="196" customFormat="1" ht="14.5" hidden="1" customHeight="1" outlineLevel="2" x14ac:dyDescent="0.35">
      <c r="B177" s="492"/>
      <c r="C177" s="485"/>
      <c r="D177" s="222" t="s">
        <v>59</v>
      </c>
      <c r="E177" s="234">
        <v>4</v>
      </c>
      <c r="F177" s="234">
        <v>6373463.25</v>
      </c>
      <c r="G177" s="234">
        <v>1003742.28</v>
      </c>
      <c r="H177" s="235">
        <v>753541</v>
      </c>
      <c r="I177" s="418">
        <v>244240.38</v>
      </c>
      <c r="J177" s="234">
        <v>0</v>
      </c>
      <c r="K177" s="234">
        <v>0</v>
      </c>
      <c r="L177" s="234">
        <v>1530.4</v>
      </c>
      <c r="M177" s="234">
        <v>4430.5</v>
      </c>
      <c r="N177" s="363">
        <v>0</v>
      </c>
      <c r="O177" s="417">
        <f t="shared" si="38"/>
        <v>250201.28</v>
      </c>
      <c r="P177" s="417">
        <v>250201.28</v>
      </c>
      <c r="Q177" s="196">
        <v>4847464.8600000013</v>
      </c>
      <c r="R177" s="196">
        <f t="shared" si="39"/>
        <v>4597263.580000001</v>
      </c>
    </row>
    <row r="178" spans="2:18" s="196" customFormat="1" ht="14.5" hidden="1" customHeight="1" outlineLevel="2" x14ac:dyDescent="0.35">
      <c r="B178" s="492"/>
      <c r="C178" s="485"/>
      <c r="D178" s="222" t="s">
        <v>58</v>
      </c>
      <c r="E178" s="234">
        <v>0</v>
      </c>
      <c r="F178" s="234">
        <v>0</v>
      </c>
      <c r="G178" s="234">
        <v>0</v>
      </c>
      <c r="H178" s="235">
        <v>0</v>
      </c>
      <c r="I178" s="418">
        <v>0</v>
      </c>
      <c r="J178" s="234">
        <v>0</v>
      </c>
      <c r="K178" s="234">
        <v>0</v>
      </c>
      <c r="L178" s="234">
        <v>0</v>
      </c>
      <c r="M178" s="234">
        <v>0</v>
      </c>
      <c r="N178" s="363">
        <v>0</v>
      </c>
      <c r="O178" s="417">
        <f t="shared" si="38"/>
        <v>0</v>
      </c>
      <c r="P178" s="417">
        <v>0</v>
      </c>
      <c r="Q178" s="196">
        <v>1457217.17</v>
      </c>
      <c r="R178" s="196">
        <f t="shared" si="39"/>
        <v>1457217.17</v>
      </c>
    </row>
    <row r="179" spans="2:18" s="196" customFormat="1" ht="14.5" hidden="1" customHeight="1" outlineLevel="2" x14ac:dyDescent="0.35">
      <c r="B179" s="492"/>
      <c r="C179" s="485"/>
      <c r="D179" s="222" t="s">
        <v>57</v>
      </c>
      <c r="E179" s="234">
        <v>0</v>
      </c>
      <c r="F179" s="234">
        <v>0</v>
      </c>
      <c r="G179" s="234">
        <v>0</v>
      </c>
      <c r="H179" s="235">
        <v>0</v>
      </c>
      <c r="I179" s="418">
        <v>0</v>
      </c>
      <c r="J179" s="234">
        <v>0</v>
      </c>
      <c r="K179" s="234">
        <v>0</v>
      </c>
      <c r="L179" s="234">
        <v>0</v>
      </c>
      <c r="M179" s="234">
        <v>0</v>
      </c>
      <c r="N179" s="363">
        <v>0</v>
      </c>
      <c r="O179" s="417">
        <f t="shared" si="38"/>
        <v>0</v>
      </c>
      <c r="P179" s="417">
        <v>0</v>
      </c>
      <c r="Q179" s="196">
        <v>0</v>
      </c>
      <c r="R179" s="196">
        <f t="shared" si="39"/>
        <v>0</v>
      </c>
    </row>
    <row r="180" spans="2:18" s="196" customFormat="1" ht="14.5" hidden="1" customHeight="1" outlineLevel="2" x14ac:dyDescent="0.35">
      <c r="B180" s="492"/>
      <c r="C180" s="485"/>
      <c r="D180" s="222" t="s">
        <v>55</v>
      </c>
      <c r="E180" s="234">
        <v>0</v>
      </c>
      <c r="F180" s="234">
        <v>0</v>
      </c>
      <c r="G180" s="234">
        <v>0</v>
      </c>
      <c r="H180" s="235">
        <v>0</v>
      </c>
      <c r="I180" s="418">
        <v>0</v>
      </c>
      <c r="J180" s="234">
        <v>0</v>
      </c>
      <c r="K180" s="234">
        <v>0</v>
      </c>
      <c r="L180" s="234">
        <v>0</v>
      </c>
      <c r="M180" s="234">
        <v>0</v>
      </c>
      <c r="N180" s="363">
        <v>0</v>
      </c>
      <c r="O180" s="417">
        <f t="shared" si="38"/>
        <v>0</v>
      </c>
      <c r="P180" s="417">
        <v>0</v>
      </c>
      <c r="Q180" s="196">
        <v>1001740.82</v>
      </c>
      <c r="R180" s="196">
        <f t="shared" si="39"/>
        <v>1001740.82</v>
      </c>
    </row>
    <row r="181" spans="2:18" s="196" customFormat="1" ht="14.5" hidden="1" customHeight="1" outlineLevel="2" x14ac:dyDescent="0.35">
      <c r="B181" s="492"/>
      <c r="C181" s="485"/>
      <c r="D181" s="222" t="s">
        <v>54</v>
      </c>
      <c r="E181" s="234">
        <v>0</v>
      </c>
      <c r="F181" s="234">
        <v>0</v>
      </c>
      <c r="G181" s="234">
        <v>0</v>
      </c>
      <c r="H181" s="235">
        <v>0</v>
      </c>
      <c r="I181" s="418">
        <v>0</v>
      </c>
      <c r="J181" s="234">
        <v>0</v>
      </c>
      <c r="K181" s="234">
        <v>0</v>
      </c>
      <c r="L181" s="234">
        <v>0</v>
      </c>
      <c r="M181" s="234">
        <v>0</v>
      </c>
      <c r="N181" s="363">
        <v>0</v>
      </c>
      <c r="O181" s="417">
        <f t="shared" si="38"/>
        <v>0</v>
      </c>
      <c r="P181" s="417">
        <v>0</v>
      </c>
      <c r="Q181" s="196">
        <v>2941934.2999999989</v>
      </c>
      <c r="R181" s="196">
        <f t="shared" si="39"/>
        <v>2941934.2999999989</v>
      </c>
    </row>
    <row r="182" spans="2:18" s="196" customFormat="1" ht="14.5" hidden="1" customHeight="1" outlineLevel="2" x14ac:dyDescent="0.35">
      <c r="B182" s="492"/>
      <c r="C182" s="485"/>
      <c r="D182" s="222" t="s">
        <v>53</v>
      </c>
      <c r="E182" s="234">
        <v>0</v>
      </c>
      <c r="F182" s="234">
        <v>0</v>
      </c>
      <c r="G182" s="234">
        <v>0</v>
      </c>
      <c r="H182" s="235">
        <v>0</v>
      </c>
      <c r="I182" s="418">
        <v>0</v>
      </c>
      <c r="J182" s="234">
        <v>0</v>
      </c>
      <c r="K182" s="234">
        <v>0</v>
      </c>
      <c r="L182" s="234">
        <v>0</v>
      </c>
      <c r="M182" s="234">
        <v>0</v>
      </c>
      <c r="N182" s="363">
        <v>0</v>
      </c>
      <c r="O182" s="417">
        <f t="shared" si="38"/>
        <v>0</v>
      </c>
      <c r="P182" s="417">
        <v>0</v>
      </c>
      <c r="Q182" s="196">
        <v>0</v>
      </c>
      <c r="R182" s="196">
        <f t="shared" si="39"/>
        <v>0</v>
      </c>
    </row>
    <row r="183" spans="2:18" s="196" customFormat="1" ht="14.5" hidden="1" customHeight="1" outlineLevel="2" x14ac:dyDescent="0.35">
      <c r="B183" s="492"/>
      <c r="C183" s="485"/>
      <c r="D183" s="222" t="s">
        <v>52</v>
      </c>
      <c r="E183" s="234">
        <v>0</v>
      </c>
      <c r="F183" s="234">
        <v>0</v>
      </c>
      <c r="G183" s="234">
        <v>0</v>
      </c>
      <c r="H183" s="235">
        <v>0</v>
      </c>
      <c r="I183" s="418">
        <v>0</v>
      </c>
      <c r="J183" s="234">
        <v>0</v>
      </c>
      <c r="K183" s="234">
        <v>0</v>
      </c>
      <c r="L183" s="234">
        <v>0</v>
      </c>
      <c r="M183" s="234">
        <v>0</v>
      </c>
      <c r="N183" s="363">
        <v>0</v>
      </c>
      <c r="O183" s="417">
        <f t="shared" si="38"/>
        <v>0</v>
      </c>
      <c r="P183" s="417">
        <v>0</v>
      </c>
      <c r="Q183" s="196">
        <v>0</v>
      </c>
      <c r="R183" s="196">
        <f t="shared" si="39"/>
        <v>0</v>
      </c>
    </row>
    <row r="184" spans="2:18" s="196" customFormat="1" ht="14.5" hidden="1" customHeight="1" outlineLevel="2" x14ac:dyDescent="0.35">
      <c r="B184" s="492"/>
      <c r="C184" s="485"/>
      <c r="D184" s="222" t="s">
        <v>50</v>
      </c>
      <c r="E184" s="234">
        <v>4</v>
      </c>
      <c r="F184" s="234">
        <v>6149201.1199999992</v>
      </c>
      <c r="G184" s="234">
        <v>802529.68</v>
      </c>
      <c r="H184" s="235">
        <v>468461.96</v>
      </c>
      <c r="I184" s="418">
        <v>155047.29</v>
      </c>
      <c r="J184" s="234">
        <v>143431.25</v>
      </c>
      <c r="K184" s="234">
        <v>35589.18</v>
      </c>
      <c r="L184" s="234">
        <v>0</v>
      </c>
      <c r="M184" s="234">
        <v>0</v>
      </c>
      <c r="N184" s="363">
        <v>0</v>
      </c>
      <c r="O184" s="417">
        <f t="shared" si="38"/>
        <v>334067.72000000003</v>
      </c>
      <c r="P184" s="417">
        <v>334067.72000000003</v>
      </c>
      <c r="Q184" s="196">
        <v>760347.35000000009</v>
      </c>
      <c r="R184" s="196">
        <f t="shared" si="39"/>
        <v>426279.63000000006</v>
      </c>
    </row>
    <row r="185" spans="2:18" s="196" customFormat="1" ht="14.5" hidden="1" customHeight="1" outlineLevel="2" x14ac:dyDescent="0.35">
      <c r="B185" s="492"/>
      <c r="C185" s="485"/>
      <c r="D185" s="222" t="s">
        <v>49</v>
      </c>
      <c r="E185" s="234">
        <v>0</v>
      </c>
      <c r="F185" s="234">
        <v>0</v>
      </c>
      <c r="G185" s="234">
        <v>0</v>
      </c>
      <c r="H185" s="235">
        <v>0</v>
      </c>
      <c r="I185" s="418">
        <v>0</v>
      </c>
      <c r="J185" s="234">
        <v>0</v>
      </c>
      <c r="K185" s="234">
        <v>0</v>
      </c>
      <c r="L185" s="234">
        <v>0</v>
      </c>
      <c r="M185" s="234">
        <v>0</v>
      </c>
      <c r="N185" s="363">
        <v>0</v>
      </c>
      <c r="O185" s="417">
        <f t="shared" si="38"/>
        <v>0</v>
      </c>
      <c r="P185" s="417">
        <v>0</v>
      </c>
      <c r="Q185" s="196">
        <v>596612.05000000005</v>
      </c>
      <c r="R185" s="196">
        <f t="shared" si="39"/>
        <v>596612.05000000005</v>
      </c>
    </row>
    <row r="186" spans="2:18" s="196" customFormat="1" x14ac:dyDescent="0.35">
      <c r="B186" s="493"/>
      <c r="C186" s="494"/>
      <c r="D186" s="416" t="s">
        <v>243</v>
      </c>
      <c r="E186" s="416">
        <f t="shared" ref="E186:P186" si="40">SUM(E163,E128,E123)</f>
        <v>33</v>
      </c>
      <c r="F186" s="416">
        <f t="shared" si="40"/>
        <v>85186074.370000005</v>
      </c>
      <c r="G186" s="416">
        <f t="shared" si="40"/>
        <v>12433026.49</v>
      </c>
      <c r="H186" s="415">
        <f t="shared" si="40"/>
        <v>4504347.66</v>
      </c>
      <c r="I186" s="414">
        <f t="shared" si="40"/>
        <v>4936386.0199999996</v>
      </c>
      <c r="J186" s="413">
        <f t="shared" si="40"/>
        <v>1411577.6</v>
      </c>
      <c r="K186" s="413">
        <f t="shared" si="40"/>
        <v>213888.91</v>
      </c>
      <c r="L186" s="413">
        <f t="shared" si="40"/>
        <v>91260.72</v>
      </c>
      <c r="M186" s="413">
        <f t="shared" si="40"/>
        <v>255920.4</v>
      </c>
      <c r="N186" s="412">
        <f t="shared" si="40"/>
        <v>1019645.1799999999</v>
      </c>
      <c r="O186" s="411">
        <f t="shared" si="40"/>
        <v>7928678.8300000001</v>
      </c>
      <c r="P186" s="411">
        <f t="shared" si="40"/>
        <v>8977783.0199999996</v>
      </c>
      <c r="Q186" s="196">
        <v>214282915.27000001</v>
      </c>
      <c r="R186" s="196">
        <f t="shared" si="39"/>
        <v>205305132.25</v>
      </c>
    </row>
    <row r="187" spans="2:18" s="196" customFormat="1" ht="14.5" customHeight="1" outlineLevel="1" x14ac:dyDescent="0.35">
      <c r="B187" s="571" t="s">
        <v>242</v>
      </c>
      <c r="C187" s="572" t="s">
        <v>241</v>
      </c>
      <c r="D187" s="221" t="s">
        <v>240</v>
      </c>
      <c r="E187" s="234">
        <f t="shared" ref="E187:P187" si="41">SUM(E188:E190)</f>
        <v>7</v>
      </c>
      <c r="F187" s="234">
        <f t="shared" si="41"/>
        <v>10225270.73</v>
      </c>
      <c r="G187" s="234">
        <f t="shared" si="41"/>
        <v>1772633.03</v>
      </c>
      <c r="H187" s="235">
        <f t="shared" si="41"/>
        <v>1224452.81</v>
      </c>
      <c r="I187" s="418">
        <f t="shared" si="41"/>
        <v>217931.13</v>
      </c>
      <c r="J187" s="234">
        <f t="shared" si="41"/>
        <v>0</v>
      </c>
      <c r="K187" s="234">
        <f t="shared" si="41"/>
        <v>0</v>
      </c>
      <c r="L187" s="234">
        <f t="shared" si="41"/>
        <v>0</v>
      </c>
      <c r="M187" s="234">
        <f t="shared" si="41"/>
        <v>0</v>
      </c>
      <c r="N187" s="363">
        <f t="shared" si="41"/>
        <v>330249.09000000003</v>
      </c>
      <c r="O187" s="417">
        <f t="shared" si="41"/>
        <v>548180.22</v>
      </c>
      <c r="P187" s="417">
        <f t="shared" si="41"/>
        <v>694995.32000000007</v>
      </c>
      <c r="Q187" s="196">
        <v>16005707.289999999</v>
      </c>
      <c r="R187" s="196">
        <f t="shared" si="39"/>
        <v>15310711.969999999</v>
      </c>
    </row>
    <row r="188" spans="2:18" s="196" customFormat="1" ht="14.5" hidden="1" customHeight="1" outlineLevel="2" x14ac:dyDescent="0.35">
      <c r="B188" s="492"/>
      <c r="C188" s="485"/>
      <c r="D188" s="222" t="s">
        <v>126</v>
      </c>
      <c r="E188" s="234">
        <v>2</v>
      </c>
      <c r="F188" s="234">
        <v>2724211.23</v>
      </c>
      <c r="G188" s="234">
        <v>272421.13</v>
      </c>
      <c r="H188" s="235">
        <v>54490</v>
      </c>
      <c r="I188" s="418">
        <v>217931.13</v>
      </c>
      <c r="J188" s="234">
        <v>0</v>
      </c>
      <c r="K188" s="234">
        <v>0</v>
      </c>
      <c r="L188" s="234">
        <v>0</v>
      </c>
      <c r="M188" s="234">
        <v>0</v>
      </c>
      <c r="N188" s="363">
        <v>0</v>
      </c>
      <c r="O188" s="417">
        <f>SUM(I188:N188)</f>
        <v>217931.13</v>
      </c>
      <c r="P188" s="417">
        <v>217931.13</v>
      </c>
      <c r="Q188" s="196">
        <v>6278111.7200000007</v>
      </c>
      <c r="R188" s="196">
        <f t="shared" si="39"/>
        <v>6060180.5900000008</v>
      </c>
    </row>
    <row r="189" spans="2:18" s="196" customFormat="1" ht="14.5" hidden="1" customHeight="1" outlineLevel="2" x14ac:dyDescent="0.35">
      <c r="B189" s="492"/>
      <c r="C189" s="485"/>
      <c r="D189" s="222" t="s">
        <v>125</v>
      </c>
      <c r="E189" s="234">
        <v>3</v>
      </c>
      <c r="F189" s="234">
        <v>4543667.6900000004</v>
      </c>
      <c r="G189" s="234">
        <v>908733.54</v>
      </c>
      <c r="H189" s="235">
        <v>898621.35000000009</v>
      </c>
      <c r="I189" s="418">
        <v>0</v>
      </c>
      <c r="J189" s="234">
        <v>0</v>
      </c>
      <c r="K189" s="234">
        <v>0</v>
      </c>
      <c r="L189" s="234">
        <v>0</v>
      </c>
      <c r="M189" s="234">
        <v>0</v>
      </c>
      <c r="N189" s="363">
        <v>10112.19</v>
      </c>
      <c r="O189" s="417">
        <f>SUM(I189:N189)</f>
        <v>10112.19</v>
      </c>
      <c r="P189" s="417">
        <v>10112.19</v>
      </c>
      <c r="Q189" s="196">
        <v>4042030.26</v>
      </c>
      <c r="R189" s="196">
        <f t="shared" si="39"/>
        <v>4031918.07</v>
      </c>
    </row>
    <row r="190" spans="2:18" s="196" customFormat="1" ht="14.5" hidden="1" customHeight="1" outlineLevel="2" x14ac:dyDescent="0.35">
      <c r="B190" s="492"/>
      <c r="C190" s="485"/>
      <c r="D190" s="222" t="s">
        <v>124</v>
      </c>
      <c r="E190" s="234">
        <v>2</v>
      </c>
      <c r="F190" s="234">
        <v>2957391.81</v>
      </c>
      <c r="G190" s="234">
        <v>591478.3600000001</v>
      </c>
      <c r="H190" s="235">
        <v>271341.46000000002</v>
      </c>
      <c r="I190" s="418">
        <v>0</v>
      </c>
      <c r="J190" s="234">
        <v>0</v>
      </c>
      <c r="K190" s="234">
        <v>0</v>
      </c>
      <c r="L190" s="234">
        <v>0</v>
      </c>
      <c r="M190" s="234">
        <v>0</v>
      </c>
      <c r="N190" s="363">
        <v>320136.90000000002</v>
      </c>
      <c r="O190" s="417">
        <f>SUM(I190:N190)</f>
        <v>320136.90000000002</v>
      </c>
      <c r="P190" s="417">
        <v>466952</v>
      </c>
      <c r="Q190" s="196">
        <v>5685565.3099999996</v>
      </c>
      <c r="R190" s="196">
        <f t="shared" si="39"/>
        <v>5218613.3099999996</v>
      </c>
    </row>
    <row r="191" spans="2:18" s="196" customFormat="1" ht="14.5" customHeight="1" outlineLevel="1" collapsed="1" x14ac:dyDescent="0.35">
      <c r="B191" s="492"/>
      <c r="C191" s="485"/>
      <c r="D191" s="221" t="s">
        <v>46</v>
      </c>
      <c r="E191" s="234">
        <f t="shared" ref="E191:P191" si="42">SUM(E192:E195)</f>
        <v>1</v>
      </c>
      <c r="F191" s="234">
        <f t="shared" si="42"/>
        <v>1215914.42</v>
      </c>
      <c r="G191" s="234">
        <f t="shared" si="42"/>
        <v>121591.44</v>
      </c>
      <c r="H191" s="235">
        <f t="shared" si="42"/>
        <v>24350</v>
      </c>
      <c r="I191" s="418">
        <f t="shared" si="42"/>
        <v>0</v>
      </c>
      <c r="J191" s="234">
        <f t="shared" si="42"/>
        <v>0</v>
      </c>
      <c r="K191" s="234">
        <f t="shared" si="42"/>
        <v>97241.44</v>
      </c>
      <c r="L191" s="234">
        <f t="shared" si="42"/>
        <v>0</v>
      </c>
      <c r="M191" s="234">
        <f t="shared" si="42"/>
        <v>0</v>
      </c>
      <c r="N191" s="363">
        <f t="shared" si="42"/>
        <v>0</v>
      </c>
      <c r="O191" s="417">
        <f t="shared" si="42"/>
        <v>97241.44</v>
      </c>
      <c r="P191" s="417">
        <f t="shared" si="42"/>
        <v>97241.44</v>
      </c>
      <c r="Q191" s="196">
        <v>1213896.67</v>
      </c>
      <c r="R191" s="196">
        <f t="shared" si="39"/>
        <v>1116655.23</v>
      </c>
    </row>
    <row r="192" spans="2:18" s="196" customFormat="1" ht="14.5" hidden="1" customHeight="1" outlineLevel="2" x14ac:dyDescent="0.35">
      <c r="B192" s="492"/>
      <c r="C192" s="485"/>
      <c r="D192" s="222" t="s">
        <v>45</v>
      </c>
      <c r="E192" s="234">
        <v>1</v>
      </c>
      <c r="F192" s="234">
        <v>1215914.42</v>
      </c>
      <c r="G192" s="234">
        <v>121591.44</v>
      </c>
      <c r="H192" s="235">
        <v>24350</v>
      </c>
      <c r="I192" s="418">
        <v>0</v>
      </c>
      <c r="J192" s="234">
        <v>0</v>
      </c>
      <c r="K192" s="234">
        <v>97241.44</v>
      </c>
      <c r="L192" s="234">
        <v>0</v>
      </c>
      <c r="M192" s="234">
        <v>0</v>
      </c>
      <c r="N192" s="363">
        <v>0</v>
      </c>
      <c r="O192" s="417">
        <f>SUM(I192:N192)</f>
        <v>97241.44</v>
      </c>
      <c r="P192" s="417">
        <v>97241.44</v>
      </c>
      <c r="Q192" s="196">
        <v>243399.87999999998</v>
      </c>
      <c r="R192" s="196">
        <f t="shared" si="39"/>
        <v>146158.43999999997</v>
      </c>
    </row>
    <row r="193" spans="2:18" s="196" customFormat="1" ht="14.5" hidden="1" customHeight="1" outlineLevel="2" x14ac:dyDescent="0.35">
      <c r="B193" s="492"/>
      <c r="C193" s="485"/>
      <c r="D193" s="222" t="s">
        <v>44</v>
      </c>
      <c r="E193" s="234">
        <v>0</v>
      </c>
      <c r="F193" s="234">
        <v>0</v>
      </c>
      <c r="G193" s="234">
        <v>0</v>
      </c>
      <c r="H193" s="235">
        <v>0</v>
      </c>
      <c r="I193" s="418">
        <v>0</v>
      </c>
      <c r="J193" s="234">
        <v>0</v>
      </c>
      <c r="K193" s="234">
        <v>0</v>
      </c>
      <c r="L193" s="234">
        <v>0</v>
      </c>
      <c r="M193" s="234">
        <v>0</v>
      </c>
      <c r="N193" s="363">
        <v>0</v>
      </c>
      <c r="O193" s="417">
        <f>SUM(I193:N193)</f>
        <v>0</v>
      </c>
      <c r="P193" s="417">
        <v>0</v>
      </c>
      <c r="Q193" s="196">
        <v>0</v>
      </c>
      <c r="R193" s="196">
        <f t="shared" si="39"/>
        <v>0</v>
      </c>
    </row>
    <row r="194" spans="2:18" s="196" customFormat="1" ht="14.5" hidden="1" customHeight="1" outlineLevel="2" x14ac:dyDescent="0.35">
      <c r="B194" s="492"/>
      <c r="C194" s="485"/>
      <c r="D194" s="222" t="s">
        <v>43</v>
      </c>
      <c r="E194" s="234">
        <v>0</v>
      </c>
      <c r="F194" s="234">
        <v>0</v>
      </c>
      <c r="G194" s="234">
        <v>0</v>
      </c>
      <c r="H194" s="235">
        <v>0</v>
      </c>
      <c r="I194" s="418">
        <v>0</v>
      </c>
      <c r="J194" s="234">
        <v>0</v>
      </c>
      <c r="K194" s="234">
        <v>0</v>
      </c>
      <c r="L194" s="234">
        <v>0</v>
      </c>
      <c r="M194" s="234">
        <v>0</v>
      </c>
      <c r="N194" s="363">
        <v>0</v>
      </c>
      <c r="O194" s="417">
        <f>SUM(I194:N194)</f>
        <v>0</v>
      </c>
      <c r="P194" s="417">
        <v>0</v>
      </c>
      <c r="Q194" s="196">
        <v>642696.63</v>
      </c>
      <c r="R194" s="196">
        <f t="shared" si="39"/>
        <v>642696.63</v>
      </c>
    </row>
    <row r="195" spans="2:18" s="196" customFormat="1" ht="14.5" hidden="1" customHeight="1" outlineLevel="2" x14ac:dyDescent="0.35">
      <c r="B195" s="492"/>
      <c r="C195" s="485"/>
      <c r="D195" s="222" t="s">
        <v>42</v>
      </c>
      <c r="E195" s="234">
        <v>0</v>
      </c>
      <c r="F195" s="234">
        <v>0</v>
      </c>
      <c r="G195" s="234">
        <v>0</v>
      </c>
      <c r="H195" s="235">
        <v>0</v>
      </c>
      <c r="I195" s="418">
        <v>0</v>
      </c>
      <c r="J195" s="234">
        <v>0</v>
      </c>
      <c r="K195" s="234">
        <v>0</v>
      </c>
      <c r="L195" s="234">
        <v>0</v>
      </c>
      <c r="M195" s="234">
        <v>0</v>
      </c>
      <c r="N195" s="363">
        <v>0</v>
      </c>
      <c r="O195" s="417">
        <f>SUM(I195:N195)</f>
        <v>0</v>
      </c>
      <c r="P195" s="417">
        <v>0</v>
      </c>
      <c r="Q195" s="196">
        <v>327800.15999999997</v>
      </c>
      <c r="R195" s="196">
        <f t="shared" si="39"/>
        <v>327800.15999999997</v>
      </c>
    </row>
    <row r="196" spans="2:18" s="196" customFormat="1" x14ac:dyDescent="0.35">
      <c r="B196" s="493"/>
      <c r="C196" s="494"/>
      <c r="D196" s="416" t="s">
        <v>239</v>
      </c>
      <c r="E196" s="416">
        <f t="shared" ref="E196:P196" si="43">SUM(E191,E187)</f>
        <v>8</v>
      </c>
      <c r="F196" s="416">
        <f t="shared" si="43"/>
        <v>11441185.15</v>
      </c>
      <c r="G196" s="416">
        <f t="shared" si="43"/>
        <v>1894224.47</v>
      </c>
      <c r="H196" s="415">
        <f t="shared" si="43"/>
        <v>1248802.81</v>
      </c>
      <c r="I196" s="414">
        <f t="shared" si="43"/>
        <v>217931.13</v>
      </c>
      <c r="J196" s="413">
        <f t="shared" si="43"/>
        <v>0</v>
      </c>
      <c r="K196" s="413">
        <f t="shared" si="43"/>
        <v>97241.44</v>
      </c>
      <c r="L196" s="413">
        <f t="shared" si="43"/>
        <v>0</v>
      </c>
      <c r="M196" s="413">
        <f t="shared" si="43"/>
        <v>0</v>
      </c>
      <c r="N196" s="412">
        <f t="shared" si="43"/>
        <v>330249.09000000003</v>
      </c>
      <c r="O196" s="411">
        <f t="shared" si="43"/>
        <v>645421.65999999992</v>
      </c>
      <c r="P196" s="411">
        <f t="shared" si="43"/>
        <v>792236.76</v>
      </c>
      <c r="Q196" s="196">
        <v>17219603.960000001</v>
      </c>
      <c r="R196" s="196">
        <f t="shared" si="39"/>
        <v>16427367.200000001</v>
      </c>
    </row>
    <row r="197" spans="2:18" s="196" customFormat="1" ht="14.5" customHeight="1" outlineLevel="1" x14ac:dyDescent="0.35">
      <c r="B197" s="571" t="s">
        <v>238</v>
      </c>
      <c r="C197" s="572" t="s">
        <v>237</v>
      </c>
      <c r="D197" s="221" t="s">
        <v>32</v>
      </c>
      <c r="E197" s="234">
        <f t="shared" ref="E197:P197" si="44">SUM(E198:E200)</f>
        <v>249</v>
      </c>
      <c r="F197" s="234">
        <f t="shared" si="44"/>
        <v>450073227.15999997</v>
      </c>
      <c r="G197" s="234">
        <f t="shared" si="44"/>
        <v>64834558.479999989</v>
      </c>
      <c r="H197" s="235">
        <f t="shared" si="44"/>
        <v>12609616.600000001</v>
      </c>
      <c r="I197" s="418">
        <f t="shared" si="44"/>
        <v>52224941.87999998</v>
      </c>
      <c r="J197" s="234">
        <f t="shared" si="44"/>
        <v>0</v>
      </c>
      <c r="K197" s="234">
        <f t="shared" si="44"/>
        <v>0</v>
      </c>
      <c r="L197" s="234">
        <f t="shared" si="44"/>
        <v>0</v>
      </c>
      <c r="M197" s="234">
        <f t="shared" si="44"/>
        <v>0</v>
      </c>
      <c r="N197" s="363">
        <f t="shared" si="44"/>
        <v>0</v>
      </c>
      <c r="O197" s="417">
        <f t="shared" si="44"/>
        <v>52224941.87999998</v>
      </c>
      <c r="P197" s="417">
        <f t="shared" si="44"/>
        <v>52224941.87999998</v>
      </c>
      <c r="Q197" s="196">
        <v>52224999.569999978</v>
      </c>
      <c r="R197" s="196">
        <f t="shared" si="39"/>
        <v>57.689999997615814</v>
      </c>
    </row>
    <row r="198" spans="2:18" s="196" customFormat="1" ht="14.5" hidden="1" customHeight="1" outlineLevel="2" x14ac:dyDescent="0.35">
      <c r="B198" s="492"/>
      <c r="C198" s="485"/>
      <c r="D198" s="222" t="s">
        <v>31</v>
      </c>
      <c r="E198" s="234">
        <v>107</v>
      </c>
      <c r="F198" s="234">
        <v>186325039.53000003</v>
      </c>
      <c r="G198" s="234">
        <v>28028580.019999996</v>
      </c>
      <c r="H198" s="235">
        <v>5368811.0499999998</v>
      </c>
      <c r="I198" s="418">
        <v>22659768.969999988</v>
      </c>
      <c r="J198" s="234">
        <v>0</v>
      </c>
      <c r="K198" s="234">
        <v>0</v>
      </c>
      <c r="L198" s="234">
        <v>0</v>
      </c>
      <c r="M198" s="234">
        <v>0</v>
      </c>
      <c r="N198" s="363">
        <v>0</v>
      </c>
      <c r="O198" s="417">
        <f>SUM(I198:N198)</f>
        <v>22659768.969999988</v>
      </c>
      <c r="P198" s="417">
        <v>22659768.969999988</v>
      </c>
      <c r="Q198" s="196">
        <v>22659819.349999987</v>
      </c>
      <c r="R198" s="196">
        <f t="shared" si="39"/>
        <v>50.379999998956919</v>
      </c>
    </row>
    <row r="199" spans="2:18" s="196" customFormat="1" ht="14.5" hidden="1" customHeight="1" outlineLevel="2" x14ac:dyDescent="0.35">
      <c r="B199" s="492"/>
      <c r="C199" s="485"/>
      <c r="D199" s="222" t="s">
        <v>30</v>
      </c>
      <c r="E199" s="234">
        <v>80</v>
      </c>
      <c r="F199" s="234">
        <v>143743569.69999993</v>
      </c>
      <c r="G199" s="234">
        <v>21488440.449999996</v>
      </c>
      <c r="H199" s="235">
        <v>5041363.25</v>
      </c>
      <c r="I199" s="418">
        <v>16447077.199999992</v>
      </c>
      <c r="J199" s="234">
        <v>0</v>
      </c>
      <c r="K199" s="234">
        <v>0</v>
      </c>
      <c r="L199" s="234">
        <v>0</v>
      </c>
      <c r="M199" s="234">
        <v>0</v>
      </c>
      <c r="N199" s="363">
        <v>0</v>
      </c>
      <c r="O199" s="417">
        <f>SUM(I199:N199)</f>
        <v>16447077.199999992</v>
      </c>
      <c r="P199" s="417">
        <v>16447077.199999992</v>
      </c>
      <c r="Q199" s="196">
        <v>16447084.50999999</v>
      </c>
      <c r="R199" s="196">
        <f t="shared" si="39"/>
        <v>7.3099999986588955</v>
      </c>
    </row>
    <row r="200" spans="2:18" s="196" customFormat="1" ht="14.5" hidden="1" customHeight="1" outlineLevel="2" x14ac:dyDescent="0.35">
      <c r="B200" s="492"/>
      <c r="C200" s="485"/>
      <c r="D200" s="222" t="s">
        <v>29</v>
      </c>
      <c r="E200" s="234">
        <v>62</v>
      </c>
      <c r="F200" s="234">
        <v>120004617.92999998</v>
      </c>
      <c r="G200" s="234">
        <v>15317538.010000002</v>
      </c>
      <c r="H200" s="235">
        <v>2199442.2999999998</v>
      </c>
      <c r="I200" s="418">
        <v>13118095.710000001</v>
      </c>
      <c r="J200" s="234">
        <v>0</v>
      </c>
      <c r="K200" s="234">
        <v>0</v>
      </c>
      <c r="L200" s="234">
        <v>0</v>
      </c>
      <c r="M200" s="234">
        <v>0</v>
      </c>
      <c r="N200" s="363">
        <v>0</v>
      </c>
      <c r="O200" s="417">
        <f>SUM(I200:N200)</f>
        <v>13118095.710000001</v>
      </c>
      <c r="P200" s="417">
        <v>13118095.710000001</v>
      </c>
      <c r="Q200" s="196">
        <v>13118095.710000001</v>
      </c>
      <c r="R200" s="196">
        <f t="shared" ref="R200:R231" si="45">Q200-P200</f>
        <v>0</v>
      </c>
    </row>
    <row r="201" spans="2:18" s="196" customFormat="1" ht="14.5" customHeight="1" outlineLevel="1" collapsed="1" x14ac:dyDescent="0.35">
      <c r="B201" s="492"/>
      <c r="C201" s="485"/>
      <c r="D201" s="221" t="s">
        <v>28</v>
      </c>
      <c r="E201" s="234">
        <v>28</v>
      </c>
      <c r="F201" s="234">
        <v>166079482.38000003</v>
      </c>
      <c r="G201" s="234">
        <v>23283216.669999998</v>
      </c>
      <c r="H201" s="235">
        <v>7123312.4000000004</v>
      </c>
      <c r="I201" s="418">
        <v>16159904.270000001</v>
      </c>
      <c r="J201" s="234">
        <v>0</v>
      </c>
      <c r="K201" s="234">
        <v>0</v>
      </c>
      <c r="L201" s="234">
        <v>0</v>
      </c>
      <c r="M201" s="234">
        <v>0</v>
      </c>
      <c r="N201" s="363">
        <v>0</v>
      </c>
      <c r="O201" s="417">
        <f>SUM(I201:N201)</f>
        <v>16159904.270000001</v>
      </c>
      <c r="P201" s="417">
        <v>16159904.270000001</v>
      </c>
      <c r="Q201" s="196">
        <v>16159905.100000001</v>
      </c>
      <c r="R201" s="196">
        <f t="shared" si="45"/>
        <v>0.83000000007450581</v>
      </c>
    </row>
    <row r="202" spans="2:18" s="196" customFormat="1" ht="14.5" customHeight="1" outlineLevel="1" x14ac:dyDescent="0.35">
      <c r="B202" s="492"/>
      <c r="C202" s="485"/>
      <c r="D202" s="221" t="s">
        <v>27</v>
      </c>
      <c r="E202" s="234">
        <v>11</v>
      </c>
      <c r="F202" s="234">
        <v>118164406.41000001</v>
      </c>
      <c r="G202" s="234">
        <v>14103095.559999999</v>
      </c>
      <c r="H202" s="235">
        <v>2482951</v>
      </c>
      <c r="I202" s="418">
        <v>11620144.559999999</v>
      </c>
      <c r="J202" s="234">
        <v>0</v>
      </c>
      <c r="K202" s="234">
        <v>0</v>
      </c>
      <c r="L202" s="234">
        <v>0</v>
      </c>
      <c r="M202" s="234">
        <v>0</v>
      </c>
      <c r="N202" s="363">
        <v>0</v>
      </c>
      <c r="O202" s="417">
        <f>SUM(I202:N202)</f>
        <v>11620144.559999999</v>
      </c>
      <c r="P202" s="417">
        <v>11620144.559999999</v>
      </c>
      <c r="Q202" s="196">
        <v>11620144.559999999</v>
      </c>
      <c r="R202" s="196">
        <f t="shared" si="45"/>
        <v>0</v>
      </c>
    </row>
    <row r="203" spans="2:18" s="196" customFormat="1" x14ac:dyDescent="0.35">
      <c r="B203" s="493"/>
      <c r="C203" s="494"/>
      <c r="D203" s="416" t="s">
        <v>236</v>
      </c>
      <c r="E203" s="416">
        <f t="shared" ref="E203:R203" si="46">SUM(E202,E201,E197)</f>
        <v>288</v>
      </c>
      <c r="F203" s="416">
        <f t="shared" si="46"/>
        <v>734317115.95000005</v>
      </c>
      <c r="G203" s="416">
        <f t="shared" si="46"/>
        <v>102220870.70999998</v>
      </c>
      <c r="H203" s="415">
        <f t="shared" si="46"/>
        <v>22215880</v>
      </c>
      <c r="I203" s="414">
        <f t="shared" si="46"/>
        <v>80004990.709999979</v>
      </c>
      <c r="J203" s="413">
        <f t="shared" si="46"/>
        <v>0</v>
      </c>
      <c r="K203" s="413">
        <f t="shared" si="46"/>
        <v>0</v>
      </c>
      <c r="L203" s="413">
        <f t="shared" si="46"/>
        <v>0</v>
      </c>
      <c r="M203" s="413">
        <f t="shared" si="46"/>
        <v>0</v>
      </c>
      <c r="N203" s="412">
        <f t="shared" si="46"/>
        <v>0</v>
      </c>
      <c r="O203" s="411">
        <f t="shared" si="46"/>
        <v>80004990.709999979</v>
      </c>
      <c r="P203" s="411">
        <f t="shared" si="46"/>
        <v>80004990.709999979</v>
      </c>
      <c r="Q203" s="196">
        <f t="shared" si="46"/>
        <v>80005049.229999974</v>
      </c>
      <c r="R203" s="196">
        <f t="shared" si="46"/>
        <v>58.51999999769032</v>
      </c>
    </row>
    <row r="204" spans="2:18" s="196" customFormat="1" ht="15" thickBot="1" x14ac:dyDescent="0.4">
      <c r="B204" s="569" t="s">
        <v>235</v>
      </c>
      <c r="C204" s="570"/>
      <c r="D204" s="410" t="s">
        <v>15</v>
      </c>
      <c r="E204" s="409">
        <f t="shared" ref="E204:R204" si="47">SUM(E203,E186,E121,E108,E75,E41,E116,E196)</f>
        <v>688</v>
      </c>
      <c r="F204" s="409">
        <f t="shared" si="47"/>
        <v>2083144006.0900002</v>
      </c>
      <c r="G204" s="409">
        <f t="shared" si="47"/>
        <v>342752490.66000003</v>
      </c>
      <c r="H204" s="409">
        <f t="shared" si="47"/>
        <v>178082134.92000002</v>
      </c>
      <c r="I204" s="408">
        <f t="shared" si="47"/>
        <v>127577123.57999995</v>
      </c>
      <c r="J204" s="407">
        <f t="shared" si="47"/>
        <v>9469019</v>
      </c>
      <c r="K204" s="407">
        <f t="shared" si="47"/>
        <v>3247956.51</v>
      </c>
      <c r="L204" s="407">
        <f t="shared" si="47"/>
        <v>3654658.96</v>
      </c>
      <c r="M204" s="407">
        <f t="shared" si="47"/>
        <v>3200185</v>
      </c>
      <c r="N204" s="406">
        <f t="shared" si="47"/>
        <v>17521412.689999998</v>
      </c>
      <c r="O204" s="405">
        <f t="shared" si="47"/>
        <v>164670355.73999995</v>
      </c>
      <c r="P204" s="405">
        <f t="shared" si="47"/>
        <v>256938272.20999995</v>
      </c>
      <c r="Q204" s="196">
        <f t="shared" si="47"/>
        <v>1893779883.2100003</v>
      </c>
      <c r="R204" s="196">
        <f t="shared" si="47"/>
        <v>1636841611.0000005</v>
      </c>
    </row>
    <row r="205" spans="2:18" x14ac:dyDescent="0.35">
      <c r="H205" s="196">
        <f>SUM('C1'!I204,'C2'!I204,'C3'!I204,'C4'!I204,'C5'!I204,'C6'!I204)</f>
        <v>178082134.92000002</v>
      </c>
      <c r="O205" s="196">
        <v>164670355.74000028</v>
      </c>
    </row>
    <row r="207" spans="2:18" x14ac:dyDescent="0.35">
      <c r="M207" s="330"/>
      <c r="O207" s="330" t="s">
        <v>290</v>
      </c>
      <c r="P207" s="196">
        <v>1636841611.0000002</v>
      </c>
    </row>
    <row r="208" spans="2:18" x14ac:dyDescent="0.35">
      <c r="M208" s="330"/>
      <c r="N208" s="330"/>
      <c r="O208" s="330"/>
    </row>
    <row r="209" spans="13:15" s="196" customFormat="1" x14ac:dyDescent="0.35">
      <c r="M209" s="330"/>
      <c r="N209" s="330"/>
      <c r="O209" s="330"/>
    </row>
  </sheetData>
  <mergeCells count="25">
    <mergeCell ref="B204:C204"/>
    <mergeCell ref="B122:B186"/>
    <mergeCell ref="C122:C186"/>
    <mergeCell ref="B187:B196"/>
    <mergeCell ref="C187:C196"/>
    <mergeCell ref="B197:B203"/>
    <mergeCell ref="C197:C203"/>
    <mergeCell ref="B76:B108"/>
    <mergeCell ref="C76:C108"/>
    <mergeCell ref="B109:B116"/>
    <mergeCell ref="C109:C116"/>
    <mergeCell ref="B117:B121"/>
    <mergeCell ref="C117:C121"/>
    <mergeCell ref="B42:B75"/>
    <mergeCell ref="C42:C75"/>
    <mergeCell ref="B5:C6"/>
    <mergeCell ref="D5:D6"/>
    <mergeCell ref="E5:E6"/>
    <mergeCell ref="G5:G6"/>
    <mergeCell ref="H5:H6"/>
    <mergeCell ref="I5:O6"/>
    <mergeCell ref="P5:P6"/>
    <mergeCell ref="B8:B41"/>
    <mergeCell ref="C8:C41"/>
    <mergeCell ref="F5:F6"/>
  </mergeCells>
  <pageMargins left="0.70866141732283472" right="0.70866141732283472" top="0.74803149606299213" bottom="0.74803149606299213" header="0.31496062992125984" footer="0.31496062992125984"/>
  <pageSetup paperSize="8" scale="69" orientation="landscape" r:id="rId1"/>
  <headerFooter alignWithMargins="0">
    <oddHeader>&amp;LSOBHA LLC&amp;C&amp;"Tahoma,Regular"&amp;14
BOOKING OVERDUE AGEING_ Age calc. from booking date&amp;R&amp;D</oddHeader>
    <oddFooter>&amp;LCOLLECTIONS&amp;R&amp;P/&amp;N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BC9-F376-4B50-8482-00AEA792BB50}">
  <sheetPr>
    <pageSetUpPr fitToPage="1"/>
  </sheetPr>
  <dimension ref="B1:O224"/>
  <sheetViews>
    <sheetView view="pageBreakPreview" zoomScale="60" zoomScaleNormal="100" workbookViewId="0"/>
  </sheetViews>
  <sheetFormatPr defaultRowHeight="14.5" outlineLevelRow="2" x14ac:dyDescent="0.35"/>
  <cols>
    <col min="2" max="2" width="28.26953125" bestFit="1" customWidth="1"/>
    <col min="3" max="3" width="5" bestFit="1" customWidth="1"/>
    <col min="4" max="4" width="41.26953125" bestFit="1" customWidth="1"/>
    <col min="5" max="5" width="16.26953125" customWidth="1"/>
    <col min="6" max="6" width="13.7265625" bestFit="1" customWidth="1"/>
    <col min="7" max="7" width="20" bestFit="1" customWidth="1"/>
    <col min="8" max="8" width="18.1796875" bestFit="1" customWidth="1"/>
    <col min="9" max="9" width="20.81640625" bestFit="1" customWidth="1"/>
    <col min="10" max="10" width="16.54296875" bestFit="1" customWidth="1"/>
    <col min="11" max="11" width="6.453125" bestFit="1" customWidth="1"/>
    <col min="12" max="12" width="5.54296875" bestFit="1" customWidth="1"/>
    <col min="15" max="15" width="16.453125" bestFit="1" customWidth="1"/>
  </cols>
  <sheetData>
    <row r="1" spans="2:15" x14ac:dyDescent="0.35">
      <c r="O1" s="443">
        <v>127577123.58000028</v>
      </c>
    </row>
    <row r="3" spans="2:15" x14ac:dyDescent="0.35">
      <c r="B3" s="288">
        <v>46143</v>
      </c>
      <c r="C3" t="s">
        <v>268</v>
      </c>
    </row>
    <row r="4" spans="2:15" ht="15" thickBot="1" x14ac:dyDescent="0.4"/>
    <row r="5" spans="2:15" ht="28" x14ac:dyDescent="0.35">
      <c r="B5" s="565" t="s">
        <v>276</v>
      </c>
      <c r="C5" s="579"/>
      <c r="D5" s="581" t="s">
        <v>275</v>
      </c>
      <c r="E5" s="573" t="s">
        <v>281</v>
      </c>
      <c r="F5" s="575" t="s">
        <v>280</v>
      </c>
      <c r="G5" s="573" t="s">
        <v>274</v>
      </c>
      <c r="H5" s="577" t="s">
        <v>294</v>
      </c>
      <c r="I5" s="577" t="s">
        <v>272</v>
      </c>
      <c r="J5" s="442" t="s">
        <v>279</v>
      </c>
    </row>
    <row r="6" spans="2:15" x14ac:dyDescent="0.35">
      <c r="B6" s="567"/>
      <c r="C6" s="580"/>
      <c r="D6" s="582"/>
      <c r="E6" s="574"/>
      <c r="F6" s="576"/>
      <c r="G6" s="574"/>
      <c r="H6" s="578"/>
      <c r="I6" s="578"/>
      <c r="J6" s="441"/>
    </row>
    <row r="7" spans="2:15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01"/>
      <c r="M7" s="400"/>
    </row>
    <row r="8" spans="2:15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01">
        <f t="shared" si="0"/>
        <v>0</v>
      </c>
      <c r="K8" t="s">
        <v>277</v>
      </c>
      <c r="L8">
        <v>1500</v>
      </c>
      <c r="M8" s="400"/>
    </row>
    <row r="9" spans="2:15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01">
        <v>0</v>
      </c>
      <c r="M9" s="399"/>
    </row>
    <row r="10" spans="2:15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01">
        <v>0</v>
      </c>
      <c r="M10" s="399"/>
    </row>
    <row r="11" spans="2:15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01">
        <v>0</v>
      </c>
      <c r="M11" s="399"/>
    </row>
    <row r="12" spans="2:15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01">
        <v>0</v>
      </c>
      <c r="M12" s="399"/>
    </row>
    <row r="13" spans="2:15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01">
        <v>0</v>
      </c>
      <c r="M13" s="399"/>
    </row>
    <row r="14" spans="2:15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01">
        <v>0</v>
      </c>
      <c r="M14" s="399"/>
    </row>
    <row r="15" spans="2:15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01">
        <v>0</v>
      </c>
      <c r="M15" s="400"/>
    </row>
    <row r="16" spans="2:15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01">
        <f t="shared" si="1"/>
        <v>0</v>
      </c>
      <c r="M16" s="400"/>
    </row>
    <row r="17" spans="2:13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01">
        <v>0</v>
      </c>
      <c r="M17" s="399"/>
    </row>
    <row r="18" spans="2:13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01">
        <v>0</v>
      </c>
      <c r="M18" s="399"/>
    </row>
    <row r="19" spans="2:13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01">
        <v>0</v>
      </c>
      <c r="M19" s="399"/>
    </row>
    <row r="20" spans="2:13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01">
        <v>0</v>
      </c>
      <c r="M20" s="399"/>
    </row>
    <row r="21" spans="2:13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01">
        <v>0</v>
      </c>
      <c r="M21" s="399"/>
    </row>
    <row r="22" spans="2:13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01">
        <f t="shared" si="2"/>
        <v>0</v>
      </c>
      <c r="M22" s="400"/>
    </row>
    <row r="23" spans="2:13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01">
        <v>0</v>
      </c>
      <c r="M23" s="399"/>
    </row>
    <row r="24" spans="2:13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01">
        <v>0</v>
      </c>
      <c r="M24" s="399"/>
    </row>
    <row r="25" spans="2:13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01">
        <v>0</v>
      </c>
      <c r="M25" s="399"/>
    </row>
    <row r="26" spans="2:13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01">
        <v>0</v>
      </c>
      <c r="M26" s="399"/>
    </row>
    <row r="27" spans="2:13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01">
        <v>0</v>
      </c>
      <c r="M27" s="400"/>
    </row>
    <row r="28" spans="2:13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01">
        <v>0</v>
      </c>
      <c r="M28" s="400"/>
    </row>
    <row r="29" spans="2:13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01">
        <f t="shared" si="3"/>
        <v>0</v>
      </c>
      <c r="M29" s="400"/>
    </row>
    <row r="30" spans="2:13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01">
        <v>0</v>
      </c>
      <c r="M30" s="399"/>
    </row>
    <row r="31" spans="2:13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01">
        <v>0</v>
      </c>
      <c r="M31" s="399"/>
    </row>
    <row r="32" spans="2:13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01">
        <v>0</v>
      </c>
      <c r="M32" s="399"/>
    </row>
    <row r="33" spans="2:13" outlineLevel="1" collapsed="1" x14ac:dyDescent="0.35">
      <c r="B33" s="503"/>
      <c r="C33" s="506"/>
      <c r="D33" s="246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01">
        <v>0</v>
      </c>
      <c r="M33" s="394"/>
    </row>
    <row r="34" spans="2:13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01">
        <f t="shared" si="4"/>
        <v>0</v>
      </c>
      <c r="M34" s="399"/>
    </row>
    <row r="35" spans="2:13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01">
        <v>0</v>
      </c>
      <c r="M35" s="399"/>
    </row>
    <row r="36" spans="2:13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01">
        <v>0</v>
      </c>
      <c r="M36" s="399"/>
    </row>
    <row r="37" spans="2:13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01">
        <v>0</v>
      </c>
      <c r="M37" s="399"/>
    </row>
    <row r="38" spans="2:13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01">
        <v>0</v>
      </c>
      <c r="M38" s="399"/>
    </row>
    <row r="39" spans="2:13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01">
        <v>0</v>
      </c>
      <c r="M39" s="400"/>
    </row>
    <row r="40" spans="2:13" outlineLevel="1" collapsed="1" x14ac:dyDescent="0.35">
      <c r="B40" s="503"/>
      <c r="C40" s="506"/>
      <c r="D40" s="246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01">
        <v>0</v>
      </c>
      <c r="M40" s="394"/>
    </row>
    <row r="41" spans="2:13" x14ac:dyDescent="0.35">
      <c r="B41" s="504"/>
      <c r="C41" s="507"/>
      <c r="D41" s="439" t="s">
        <v>259</v>
      </c>
      <c r="E41" s="438">
        <f t="shared" ref="E41:J41" si="5">SUM(E8,E15:E16,E27:E29,E22,E33:E34,E40)</f>
        <v>0</v>
      </c>
      <c r="F41" s="438">
        <f t="shared" si="5"/>
        <v>0</v>
      </c>
      <c r="G41" s="438">
        <f t="shared" si="5"/>
        <v>0</v>
      </c>
      <c r="H41" s="438">
        <f t="shared" si="5"/>
        <v>0</v>
      </c>
      <c r="I41" s="437">
        <f t="shared" si="5"/>
        <v>0</v>
      </c>
      <c r="J41" s="436">
        <f t="shared" si="5"/>
        <v>0</v>
      </c>
      <c r="M41" s="440"/>
    </row>
    <row r="42" spans="2:13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  <c r="M42" s="400"/>
    </row>
    <row r="43" spans="2:13" outlineLevel="1" x14ac:dyDescent="0.35">
      <c r="B43" s="487"/>
      <c r="C43" s="490"/>
      <c r="D43" s="24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01">
        <f t="shared" si="6"/>
        <v>0</v>
      </c>
      <c r="M43" s="403"/>
    </row>
    <row r="44" spans="2:13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01">
        <v>0</v>
      </c>
      <c r="M44" s="399"/>
    </row>
    <row r="45" spans="2:13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01">
        <v>0</v>
      </c>
      <c r="M45" s="399"/>
    </row>
    <row r="46" spans="2:13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01">
        <v>0</v>
      </c>
      <c r="M46" s="399"/>
    </row>
    <row r="47" spans="2:13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01">
        <v>0</v>
      </c>
      <c r="M47" s="394"/>
    </row>
    <row r="48" spans="2:13" outlineLevel="1" collapsed="1" x14ac:dyDescent="0.35">
      <c r="B48" s="487"/>
      <c r="C48" s="490"/>
      <c r="D48" s="246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01">
        <v>0</v>
      </c>
      <c r="M48" s="400"/>
    </row>
    <row r="49" spans="2:13" outlineLevel="1" x14ac:dyDescent="0.35">
      <c r="B49" s="487"/>
      <c r="C49" s="490"/>
      <c r="D49" s="246" t="s">
        <v>189</v>
      </c>
      <c r="E49" s="219">
        <v>0</v>
      </c>
      <c r="F49" s="219">
        <v>0</v>
      </c>
      <c r="G49" s="219">
        <v>0</v>
      </c>
      <c r="H49" s="219">
        <v>0</v>
      </c>
      <c r="I49" s="219">
        <v>0</v>
      </c>
      <c r="J49" s="301">
        <v>0</v>
      </c>
      <c r="M49" s="394"/>
    </row>
    <row r="50" spans="2:13" outlineLevel="1" x14ac:dyDescent="0.35">
      <c r="B50" s="487"/>
      <c r="C50" s="490"/>
      <c r="D50" s="246" t="s">
        <v>179</v>
      </c>
      <c r="E50" s="219">
        <v>0</v>
      </c>
      <c r="F50" s="219">
        <v>0</v>
      </c>
      <c r="G50" s="219">
        <v>0</v>
      </c>
      <c r="H50" s="219">
        <v>0</v>
      </c>
      <c r="I50" s="219">
        <v>0</v>
      </c>
      <c r="J50" s="301">
        <v>0</v>
      </c>
      <c r="M50" s="394"/>
    </row>
    <row r="51" spans="2:13" outlineLevel="1" x14ac:dyDescent="0.35">
      <c r="B51" s="487"/>
      <c r="C51" s="490"/>
      <c r="D51" s="246" t="s">
        <v>188</v>
      </c>
      <c r="E51" s="219">
        <f t="shared" ref="E51:J51" si="7">SUM(E52:E55)</f>
        <v>0</v>
      </c>
      <c r="F51" s="219">
        <f t="shared" si="7"/>
        <v>0</v>
      </c>
      <c r="G51" s="219">
        <f t="shared" si="7"/>
        <v>0</v>
      </c>
      <c r="H51" s="219">
        <f t="shared" si="7"/>
        <v>0</v>
      </c>
      <c r="I51" s="219">
        <f t="shared" si="7"/>
        <v>0</v>
      </c>
      <c r="J51" s="301">
        <f t="shared" si="7"/>
        <v>0</v>
      </c>
      <c r="M51" s="399"/>
    </row>
    <row r="52" spans="2:13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01">
        <v>0</v>
      </c>
      <c r="M52" s="399"/>
    </row>
    <row r="53" spans="2:13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01">
        <v>0</v>
      </c>
      <c r="M53" s="403"/>
    </row>
    <row r="54" spans="2:13" hidden="1" outlineLevel="2" x14ac:dyDescent="0.35">
      <c r="B54" s="487"/>
      <c r="C54" s="490"/>
      <c r="D54" s="262" t="s">
        <v>182</v>
      </c>
      <c r="E54" s="219">
        <v>0</v>
      </c>
      <c r="F54" s="219">
        <v>0</v>
      </c>
      <c r="G54" s="219">
        <v>0</v>
      </c>
      <c r="H54" s="219">
        <v>0</v>
      </c>
      <c r="I54" s="219">
        <v>0</v>
      </c>
      <c r="J54" s="301">
        <v>0</v>
      </c>
      <c r="M54" s="397"/>
    </row>
    <row r="55" spans="2:13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01">
        <v>0</v>
      </c>
      <c r="M55" s="397"/>
    </row>
    <row r="56" spans="2:13" outlineLevel="1" collapsed="1" x14ac:dyDescent="0.35">
      <c r="B56" s="487"/>
      <c r="C56" s="490"/>
      <c r="D56" s="246" t="s">
        <v>170</v>
      </c>
      <c r="E56" s="219">
        <f t="shared" ref="E56:J56" si="8">SUM(E57:E62)</f>
        <v>1</v>
      </c>
      <c r="F56" s="219">
        <f t="shared" si="8"/>
        <v>1</v>
      </c>
      <c r="G56" s="219">
        <f t="shared" si="8"/>
        <v>1812559.95</v>
      </c>
      <c r="H56" s="219">
        <f t="shared" si="8"/>
        <v>181256</v>
      </c>
      <c r="I56" s="219">
        <f t="shared" si="8"/>
        <v>36258</v>
      </c>
      <c r="J56" s="301">
        <f t="shared" si="8"/>
        <v>144998</v>
      </c>
      <c r="M56" s="399"/>
    </row>
    <row r="57" spans="2:13" hidden="1" outlineLevel="2" x14ac:dyDescent="0.35">
      <c r="B57" s="487"/>
      <c r="C57" s="490"/>
      <c r="D57" s="242" t="s">
        <v>169</v>
      </c>
      <c r="E57" s="219">
        <v>1</v>
      </c>
      <c r="F57" s="219">
        <v>1</v>
      </c>
      <c r="G57" s="219">
        <v>1812559.95</v>
      </c>
      <c r="H57" s="219">
        <v>181256</v>
      </c>
      <c r="I57" s="219">
        <v>36258</v>
      </c>
      <c r="J57" s="301">
        <v>144998</v>
      </c>
      <c r="M57" s="399"/>
    </row>
    <row r="58" spans="2:13" hidden="1" outlineLevel="2" x14ac:dyDescent="0.35">
      <c r="B58" s="487"/>
      <c r="C58" s="490"/>
      <c r="D58" s="242" t="s">
        <v>168</v>
      </c>
      <c r="E58" s="219">
        <v>0</v>
      </c>
      <c r="F58" s="219">
        <v>0</v>
      </c>
      <c r="G58" s="219">
        <v>0</v>
      </c>
      <c r="H58" s="219">
        <v>0</v>
      </c>
      <c r="I58" s="219">
        <v>0</v>
      </c>
      <c r="J58" s="301">
        <v>0</v>
      </c>
      <c r="M58" s="399"/>
    </row>
    <row r="59" spans="2:13" hidden="1" outlineLevel="2" x14ac:dyDescent="0.35">
      <c r="B59" s="487"/>
      <c r="C59" s="490"/>
      <c r="D59" s="242" t="s">
        <v>167</v>
      </c>
      <c r="E59" s="219">
        <v>0</v>
      </c>
      <c r="F59" s="219">
        <v>0</v>
      </c>
      <c r="G59" s="219">
        <v>0</v>
      </c>
      <c r="H59" s="219">
        <v>0</v>
      </c>
      <c r="I59" s="219">
        <v>0</v>
      </c>
      <c r="J59" s="301">
        <v>0</v>
      </c>
      <c r="M59" s="399"/>
    </row>
    <row r="60" spans="2:13" hidden="1" outlineLevel="2" x14ac:dyDescent="0.35">
      <c r="B60" s="487"/>
      <c r="C60" s="490"/>
      <c r="D60" s="242" t="s">
        <v>166</v>
      </c>
      <c r="E60" s="219">
        <v>0</v>
      </c>
      <c r="F60" s="219">
        <v>0</v>
      </c>
      <c r="G60" s="219">
        <v>0</v>
      </c>
      <c r="H60" s="219">
        <v>0</v>
      </c>
      <c r="I60" s="219">
        <v>0</v>
      </c>
      <c r="J60" s="301">
        <v>0</v>
      </c>
      <c r="M60" s="261"/>
    </row>
    <row r="61" spans="2:13" hidden="1" outlineLevel="2" x14ac:dyDescent="0.35">
      <c r="B61" s="487"/>
      <c r="C61" s="490"/>
      <c r="D61" s="261" t="s">
        <v>165</v>
      </c>
      <c r="E61" s="219">
        <v>0</v>
      </c>
      <c r="F61" s="219">
        <v>0</v>
      </c>
      <c r="G61" s="219">
        <v>0</v>
      </c>
      <c r="H61" s="219">
        <v>0</v>
      </c>
      <c r="I61" s="219">
        <v>0</v>
      </c>
      <c r="J61" s="301">
        <v>0</v>
      </c>
      <c r="M61" s="261"/>
    </row>
    <row r="62" spans="2:13" hidden="1" outlineLevel="2" x14ac:dyDescent="0.35">
      <c r="B62" s="487"/>
      <c r="C62" s="490"/>
      <c r="D62" s="261" t="s">
        <v>164</v>
      </c>
      <c r="E62" s="219">
        <v>0</v>
      </c>
      <c r="F62" s="219">
        <v>0</v>
      </c>
      <c r="G62" s="219">
        <v>0</v>
      </c>
      <c r="H62" s="219">
        <v>0</v>
      </c>
      <c r="I62" s="219">
        <v>0</v>
      </c>
      <c r="J62" s="301">
        <v>0</v>
      </c>
      <c r="M62" s="397"/>
    </row>
    <row r="63" spans="2:13" outlineLevel="1" collapsed="1" x14ac:dyDescent="0.35">
      <c r="B63" s="487"/>
      <c r="C63" s="490"/>
      <c r="D63" s="246" t="s">
        <v>256</v>
      </c>
      <c r="E63" s="219">
        <f t="shared" ref="E63:J63" si="9">SUM(E64:E66)</f>
        <v>1</v>
      </c>
      <c r="F63" s="219">
        <f t="shared" si="9"/>
        <v>1</v>
      </c>
      <c r="G63" s="219">
        <f t="shared" si="9"/>
        <v>1501780</v>
      </c>
      <c r="H63" s="219">
        <f t="shared" si="9"/>
        <v>300356</v>
      </c>
      <c r="I63" s="219">
        <f t="shared" si="9"/>
        <v>30001</v>
      </c>
      <c r="J63" s="301">
        <f t="shared" si="9"/>
        <v>270355</v>
      </c>
      <c r="M63" s="260"/>
    </row>
    <row r="64" spans="2:13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01">
        <v>0</v>
      </c>
      <c r="M64" s="260"/>
    </row>
    <row r="65" spans="2:13" hidden="1" outlineLevel="2" x14ac:dyDescent="0.35">
      <c r="B65" s="487"/>
      <c r="C65" s="490"/>
      <c r="D65" s="260" t="s">
        <v>195</v>
      </c>
      <c r="E65" s="219">
        <v>1</v>
      </c>
      <c r="F65" s="219">
        <v>1</v>
      </c>
      <c r="G65" s="219">
        <v>1501780</v>
      </c>
      <c r="H65" s="219">
        <v>300356</v>
      </c>
      <c r="I65" s="219">
        <v>30001</v>
      </c>
      <c r="J65" s="301">
        <v>270355</v>
      </c>
      <c r="M65" s="260"/>
    </row>
    <row r="66" spans="2:13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01">
        <v>0</v>
      </c>
      <c r="M66" s="397"/>
    </row>
    <row r="67" spans="2:13" outlineLevel="1" collapsed="1" x14ac:dyDescent="0.35">
      <c r="B67" s="487"/>
      <c r="C67" s="490"/>
      <c r="D67" s="246" t="s">
        <v>178</v>
      </c>
      <c r="E67" s="219">
        <f t="shared" ref="E67:J67" si="10">SUM(E68:E74)</f>
        <v>4</v>
      </c>
      <c r="F67" s="219">
        <f t="shared" si="10"/>
        <v>4</v>
      </c>
      <c r="G67" s="219">
        <f t="shared" si="10"/>
        <v>7437469.8500000006</v>
      </c>
      <c r="H67" s="219">
        <f t="shared" si="10"/>
        <v>945759.49</v>
      </c>
      <c r="I67" s="219">
        <f t="shared" si="10"/>
        <v>403812.5</v>
      </c>
      <c r="J67" s="301">
        <f t="shared" si="10"/>
        <v>541946.99</v>
      </c>
      <c r="M67" s="260"/>
    </row>
    <row r="68" spans="2:13" hidden="1" outlineLevel="2" x14ac:dyDescent="0.35">
      <c r="B68" s="487"/>
      <c r="C68" s="490"/>
      <c r="D68" s="260" t="s">
        <v>177</v>
      </c>
      <c r="E68" s="219">
        <v>1</v>
      </c>
      <c r="F68" s="219">
        <v>1</v>
      </c>
      <c r="G68" s="219">
        <v>1675202.05</v>
      </c>
      <c r="H68" s="219">
        <v>167520.21</v>
      </c>
      <c r="I68" s="219">
        <v>33550</v>
      </c>
      <c r="J68" s="301">
        <v>133970.21</v>
      </c>
      <c r="M68" s="260"/>
    </row>
    <row r="69" spans="2:13" hidden="1" outlineLevel="2" x14ac:dyDescent="0.35">
      <c r="B69" s="487"/>
      <c r="C69" s="490"/>
      <c r="D69" s="260" t="s">
        <v>176</v>
      </c>
      <c r="E69" s="219">
        <v>2</v>
      </c>
      <c r="F69" s="219">
        <v>2</v>
      </c>
      <c r="G69" s="219">
        <v>3742142.8000000003</v>
      </c>
      <c r="H69" s="219">
        <v>374214.28</v>
      </c>
      <c r="I69" s="219">
        <v>20000</v>
      </c>
      <c r="J69" s="301">
        <v>354214.28</v>
      </c>
      <c r="M69" s="260"/>
    </row>
    <row r="70" spans="2:13" hidden="1" outlineLevel="2" x14ac:dyDescent="0.35">
      <c r="B70" s="487"/>
      <c r="C70" s="490"/>
      <c r="D70" s="260" t="s">
        <v>175</v>
      </c>
      <c r="E70" s="219">
        <v>0</v>
      </c>
      <c r="F70" s="219">
        <v>0</v>
      </c>
      <c r="G70" s="219">
        <v>0</v>
      </c>
      <c r="H70" s="219">
        <v>0</v>
      </c>
      <c r="I70" s="219">
        <v>0</v>
      </c>
      <c r="J70" s="301">
        <v>0</v>
      </c>
      <c r="M70" s="260"/>
    </row>
    <row r="71" spans="2:13" hidden="1" outlineLevel="2" x14ac:dyDescent="0.35">
      <c r="B71" s="487"/>
      <c r="C71" s="490"/>
      <c r="D71" s="260" t="s">
        <v>174</v>
      </c>
      <c r="E71" s="219">
        <v>0</v>
      </c>
      <c r="F71" s="219">
        <v>0</v>
      </c>
      <c r="G71" s="219">
        <v>0</v>
      </c>
      <c r="H71" s="219">
        <v>0</v>
      </c>
      <c r="I71" s="219">
        <v>0</v>
      </c>
      <c r="J71" s="301">
        <v>0</v>
      </c>
      <c r="M71" s="260"/>
    </row>
    <row r="72" spans="2:13" hidden="1" outlineLevel="2" x14ac:dyDescent="0.35">
      <c r="B72" s="487"/>
      <c r="C72" s="490"/>
      <c r="D72" s="260" t="s">
        <v>173</v>
      </c>
      <c r="E72" s="219">
        <v>0</v>
      </c>
      <c r="F72" s="219">
        <v>0</v>
      </c>
      <c r="G72" s="219">
        <v>0</v>
      </c>
      <c r="H72" s="219">
        <v>0</v>
      </c>
      <c r="I72" s="219">
        <v>0</v>
      </c>
      <c r="J72" s="301">
        <v>0</v>
      </c>
      <c r="M72" s="260"/>
    </row>
    <row r="73" spans="2:13" hidden="1" outlineLevel="2" x14ac:dyDescent="0.35">
      <c r="B73" s="487"/>
      <c r="C73" s="490"/>
      <c r="D73" s="260" t="s">
        <v>172</v>
      </c>
      <c r="E73" s="219">
        <v>1</v>
      </c>
      <c r="F73" s="219">
        <v>1</v>
      </c>
      <c r="G73" s="219">
        <v>2020125</v>
      </c>
      <c r="H73" s="219">
        <v>404025</v>
      </c>
      <c r="I73" s="219">
        <v>350262.5</v>
      </c>
      <c r="J73" s="301">
        <v>53762.5</v>
      </c>
      <c r="M73" s="260"/>
    </row>
    <row r="74" spans="2:13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01">
        <v>0</v>
      </c>
      <c r="M74" s="260"/>
    </row>
    <row r="75" spans="2:13" x14ac:dyDescent="0.35">
      <c r="B75" s="488"/>
      <c r="C75" s="491"/>
      <c r="D75" s="439" t="s">
        <v>255</v>
      </c>
      <c r="E75" s="438">
        <f t="shared" ref="E75:J75" si="11">SUM(E43,E48:E51,E56,E63,E67)</f>
        <v>6</v>
      </c>
      <c r="F75" s="438">
        <f t="shared" si="11"/>
        <v>6</v>
      </c>
      <c r="G75" s="438">
        <f t="shared" si="11"/>
        <v>10751809.800000001</v>
      </c>
      <c r="H75" s="438">
        <f t="shared" si="11"/>
        <v>1427371.49</v>
      </c>
      <c r="I75" s="437">
        <f t="shared" si="11"/>
        <v>470071.5</v>
      </c>
      <c r="J75" s="436">
        <f t="shared" si="11"/>
        <v>957299.99</v>
      </c>
      <c r="M75" s="402"/>
    </row>
    <row r="76" spans="2:13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01"/>
      <c r="M76" s="400"/>
    </row>
    <row r="77" spans="2:13" outlineLevel="1" x14ac:dyDescent="0.35">
      <c r="B77" s="487"/>
      <c r="C77" s="490"/>
      <c r="D77" s="246" t="s">
        <v>252</v>
      </c>
      <c r="E77" s="219">
        <f t="shared" ref="E77:J77" si="12">SUM(E78:E80)</f>
        <v>1</v>
      </c>
      <c r="F77" s="219">
        <f t="shared" si="12"/>
        <v>1</v>
      </c>
      <c r="G77" s="219">
        <f t="shared" si="12"/>
        <v>20669576</v>
      </c>
      <c r="H77" s="219">
        <f t="shared" si="12"/>
        <v>2066957.6</v>
      </c>
      <c r="I77" s="219">
        <f t="shared" si="12"/>
        <v>207000</v>
      </c>
      <c r="J77" s="301">
        <f t="shared" si="12"/>
        <v>1859957.6</v>
      </c>
      <c r="M77" s="401"/>
    </row>
    <row r="78" spans="2:13" hidden="1" outlineLevel="2" x14ac:dyDescent="0.35">
      <c r="B78" s="487"/>
      <c r="C78" s="490"/>
      <c r="D78" s="250" t="s">
        <v>192</v>
      </c>
      <c r="E78" s="219">
        <v>0</v>
      </c>
      <c r="F78" s="219">
        <v>0</v>
      </c>
      <c r="G78" s="219">
        <v>0</v>
      </c>
      <c r="H78" s="219">
        <v>0</v>
      </c>
      <c r="I78" s="219">
        <v>0</v>
      </c>
      <c r="J78" s="301">
        <v>0</v>
      </c>
      <c r="M78" s="401"/>
    </row>
    <row r="79" spans="2:13" hidden="1" outlineLevel="2" x14ac:dyDescent="0.35">
      <c r="B79" s="487"/>
      <c r="C79" s="490"/>
      <c r="D79" s="250" t="s">
        <v>191</v>
      </c>
      <c r="E79" s="219">
        <v>0</v>
      </c>
      <c r="F79" s="219">
        <v>0</v>
      </c>
      <c r="G79" s="219">
        <v>0</v>
      </c>
      <c r="H79" s="219">
        <v>0</v>
      </c>
      <c r="I79" s="219">
        <v>0</v>
      </c>
      <c r="J79" s="301">
        <v>0</v>
      </c>
      <c r="M79" s="401"/>
    </row>
    <row r="80" spans="2:13" hidden="1" outlineLevel="2" x14ac:dyDescent="0.35">
      <c r="B80" s="487"/>
      <c r="C80" s="490"/>
      <c r="D80" s="250" t="s">
        <v>190</v>
      </c>
      <c r="E80" s="219">
        <v>1</v>
      </c>
      <c r="F80" s="219">
        <v>1</v>
      </c>
      <c r="G80" s="219">
        <v>20669576</v>
      </c>
      <c r="H80" s="219">
        <v>2066957.6</v>
      </c>
      <c r="I80" s="219">
        <v>207000</v>
      </c>
      <c r="J80" s="301">
        <v>1859957.6</v>
      </c>
      <c r="M80" s="400"/>
    </row>
    <row r="81" spans="2:13" outlineLevel="1" collapsed="1" x14ac:dyDescent="0.35">
      <c r="B81" s="487"/>
      <c r="C81" s="490"/>
      <c r="D81" s="246" t="s">
        <v>158</v>
      </c>
      <c r="E81" s="219">
        <f t="shared" ref="E81:J81" si="13">SUM(E82:E89)</f>
        <v>3</v>
      </c>
      <c r="F81" s="219">
        <f t="shared" si="13"/>
        <v>2</v>
      </c>
      <c r="G81" s="219">
        <f t="shared" si="13"/>
        <v>5961768.75</v>
      </c>
      <c r="H81" s="219">
        <f t="shared" si="13"/>
        <v>1192353.75</v>
      </c>
      <c r="I81" s="219">
        <f t="shared" si="13"/>
        <v>837025.2</v>
      </c>
      <c r="J81" s="301">
        <f t="shared" si="13"/>
        <v>355328.55</v>
      </c>
      <c r="M81" s="401"/>
    </row>
    <row r="82" spans="2:13" hidden="1" outlineLevel="2" x14ac:dyDescent="0.35">
      <c r="B82" s="487"/>
      <c r="C82" s="490"/>
      <c r="D82" s="250" t="s">
        <v>157</v>
      </c>
      <c r="E82" s="219">
        <v>0</v>
      </c>
      <c r="F82" s="219">
        <v>0</v>
      </c>
      <c r="G82" s="219">
        <v>0</v>
      </c>
      <c r="H82" s="219">
        <v>0</v>
      </c>
      <c r="I82" s="219">
        <v>0</v>
      </c>
      <c r="J82" s="301">
        <v>0</v>
      </c>
      <c r="M82" s="401"/>
    </row>
    <row r="83" spans="2:13" hidden="1" outlineLevel="2" x14ac:dyDescent="0.35">
      <c r="B83" s="487"/>
      <c r="C83" s="490"/>
      <c r="D83" s="250" t="s">
        <v>156</v>
      </c>
      <c r="E83" s="219">
        <v>2</v>
      </c>
      <c r="F83" s="219">
        <v>1</v>
      </c>
      <c r="G83" s="219">
        <v>4370256</v>
      </c>
      <c r="H83" s="219">
        <v>874051.2</v>
      </c>
      <c r="I83" s="219">
        <v>775194.2</v>
      </c>
      <c r="J83" s="301">
        <v>98857</v>
      </c>
      <c r="M83" s="401"/>
    </row>
    <row r="84" spans="2:13" hidden="1" outlineLevel="2" x14ac:dyDescent="0.35">
      <c r="B84" s="487"/>
      <c r="C84" s="490"/>
      <c r="D84" s="250" t="s">
        <v>155</v>
      </c>
      <c r="E84" s="219">
        <v>0</v>
      </c>
      <c r="F84" s="219">
        <v>0</v>
      </c>
      <c r="G84" s="219">
        <v>0</v>
      </c>
      <c r="H84" s="219">
        <v>0</v>
      </c>
      <c r="I84" s="219">
        <v>0</v>
      </c>
      <c r="J84" s="301">
        <v>0</v>
      </c>
      <c r="M84" s="401"/>
    </row>
    <row r="85" spans="2:13" hidden="1" outlineLevel="2" x14ac:dyDescent="0.35">
      <c r="B85" s="487"/>
      <c r="C85" s="490"/>
      <c r="D85" s="250" t="s">
        <v>154</v>
      </c>
      <c r="E85" s="219">
        <v>1</v>
      </c>
      <c r="F85" s="219">
        <v>1</v>
      </c>
      <c r="G85" s="219">
        <v>1591512.75</v>
      </c>
      <c r="H85" s="219">
        <v>318302.55</v>
      </c>
      <c r="I85" s="219">
        <v>61831</v>
      </c>
      <c r="J85" s="301">
        <v>256471.55</v>
      </c>
      <c r="M85" s="401"/>
    </row>
    <row r="86" spans="2:13" hidden="1" outlineLevel="2" x14ac:dyDescent="0.35">
      <c r="B86" s="487"/>
      <c r="C86" s="490"/>
      <c r="D86" s="250" t="s">
        <v>153</v>
      </c>
      <c r="E86" s="219">
        <v>0</v>
      </c>
      <c r="F86" s="219">
        <v>0</v>
      </c>
      <c r="G86" s="219">
        <v>0</v>
      </c>
      <c r="H86" s="219">
        <v>0</v>
      </c>
      <c r="I86" s="219">
        <v>0</v>
      </c>
      <c r="J86" s="301">
        <v>0</v>
      </c>
      <c r="M86" s="401"/>
    </row>
    <row r="87" spans="2:13" hidden="1" outlineLevel="2" x14ac:dyDescent="0.35">
      <c r="B87" s="487"/>
      <c r="C87" s="490"/>
      <c r="D87" s="250" t="s">
        <v>152</v>
      </c>
      <c r="E87" s="219">
        <v>0</v>
      </c>
      <c r="F87" s="219">
        <v>0</v>
      </c>
      <c r="G87" s="219">
        <v>0</v>
      </c>
      <c r="H87" s="219">
        <v>0</v>
      </c>
      <c r="I87" s="219">
        <v>0</v>
      </c>
      <c r="J87" s="301">
        <v>0</v>
      </c>
      <c r="M87" s="401"/>
    </row>
    <row r="88" spans="2:13" hidden="1" outlineLevel="2" x14ac:dyDescent="0.35">
      <c r="B88" s="487"/>
      <c r="C88" s="490"/>
      <c r="D88" s="250" t="s">
        <v>151</v>
      </c>
      <c r="E88" s="219">
        <v>0</v>
      </c>
      <c r="F88" s="219">
        <v>0</v>
      </c>
      <c r="G88" s="219">
        <v>0</v>
      </c>
      <c r="H88" s="219">
        <v>0</v>
      </c>
      <c r="I88" s="219">
        <v>0</v>
      </c>
      <c r="J88" s="301">
        <v>0</v>
      </c>
      <c r="M88" s="400"/>
    </row>
    <row r="89" spans="2:13" hidden="1" outlineLevel="2" x14ac:dyDescent="0.35">
      <c r="B89" s="487"/>
      <c r="C89" s="490"/>
      <c r="D89" s="250" t="s">
        <v>150</v>
      </c>
      <c r="E89" s="219">
        <v>0</v>
      </c>
      <c r="F89" s="219">
        <v>0</v>
      </c>
      <c r="G89" s="219">
        <v>0</v>
      </c>
      <c r="H89" s="219">
        <v>0</v>
      </c>
      <c r="I89" s="219">
        <v>0</v>
      </c>
      <c r="J89" s="301">
        <v>0</v>
      </c>
      <c r="M89" s="400"/>
    </row>
    <row r="90" spans="2:13" outlineLevel="1" collapsed="1" x14ac:dyDescent="0.35">
      <c r="B90" s="487"/>
      <c r="C90" s="490"/>
      <c r="D90" s="246" t="s">
        <v>149</v>
      </c>
      <c r="E90" s="219">
        <f t="shared" ref="E90:J90" si="14">SUM(E91:E93)</f>
        <v>6</v>
      </c>
      <c r="F90" s="219">
        <f t="shared" si="14"/>
        <v>6</v>
      </c>
      <c r="G90" s="219">
        <f t="shared" si="14"/>
        <v>18316278.25</v>
      </c>
      <c r="H90" s="219">
        <f t="shared" si="14"/>
        <v>2219612.83</v>
      </c>
      <c r="I90" s="219">
        <f t="shared" si="14"/>
        <v>442200</v>
      </c>
      <c r="J90" s="301">
        <f t="shared" si="14"/>
        <v>1777412.83</v>
      </c>
      <c r="M90" s="401"/>
    </row>
    <row r="91" spans="2:13" hidden="1" outlineLevel="2" x14ac:dyDescent="0.35">
      <c r="B91" s="487"/>
      <c r="C91" s="490"/>
      <c r="D91" s="250" t="s">
        <v>148</v>
      </c>
      <c r="E91" s="219">
        <v>2</v>
      </c>
      <c r="F91" s="219">
        <v>2</v>
      </c>
      <c r="G91" s="219">
        <v>8045331.7000000002</v>
      </c>
      <c r="H91" s="219">
        <v>1192518.17</v>
      </c>
      <c r="I91" s="219">
        <v>343250</v>
      </c>
      <c r="J91" s="301">
        <v>849268.17</v>
      </c>
      <c r="M91" s="401"/>
    </row>
    <row r="92" spans="2:13" hidden="1" outlineLevel="2" x14ac:dyDescent="0.35">
      <c r="B92" s="487"/>
      <c r="C92" s="490"/>
      <c r="D92" s="250" t="s">
        <v>147</v>
      </c>
      <c r="E92" s="219">
        <v>2</v>
      </c>
      <c r="F92" s="219">
        <v>2</v>
      </c>
      <c r="G92" s="219">
        <v>4132831.05</v>
      </c>
      <c r="H92" s="219">
        <v>413283.11</v>
      </c>
      <c r="I92" s="219">
        <v>78950</v>
      </c>
      <c r="J92" s="301">
        <v>334333.11</v>
      </c>
      <c r="M92" s="401"/>
    </row>
    <row r="93" spans="2:13" hidden="1" outlineLevel="2" x14ac:dyDescent="0.35">
      <c r="B93" s="487"/>
      <c r="C93" s="490"/>
      <c r="D93" s="250" t="s">
        <v>146</v>
      </c>
      <c r="E93" s="219">
        <v>2</v>
      </c>
      <c r="F93" s="219">
        <v>2</v>
      </c>
      <c r="G93" s="219">
        <v>6138115.5</v>
      </c>
      <c r="H93" s="219">
        <v>613811.55000000005</v>
      </c>
      <c r="I93" s="219">
        <v>20000</v>
      </c>
      <c r="J93" s="301">
        <v>593811.55000000005</v>
      </c>
      <c r="M93" s="440"/>
    </row>
    <row r="94" spans="2:13" outlineLevel="1" collapsed="1" x14ac:dyDescent="0.35">
      <c r="B94" s="487"/>
      <c r="C94" s="490"/>
      <c r="D94" s="246" t="s">
        <v>133</v>
      </c>
      <c r="E94" s="219">
        <v>2</v>
      </c>
      <c r="F94" s="219">
        <v>2</v>
      </c>
      <c r="G94" s="219">
        <v>6964233.9000000004</v>
      </c>
      <c r="H94" s="219">
        <v>1392846.78</v>
      </c>
      <c r="I94" s="219">
        <v>670283</v>
      </c>
      <c r="J94" s="301">
        <v>722563.78</v>
      </c>
      <c r="M94" s="402"/>
    </row>
    <row r="95" spans="2:13" outlineLevel="1" x14ac:dyDescent="0.35">
      <c r="B95" s="487"/>
      <c r="C95" s="490"/>
      <c r="D95" s="246" t="s">
        <v>140</v>
      </c>
      <c r="E95" s="219">
        <v>1</v>
      </c>
      <c r="F95" s="219">
        <v>1</v>
      </c>
      <c r="G95" s="219">
        <v>10434774</v>
      </c>
      <c r="H95" s="219">
        <v>6260864.4000000004</v>
      </c>
      <c r="I95" s="219">
        <v>75.599999999999994</v>
      </c>
      <c r="J95" s="301">
        <v>6260788.7999999998</v>
      </c>
      <c r="M95" s="400"/>
    </row>
    <row r="96" spans="2:13" outlineLevel="1" x14ac:dyDescent="0.35">
      <c r="B96" s="487"/>
      <c r="C96" s="490"/>
      <c r="D96" s="24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01">
        <v>0</v>
      </c>
      <c r="M96" s="400"/>
    </row>
    <row r="97" spans="2:13" outlineLevel="1" x14ac:dyDescent="0.35">
      <c r="B97" s="487"/>
      <c r="C97" s="490"/>
      <c r="D97" s="246" t="s">
        <v>138</v>
      </c>
      <c r="E97" s="219">
        <f t="shared" ref="E97:J97" si="15">SUM(E98:E101)</f>
        <v>1</v>
      </c>
      <c r="F97" s="219">
        <f t="shared" si="15"/>
        <v>1</v>
      </c>
      <c r="G97" s="219">
        <f t="shared" si="15"/>
        <v>4036776</v>
      </c>
      <c r="H97" s="219">
        <f t="shared" si="15"/>
        <v>403677.6</v>
      </c>
      <c r="I97" s="219">
        <f t="shared" si="15"/>
        <v>80740</v>
      </c>
      <c r="J97" s="301">
        <f t="shared" si="15"/>
        <v>322937.59999999998</v>
      </c>
      <c r="M97" s="399"/>
    </row>
    <row r="98" spans="2:13" hidden="1" outlineLevel="2" x14ac:dyDescent="0.35">
      <c r="B98" s="487"/>
      <c r="C98" s="490"/>
      <c r="D98" s="242" t="s">
        <v>137</v>
      </c>
      <c r="E98" s="219">
        <v>1</v>
      </c>
      <c r="F98" s="219">
        <v>1</v>
      </c>
      <c r="G98" s="219">
        <v>4036776</v>
      </c>
      <c r="H98" s="219">
        <v>403677.6</v>
      </c>
      <c r="I98" s="219">
        <v>80740</v>
      </c>
      <c r="J98" s="301">
        <v>322937.59999999998</v>
      </c>
      <c r="M98" s="399"/>
    </row>
    <row r="99" spans="2:13" hidden="1" outlineLevel="2" x14ac:dyDescent="0.35">
      <c r="B99" s="487"/>
      <c r="C99" s="490"/>
      <c r="D99" s="242" t="s">
        <v>136</v>
      </c>
      <c r="E99" s="219">
        <v>0</v>
      </c>
      <c r="F99" s="219">
        <v>0</v>
      </c>
      <c r="G99" s="219">
        <v>0</v>
      </c>
      <c r="H99" s="219">
        <v>0</v>
      </c>
      <c r="I99" s="219">
        <v>0</v>
      </c>
      <c r="J99" s="301">
        <v>0</v>
      </c>
      <c r="M99" s="399"/>
    </row>
    <row r="100" spans="2:13" hidden="1" outlineLevel="2" x14ac:dyDescent="0.35">
      <c r="B100" s="487"/>
      <c r="C100" s="490"/>
      <c r="D100" s="242" t="s">
        <v>135</v>
      </c>
      <c r="E100" s="219">
        <v>0</v>
      </c>
      <c r="F100" s="219">
        <v>0</v>
      </c>
      <c r="G100" s="219">
        <v>0</v>
      </c>
      <c r="H100" s="219">
        <v>0</v>
      </c>
      <c r="I100" s="219">
        <v>0</v>
      </c>
      <c r="J100" s="301">
        <v>0</v>
      </c>
      <c r="M100" s="399"/>
    </row>
    <row r="101" spans="2:13" hidden="1" outlineLevel="2" x14ac:dyDescent="0.35">
      <c r="B101" s="487"/>
      <c r="C101" s="490"/>
      <c r="D101" s="242" t="s">
        <v>134</v>
      </c>
      <c r="E101" s="219">
        <v>0</v>
      </c>
      <c r="F101" s="219">
        <v>0</v>
      </c>
      <c r="G101" s="219">
        <v>0</v>
      </c>
      <c r="H101" s="219">
        <v>0</v>
      </c>
      <c r="I101" s="219">
        <v>0</v>
      </c>
      <c r="J101" s="301">
        <v>0</v>
      </c>
      <c r="M101" s="400"/>
    </row>
    <row r="102" spans="2:13" outlineLevel="1" collapsed="1" x14ac:dyDescent="0.35">
      <c r="B102" s="487"/>
      <c r="C102" s="490"/>
      <c r="D102" s="246" t="s">
        <v>132</v>
      </c>
      <c r="E102" s="219">
        <f t="shared" ref="E102:J102" si="16">SUM(E103:E106)</f>
        <v>12</v>
      </c>
      <c r="F102" s="219">
        <f t="shared" si="16"/>
        <v>11</v>
      </c>
      <c r="G102" s="219">
        <f t="shared" si="16"/>
        <v>37162728.719999999</v>
      </c>
      <c r="H102" s="219">
        <f t="shared" si="16"/>
        <v>4505144.95</v>
      </c>
      <c r="I102" s="219">
        <f t="shared" si="16"/>
        <v>968117.92999999993</v>
      </c>
      <c r="J102" s="301">
        <f t="shared" si="16"/>
        <v>3537027.0199999996</v>
      </c>
      <c r="M102" s="399"/>
    </row>
    <row r="103" spans="2:13" hidden="1" outlineLevel="2" x14ac:dyDescent="0.35">
      <c r="B103" s="487"/>
      <c r="C103" s="490"/>
      <c r="D103" s="242" t="s">
        <v>131</v>
      </c>
      <c r="E103" s="219">
        <v>0</v>
      </c>
      <c r="F103" s="219">
        <v>0</v>
      </c>
      <c r="G103" s="219">
        <v>0</v>
      </c>
      <c r="H103" s="219">
        <v>0</v>
      </c>
      <c r="I103" s="219">
        <v>0</v>
      </c>
      <c r="J103" s="301">
        <v>0</v>
      </c>
      <c r="M103" s="399"/>
    </row>
    <row r="104" spans="2:13" hidden="1" outlineLevel="2" x14ac:dyDescent="0.35">
      <c r="B104" s="487"/>
      <c r="C104" s="490"/>
      <c r="D104" s="242" t="s">
        <v>130</v>
      </c>
      <c r="E104" s="219">
        <v>0</v>
      </c>
      <c r="F104" s="219">
        <v>0</v>
      </c>
      <c r="G104" s="219">
        <v>0</v>
      </c>
      <c r="H104" s="219">
        <v>0</v>
      </c>
      <c r="I104" s="219">
        <v>0</v>
      </c>
      <c r="J104" s="301">
        <v>0</v>
      </c>
      <c r="M104" s="440"/>
    </row>
    <row r="105" spans="2:13" hidden="1" outlineLevel="2" x14ac:dyDescent="0.35">
      <c r="B105" s="487"/>
      <c r="C105" s="490"/>
      <c r="D105" s="242" t="s">
        <v>129</v>
      </c>
      <c r="E105" s="219">
        <v>1</v>
      </c>
      <c r="F105" s="219">
        <v>1</v>
      </c>
      <c r="G105" s="219">
        <v>9005389.6500000004</v>
      </c>
      <c r="H105" s="219">
        <v>900538.97</v>
      </c>
      <c r="I105" s="219">
        <v>20000</v>
      </c>
      <c r="J105" s="301">
        <v>880538.97</v>
      </c>
      <c r="M105" s="440"/>
    </row>
    <row r="106" spans="2:13" hidden="1" outlineLevel="2" x14ac:dyDescent="0.35">
      <c r="B106" s="487"/>
      <c r="C106" s="490"/>
      <c r="D106" s="242" t="s">
        <v>128</v>
      </c>
      <c r="E106" s="219">
        <v>11</v>
      </c>
      <c r="F106" s="219">
        <v>10</v>
      </c>
      <c r="G106" s="219">
        <v>28157339.07</v>
      </c>
      <c r="H106" s="219">
        <v>3604605.98</v>
      </c>
      <c r="I106" s="219">
        <v>948117.92999999993</v>
      </c>
      <c r="J106" s="301">
        <v>2656488.0499999998</v>
      </c>
      <c r="M106" s="440"/>
    </row>
    <row r="107" spans="2:13" outlineLevel="1" collapsed="1" x14ac:dyDescent="0.35">
      <c r="B107" s="487"/>
      <c r="C107" s="490"/>
      <c r="D107" s="246" t="s">
        <v>41</v>
      </c>
      <c r="E107" s="219">
        <v>0</v>
      </c>
      <c r="F107" s="219">
        <v>0</v>
      </c>
      <c r="G107" s="219">
        <v>0</v>
      </c>
      <c r="H107" s="219">
        <v>0</v>
      </c>
      <c r="I107" s="219">
        <v>0</v>
      </c>
      <c r="J107" s="301">
        <v>0</v>
      </c>
      <c r="M107" s="399"/>
    </row>
    <row r="108" spans="2:13" x14ac:dyDescent="0.35">
      <c r="B108" s="488"/>
      <c r="C108" s="491"/>
      <c r="D108" s="439" t="s">
        <v>251</v>
      </c>
      <c r="E108" s="438">
        <f t="shared" ref="E108:J108" si="17">SUM(E102,E107,E97,E96,E94,E90,E81,E77,E95)</f>
        <v>26</v>
      </c>
      <c r="F108" s="438">
        <f t="shared" si="17"/>
        <v>24</v>
      </c>
      <c r="G108" s="438">
        <f t="shared" si="17"/>
        <v>103546135.62</v>
      </c>
      <c r="H108" s="438">
        <f t="shared" si="17"/>
        <v>18041457.91</v>
      </c>
      <c r="I108" s="437">
        <f t="shared" si="17"/>
        <v>3205441.73</v>
      </c>
      <c r="J108" s="436">
        <f t="shared" si="17"/>
        <v>14836016.18</v>
      </c>
      <c r="M108" s="402"/>
    </row>
    <row r="109" spans="2:13" outlineLevel="1" x14ac:dyDescent="0.35">
      <c r="B109" s="487" t="s">
        <v>250</v>
      </c>
      <c r="C109" s="490" t="s">
        <v>249</v>
      </c>
      <c r="D109" s="246" t="s">
        <v>123</v>
      </c>
      <c r="E109" s="219">
        <v>5</v>
      </c>
      <c r="F109" s="219">
        <v>5</v>
      </c>
      <c r="G109" s="219">
        <v>13866087.949999999</v>
      </c>
      <c r="H109" s="219">
        <v>2177685.19</v>
      </c>
      <c r="I109" s="219">
        <v>324394.48</v>
      </c>
      <c r="J109" s="301">
        <v>1853290.7100000002</v>
      </c>
      <c r="M109" s="440"/>
    </row>
    <row r="110" spans="2:13" outlineLevel="1" x14ac:dyDescent="0.35">
      <c r="B110" s="487"/>
      <c r="C110" s="490"/>
      <c r="D110" s="246" t="s">
        <v>122</v>
      </c>
      <c r="E110" s="219">
        <v>0</v>
      </c>
      <c r="F110" s="219">
        <v>0</v>
      </c>
      <c r="G110" s="219">
        <v>0</v>
      </c>
      <c r="H110" s="219">
        <v>0</v>
      </c>
      <c r="I110" s="219">
        <v>0</v>
      </c>
      <c r="J110" s="301">
        <v>0</v>
      </c>
      <c r="M110" s="440"/>
    </row>
    <row r="111" spans="2:13" outlineLevel="1" x14ac:dyDescent="0.35">
      <c r="B111" s="487"/>
      <c r="C111" s="490"/>
      <c r="D111" s="246" t="s">
        <v>48</v>
      </c>
      <c r="E111" s="219">
        <v>2</v>
      </c>
      <c r="F111" s="219">
        <v>2</v>
      </c>
      <c r="G111" s="219">
        <v>4601586.75</v>
      </c>
      <c r="H111" s="219">
        <v>460158.68</v>
      </c>
      <c r="I111" s="219">
        <v>251158.03</v>
      </c>
      <c r="J111" s="301">
        <v>209000.65</v>
      </c>
      <c r="M111" s="440"/>
    </row>
    <row r="112" spans="2:13" outlineLevel="1" x14ac:dyDescent="0.35">
      <c r="B112" s="487"/>
      <c r="C112" s="490"/>
      <c r="D112" s="246" t="s">
        <v>47</v>
      </c>
      <c r="E112" s="219">
        <v>1</v>
      </c>
      <c r="F112" s="219">
        <v>1</v>
      </c>
      <c r="G112" s="219">
        <v>2544120</v>
      </c>
      <c r="H112" s="219">
        <v>254412</v>
      </c>
      <c r="I112" s="219">
        <v>51001</v>
      </c>
      <c r="J112" s="301">
        <v>203411</v>
      </c>
      <c r="M112" s="440"/>
    </row>
    <row r="113" spans="2:13" outlineLevel="1" x14ac:dyDescent="0.35">
      <c r="B113" s="487"/>
      <c r="C113" s="490"/>
      <c r="D113" s="246" t="s">
        <v>40</v>
      </c>
      <c r="E113" s="219">
        <v>6</v>
      </c>
      <c r="F113" s="219">
        <v>6</v>
      </c>
      <c r="G113" s="219">
        <v>16635655.4</v>
      </c>
      <c r="H113" s="219">
        <v>1869619.7000000002</v>
      </c>
      <c r="I113" s="219">
        <v>222916.97999999998</v>
      </c>
      <c r="J113" s="301">
        <v>1646702.7200000002</v>
      </c>
      <c r="M113" s="440"/>
    </row>
    <row r="114" spans="2:13" outlineLevel="1" x14ac:dyDescent="0.35">
      <c r="B114" s="487"/>
      <c r="C114" s="490"/>
      <c r="D114" s="246" t="s">
        <v>39</v>
      </c>
      <c r="E114" s="219">
        <v>13</v>
      </c>
      <c r="F114" s="219">
        <v>13</v>
      </c>
      <c r="G114" s="219">
        <v>33284247.600000001</v>
      </c>
      <c r="H114" s="219">
        <v>4490918.7100000009</v>
      </c>
      <c r="I114" s="219">
        <v>775533.44</v>
      </c>
      <c r="J114" s="301">
        <v>3715385.2700000005</v>
      </c>
      <c r="M114" s="440"/>
    </row>
    <row r="115" spans="2:13" outlineLevel="1" x14ac:dyDescent="0.35">
      <c r="B115" s="487"/>
      <c r="C115" s="490"/>
      <c r="D115" s="246" t="s">
        <v>38</v>
      </c>
      <c r="E115" s="219">
        <v>5</v>
      </c>
      <c r="F115" s="219">
        <v>5</v>
      </c>
      <c r="G115" s="219">
        <v>48207265</v>
      </c>
      <c r="H115" s="219">
        <v>7055020</v>
      </c>
      <c r="I115" s="219">
        <v>4510860.8</v>
      </c>
      <c r="J115" s="301">
        <v>2544159.2000000002</v>
      </c>
      <c r="M115" s="440"/>
    </row>
    <row r="116" spans="2:13" x14ac:dyDescent="0.35">
      <c r="B116" s="488"/>
      <c r="C116" s="491"/>
      <c r="D116" s="439" t="s">
        <v>248</v>
      </c>
      <c r="E116" s="438">
        <f t="shared" ref="E116:J116" si="18">SUM(E109:E115)</f>
        <v>32</v>
      </c>
      <c r="F116" s="438">
        <f t="shared" si="18"/>
        <v>32</v>
      </c>
      <c r="G116" s="438">
        <f t="shared" si="18"/>
        <v>119138962.7</v>
      </c>
      <c r="H116" s="438">
        <f t="shared" si="18"/>
        <v>16307814.280000001</v>
      </c>
      <c r="I116" s="437">
        <f t="shared" si="18"/>
        <v>6135864.7299999995</v>
      </c>
      <c r="J116" s="436">
        <f t="shared" si="18"/>
        <v>10171949.550000001</v>
      </c>
      <c r="M116" s="398"/>
    </row>
    <row r="117" spans="2:13" outlineLevel="1" x14ac:dyDescent="0.35">
      <c r="B117" s="487" t="s">
        <v>247</v>
      </c>
      <c r="C117" s="490" t="s">
        <v>246</v>
      </c>
      <c r="D117" s="246" t="s">
        <v>36</v>
      </c>
      <c r="E117" s="219">
        <v>9</v>
      </c>
      <c r="F117" s="219">
        <v>9</v>
      </c>
      <c r="G117" s="219">
        <v>44618892.18</v>
      </c>
      <c r="H117" s="219">
        <v>4877839.37</v>
      </c>
      <c r="I117" s="219">
        <v>414846</v>
      </c>
      <c r="J117" s="301">
        <v>4462993.37</v>
      </c>
      <c r="M117" s="440"/>
    </row>
    <row r="118" spans="2:13" outlineLevel="1" x14ac:dyDescent="0.35">
      <c r="B118" s="487"/>
      <c r="C118" s="490"/>
      <c r="D118" s="246" t="s">
        <v>35</v>
      </c>
      <c r="E118" s="219">
        <v>7</v>
      </c>
      <c r="F118" s="219">
        <v>7</v>
      </c>
      <c r="G118" s="219">
        <v>44808152.75</v>
      </c>
      <c r="H118" s="219">
        <v>4480815.3</v>
      </c>
      <c r="I118" s="219">
        <v>1371381</v>
      </c>
      <c r="J118" s="301">
        <v>3109434.3</v>
      </c>
      <c r="M118" s="440"/>
    </row>
    <row r="119" spans="2:13" outlineLevel="1" x14ac:dyDescent="0.35">
      <c r="B119" s="487"/>
      <c r="C119" s="490"/>
      <c r="D119" s="246" t="s">
        <v>34</v>
      </c>
      <c r="E119" s="219">
        <v>2</v>
      </c>
      <c r="F119" s="219">
        <v>2</v>
      </c>
      <c r="G119" s="219">
        <v>22300278</v>
      </c>
      <c r="H119" s="219">
        <v>2230027.7999999998</v>
      </c>
      <c r="I119" s="219">
        <v>634958</v>
      </c>
      <c r="J119" s="301">
        <v>1595069.7999999998</v>
      </c>
      <c r="M119" s="440"/>
    </row>
    <row r="120" spans="2:13" outlineLevel="1" x14ac:dyDescent="0.35">
      <c r="B120" s="487"/>
      <c r="C120" s="490"/>
      <c r="D120" s="246" t="s">
        <v>33</v>
      </c>
      <c r="E120" s="219">
        <v>18</v>
      </c>
      <c r="F120" s="219">
        <v>18</v>
      </c>
      <c r="G120" s="219">
        <v>79474584</v>
      </c>
      <c r="H120" s="219">
        <v>8530599.2000000011</v>
      </c>
      <c r="I120" s="219">
        <v>1245546.67</v>
      </c>
      <c r="J120" s="301">
        <v>7285052.5299999993</v>
      </c>
      <c r="M120" s="440"/>
    </row>
    <row r="121" spans="2:13" x14ac:dyDescent="0.35">
      <c r="B121" s="488"/>
      <c r="C121" s="491"/>
      <c r="D121" s="439" t="s">
        <v>245</v>
      </c>
      <c r="E121" s="438">
        <f t="shared" ref="E121:J121" si="19">SUM(E117:E120)</f>
        <v>36</v>
      </c>
      <c r="F121" s="438">
        <f t="shared" si="19"/>
        <v>36</v>
      </c>
      <c r="G121" s="438">
        <f t="shared" si="19"/>
        <v>191201906.93000001</v>
      </c>
      <c r="H121" s="438">
        <f t="shared" si="19"/>
        <v>20119281.670000002</v>
      </c>
      <c r="I121" s="437">
        <f t="shared" si="19"/>
        <v>3666731.67</v>
      </c>
      <c r="J121" s="436">
        <f t="shared" si="19"/>
        <v>16452549.999999998</v>
      </c>
      <c r="M121" s="398"/>
    </row>
    <row r="122" spans="2:13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89"/>
      <c r="M122" s="397"/>
    </row>
    <row r="123" spans="2:13" outlineLevel="1" x14ac:dyDescent="0.35">
      <c r="B123" s="492"/>
      <c r="C123" s="485"/>
      <c r="D123" s="246" t="s">
        <v>145</v>
      </c>
      <c r="E123" s="219">
        <f t="shared" ref="E123:J123" si="20">SUM(E124:E127)</f>
        <v>2</v>
      </c>
      <c r="F123" s="219">
        <f t="shared" si="20"/>
        <v>2</v>
      </c>
      <c r="G123" s="219">
        <f t="shared" si="20"/>
        <v>22279422</v>
      </c>
      <c r="H123" s="219">
        <f t="shared" si="20"/>
        <v>3381235</v>
      </c>
      <c r="I123" s="219">
        <f t="shared" si="20"/>
        <v>205000</v>
      </c>
      <c r="J123" s="301">
        <f t="shared" si="20"/>
        <v>3176235</v>
      </c>
      <c r="M123" s="393"/>
    </row>
    <row r="124" spans="2:13" hidden="1" outlineLevel="2" x14ac:dyDescent="0.35">
      <c r="B124" s="492"/>
      <c r="C124" s="485"/>
      <c r="D124" s="222" t="s">
        <v>144</v>
      </c>
      <c r="E124" s="219">
        <v>2</v>
      </c>
      <c r="F124" s="219">
        <v>2</v>
      </c>
      <c r="G124" s="219">
        <v>22279422</v>
      </c>
      <c r="H124" s="219">
        <v>3381235</v>
      </c>
      <c r="I124" s="219">
        <v>205000</v>
      </c>
      <c r="J124" s="301">
        <v>3176235</v>
      </c>
      <c r="M124" s="395"/>
    </row>
    <row r="125" spans="2:13" hidden="1" outlineLevel="2" x14ac:dyDescent="0.35">
      <c r="B125" s="492"/>
      <c r="C125" s="485"/>
      <c r="D125" s="223" t="s">
        <v>143</v>
      </c>
      <c r="E125" s="219">
        <v>0</v>
      </c>
      <c r="F125" s="219">
        <v>0</v>
      </c>
      <c r="G125" s="219">
        <v>0</v>
      </c>
      <c r="H125" s="219">
        <v>0</v>
      </c>
      <c r="I125" s="219">
        <v>0</v>
      </c>
      <c r="J125" s="301">
        <v>0</v>
      </c>
      <c r="M125" s="395"/>
    </row>
    <row r="126" spans="2:13" hidden="1" outlineLevel="2" x14ac:dyDescent="0.35">
      <c r="B126" s="492"/>
      <c r="C126" s="485"/>
      <c r="D126" s="223" t="s">
        <v>142</v>
      </c>
      <c r="E126" s="219">
        <v>0</v>
      </c>
      <c r="F126" s="219">
        <v>0</v>
      </c>
      <c r="G126" s="219">
        <v>0</v>
      </c>
      <c r="H126" s="219">
        <v>0</v>
      </c>
      <c r="I126" s="219">
        <v>0</v>
      </c>
      <c r="J126" s="301">
        <v>0</v>
      </c>
      <c r="M126" s="395"/>
    </row>
    <row r="127" spans="2:13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01">
        <v>0</v>
      </c>
      <c r="M127" s="394"/>
    </row>
    <row r="128" spans="2:13" outlineLevel="1" collapsed="1" x14ac:dyDescent="0.35">
      <c r="B128" s="492"/>
      <c r="C128" s="485"/>
      <c r="D128" s="246" t="s">
        <v>121</v>
      </c>
      <c r="E128" s="219">
        <f t="shared" ref="E128:J128" si="21">SUM(E129:E162)</f>
        <v>8</v>
      </c>
      <c r="F128" s="219">
        <f t="shared" si="21"/>
        <v>8</v>
      </c>
      <c r="G128" s="219">
        <f t="shared" si="21"/>
        <v>13422060.24</v>
      </c>
      <c r="H128" s="219">
        <f t="shared" si="21"/>
        <v>1630443.3499999999</v>
      </c>
      <c r="I128" s="219">
        <f t="shared" si="21"/>
        <v>269580</v>
      </c>
      <c r="J128" s="301">
        <f t="shared" si="21"/>
        <v>1360863.3499999999</v>
      </c>
      <c r="M128" s="396"/>
    </row>
    <row r="129" spans="2:13" hidden="1" outlineLevel="2" x14ac:dyDescent="0.35">
      <c r="B129" s="492"/>
      <c r="C129" s="485"/>
      <c r="D129" s="224" t="s">
        <v>119</v>
      </c>
      <c r="E129" s="219">
        <v>0</v>
      </c>
      <c r="F129" s="219">
        <v>0</v>
      </c>
      <c r="G129" s="219">
        <v>0</v>
      </c>
      <c r="H129" s="219">
        <v>0</v>
      </c>
      <c r="I129" s="219">
        <v>0</v>
      </c>
      <c r="J129" s="301">
        <v>0</v>
      </c>
      <c r="M129" s="395"/>
    </row>
    <row r="130" spans="2:13" hidden="1" outlineLevel="2" x14ac:dyDescent="0.35">
      <c r="B130" s="492"/>
      <c r="C130" s="485"/>
      <c r="D130" s="223" t="s">
        <v>118</v>
      </c>
      <c r="E130" s="219">
        <v>0</v>
      </c>
      <c r="F130" s="219">
        <v>0</v>
      </c>
      <c r="G130" s="219">
        <v>0</v>
      </c>
      <c r="H130" s="219">
        <v>0</v>
      </c>
      <c r="I130" s="219">
        <v>0</v>
      </c>
      <c r="J130" s="301">
        <v>0</v>
      </c>
      <c r="M130" s="395"/>
    </row>
    <row r="131" spans="2:13" hidden="1" outlineLevel="2" x14ac:dyDescent="0.35">
      <c r="B131" s="492"/>
      <c r="C131" s="485"/>
      <c r="D131" s="223" t="s">
        <v>117</v>
      </c>
      <c r="E131" s="219">
        <v>0</v>
      </c>
      <c r="F131" s="219">
        <v>0</v>
      </c>
      <c r="G131" s="219">
        <v>0</v>
      </c>
      <c r="H131" s="219">
        <v>0</v>
      </c>
      <c r="I131" s="219">
        <v>0</v>
      </c>
      <c r="J131" s="301">
        <v>0</v>
      </c>
      <c r="M131" s="395"/>
    </row>
    <row r="132" spans="2:13" hidden="1" outlineLevel="2" x14ac:dyDescent="0.35">
      <c r="B132" s="492"/>
      <c r="C132" s="485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01">
        <v>0</v>
      </c>
      <c r="M132" s="396"/>
    </row>
    <row r="133" spans="2:13" hidden="1" outlineLevel="2" collapsed="1" x14ac:dyDescent="0.35">
      <c r="B133" s="492"/>
      <c r="C133" s="485"/>
      <c r="D133" s="223" t="s">
        <v>114</v>
      </c>
      <c r="E133" s="219">
        <v>0</v>
      </c>
      <c r="F133" s="219">
        <v>0</v>
      </c>
      <c r="G133" s="219">
        <v>0</v>
      </c>
      <c r="H133" s="219">
        <v>0</v>
      </c>
      <c r="I133" s="219">
        <v>0</v>
      </c>
      <c r="J133" s="301">
        <v>0</v>
      </c>
      <c r="M133" s="395"/>
    </row>
    <row r="134" spans="2:13" hidden="1" outlineLevel="2" x14ac:dyDescent="0.35">
      <c r="B134" s="492"/>
      <c r="C134" s="485"/>
      <c r="D134" s="223" t="s">
        <v>113</v>
      </c>
      <c r="E134" s="219">
        <v>0</v>
      </c>
      <c r="F134" s="219">
        <v>0</v>
      </c>
      <c r="G134" s="219">
        <v>0</v>
      </c>
      <c r="H134" s="219">
        <v>0</v>
      </c>
      <c r="I134" s="219">
        <v>0</v>
      </c>
      <c r="J134" s="301">
        <v>0</v>
      </c>
      <c r="M134" s="395"/>
    </row>
    <row r="135" spans="2:13" hidden="1" outlineLevel="2" x14ac:dyDescent="0.35">
      <c r="B135" s="492"/>
      <c r="C135" s="485"/>
      <c r="D135" s="223" t="s">
        <v>112</v>
      </c>
      <c r="E135" s="219">
        <v>0</v>
      </c>
      <c r="F135" s="219">
        <v>0</v>
      </c>
      <c r="G135" s="219">
        <v>0</v>
      </c>
      <c r="H135" s="219">
        <v>0</v>
      </c>
      <c r="I135" s="219">
        <v>0</v>
      </c>
      <c r="J135" s="301">
        <v>0</v>
      </c>
      <c r="M135" s="395"/>
    </row>
    <row r="136" spans="2:13" hidden="1" outlineLevel="2" x14ac:dyDescent="0.35">
      <c r="B136" s="492"/>
      <c r="C136" s="485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01">
        <v>0</v>
      </c>
      <c r="M136" s="393"/>
    </row>
    <row r="137" spans="2:13" hidden="1" outlineLevel="2" collapsed="1" x14ac:dyDescent="0.35">
      <c r="B137" s="492"/>
      <c r="C137" s="485"/>
      <c r="D137" s="222" t="s">
        <v>109</v>
      </c>
      <c r="E137" s="219">
        <v>0</v>
      </c>
      <c r="F137" s="219">
        <v>0</v>
      </c>
      <c r="G137" s="219">
        <v>0</v>
      </c>
      <c r="H137" s="219">
        <v>0</v>
      </c>
      <c r="I137" s="219">
        <v>0</v>
      </c>
      <c r="J137" s="301">
        <v>0</v>
      </c>
      <c r="M137" s="393"/>
    </row>
    <row r="138" spans="2:13" hidden="1" outlineLevel="2" x14ac:dyDescent="0.35">
      <c r="B138" s="492"/>
      <c r="C138" s="485"/>
      <c r="D138" s="222" t="s">
        <v>108</v>
      </c>
      <c r="E138" s="219">
        <v>0</v>
      </c>
      <c r="F138" s="219">
        <v>0</v>
      </c>
      <c r="G138" s="219">
        <v>0</v>
      </c>
      <c r="H138" s="219">
        <v>0</v>
      </c>
      <c r="I138" s="219">
        <v>0</v>
      </c>
      <c r="J138" s="301">
        <v>0</v>
      </c>
      <c r="M138" s="393"/>
    </row>
    <row r="139" spans="2:13" hidden="1" outlineLevel="2" x14ac:dyDescent="0.35">
      <c r="B139" s="492"/>
      <c r="C139" s="485"/>
      <c r="D139" s="222" t="s">
        <v>107</v>
      </c>
      <c r="E139" s="219">
        <v>0</v>
      </c>
      <c r="F139" s="219">
        <v>0</v>
      </c>
      <c r="G139" s="219">
        <v>0</v>
      </c>
      <c r="H139" s="219">
        <v>0</v>
      </c>
      <c r="I139" s="219">
        <v>0</v>
      </c>
      <c r="J139" s="301">
        <v>0</v>
      </c>
      <c r="M139" s="393"/>
    </row>
    <row r="140" spans="2:13" hidden="1" outlineLevel="2" x14ac:dyDescent="0.35">
      <c r="B140" s="492"/>
      <c r="C140" s="485"/>
      <c r="D140" s="222" t="s">
        <v>106</v>
      </c>
      <c r="E140" s="219">
        <v>0</v>
      </c>
      <c r="F140" s="219">
        <v>0</v>
      </c>
      <c r="G140" s="219">
        <v>0</v>
      </c>
      <c r="H140" s="219">
        <v>0</v>
      </c>
      <c r="I140" s="219">
        <v>0</v>
      </c>
      <c r="J140" s="301">
        <v>0</v>
      </c>
      <c r="M140" s="393"/>
    </row>
    <row r="141" spans="2:13" hidden="1" outlineLevel="2" collapsed="1" x14ac:dyDescent="0.35">
      <c r="B141" s="492"/>
      <c r="C141" s="485"/>
      <c r="D141" s="222" t="s">
        <v>104</v>
      </c>
      <c r="E141" s="219">
        <v>0</v>
      </c>
      <c r="F141" s="219">
        <v>0</v>
      </c>
      <c r="G141" s="219">
        <v>0</v>
      </c>
      <c r="H141" s="219">
        <v>0</v>
      </c>
      <c r="I141" s="219">
        <v>0</v>
      </c>
      <c r="J141" s="301">
        <v>0</v>
      </c>
      <c r="M141" s="393"/>
    </row>
    <row r="142" spans="2:13" hidden="1" outlineLevel="2" x14ac:dyDescent="0.35">
      <c r="B142" s="492"/>
      <c r="C142" s="485"/>
      <c r="D142" s="222" t="s">
        <v>103</v>
      </c>
      <c r="E142" s="219">
        <v>0</v>
      </c>
      <c r="F142" s="219">
        <v>0</v>
      </c>
      <c r="G142" s="219">
        <v>0</v>
      </c>
      <c r="H142" s="219">
        <v>0</v>
      </c>
      <c r="I142" s="219">
        <v>0</v>
      </c>
      <c r="J142" s="301">
        <v>0</v>
      </c>
      <c r="M142" s="393"/>
    </row>
    <row r="143" spans="2:13" hidden="1" outlineLevel="2" x14ac:dyDescent="0.35">
      <c r="B143" s="492"/>
      <c r="C143" s="485"/>
      <c r="D143" s="222" t="s">
        <v>102</v>
      </c>
      <c r="E143" s="219">
        <v>0</v>
      </c>
      <c r="F143" s="219">
        <v>0</v>
      </c>
      <c r="G143" s="219">
        <v>0</v>
      </c>
      <c r="H143" s="219">
        <v>0</v>
      </c>
      <c r="I143" s="219">
        <v>0</v>
      </c>
      <c r="J143" s="301">
        <v>0</v>
      </c>
      <c r="M143" s="393"/>
    </row>
    <row r="144" spans="2:13" hidden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01">
        <v>0</v>
      </c>
      <c r="M144" s="395"/>
    </row>
    <row r="145" spans="2:13" hidden="1" outlineLevel="2" collapsed="1" x14ac:dyDescent="0.35">
      <c r="B145" s="492"/>
      <c r="C145" s="485"/>
      <c r="D145" s="223" t="s">
        <v>99</v>
      </c>
      <c r="E145" s="219">
        <v>0</v>
      </c>
      <c r="F145" s="219">
        <v>0</v>
      </c>
      <c r="G145" s="219">
        <v>0</v>
      </c>
      <c r="H145" s="219">
        <v>0</v>
      </c>
      <c r="I145" s="219">
        <v>0</v>
      </c>
      <c r="J145" s="301">
        <v>0</v>
      </c>
      <c r="M145" s="395"/>
    </row>
    <row r="146" spans="2:13" hidden="1" outlineLevel="2" x14ac:dyDescent="0.35">
      <c r="B146" s="492"/>
      <c r="C146" s="485"/>
      <c r="D146" s="223" t="s">
        <v>98</v>
      </c>
      <c r="E146" s="219">
        <v>0</v>
      </c>
      <c r="F146" s="219">
        <v>0</v>
      </c>
      <c r="G146" s="219">
        <v>0</v>
      </c>
      <c r="H146" s="219">
        <v>0</v>
      </c>
      <c r="I146" s="219">
        <v>0</v>
      </c>
      <c r="J146" s="301">
        <v>0</v>
      </c>
      <c r="M146" s="395"/>
    </row>
    <row r="147" spans="2:13" hidden="1" outlineLevel="2" x14ac:dyDescent="0.35">
      <c r="B147" s="492"/>
      <c r="C147" s="485"/>
      <c r="D147" s="223" t="s">
        <v>97</v>
      </c>
      <c r="E147" s="219">
        <v>0</v>
      </c>
      <c r="F147" s="219">
        <v>0</v>
      </c>
      <c r="G147" s="219">
        <v>0</v>
      </c>
      <c r="H147" s="219">
        <v>0</v>
      </c>
      <c r="I147" s="219">
        <v>0</v>
      </c>
      <c r="J147" s="301">
        <v>0</v>
      </c>
      <c r="M147" s="395"/>
    </row>
    <row r="148" spans="2:13" hidden="1" outlineLevel="2" x14ac:dyDescent="0.35">
      <c r="B148" s="492"/>
      <c r="C148" s="485"/>
      <c r="D148" s="223" t="s">
        <v>96</v>
      </c>
      <c r="E148" s="219">
        <v>0</v>
      </c>
      <c r="F148" s="219">
        <v>0</v>
      </c>
      <c r="G148" s="219">
        <v>0</v>
      </c>
      <c r="H148" s="219">
        <v>0</v>
      </c>
      <c r="I148" s="219">
        <v>0</v>
      </c>
      <c r="J148" s="301">
        <v>0</v>
      </c>
      <c r="M148" s="395"/>
    </row>
    <row r="149" spans="2:13" hidden="1" outlineLevel="2" collapsed="1" x14ac:dyDescent="0.35">
      <c r="B149" s="492"/>
      <c r="C149" s="485"/>
      <c r="D149" s="223" t="s">
        <v>94</v>
      </c>
      <c r="E149" s="219">
        <v>0</v>
      </c>
      <c r="F149" s="219">
        <v>0</v>
      </c>
      <c r="G149" s="219">
        <v>0</v>
      </c>
      <c r="H149" s="219">
        <v>0</v>
      </c>
      <c r="I149" s="219">
        <v>0</v>
      </c>
      <c r="J149" s="301">
        <v>0</v>
      </c>
      <c r="M149" s="395"/>
    </row>
    <row r="150" spans="2:13" hidden="1" outlineLevel="2" x14ac:dyDescent="0.35">
      <c r="B150" s="492"/>
      <c r="C150" s="485"/>
      <c r="D150" s="223" t="s">
        <v>93</v>
      </c>
      <c r="E150" s="219">
        <v>0</v>
      </c>
      <c r="F150" s="219">
        <v>0</v>
      </c>
      <c r="G150" s="219">
        <v>0</v>
      </c>
      <c r="H150" s="219">
        <v>0</v>
      </c>
      <c r="I150" s="219">
        <v>0</v>
      </c>
      <c r="J150" s="301">
        <v>0</v>
      </c>
      <c r="M150" s="395"/>
    </row>
    <row r="151" spans="2:13" hidden="1" outlineLevel="2" x14ac:dyDescent="0.35">
      <c r="B151" s="492"/>
      <c r="C151" s="485"/>
      <c r="D151" s="223" t="s">
        <v>92</v>
      </c>
      <c r="E151" s="219">
        <v>0</v>
      </c>
      <c r="F151" s="219">
        <v>0</v>
      </c>
      <c r="G151" s="219">
        <v>0</v>
      </c>
      <c r="H151" s="219">
        <v>0</v>
      </c>
      <c r="I151" s="219">
        <v>0</v>
      </c>
      <c r="J151" s="301">
        <v>0</v>
      </c>
      <c r="M151" s="395"/>
    </row>
    <row r="152" spans="2:13" hidden="1" outlineLevel="2" x14ac:dyDescent="0.35">
      <c r="B152" s="492"/>
      <c r="C152" s="485"/>
      <c r="D152" s="223" t="s">
        <v>91</v>
      </c>
      <c r="E152" s="219">
        <v>0</v>
      </c>
      <c r="F152" s="219">
        <v>0</v>
      </c>
      <c r="G152" s="219">
        <v>0</v>
      </c>
      <c r="H152" s="219">
        <v>0</v>
      </c>
      <c r="I152" s="219">
        <v>0</v>
      </c>
      <c r="J152" s="301">
        <v>0</v>
      </c>
      <c r="M152" s="394"/>
    </row>
    <row r="153" spans="2:13" hidden="1" outlineLevel="2" collapsed="1" x14ac:dyDescent="0.35">
      <c r="B153" s="492"/>
      <c r="C153" s="485"/>
      <c r="D153" s="223" t="s">
        <v>89</v>
      </c>
      <c r="E153" s="219">
        <v>0</v>
      </c>
      <c r="F153" s="219">
        <v>0</v>
      </c>
      <c r="G153" s="219">
        <v>0</v>
      </c>
      <c r="H153" s="219">
        <v>0</v>
      </c>
      <c r="I153" s="219">
        <v>0</v>
      </c>
      <c r="J153" s="301">
        <v>0</v>
      </c>
      <c r="M153" s="395"/>
    </row>
    <row r="154" spans="2:13" hidden="1" outlineLevel="2" x14ac:dyDescent="0.35">
      <c r="B154" s="492"/>
      <c r="C154" s="485"/>
      <c r="D154" s="223" t="s">
        <v>88</v>
      </c>
      <c r="E154" s="219">
        <v>0</v>
      </c>
      <c r="F154" s="219">
        <v>0</v>
      </c>
      <c r="G154" s="219">
        <v>0</v>
      </c>
      <c r="H154" s="219">
        <v>0</v>
      </c>
      <c r="I154" s="219">
        <v>0</v>
      </c>
      <c r="J154" s="301">
        <v>0</v>
      </c>
      <c r="M154" s="395"/>
    </row>
    <row r="155" spans="2:13" hidden="1" outlineLevel="2" x14ac:dyDescent="0.35">
      <c r="B155" s="492"/>
      <c r="C155" s="485"/>
      <c r="D155" s="223" t="s">
        <v>87</v>
      </c>
      <c r="E155" s="219">
        <v>0</v>
      </c>
      <c r="F155" s="219">
        <v>0</v>
      </c>
      <c r="G155" s="219">
        <v>0</v>
      </c>
      <c r="H155" s="219">
        <v>0</v>
      </c>
      <c r="I155" s="219">
        <v>0</v>
      </c>
      <c r="J155" s="301">
        <v>0</v>
      </c>
      <c r="M155" s="395"/>
    </row>
    <row r="156" spans="2:13" hidden="1" outlineLevel="2" x14ac:dyDescent="0.35">
      <c r="B156" s="492"/>
      <c r="C156" s="485"/>
      <c r="D156" s="223" t="s">
        <v>86</v>
      </c>
      <c r="E156" s="219">
        <v>0</v>
      </c>
      <c r="F156" s="219">
        <v>0</v>
      </c>
      <c r="G156" s="219">
        <v>0</v>
      </c>
      <c r="H156" s="219">
        <v>0</v>
      </c>
      <c r="I156" s="219">
        <v>0</v>
      </c>
      <c r="J156" s="301">
        <v>0</v>
      </c>
      <c r="M156" s="394"/>
    </row>
    <row r="157" spans="2:13" hidden="1" outlineLevel="2" collapsed="1" x14ac:dyDescent="0.35">
      <c r="B157" s="492"/>
      <c r="C157" s="485"/>
      <c r="D157" s="223" t="s">
        <v>84</v>
      </c>
      <c r="E157" s="219">
        <v>0</v>
      </c>
      <c r="F157" s="219">
        <v>0</v>
      </c>
      <c r="G157" s="219">
        <v>0</v>
      </c>
      <c r="H157" s="219">
        <v>0</v>
      </c>
      <c r="I157" s="219">
        <v>0</v>
      </c>
      <c r="J157" s="301">
        <v>0</v>
      </c>
      <c r="M157" s="395"/>
    </row>
    <row r="158" spans="2:13" hidden="1" outlineLevel="2" x14ac:dyDescent="0.35">
      <c r="B158" s="492"/>
      <c r="C158" s="485"/>
      <c r="D158" s="223" t="s">
        <v>83</v>
      </c>
      <c r="E158" s="219">
        <v>0</v>
      </c>
      <c r="F158" s="219">
        <v>0</v>
      </c>
      <c r="G158" s="219">
        <v>0</v>
      </c>
      <c r="H158" s="219">
        <v>0</v>
      </c>
      <c r="I158" s="219">
        <v>0</v>
      </c>
      <c r="J158" s="301">
        <v>0</v>
      </c>
      <c r="M158" s="395"/>
    </row>
    <row r="159" spans="2:13" hidden="1" outlineLevel="2" x14ac:dyDescent="0.35">
      <c r="B159" s="492"/>
      <c r="C159" s="485"/>
      <c r="D159" s="223" t="s">
        <v>82</v>
      </c>
      <c r="E159" s="219">
        <v>0</v>
      </c>
      <c r="F159" s="219">
        <v>0</v>
      </c>
      <c r="G159" s="219">
        <v>0</v>
      </c>
      <c r="H159" s="219">
        <v>0</v>
      </c>
      <c r="I159" s="219">
        <v>0</v>
      </c>
      <c r="J159" s="301">
        <v>0</v>
      </c>
      <c r="M159" s="395"/>
    </row>
    <row r="160" spans="2:13" hidden="1" outlineLevel="2" x14ac:dyDescent="0.35">
      <c r="B160" s="492"/>
      <c r="C160" s="485"/>
      <c r="D160" s="223" t="s">
        <v>81</v>
      </c>
      <c r="E160" s="219">
        <v>0</v>
      </c>
      <c r="F160" s="219">
        <v>0</v>
      </c>
      <c r="G160" s="219">
        <v>0</v>
      </c>
      <c r="H160" s="219">
        <v>0</v>
      </c>
      <c r="I160" s="219">
        <v>0</v>
      </c>
      <c r="J160" s="301">
        <v>0</v>
      </c>
      <c r="M160" s="394"/>
    </row>
    <row r="161" spans="2:13" hidden="1" outlineLevel="2" x14ac:dyDescent="0.35">
      <c r="B161" s="492"/>
      <c r="C161" s="485"/>
      <c r="D161" s="223" t="s">
        <v>79</v>
      </c>
      <c r="E161" s="219">
        <v>8</v>
      </c>
      <c r="F161" s="219">
        <v>8</v>
      </c>
      <c r="G161" s="219">
        <v>13422060.24</v>
      </c>
      <c r="H161" s="219">
        <v>1630443.3499999999</v>
      </c>
      <c r="I161" s="219">
        <v>269580</v>
      </c>
      <c r="J161" s="301">
        <v>1360863.3499999999</v>
      </c>
      <c r="M161" s="394"/>
    </row>
    <row r="162" spans="2:13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01">
        <v>0</v>
      </c>
      <c r="M162" s="394"/>
    </row>
    <row r="163" spans="2:13" outlineLevel="1" collapsed="1" x14ac:dyDescent="0.35">
      <c r="B163" s="492"/>
      <c r="C163" s="485"/>
      <c r="D163" s="246" t="s">
        <v>77</v>
      </c>
      <c r="E163" s="219">
        <f t="shared" ref="E163:J163" si="22">SUM(E164:E185)</f>
        <v>4</v>
      </c>
      <c r="F163" s="219">
        <f t="shared" si="22"/>
        <v>4</v>
      </c>
      <c r="G163" s="219">
        <f t="shared" si="22"/>
        <v>5548296.6400000006</v>
      </c>
      <c r="H163" s="219">
        <f t="shared" si="22"/>
        <v>554829.67000000004</v>
      </c>
      <c r="I163" s="219">
        <f t="shared" si="22"/>
        <v>155542</v>
      </c>
      <c r="J163" s="301">
        <f t="shared" si="22"/>
        <v>399287.67000000004</v>
      </c>
      <c r="M163" s="393"/>
    </row>
    <row r="164" spans="2:13" hidden="1" outlineLevel="2" x14ac:dyDescent="0.35">
      <c r="B164" s="492"/>
      <c r="C164" s="485"/>
      <c r="D164" s="222" t="s">
        <v>75</v>
      </c>
      <c r="E164" s="219">
        <v>0</v>
      </c>
      <c r="F164" s="219">
        <v>0</v>
      </c>
      <c r="G164" s="219">
        <v>0</v>
      </c>
      <c r="H164" s="219">
        <v>0</v>
      </c>
      <c r="I164" s="219">
        <v>0</v>
      </c>
      <c r="J164" s="301">
        <v>0</v>
      </c>
      <c r="M164" s="393"/>
    </row>
    <row r="165" spans="2:13" hidden="1" outlineLevel="2" x14ac:dyDescent="0.35">
      <c r="B165" s="492"/>
      <c r="C165" s="485"/>
      <c r="D165" s="222" t="s">
        <v>74</v>
      </c>
      <c r="E165" s="219">
        <v>0</v>
      </c>
      <c r="F165" s="219">
        <v>0</v>
      </c>
      <c r="G165" s="219">
        <v>0</v>
      </c>
      <c r="H165" s="219">
        <v>0</v>
      </c>
      <c r="I165" s="219">
        <v>0</v>
      </c>
      <c r="J165" s="301">
        <v>0</v>
      </c>
      <c r="M165" s="393"/>
    </row>
    <row r="166" spans="2:13" hidden="1" outlineLevel="2" x14ac:dyDescent="0.35">
      <c r="B166" s="492"/>
      <c r="C166" s="485"/>
      <c r="D166" s="222" t="s">
        <v>73</v>
      </c>
      <c r="E166" s="219">
        <v>0</v>
      </c>
      <c r="F166" s="219">
        <v>0</v>
      </c>
      <c r="G166" s="219">
        <v>0</v>
      </c>
      <c r="H166" s="219">
        <v>0</v>
      </c>
      <c r="I166" s="219">
        <v>0</v>
      </c>
      <c r="J166" s="301">
        <v>0</v>
      </c>
      <c r="M166" s="393"/>
    </row>
    <row r="167" spans="2:13" hidden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01">
        <v>0</v>
      </c>
      <c r="M167" s="393"/>
    </row>
    <row r="168" spans="2:13" hidden="1" outlineLevel="2" x14ac:dyDescent="0.35">
      <c r="B168" s="492"/>
      <c r="C168" s="485"/>
      <c r="D168" s="222" t="s">
        <v>70</v>
      </c>
      <c r="E168" s="219">
        <v>0</v>
      </c>
      <c r="F168" s="219">
        <v>0</v>
      </c>
      <c r="G168" s="219">
        <v>0</v>
      </c>
      <c r="H168" s="219">
        <v>0</v>
      </c>
      <c r="I168" s="219">
        <v>0</v>
      </c>
      <c r="J168" s="301">
        <v>0</v>
      </c>
      <c r="M168" s="393"/>
    </row>
    <row r="169" spans="2:13" hidden="1" outlineLevel="2" x14ac:dyDescent="0.35">
      <c r="B169" s="492"/>
      <c r="C169" s="485"/>
      <c r="D169" s="222" t="s">
        <v>69</v>
      </c>
      <c r="E169" s="219">
        <v>0</v>
      </c>
      <c r="F169" s="219">
        <v>0</v>
      </c>
      <c r="G169" s="219">
        <v>0</v>
      </c>
      <c r="H169" s="219">
        <v>0</v>
      </c>
      <c r="I169" s="219">
        <v>0</v>
      </c>
      <c r="J169" s="301">
        <v>0</v>
      </c>
      <c r="M169" s="393"/>
    </row>
    <row r="170" spans="2:13" hidden="1" outlineLevel="2" x14ac:dyDescent="0.35">
      <c r="B170" s="492"/>
      <c r="C170" s="485"/>
      <c r="D170" s="222" t="s">
        <v>68</v>
      </c>
      <c r="E170" s="219">
        <v>0</v>
      </c>
      <c r="F170" s="219">
        <v>0</v>
      </c>
      <c r="G170" s="219">
        <v>0</v>
      </c>
      <c r="H170" s="219">
        <v>0</v>
      </c>
      <c r="I170" s="219">
        <v>0</v>
      </c>
      <c r="J170" s="301">
        <v>0</v>
      </c>
      <c r="M170" s="393"/>
    </row>
    <row r="171" spans="2:13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01">
        <v>0</v>
      </c>
      <c r="M171" s="393"/>
    </row>
    <row r="172" spans="2:13" hidden="1" outlineLevel="2" x14ac:dyDescent="0.35">
      <c r="B172" s="492"/>
      <c r="C172" s="485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01">
        <v>0</v>
      </c>
      <c r="M172" s="393"/>
    </row>
    <row r="173" spans="2:13" hidden="1" outlineLevel="2" x14ac:dyDescent="0.35">
      <c r="B173" s="492"/>
      <c r="C173" s="485"/>
      <c r="D173" s="222" t="s">
        <v>64</v>
      </c>
      <c r="E173" s="219">
        <v>0</v>
      </c>
      <c r="F173" s="219">
        <v>0</v>
      </c>
      <c r="G173" s="219">
        <v>0</v>
      </c>
      <c r="H173" s="219">
        <v>0</v>
      </c>
      <c r="I173" s="219">
        <v>0</v>
      </c>
      <c r="J173" s="301">
        <v>0</v>
      </c>
      <c r="M173" s="393"/>
    </row>
    <row r="174" spans="2:13" hidden="1" outlineLevel="2" x14ac:dyDescent="0.35">
      <c r="B174" s="492"/>
      <c r="C174" s="485"/>
      <c r="D174" s="222" t="s">
        <v>63</v>
      </c>
      <c r="E174" s="219">
        <v>0</v>
      </c>
      <c r="F174" s="219">
        <v>0</v>
      </c>
      <c r="G174" s="219">
        <v>0</v>
      </c>
      <c r="H174" s="219">
        <v>0</v>
      </c>
      <c r="I174" s="219">
        <v>0</v>
      </c>
      <c r="J174" s="301">
        <v>0</v>
      </c>
      <c r="M174" s="393"/>
    </row>
    <row r="175" spans="2:13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01">
        <v>0</v>
      </c>
      <c r="M175" s="393"/>
    </row>
    <row r="176" spans="2:13" hidden="1" outlineLevel="2" x14ac:dyDescent="0.35">
      <c r="B176" s="492"/>
      <c r="C176" s="485"/>
      <c r="D176" s="222" t="s">
        <v>60</v>
      </c>
      <c r="E176" s="219">
        <v>0</v>
      </c>
      <c r="F176" s="219">
        <v>0</v>
      </c>
      <c r="G176" s="219">
        <v>0</v>
      </c>
      <c r="H176" s="219">
        <v>0</v>
      </c>
      <c r="I176" s="219">
        <v>0</v>
      </c>
      <c r="J176" s="301">
        <v>0</v>
      </c>
      <c r="M176" s="393"/>
    </row>
    <row r="177" spans="2:13" hidden="1" outlineLevel="2" x14ac:dyDescent="0.35">
      <c r="B177" s="492"/>
      <c r="C177" s="485"/>
      <c r="D177" s="222" t="s">
        <v>59</v>
      </c>
      <c r="E177" s="219">
        <v>2</v>
      </c>
      <c r="F177" s="219">
        <v>2</v>
      </c>
      <c r="G177" s="219">
        <v>2709503.75</v>
      </c>
      <c r="H177" s="219">
        <v>270950.38</v>
      </c>
      <c r="I177" s="219">
        <v>26710</v>
      </c>
      <c r="J177" s="301">
        <v>244240.38</v>
      </c>
      <c r="M177" s="393"/>
    </row>
    <row r="178" spans="2:13" hidden="1" outlineLevel="2" x14ac:dyDescent="0.35">
      <c r="B178" s="492"/>
      <c r="C178" s="485"/>
      <c r="D178" s="222" t="s">
        <v>58</v>
      </c>
      <c r="E178" s="219">
        <v>0</v>
      </c>
      <c r="F178" s="219">
        <v>0</v>
      </c>
      <c r="G178" s="219">
        <v>0</v>
      </c>
      <c r="H178" s="219">
        <v>0</v>
      </c>
      <c r="I178" s="219">
        <v>0</v>
      </c>
      <c r="J178" s="301">
        <v>0</v>
      </c>
      <c r="M178" s="393"/>
    </row>
    <row r="179" spans="2:13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01">
        <v>0</v>
      </c>
      <c r="M179" s="393"/>
    </row>
    <row r="180" spans="2:13" hidden="1" outlineLevel="2" x14ac:dyDescent="0.35">
      <c r="B180" s="492"/>
      <c r="C180" s="485"/>
      <c r="D180" s="222" t="s">
        <v>55</v>
      </c>
      <c r="E180" s="219">
        <v>0</v>
      </c>
      <c r="F180" s="219">
        <v>0</v>
      </c>
      <c r="G180" s="219">
        <v>0</v>
      </c>
      <c r="H180" s="219">
        <v>0</v>
      </c>
      <c r="I180" s="219">
        <v>0</v>
      </c>
      <c r="J180" s="301">
        <v>0</v>
      </c>
      <c r="M180" s="393"/>
    </row>
    <row r="181" spans="2:13" hidden="1" outlineLevel="2" x14ac:dyDescent="0.35">
      <c r="B181" s="492"/>
      <c r="C181" s="485"/>
      <c r="D181" s="222" t="s">
        <v>54</v>
      </c>
      <c r="E181" s="219">
        <v>0</v>
      </c>
      <c r="F181" s="219">
        <v>0</v>
      </c>
      <c r="G181" s="219">
        <v>0</v>
      </c>
      <c r="H181" s="219">
        <v>0</v>
      </c>
      <c r="I181" s="219">
        <v>0</v>
      </c>
      <c r="J181" s="301">
        <v>0</v>
      </c>
      <c r="M181" s="393"/>
    </row>
    <row r="182" spans="2:13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01">
        <v>0</v>
      </c>
      <c r="M182" s="393"/>
    </row>
    <row r="183" spans="2:13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01">
        <v>0</v>
      </c>
      <c r="M183" s="393"/>
    </row>
    <row r="184" spans="2:13" hidden="1" outlineLevel="2" x14ac:dyDescent="0.35">
      <c r="B184" s="492"/>
      <c r="C184" s="485"/>
      <c r="D184" s="222" t="s">
        <v>50</v>
      </c>
      <c r="E184" s="219">
        <v>2</v>
      </c>
      <c r="F184" s="219">
        <v>2</v>
      </c>
      <c r="G184" s="219">
        <v>2838792.89</v>
      </c>
      <c r="H184" s="219">
        <v>283879.29000000004</v>
      </c>
      <c r="I184" s="219">
        <v>128832</v>
      </c>
      <c r="J184" s="301">
        <v>155047.29</v>
      </c>
      <c r="M184" s="393"/>
    </row>
    <row r="185" spans="2:13" hidden="1" outlineLevel="2" x14ac:dyDescent="0.35">
      <c r="B185" s="492"/>
      <c r="C185" s="485"/>
      <c r="D185" s="222" t="s">
        <v>49</v>
      </c>
      <c r="E185" s="219">
        <v>0</v>
      </c>
      <c r="F185" s="219">
        <v>0</v>
      </c>
      <c r="G185" s="219">
        <v>0</v>
      </c>
      <c r="H185" s="219">
        <v>0</v>
      </c>
      <c r="I185" s="219">
        <v>0</v>
      </c>
      <c r="J185" s="301">
        <v>0</v>
      </c>
      <c r="M185" s="393"/>
    </row>
    <row r="186" spans="2:13" x14ac:dyDescent="0.35">
      <c r="B186" s="492"/>
      <c r="C186" s="485"/>
      <c r="D186" s="439" t="s">
        <v>243</v>
      </c>
      <c r="E186" s="438">
        <f t="shared" ref="E186:J186" si="23">SUM(E163,E128,E123)</f>
        <v>14</v>
      </c>
      <c r="F186" s="438">
        <f t="shared" si="23"/>
        <v>14</v>
      </c>
      <c r="G186" s="438">
        <f t="shared" si="23"/>
        <v>41249778.880000003</v>
      </c>
      <c r="H186" s="438">
        <f t="shared" si="23"/>
        <v>5566508.0199999996</v>
      </c>
      <c r="I186" s="437">
        <f t="shared" si="23"/>
        <v>630122</v>
      </c>
      <c r="J186" s="436">
        <f t="shared" si="23"/>
        <v>4936386.0199999996</v>
      </c>
      <c r="M186" s="435"/>
    </row>
    <row r="187" spans="2:13" outlineLevel="1" x14ac:dyDescent="0.35">
      <c r="B187" s="492" t="s">
        <v>242</v>
      </c>
      <c r="C187" s="485" t="s">
        <v>241</v>
      </c>
      <c r="D187" s="246" t="s">
        <v>240</v>
      </c>
      <c r="E187" s="219">
        <f t="shared" ref="E187:J187" si="24">SUM(E188:E190)</f>
        <v>2</v>
      </c>
      <c r="F187" s="219">
        <f t="shared" si="24"/>
        <v>2</v>
      </c>
      <c r="G187" s="219">
        <f t="shared" si="24"/>
        <v>2724211.23</v>
      </c>
      <c r="H187" s="219">
        <f t="shared" si="24"/>
        <v>272421.13</v>
      </c>
      <c r="I187" s="219">
        <f t="shared" si="24"/>
        <v>54490</v>
      </c>
      <c r="J187" s="301">
        <f t="shared" si="24"/>
        <v>217931.13</v>
      </c>
      <c r="M187" s="393"/>
    </row>
    <row r="188" spans="2:13" ht="15" hidden="1" customHeight="1" outlineLevel="2" x14ac:dyDescent="0.35">
      <c r="B188" s="492"/>
      <c r="C188" s="485"/>
      <c r="D188" s="222" t="s">
        <v>126</v>
      </c>
      <c r="E188" s="219">
        <v>2</v>
      </c>
      <c r="F188" s="219">
        <v>2</v>
      </c>
      <c r="G188" s="219">
        <v>2724211.23</v>
      </c>
      <c r="H188" s="219">
        <v>272421.13</v>
      </c>
      <c r="I188" s="219">
        <v>54490</v>
      </c>
      <c r="J188" s="301">
        <v>217931.13</v>
      </c>
      <c r="M188" s="393"/>
    </row>
    <row r="189" spans="2:13" ht="15" hidden="1" customHeight="1" outlineLevel="2" x14ac:dyDescent="0.35">
      <c r="B189" s="492"/>
      <c r="C189" s="485"/>
      <c r="D189" s="222" t="s">
        <v>125</v>
      </c>
      <c r="E189" s="219">
        <v>0</v>
      </c>
      <c r="F189" s="219">
        <v>0</v>
      </c>
      <c r="G189" s="219">
        <v>0</v>
      </c>
      <c r="H189" s="219">
        <v>0</v>
      </c>
      <c r="I189" s="219">
        <v>0</v>
      </c>
      <c r="J189" s="301">
        <v>0</v>
      </c>
      <c r="M189" s="393"/>
    </row>
    <row r="190" spans="2:13" ht="15" hidden="1" customHeight="1" outlineLevel="2" x14ac:dyDescent="0.35">
      <c r="B190" s="492"/>
      <c r="C190" s="485"/>
      <c r="D190" s="222" t="s">
        <v>124</v>
      </c>
      <c r="E190" s="219">
        <v>0</v>
      </c>
      <c r="F190" s="219">
        <v>0</v>
      </c>
      <c r="G190" s="219">
        <v>0</v>
      </c>
      <c r="H190" s="219">
        <v>0</v>
      </c>
      <c r="I190" s="219">
        <v>0</v>
      </c>
      <c r="J190" s="301">
        <v>0</v>
      </c>
      <c r="M190" s="440"/>
    </row>
    <row r="191" spans="2:13" outlineLevel="1" collapsed="1" x14ac:dyDescent="0.35">
      <c r="B191" s="492"/>
      <c r="C191" s="485"/>
      <c r="D191" s="246" t="s">
        <v>46</v>
      </c>
      <c r="E191" s="219">
        <f t="shared" ref="E191:J191" si="25">SUM(E192:E195)</f>
        <v>0</v>
      </c>
      <c r="F191" s="219">
        <f t="shared" si="25"/>
        <v>0</v>
      </c>
      <c r="G191" s="219">
        <f t="shared" si="25"/>
        <v>0</v>
      </c>
      <c r="H191" s="219">
        <f t="shared" si="25"/>
        <v>0</v>
      </c>
      <c r="I191" s="219">
        <f t="shared" si="25"/>
        <v>0</v>
      </c>
      <c r="J191" s="301">
        <f t="shared" si="25"/>
        <v>0</v>
      </c>
      <c r="M191" s="393"/>
    </row>
    <row r="192" spans="2:13" ht="15" hidden="1" customHeight="1" outlineLevel="2" x14ac:dyDescent="0.35">
      <c r="B192" s="492"/>
      <c r="C192" s="485"/>
      <c r="D192" s="222" t="s">
        <v>45</v>
      </c>
      <c r="E192" s="219">
        <v>0</v>
      </c>
      <c r="F192" s="219">
        <v>0</v>
      </c>
      <c r="G192" s="219">
        <v>0</v>
      </c>
      <c r="H192" s="219">
        <v>0</v>
      </c>
      <c r="I192" s="219">
        <v>0</v>
      </c>
      <c r="J192" s="301">
        <v>0</v>
      </c>
      <c r="M192" s="393"/>
    </row>
    <row r="193" spans="2:13" ht="1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01">
        <v>0</v>
      </c>
      <c r="M193" s="393"/>
    </row>
    <row r="194" spans="2:13" ht="15" hidden="1" customHeight="1" outlineLevel="2" x14ac:dyDescent="0.35">
      <c r="B194" s="492"/>
      <c r="C194" s="485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01">
        <v>0</v>
      </c>
      <c r="M194" s="440"/>
    </row>
    <row r="195" spans="2:13" ht="15" hidden="1" customHeight="1" outlineLevel="2" x14ac:dyDescent="0.35">
      <c r="B195" s="492"/>
      <c r="C195" s="485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01">
        <v>0</v>
      </c>
      <c r="M195" s="440"/>
    </row>
    <row r="196" spans="2:13" x14ac:dyDescent="0.35">
      <c r="B196" s="493"/>
      <c r="C196" s="494"/>
      <c r="D196" s="439" t="s">
        <v>239</v>
      </c>
      <c r="E196" s="438">
        <f t="shared" ref="E196:J196" si="26">SUM(E191,E187)</f>
        <v>2</v>
      </c>
      <c r="F196" s="438">
        <f t="shared" si="26"/>
        <v>2</v>
      </c>
      <c r="G196" s="438">
        <f t="shared" si="26"/>
        <v>2724211.23</v>
      </c>
      <c r="H196" s="438">
        <f t="shared" si="26"/>
        <v>272421.13</v>
      </c>
      <c r="I196" s="437">
        <f t="shared" si="26"/>
        <v>54490</v>
      </c>
      <c r="J196" s="436">
        <f t="shared" si="26"/>
        <v>217931.13</v>
      </c>
      <c r="M196" s="435"/>
    </row>
    <row r="197" spans="2:13" outlineLevel="1" x14ac:dyDescent="0.35">
      <c r="B197" s="492" t="s">
        <v>238</v>
      </c>
      <c r="C197" s="485" t="s">
        <v>237</v>
      </c>
      <c r="D197" s="246" t="s">
        <v>32</v>
      </c>
      <c r="E197" s="219">
        <f t="shared" ref="E197:J197" si="27">SUM(E198:E200)</f>
        <v>249</v>
      </c>
      <c r="F197" s="219">
        <f t="shared" si="27"/>
        <v>234</v>
      </c>
      <c r="G197" s="219">
        <f t="shared" si="27"/>
        <v>450073227.15999997</v>
      </c>
      <c r="H197" s="219">
        <f t="shared" si="27"/>
        <v>64834558.479999989</v>
      </c>
      <c r="I197" s="219">
        <f t="shared" si="27"/>
        <v>12609616.600000001</v>
      </c>
      <c r="J197" s="301">
        <f t="shared" si="27"/>
        <v>52224941.87999998</v>
      </c>
      <c r="M197" s="393"/>
    </row>
    <row r="198" spans="2:13" ht="15" hidden="1" customHeight="1" outlineLevel="2" x14ac:dyDescent="0.35">
      <c r="B198" s="492"/>
      <c r="C198" s="485"/>
      <c r="D198" s="222" t="s">
        <v>31</v>
      </c>
      <c r="E198" s="219">
        <v>107</v>
      </c>
      <c r="F198" s="219">
        <v>104</v>
      </c>
      <c r="G198" s="219">
        <v>186325039.53000003</v>
      </c>
      <c r="H198" s="219">
        <v>28028580.019999996</v>
      </c>
      <c r="I198" s="219">
        <v>5368811.0499999998</v>
      </c>
      <c r="J198" s="301">
        <v>22659768.969999988</v>
      </c>
      <c r="M198" s="393"/>
    </row>
    <row r="199" spans="2:13" ht="15" hidden="1" customHeight="1" outlineLevel="2" x14ac:dyDescent="0.35">
      <c r="B199" s="492"/>
      <c r="C199" s="485"/>
      <c r="D199" s="222" t="s">
        <v>30</v>
      </c>
      <c r="E199" s="219">
        <v>80</v>
      </c>
      <c r="F199" s="219">
        <v>76</v>
      </c>
      <c r="G199" s="219">
        <v>143743569.69999993</v>
      </c>
      <c r="H199" s="219">
        <v>21488440.449999996</v>
      </c>
      <c r="I199" s="219">
        <v>5041363.25</v>
      </c>
      <c r="J199" s="301">
        <v>16447077.199999992</v>
      </c>
      <c r="M199" s="393"/>
    </row>
    <row r="200" spans="2:13" ht="15" hidden="1" customHeight="1" outlineLevel="2" x14ac:dyDescent="0.35">
      <c r="B200" s="492"/>
      <c r="C200" s="485"/>
      <c r="D200" s="222" t="s">
        <v>29</v>
      </c>
      <c r="E200" s="219">
        <v>62</v>
      </c>
      <c r="F200" s="219">
        <v>54</v>
      </c>
      <c r="G200" s="219">
        <v>120004617.92999998</v>
      </c>
      <c r="H200" s="219">
        <v>15317538.010000002</v>
      </c>
      <c r="I200" s="219">
        <v>2199442.2999999998</v>
      </c>
      <c r="J200" s="301">
        <v>13118095.710000001</v>
      </c>
      <c r="M200" s="440"/>
    </row>
    <row r="201" spans="2:13" outlineLevel="1" collapsed="1" x14ac:dyDescent="0.35">
      <c r="B201" s="492"/>
      <c r="C201" s="485"/>
      <c r="D201" s="246" t="s">
        <v>28</v>
      </c>
      <c r="E201" s="219">
        <v>28</v>
      </c>
      <c r="F201" s="219">
        <v>26</v>
      </c>
      <c r="G201" s="219">
        <v>166079482.38000003</v>
      </c>
      <c r="H201" s="219">
        <v>23283216.669999998</v>
      </c>
      <c r="I201" s="219">
        <v>7123312.4000000004</v>
      </c>
      <c r="J201" s="301">
        <v>16159904.270000001</v>
      </c>
      <c r="M201" s="393"/>
    </row>
    <row r="202" spans="2:13" outlineLevel="1" x14ac:dyDescent="0.35">
      <c r="B202" s="492"/>
      <c r="C202" s="485"/>
      <c r="D202" s="246" t="s">
        <v>27</v>
      </c>
      <c r="E202" s="219">
        <v>11</v>
      </c>
      <c r="F202" s="219">
        <v>11</v>
      </c>
      <c r="G202" s="219">
        <v>118164406.41000001</v>
      </c>
      <c r="H202" s="219">
        <v>14103095.559999999</v>
      </c>
      <c r="I202" s="219">
        <v>2482951</v>
      </c>
      <c r="J202" s="301">
        <v>11620144.559999999</v>
      </c>
      <c r="M202" s="393"/>
    </row>
    <row r="203" spans="2:13" x14ac:dyDescent="0.35">
      <c r="B203" s="493"/>
      <c r="C203" s="494"/>
      <c r="D203" s="439" t="s">
        <v>236</v>
      </c>
      <c r="E203" s="438">
        <f t="shared" ref="E203:J203" si="28">SUM(E202,E201,E197)</f>
        <v>288</v>
      </c>
      <c r="F203" s="438">
        <f t="shared" si="28"/>
        <v>271</v>
      </c>
      <c r="G203" s="438">
        <f t="shared" si="28"/>
        <v>734317115.95000005</v>
      </c>
      <c r="H203" s="438">
        <f t="shared" si="28"/>
        <v>102220870.70999998</v>
      </c>
      <c r="I203" s="437">
        <f t="shared" si="28"/>
        <v>22215880</v>
      </c>
      <c r="J203" s="436">
        <f t="shared" si="28"/>
        <v>80004990.709999979</v>
      </c>
      <c r="M203" s="435"/>
    </row>
    <row r="204" spans="2:13" ht="15" thickBot="1" x14ac:dyDescent="0.4">
      <c r="B204" s="583" t="s">
        <v>235</v>
      </c>
      <c r="C204" s="584"/>
      <c r="D204" s="410" t="s">
        <v>15</v>
      </c>
      <c r="E204" s="434">
        <f t="shared" ref="E204:J204" si="29">SUM(E203,E186,E121,E108,E75,E41,E116,E196)</f>
        <v>404</v>
      </c>
      <c r="F204" s="434">
        <f t="shared" si="29"/>
        <v>385</v>
      </c>
      <c r="G204" s="434">
        <f t="shared" si="29"/>
        <v>1202929921.1100001</v>
      </c>
      <c r="H204" s="434">
        <f t="shared" si="29"/>
        <v>163955725.20999998</v>
      </c>
      <c r="I204" s="434">
        <f t="shared" si="29"/>
        <v>36378601.630000003</v>
      </c>
      <c r="J204" s="433">
        <f t="shared" si="29"/>
        <v>127577123.57999995</v>
      </c>
    </row>
    <row r="206" spans="2:13" x14ac:dyDescent="0.35">
      <c r="J206" s="196">
        <f>'Overdue-Booking'!I204</f>
        <v>127577123.57999995</v>
      </c>
    </row>
    <row r="224" spans="10:10" x14ac:dyDescent="0.35">
      <c r="J224" s="432"/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80" orientation="landscape" r:id="rId1"/>
  <headerFooter alignWithMargins="0">
    <oddHeader>&amp;LSOBHA LLC&amp;C&amp;"Tahoma,Regular"&amp;14
BOOKING OVERDUE AGEING_ Age calc. from booking date_0-30 Days&amp;R&amp;D</oddHeader>
    <oddFooter>&amp;LCOLLECTIONS&amp;R&amp;P/&amp;N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3FA8-2178-40B1-8A7E-5A07AFB3E47A}">
  <sheetPr>
    <pageSetUpPr fitToPage="1"/>
  </sheetPr>
  <dimension ref="B1:N206"/>
  <sheetViews>
    <sheetView view="pageBreakPreview" topLeftCell="A2" zoomScale="60" zoomScaleNormal="100" workbookViewId="0"/>
  </sheetViews>
  <sheetFormatPr defaultRowHeight="14.5" outlineLevelRow="2" x14ac:dyDescent="0.35"/>
  <cols>
    <col min="2" max="2" width="18.26953125" bestFit="1" customWidth="1"/>
    <col min="3" max="3" width="6.7265625" bestFit="1" customWidth="1"/>
    <col min="4" max="4" width="41.26953125" bestFit="1" customWidth="1"/>
    <col min="5" max="5" width="16.26953125" customWidth="1"/>
    <col min="6" max="6" width="13.7265625" bestFit="1" customWidth="1"/>
    <col min="7" max="7" width="18" bestFit="1" customWidth="1"/>
    <col min="8" max="8" width="18.1796875" bestFit="1" customWidth="1"/>
    <col min="9" max="9" width="20.81640625" bestFit="1" customWidth="1"/>
    <col min="10" max="10" width="15.453125" style="6" bestFit="1" customWidth="1"/>
    <col min="11" max="11" width="6" bestFit="1" customWidth="1"/>
    <col min="12" max="12" width="5" bestFit="1" customWidth="1"/>
    <col min="14" max="14" width="15.26953125" bestFit="1" customWidth="1"/>
  </cols>
  <sheetData>
    <row r="1" spans="2:14" ht="14.5" hidden="1" customHeight="1" x14ac:dyDescent="0.35">
      <c r="N1" s="196">
        <v>9469019</v>
      </c>
    </row>
    <row r="3" spans="2:14" x14ac:dyDescent="0.35">
      <c r="B3" s="288">
        <v>46143</v>
      </c>
      <c r="C3" t="s">
        <v>267</v>
      </c>
    </row>
    <row r="4" spans="2:14" ht="15" thickBot="1" x14ac:dyDescent="0.4"/>
    <row r="5" spans="2:14" ht="28" x14ac:dyDescent="0.35">
      <c r="B5" s="565" t="s">
        <v>276</v>
      </c>
      <c r="C5" s="579"/>
      <c r="D5" s="581" t="s">
        <v>275</v>
      </c>
      <c r="E5" s="577" t="s">
        <v>281</v>
      </c>
      <c r="F5" s="585" t="s">
        <v>280</v>
      </c>
      <c r="G5" s="577" t="s">
        <v>274</v>
      </c>
      <c r="H5" s="577" t="s">
        <v>294</v>
      </c>
      <c r="I5" s="577" t="s">
        <v>272</v>
      </c>
      <c r="J5" s="442" t="s">
        <v>282</v>
      </c>
    </row>
    <row r="6" spans="2:14" x14ac:dyDescent="0.35">
      <c r="B6" s="567"/>
      <c r="C6" s="580"/>
      <c r="D6" s="582"/>
      <c r="E6" s="578"/>
      <c r="F6" s="586"/>
      <c r="G6" s="578"/>
      <c r="H6" s="578"/>
      <c r="I6" s="578"/>
      <c r="J6" s="441"/>
    </row>
    <row r="7" spans="2:14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1"/>
    </row>
    <row r="8" spans="2:14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21">
        <f t="shared" si="0"/>
        <v>0</v>
      </c>
      <c r="K8" t="s">
        <v>277</v>
      </c>
      <c r="L8">
        <v>1500</v>
      </c>
    </row>
    <row r="9" spans="2:14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1">
        <v>0</v>
      </c>
    </row>
    <row r="10" spans="2:14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1">
        <v>0</v>
      </c>
    </row>
    <row r="11" spans="2:14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1">
        <v>0</v>
      </c>
    </row>
    <row r="12" spans="2:14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1">
        <v>0</v>
      </c>
    </row>
    <row r="13" spans="2:14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21">
        <v>0</v>
      </c>
    </row>
    <row r="14" spans="2:14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1">
        <v>0</v>
      </c>
    </row>
    <row r="15" spans="2:14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1">
        <v>0</v>
      </c>
    </row>
    <row r="16" spans="2:14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21">
        <f t="shared" si="1"/>
        <v>0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1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1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1">
        <v>0</v>
      </c>
    </row>
    <row r="20" spans="2:10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21">
        <v>0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1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21">
        <f t="shared" si="2"/>
        <v>0</v>
      </c>
    </row>
    <row r="23" spans="2:10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21">
        <v>0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21">
        <v>0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21">
        <f t="shared" si="4"/>
        <v>0</v>
      </c>
    </row>
    <row r="35" spans="2:10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21">
        <v>0</v>
      </c>
    </row>
    <row r="36" spans="2:10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21">
        <v>0</v>
      </c>
    </row>
    <row r="37" spans="2:10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21">
        <v>0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2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</row>
    <row r="41" spans="2:10" x14ac:dyDescent="0.35">
      <c r="B41" s="504"/>
      <c r="C41" s="507"/>
      <c r="D41" s="439" t="s">
        <v>259</v>
      </c>
      <c r="E41" s="438">
        <f t="shared" ref="E41:J41" si="5">SUM(E8,E15:E16,E27:E29,E22,E33:E34,E40)</f>
        <v>0</v>
      </c>
      <c r="F41" s="438">
        <f t="shared" si="5"/>
        <v>0</v>
      </c>
      <c r="G41" s="438">
        <f t="shared" si="5"/>
        <v>0</v>
      </c>
      <c r="H41" s="438">
        <f t="shared" si="5"/>
        <v>0</v>
      </c>
      <c r="I41" s="437">
        <f t="shared" si="5"/>
        <v>0</v>
      </c>
      <c r="J41" s="436">
        <f t="shared" si="5"/>
        <v>0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2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2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2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2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21">
        <v>0</v>
      </c>
    </row>
    <row r="49" spans="2:10" outlineLevel="1" x14ac:dyDescent="0.35">
      <c r="B49" s="487"/>
      <c r="C49" s="490"/>
      <c r="D49" s="236" t="s">
        <v>189</v>
      </c>
      <c r="E49" s="219">
        <v>0</v>
      </c>
      <c r="F49" s="219">
        <v>0</v>
      </c>
      <c r="G49" s="219">
        <v>0</v>
      </c>
      <c r="H49" s="219">
        <v>0</v>
      </c>
      <c r="I49" s="219">
        <v>0</v>
      </c>
      <c r="J49" s="321">
        <v>0</v>
      </c>
    </row>
    <row r="50" spans="2:10" outlineLevel="1" x14ac:dyDescent="0.35">
      <c r="B50" s="487"/>
      <c r="C50" s="490"/>
      <c r="D50" s="263" t="s">
        <v>179</v>
      </c>
      <c r="E50" s="219">
        <v>0</v>
      </c>
      <c r="F50" s="219">
        <v>0</v>
      </c>
      <c r="G50" s="219">
        <v>0</v>
      </c>
      <c r="H50" s="219">
        <v>0</v>
      </c>
      <c r="I50" s="219">
        <v>0</v>
      </c>
      <c r="J50" s="321">
        <v>0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0</v>
      </c>
      <c r="F51" s="219">
        <f t="shared" si="7"/>
        <v>0</v>
      </c>
      <c r="G51" s="219">
        <f t="shared" si="7"/>
        <v>0</v>
      </c>
      <c r="H51" s="219">
        <f t="shared" si="7"/>
        <v>0</v>
      </c>
      <c r="I51" s="219">
        <f t="shared" si="7"/>
        <v>0</v>
      </c>
      <c r="J51" s="321">
        <f t="shared" si="7"/>
        <v>0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0</v>
      </c>
      <c r="F54" s="219">
        <v>0</v>
      </c>
      <c r="G54" s="219">
        <v>0</v>
      </c>
      <c r="H54" s="219">
        <v>0</v>
      </c>
      <c r="I54" s="219">
        <v>0</v>
      </c>
      <c r="J54" s="321">
        <v>0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2</v>
      </c>
      <c r="F56" s="219">
        <f t="shared" si="8"/>
        <v>2</v>
      </c>
      <c r="G56" s="219">
        <f t="shared" si="8"/>
        <v>24097806</v>
      </c>
      <c r="H56" s="219">
        <f t="shared" si="8"/>
        <v>2522730.6</v>
      </c>
      <c r="I56" s="219">
        <f t="shared" si="8"/>
        <v>1307201</v>
      </c>
      <c r="J56" s="321">
        <f t="shared" si="8"/>
        <v>1215529.6000000001</v>
      </c>
    </row>
    <row r="57" spans="2:10" hidden="1" outlineLevel="2" x14ac:dyDescent="0.35">
      <c r="B57" s="487"/>
      <c r="C57" s="490"/>
      <c r="D57" s="242" t="s">
        <v>169</v>
      </c>
      <c r="E57" s="219">
        <v>0</v>
      </c>
      <c r="F57" s="219">
        <v>0</v>
      </c>
      <c r="G57" s="219">
        <v>0</v>
      </c>
      <c r="H57" s="219">
        <v>0</v>
      </c>
      <c r="I57" s="219">
        <v>0</v>
      </c>
      <c r="J57" s="321">
        <v>0</v>
      </c>
    </row>
    <row r="58" spans="2:10" hidden="1" outlineLevel="2" x14ac:dyDescent="0.35">
      <c r="B58" s="487"/>
      <c r="C58" s="490"/>
      <c r="D58" s="242" t="s">
        <v>168</v>
      </c>
      <c r="E58" s="219">
        <v>0</v>
      </c>
      <c r="F58" s="219">
        <v>0</v>
      </c>
      <c r="G58" s="219">
        <v>0</v>
      </c>
      <c r="H58" s="219">
        <v>0</v>
      </c>
      <c r="I58" s="219">
        <v>0</v>
      </c>
      <c r="J58" s="321">
        <v>0</v>
      </c>
    </row>
    <row r="59" spans="2:10" hidden="1" outlineLevel="2" x14ac:dyDescent="0.35">
      <c r="B59" s="487"/>
      <c r="C59" s="490"/>
      <c r="D59" s="242" t="s">
        <v>167</v>
      </c>
      <c r="E59" s="219">
        <v>0</v>
      </c>
      <c r="F59" s="219">
        <v>0</v>
      </c>
      <c r="G59" s="219">
        <v>0</v>
      </c>
      <c r="H59" s="219">
        <v>0</v>
      </c>
      <c r="I59" s="219">
        <v>0</v>
      </c>
      <c r="J59" s="321">
        <v>0</v>
      </c>
    </row>
    <row r="60" spans="2:10" hidden="1" outlineLevel="2" x14ac:dyDescent="0.35">
      <c r="B60" s="487"/>
      <c r="C60" s="490"/>
      <c r="D60" s="242" t="s">
        <v>166</v>
      </c>
      <c r="E60" s="219">
        <v>0</v>
      </c>
      <c r="F60" s="219">
        <v>0</v>
      </c>
      <c r="G60" s="219">
        <v>0</v>
      </c>
      <c r="H60" s="219">
        <v>0</v>
      </c>
      <c r="I60" s="219">
        <v>0</v>
      </c>
      <c r="J60" s="321">
        <v>0</v>
      </c>
    </row>
    <row r="61" spans="2:10" hidden="1" outlineLevel="2" x14ac:dyDescent="0.35">
      <c r="B61" s="487"/>
      <c r="C61" s="490"/>
      <c r="D61" s="261" t="s">
        <v>165</v>
      </c>
      <c r="E61" s="219">
        <v>1</v>
      </c>
      <c r="F61" s="219">
        <v>1</v>
      </c>
      <c r="G61" s="219">
        <v>1507896</v>
      </c>
      <c r="H61" s="219">
        <v>150789.6</v>
      </c>
      <c r="I61" s="219">
        <v>30160</v>
      </c>
      <c r="J61" s="321">
        <v>120629.6</v>
      </c>
    </row>
    <row r="62" spans="2:10" hidden="1" outlineLevel="2" x14ac:dyDescent="0.35">
      <c r="B62" s="487"/>
      <c r="C62" s="490"/>
      <c r="D62" s="261" t="s">
        <v>164</v>
      </c>
      <c r="E62" s="219">
        <v>1</v>
      </c>
      <c r="F62" s="219">
        <v>1</v>
      </c>
      <c r="G62" s="219">
        <v>22589910</v>
      </c>
      <c r="H62" s="219">
        <v>2371941</v>
      </c>
      <c r="I62" s="219">
        <v>1277041</v>
      </c>
      <c r="J62" s="321">
        <v>1094900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2</v>
      </c>
      <c r="F63" s="219">
        <f t="shared" si="9"/>
        <v>2</v>
      </c>
      <c r="G63" s="219">
        <f t="shared" si="9"/>
        <v>4037540</v>
      </c>
      <c r="H63" s="219">
        <f t="shared" si="9"/>
        <v>1615016</v>
      </c>
      <c r="I63" s="219">
        <f t="shared" si="9"/>
        <v>283650</v>
      </c>
      <c r="J63" s="321">
        <f t="shared" si="9"/>
        <v>1331366</v>
      </c>
    </row>
    <row r="64" spans="2:10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21">
        <v>0</v>
      </c>
    </row>
    <row r="65" spans="2:10" hidden="1" outlineLevel="2" x14ac:dyDescent="0.35">
      <c r="B65" s="487"/>
      <c r="C65" s="490"/>
      <c r="D65" s="260" t="s">
        <v>195</v>
      </c>
      <c r="E65" s="219">
        <v>2</v>
      </c>
      <c r="F65" s="219">
        <v>2</v>
      </c>
      <c r="G65" s="219">
        <v>4037540</v>
      </c>
      <c r="H65" s="219">
        <v>1615016</v>
      </c>
      <c r="I65" s="219">
        <v>283650</v>
      </c>
      <c r="J65" s="321">
        <v>1331366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0</v>
      </c>
      <c r="F67" s="219">
        <f t="shared" si="10"/>
        <v>0</v>
      </c>
      <c r="G67" s="219">
        <f t="shared" si="10"/>
        <v>0</v>
      </c>
      <c r="H67" s="219">
        <f t="shared" si="10"/>
        <v>0</v>
      </c>
      <c r="I67" s="219">
        <f t="shared" si="10"/>
        <v>0</v>
      </c>
      <c r="J67" s="321">
        <f t="shared" si="10"/>
        <v>0</v>
      </c>
    </row>
    <row r="68" spans="2:10" hidden="1" outlineLevel="2" x14ac:dyDescent="0.35">
      <c r="B68" s="487"/>
      <c r="C68" s="490"/>
      <c r="D68" s="260" t="s">
        <v>177</v>
      </c>
      <c r="E68" s="219">
        <v>0</v>
      </c>
      <c r="F68" s="219">
        <v>0</v>
      </c>
      <c r="G68" s="219">
        <v>0</v>
      </c>
      <c r="H68" s="219">
        <v>0</v>
      </c>
      <c r="I68" s="219">
        <v>0</v>
      </c>
      <c r="J68" s="321">
        <v>0</v>
      </c>
    </row>
    <row r="69" spans="2:10" hidden="1" outlineLevel="2" x14ac:dyDescent="0.35">
      <c r="B69" s="487"/>
      <c r="C69" s="490"/>
      <c r="D69" s="260" t="s">
        <v>176</v>
      </c>
      <c r="E69" s="219">
        <v>0</v>
      </c>
      <c r="F69" s="219">
        <v>0</v>
      </c>
      <c r="G69" s="219">
        <v>0</v>
      </c>
      <c r="H69" s="219">
        <v>0</v>
      </c>
      <c r="I69" s="219">
        <v>0</v>
      </c>
      <c r="J69" s="321">
        <v>0</v>
      </c>
    </row>
    <row r="70" spans="2:10" hidden="1" outlineLevel="2" x14ac:dyDescent="0.35">
      <c r="B70" s="487"/>
      <c r="C70" s="490"/>
      <c r="D70" s="260" t="s">
        <v>175</v>
      </c>
      <c r="E70" s="219">
        <v>0</v>
      </c>
      <c r="F70" s="219">
        <v>0</v>
      </c>
      <c r="G70" s="219">
        <v>0</v>
      </c>
      <c r="H70" s="219">
        <v>0</v>
      </c>
      <c r="I70" s="219">
        <v>0</v>
      </c>
      <c r="J70" s="321">
        <v>0</v>
      </c>
    </row>
    <row r="71" spans="2:10" hidden="1" outlineLevel="2" x14ac:dyDescent="0.35">
      <c r="B71" s="487"/>
      <c r="C71" s="490"/>
      <c r="D71" s="260" t="s">
        <v>174</v>
      </c>
      <c r="E71" s="219">
        <v>0</v>
      </c>
      <c r="F71" s="219">
        <v>0</v>
      </c>
      <c r="G71" s="219">
        <v>0</v>
      </c>
      <c r="H71" s="219">
        <v>0</v>
      </c>
      <c r="I71" s="219">
        <v>0</v>
      </c>
      <c r="J71" s="321">
        <v>0</v>
      </c>
    </row>
    <row r="72" spans="2:10" hidden="1" outlineLevel="2" x14ac:dyDescent="0.35">
      <c r="B72" s="487"/>
      <c r="C72" s="490"/>
      <c r="D72" s="260" t="s">
        <v>173</v>
      </c>
      <c r="E72" s="219">
        <v>0</v>
      </c>
      <c r="F72" s="219">
        <v>0</v>
      </c>
      <c r="G72" s="219">
        <v>0</v>
      </c>
      <c r="H72" s="219">
        <v>0</v>
      </c>
      <c r="I72" s="219">
        <v>0</v>
      </c>
      <c r="J72" s="321">
        <v>0</v>
      </c>
    </row>
    <row r="73" spans="2:10" hidden="1" outlineLevel="2" x14ac:dyDescent="0.35">
      <c r="B73" s="487"/>
      <c r="C73" s="490"/>
      <c r="D73" s="260" t="s">
        <v>172</v>
      </c>
      <c r="E73" s="219">
        <v>0</v>
      </c>
      <c r="F73" s="219">
        <v>0</v>
      </c>
      <c r="G73" s="219">
        <v>0</v>
      </c>
      <c r="H73" s="219">
        <v>0</v>
      </c>
      <c r="I73" s="219">
        <v>0</v>
      </c>
      <c r="J73" s="321">
        <v>0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21">
        <v>0</v>
      </c>
    </row>
    <row r="75" spans="2:10" x14ac:dyDescent="0.35">
      <c r="B75" s="488"/>
      <c r="C75" s="491"/>
      <c r="D75" s="439" t="s">
        <v>255</v>
      </c>
      <c r="E75" s="438">
        <f t="shared" ref="E75:J75" si="11">SUM(E43,E48:E51,E56,E63,E67)</f>
        <v>4</v>
      </c>
      <c r="F75" s="438">
        <f t="shared" si="11"/>
        <v>4</v>
      </c>
      <c r="G75" s="438">
        <f t="shared" si="11"/>
        <v>28135346</v>
      </c>
      <c r="H75" s="438">
        <f t="shared" si="11"/>
        <v>4137746.6</v>
      </c>
      <c r="I75" s="437">
        <f t="shared" si="11"/>
        <v>1590851</v>
      </c>
      <c r="J75" s="436">
        <f t="shared" si="11"/>
        <v>2546895.6</v>
      </c>
    </row>
    <row r="76" spans="2:10" ht="14.5" customHeight="1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01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0</v>
      </c>
      <c r="F77" s="219">
        <f t="shared" si="12"/>
        <v>0</v>
      </c>
      <c r="G77" s="219">
        <f t="shared" si="12"/>
        <v>0</v>
      </c>
      <c r="H77" s="219">
        <f t="shared" si="12"/>
        <v>0</v>
      </c>
      <c r="I77" s="219">
        <f t="shared" si="12"/>
        <v>0</v>
      </c>
      <c r="J77" s="321">
        <f t="shared" si="12"/>
        <v>0</v>
      </c>
    </row>
    <row r="78" spans="2:10" hidden="1" outlineLevel="2" x14ac:dyDescent="0.35">
      <c r="B78" s="487"/>
      <c r="C78" s="490"/>
      <c r="D78" s="250" t="s">
        <v>192</v>
      </c>
      <c r="E78" s="219">
        <v>0</v>
      </c>
      <c r="F78" s="219">
        <v>0</v>
      </c>
      <c r="G78" s="219">
        <v>0</v>
      </c>
      <c r="H78" s="219">
        <v>0</v>
      </c>
      <c r="I78" s="219">
        <v>0</v>
      </c>
      <c r="J78" s="321">
        <v>0</v>
      </c>
    </row>
    <row r="79" spans="2:10" hidden="1" outlineLevel="2" x14ac:dyDescent="0.35">
      <c r="B79" s="487"/>
      <c r="C79" s="490"/>
      <c r="D79" s="250" t="s">
        <v>191</v>
      </c>
      <c r="E79" s="219">
        <v>0</v>
      </c>
      <c r="F79" s="219">
        <v>0</v>
      </c>
      <c r="G79" s="219">
        <v>0</v>
      </c>
      <c r="H79" s="219">
        <v>0</v>
      </c>
      <c r="I79" s="219">
        <v>0</v>
      </c>
      <c r="J79" s="321">
        <v>0</v>
      </c>
    </row>
    <row r="80" spans="2:10" hidden="1" outlineLevel="2" x14ac:dyDescent="0.35">
      <c r="B80" s="487"/>
      <c r="C80" s="490"/>
      <c r="D80" s="250" t="s">
        <v>190</v>
      </c>
      <c r="E80" s="219">
        <v>0</v>
      </c>
      <c r="F80" s="219">
        <v>0</v>
      </c>
      <c r="G80" s="219">
        <v>0</v>
      </c>
      <c r="H80" s="219">
        <v>0</v>
      </c>
      <c r="I80" s="219">
        <v>0</v>
      </c>
      <c r="J80" s="321">
        <v>0</v>
      </c>
    </row>
    <row r="81" spans="2:10" outlineLevel="1" collapsed="1" x14ac:dyDescent="0.35">
      <c r="B81" s="487"/>
      <c r="C81" s="490"/>
      <c r="D81" s="251" t="s">
        <v>158</v>
      </c>
      <c r="E81" s="219">
        <f t="shared" ref="E81:J81" si="13">SUM(E82:E89)</f>
        <v>0</v>
      </c>
      <c r="F81" s="219">
        <f t="shared" si="13"/>
        <v>0</v>
      </c>
      <c r="G81" s="219">
        <f t="shared" si="13"/>
        <v>0</v>
      </c>
      <c r="H81" s="219">
        <f t="shared" si="13"/>
        <v>0</v>
      </c>
      <c r="I81" s="219">
        <f t="shared" si="13"/>
        <v>0</v>
      </c>
      <c r="J81" s="321">
        <f t="shared" si="13"/>
        <v>0</v>
      </c>
    </row>
    <row r="82" spans="2:10" hidden="1" outlineLevel="2" x14ac:dyDescent="0.35">
      <c r="B82" s="487"/>
      <c r="C82" s="490"/>
      <c r="D82" s="250" t="s">
        <v>157</v>
      </c>
      <c r="E82" s="219">
        <v>0</v>
      </c>
      <c r="F82" s="219">
        <v>0</v>
      </c>
      <c r="G82" s="219">
        <v>0</v>
      </c>
      <c r="H82" s="219">
        <v>0</v>
      </c>
      <c r="I82" s="219">
        <v>0</v>
      </c>
      <c r="J82" s="321">
        <v>0</v>
      </c>
    </row>
    <row r="83" spans="2:10" hidden="1" outlineLevel="2" x14ac:dyDescent="0.35">
      <c r="B83" s="487"/>
      <c r="C83" s="490"/>
      <c r="D83" s="250" t="s">
        <v>156</v>
      </c>
      <c r="E83" s="219">
        <v>0</v>
      </c>
      <c r="F83" s="219">
        <v>0</v>
      </c>
      <c r="G83" s="219">
        <v>0</v>
      </c>
      <c r="H83" s="219">
        <v>0</v>
      </c>
      <c r="I83" s="219">
        <v>0</v>
      </c>
      <c r="J83" s="321">
        <v>0</v>
      </c>
    </row>
    <row r="84" spans="2:10" hidden="1" outlineLevel="2" x14ac:dyDescent="0.35">
      <c r="B84" s="487"/>
      <c r="C84" s="490"/>
      <c r="D84" s="250" t="s">
        <v>155</v>
      </c>
      <c r="E84" s="219">
        <v>0</v>
      </c>
      <c r="F84" s="219">
        <v>0</v>
      </c>
      <c r="G84" s="219">
        <v>0</v>
      </c>
      <c r="H84" s="219">
        <v>0</v>
      </c>
      <c r="I84" s="219">
        <v>0</v>
      </c>
      <c r="J84" s="321">
        <v>0</v>
      </c>
    </row>
    <row r="85" spans="2:10" hidden="1" outlineLevel="2" x14ac:dyDescent="0.35">
      <c r="B85" s="487"/>
      <c r="C85" s="490"/>
      <c r="D85" s="250" t="s">
        <v>154</v>
      </c>
      <c r="E85" s="219">
        <v>0</v>
      </c>
      <c r="F85" s="219">
        <v>0</v>
      </c>
      <c r="G85" s="219">
        <v>0</v>
      </c>
      <c r="H85" s="219">
        <v>0</v>
      </c>
      <c r="I85" s="219">
        <v>0</v>
      </c>
      <c r="J85" s="321">
        <v>0</v>
      </c>
    </row>
    <row r="86" spans="2:10" hidden="1" outlineLevel="2" x14ac:dyDescent="0.35">
      <c r="B86" s="487"/>
      <c r="C86" s="490"/>
      <c r="D86" s="250" t="s">
        <v>153</v>
      </c>
      <c r="E86" s="219">
        <v>0</v>
      </c>
      <c r="F86" s="219">
        <v>0</v>
      </c>
      <c r="G86" s="219">
        <v>0</v>
      </c>
      <c r="H86" s="219">
        <v>0</v>
      </c>
      <c r="I86" s="219">
        <v>0</v>
      </c>
      <c r="J86" s="321">
        <v>0</v>
      </c>
    </row>
    <row r="87" spans="2:10" hidden="1" outlineLevel="2" x14ac:dyDescent="0.35">
      <c r="B87" s="487"/>
      <c r="C87" s="490"/>
      <c r="D87" s="250" t="s">
        <v>152</v>
      </c>
      <c r="E87" s="219">
        <v>0</v>
      </c>
      <c r="F87" s="219">
        <v>0</v>
      </c>
      <c r="G87" s="219">
        <v>0</v>
      </c>
      <c r="H87" s="219">
        <v>0</v>
      </c>
      <c r="I87" s="219">
        <v>0</v>
      </c>
      <c r="J87" s="321">
        <v>0</v>
      </c>
    </row>
    <row r="88" spans="2:10" hidden="1" outlineLevel="2" x14ac:dyDescent="0.35">
      <c r="B88" s="487"/>
      <c r="C88" s="490"/>
      <c r="D88" s="250" t="s">
        <v>151</v>
      </c>
      <c r="E88" s="219">
        <v>0</v>
      </c>
      <c r="F88" s="219">
        <v>0</v>
      </c>
      <c r="G88" s="219">
        <v>0</v>
      </c>
      <c r="H88" s="219">
        <v>0</v>
      </c>
      <c r="I88" s="219">
        <v>0</v>
      </c>
      <c r="J88" s="321">
        <v>0</v>
      </c>
    </row>
    <row r="89" spans="2:10" hidden="1" outlineLevel="2" x14ac:dyDescent="0.35">
      <c r="B89" s="487"/>
      <c r="C89" s="490"/>
      <c r="D89" s="250" t="s">
        <v>150</v>
      </c>
      <c r="E89" s="219">
        <v>0</v>
      </c>
      <c r="F89" s="219">
        <v>0</v>
      </c>
      <c r="G89" s="219">
        <v>0</v>
      </c>
      <c r="H89" s="219">
        <v>0</v>
      </c>
      <c r="I89" s="219">
        <v>0</v>
      </c>
      <c r="J89" s="321">
        <v>0</v>
      </c>
    </row>
    <row r="90" spans="2:10" outlineLevel="1" collapsed="1" x14ac:dyDescent="0.35">
      <c r="B90" s="487"/>
      <c r="C90" s="490"/>
      <c r="D90" s="251" t="s">
        <v>149</v>
      </c>
      <c r="E90" s="219">
        <f t="shared" ref="E90:J90" si="14">SUM(E91:E93)</f>
        <v>1</v>
      </c>
      <c r="F90" s="219">
        <f t="shared" si="14"/>
        <v>1</v>
      </c>
      <c r="G90" s="219">
        <f t="shared" si="14"/>
        <v>2028390</v>
      </c>
      <c r="H90" s="219">
        <f t="shared" si="14"/>
        <v>608517</v>
      </c>
      <c r="I90" s="219">
        <f t="shared" si="14"/>
        <v>202870</v>
      </c>
      <c r="J90" s="321">
        <f t="shared" si="14"/>
        <v>405647</v>
      </c>
    </row>
    <row r="91" spans="2:10" hidden="1" outlineLevel="2" x14ac:dyDescent="0.35">
      <c r="B91" s="487"/>
      <c r="C91" s="490"/>
      <c r="D91" s="250" t="s">
        <v>148</v>
      </c>
      <c r="E91" s="219">
        <v>0</v>
      </c>
      <c r="F91" s="219">
        <v>0</v>
      </c>
      <c r="G91" s="219">
        <v>0</v>
      </c>
      <c r="H91" s="219">
        <v>0</v>
      </c>
      <c r="I91" s="219">
        <v>0</v>
      </c>
      <c r="J91" s="321">
        <v>0</v>
      </c>
    </row>
    <row r="92" spans="2:10" hidden="1" outlineLevel="2" x14ac:dyDescent="0.35">
      <c r="B92" s="487"/>
      <c r="C92" s="490"/>
      <c r="D92" s="250" t="s">
        <v>147</v>
      </c>
      <c r="E92" s="219">
        <v>0</v>
      </c>
      <c r="F92" s="219">
        <v>0</v>
      </c>
      <c r="G92" s="219">
        <v>0</v>
      </c>
      <c r="H92" s="219">
        <v>0</v>
      </c>
      <c r="I92" s="219">
        <v>0</v>
      </c>
      <c r="J92" s="321">
        <v>0</v>
      </c>
    </row>
    <row r="93" spans="2:10" hidden="1" outlineLevel="2" x14ac:dyDescent="0.35">
      <c r="B93" s="487"/>
      <c r="C93" s="490"/>
      <c r="D93" s="250" t="s">
        <v>146</v>
      </c>
      <c r="E93" s="219">
        <v>1</v>
      </c>
      <c r="F93" s="219">
        <v>1</v>
      </c>
      <c r="G93" s="219">
        <v>2028390</v>
      </c>
      <c r="H93" s="219">
        <v>608517</v>
      </c>
      <c r="I93" s="219">
        <v>202870</v>
      </c>
      <c r="J93" s="321">
        <v>405647</v>
      </c>
    </row>
    <row r="94" spans="2:10" outlineLevel="1" collapsed="1" x14ac:dyDescent="0.35">
      <c r="B94" s="487"/>
      <c r="C94" s="490"/>
      <c r="D94" s="324" t="s">
        <v>133</v>
      </c>
      <c r="E94" s="219">
        <v>0</v>
      </c>
      <c r="F94" s="219">
        <v>0</v>
      </c>
      <c r="G94" s="219">
        <v>0</v>
      </c>
      <c r="H94" s="219">
        <v>0</v>
      </c>
      <c r="I94" s="219">
        <v>0</v>
      </c>
      <c r="J94" s="321">
        <v>0</v>
      </c>
    </row>
    <row r="95" spans="2:10" outlineLevel="1" x14ac:dyDescent="0.35">
      <c r="B95" s="487"/>
      <c r="C95" s="490"/>
      <c r="D95" s="236" t="s">
        <v>140</v>
      </c>
      <c r="E95" s="219">
        <v>0</v>
      </c>
      <c r="F95" s="219">
        <v>0</v>
      </c>
      <c r="G95" s="219">
        <v>0</v>
      </c>
      <c r="H95" s="219">
        <v>0</v>
      </c>
      <c r="I95" s="219">
        <v>0</v>
      </c>
      <c r="J95" s="321">
        <v>0</v>
      </c>
    </row>
    <row r="96" spans="2:10" outlineLevel="1" x14ac:dyDescent="0.35">
      <c r="B96" s="487"/>
      <c r="C96" s="490"/>
      <c r="D96" s="23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21">
        <v>0</v>
      </c>
    </row>
    <row r="97" spans="2:10" outlineLevel="1" x14ac:dyDescent="0.35">
      <c r="B97" s="487"/>
      <c r="C97" s="490"/>
      <c r="D97" s="236" t="s">
        <v>138</v>
      </c>
      <c r="E97" s="219">
        <f t="shared" ref="E97:J97" si="15">SUM(E98:E101)</f>
        <v>0</v>
      </c>
      <c r="F97" s="219">
        <f t="shared" si="15"/>
        <v>0</v>
      </c>
      <c r="G97" s="219">
        <f t="shared" si="15"/>
        <v>0</v>
      </c>
      <c r="H97" s="219">
        <f t="shared" si="15"/>
        <v>0</v>
      </c>
      <c r="I97" s="219">
        <f t="shared" si="15"/>
        <v>0</v>
      </c>
      <c r="J97" s="321">
        <f t="shared" si="15"/>
        <v>0</v>
      </c>
    </row>
    <row r="98" spans="2:10" hidden="1" outlineLevel="2" x14ac:dyDescent="0.35">
      <c r="B98" s="487"/>
      <c r="C98" s="490"/>
      <c r="D98" s="242" t="s">
        <v>137</v>
      </c>
      <c r="E98" s="219">
        <v>0</v>
      </c>
      <c r="F98" s="219">
        <v>0</v>
      </c>
      <c r="G98" s="219">
        <v>0</v>
      </c>
      <c r="H98" s="219">
        <v>0</v>
      </c>
      <c r="I98" s="219">
        <v>0</v>
      </c>
      <c r="J98" s="321">
        <v>0</v>
      </c>
    </row>
    <row r="99" spans="2:10" hidden="1" outlineLevel="2" x14ac:dyDescent="0.35">
      <c r="B99" s="487"/>
      <c r="C99" s="490"/>
      <c r="D99" s="242" t="s">
        <v>136</v>
      </c>
      <c r="E99" s="219">
        <v>0</v>
      </c>
      <c r="F99" s="219">
        <v>0</v>
      </c>
      <c r="G99" s="219">
        <v>0</v>
      </c>
      <c r="H99" s="219">
        <v>0</v>
      </c>
      <c r="I99" s="219">
        <v>0</v>
      </c>
      <c r="J99" s="321">
        <v>0</v>
      </c>
    </row>
    <row r="100" spans="2:10" hidden="1" outlineLevel="2" x14ac:dyDescent="0.35">
      <c r="B100" s="487"/>
      <c r="C100" s="490"/>
      <c r="D100" s="242" t="s">
        <v>135</v>
      </c>
      <c r="E100" s="219">
        <v>0</v>
      </c>
      <c r="F100" s="219">
        <v>0</v>
      </c>
      <c r="G100" s="219">
        <v>0</v>
      </c>
      <c r="H100" s="219">
        <v>0</v>
      </c>
      <c r="I100" s="219">
        <v>0</v>
      </c>
      <c r="J100" s="321">
        <v>0</v>
      </c>
    </row>
    <row r="101" spans="2:10" hidden="1" outlineLevel="2" x14ac:dyDescent="0.35">
      <c r="B101" s="487"/>
      <c r="C101" s="490"/>
      <c r="D101" s="242" t="s">
        <v>134</v>
      </c>
      <c r="E101" s="219">
        <v>0</v>
      </c>
      <c r="F101" s="219">
        <v>0</v>
      </c>
      <c r="G101" s="219">
        <v>0</v>
      </c>
      <c r="H101" s="219">
        <v>0</v>
      </c>
      <c r="I101" s="219">
        <v>0</v>
      </c>
      <c r="J101" s="321">
        <v>0</v>
      </c>
    </row>
    <row r="102" spans="2:10" outlineLevel="1" collapsed="1" x14ac:dyDescent="0.35">
      <c r="B102" s="487"/>
      <c r="C102" s="490"/>
      <c r="D102" s="236" t="s">
        <v>132</v>
      </c>
      <c r="E102" s="219">
        <f t="shared" ref="E102:J102" si="16">SUM(E103:E106)</f>
        <v>5</v>
      </c>
      <c r="F102" s="219">
        <f t="shared" si="16"/>
        <v>5</v>
      </c>
      <c r="G102" s="219">
        <f t="shared" si="16"/>
        <v>13911082.770000001</v>
      </c>
      <c r="H102" s="219">
        <f t="shared" si="16"/>
        <v>1663718.97</v>
      </c>
      <c r="I102" s="219">
        <f t="shared" si="16"/>
        <v>956385.22</v>
      </c>
      <c r="J102" s="321">
        <f t="shared" si="16"/>
        <v>707333.75</v>
      </c>
    </row>
    <row r="103" spans="2:10" hidden="1" outlineLevel="2" x14ac:dyDescent="0.35">
      <c r="B103" s="487"/>
      <c r="C103" s="490"/>
      <c r="D103" s="242" t="s">
        <v>131</v>
      </c>
      <c r="E103" s="219">
        <v>0</v>
      </c>
      <c r="F103" s="219">
        <v>0</v>
      </c>
      <c r="G103" s="219">
        <v>0</v>
      </c>
      <c r="H103" s="219">
        <v>0</v>
      </c>
      <c r="I103" s="219">
        <v>0</v>
      </c>
      <c r="J103" s="321">
        <v>0</v>
      </c>
    </row>
    <row r="104" spans="2:10" hidden="1" outlineLevel="2" x14ac:dyDescent="0.35">
      <c r="B104" s="487"/>
      <c r="C104" s="490"/>
      <c r="D104" s="242" t="s">
        <v>130</v>
      </c>
      <c r="E104" s="219">
        <v>0</v>
      </c>
      <c r="F104" s="219">
        <v>0</v>
      </c>
      <c r="G104" s="219">
        <v>0</v>
      </c>
      <c r="H104" s="219">
        <v>0</v>
      </c>
      <c r="I104" s="219">
        <v>0</v>
      </c>
      <c r="J104" s="321">
        <v>0</v>
      </c>
    </row>
    <row r="105" spans="2:10" hidden="1" outlineLevel="2" x14ac:dyDescent="0.35">
      <c r="B105" s="487"/>
      <c r="C105" s="490"/>
      <c r="D105" s="242" t="s">
        <v>129</v>
      </c>
      <c r="E105" s="219">
        <v>0</v>
      </c>
      <c r="F105" s="219">
        <v>0</v>
      </c>
      <c r="G105" s="219">
        <v>0</v>
      </c>
      <c r="H105" s="219">
        <v>0</v>
      </c>
      <c r="I105" s="219">
        <v>0</v>
      </c>
      <c r="J105" s="321">
        <v>0</v>
      </c>
    </row>
    <row r="106" spans="2:10" hidden="1" outlineLevel="2" x14ac:dyDescent="0.35">
      <c r="B106" s="487"/>
      <c r="C106" s="490"/>
      <c r="D106" s="242" t="s">
        <v>128</v>
      </c>
      <c r="E106" s="219">
        <v>5</v>
      </c>
      <c r="F106" s="219">
        <v>5</v>
      </c>
      <c r="G106" s="219">
        <v>13911082.770000001</v>
      </c>
      <c r="H106" s="219">
        <v>1663718.97</v>
      </c>
      <c r="I106" s="219">
        <v>956385.22</v>
      </c>
      <c r="J106" s="321">
        <v>707333.75</v>
      </c>
    </row>
    <row r="107" spans="2:10" outlineLevel="1" collapsed="1" x14ac:dyDescent="0.35">
      <c r="B107" s="487"/>
      <c r="C107" s="490"/>
      <c r="D107" s="236" t="s">
        <v>41</v>
      </c>
      <c r="E107" s="219">
        <v>0</v>
      </c>
      <c r="F107" s="219">
        <v>0</v>
      </c>
      <c r="G107" s="219">
        <v>0</v>
      </c>
      <c r="H107" s="219">
        <v>0</v>
      </c>
      <c r="I107" s="219">
        <v>0</v>
      </c>
      <c r="J107" s="321">
        <v>0</v>
      </c>
    </row>
    <row r="108" spans="2:10" x14ac:dyDescent="0.35">
      <c r="B108" s="488"/>
      <c r="C108" s="491"/>
      <c r="D108" s="439" t="s">
        <v>251</v>
      </c>
      <c r="E108" s="438">
        <f t="shared" ref="E108:J108" si="17">SUM(E102,E107,E97,E96,E94,E90,E81,E77,E95)</f>
        <v>6</v>
      </c>
      <c r="F108" s="438">
        <f t="shared" si="17"/>
        <v>6</v>
      </c>
      <c r="G108" s="438">
        <f t="shared" si="17"/>
        <v>15939472.770000001</v>
      </c>
      <c r="H108" s="438">
        <f t="shared" si="17"/>
        <v>2272235.9699999997</v>
      </c>
      <c r="I108" s="437">
        <f t="shared" si="17"/>
        <v>1159255.22</v>
      </c>
      <c r="J108" s="436">
        <f t="shared" si="17"/>
        <v>1112980.75</v>
      </c>
    </row>
    <row r="109" spans="2:10" ht="27.65" customHeight="1" outlineLevel="1" x14ac:dyDescent="0.35">
      <c r="B109" s="487" t="s">
        <v>250</v>
      </c>
      <c r="C109" s="490" t="s">
        <v>249</v>
      </c>
      <c r="D109" s="236" t="s">
        <v>123</v>
      </c>
      <c r="E109" s="219">
        <v>0</v>
      </c>
      <c r="F109" s="219">
        <v>0</v>
      </c>
      <c r="G109" s="219">
        <v>0</v>
      </c>
      <c r="H109" s="219">
        <v>0</v>
      </c>
      <c r="I109" s="219">
        <v>0</v>
      </c>
      <c r="J109" s="321">
        <v>0</v>
      </c>
    </row>
    <row r="110" spans="2:10" ht="27.65" customHeight="1" outlineLevel="1" x14ac:dyDescent="0.35">
      <c r="B110" s="487"/>
      <c r="C110" s="490"/>
      <c r="D110" s="236" t="s">
        <v>122</v>
      </c>
      <c r="E110" s="219">
        <v>0</v>
      </c>
      <c r="F110" s="219">
        <v>0</v>
      </c>
      <c r="G110" s="219">
        <v>0</v>
      </c>
      <c r="H110" s="219">
        <v>0</v>
      </c>
      <c r="I110" s="219">
        <v>0</v>
      </c>
      <c r="J110" s="321">
        <v>0</v>
      </c>
    </row>
    <row r="111" spans="2:10" ht="27.65" customHeight="1" outlineLevel="1" x14ac:dyDescent="0.35">
      <c r="B111" s="487"/>
      <c r="C111" s="490"/>
      <c r="D111" s="236" t="s">
        <v>48</v>
      </c>
      <c r="E111" s="219">
        <v>1</v>
      </c>
      <c r="F111" s="219">
        <v>1</v>
      </c>
      <c r="G111" s="219">
        <v>2570619.15</v>
      </c>
      <c r="H111" s="219">
        <v>257061.92</v>
      </c>
      <c r="I111" s="219">
        <v>76851</v>
      </c>
      <c r="J111" s="321">
        <v>180210.92</v>
      </c>
    </row>
    <row r="112" spans="2:10" ht="27.65" customHeight="1" outlineLevel="1" x14ac:dyDescent="0.35">
      <c r="B112" s="487"/>
      <c r="C112" s="490"/>
      <c r="D112" s="236" t="s">
        <v>47</v>
      </c>
      <c r="E112" s="219">
        <v>0</v>
      </c>
      <c r="F112" s="219">
        <v>0</v>
      </c>
      <c r="G112" s="219">
        <v>0</v>
      </c>
      <c r="H112" s="219">
        <v>0</v>
      </c>
      <c r="I112" s="219">
        <v>0</v>
      </c>
      <c r="J112" s="321">
        <v>0</v>
      </c>
    </row>
    <row r="113" spans="2:10" ht="27.65" customHeight="1" outlineLevel="1" x14ac:dyDescent="0.35">
      <c r="B113" s="487"/>
      <c r="C113" s="490"/>
      <c r="D113" s="236" t="s">
        <v>40</v>
      </c>
      <c r="E113" s="219">
        <v>1</v>
      </c>
      <c r="F113" s="219">
        <v>1</v>
      </c>
      <c r="G113" s="219">
        <v>5770991</v>
      </c>
      <c r="H113" s="219">
        <v>577099.1</v>
      </c>
      <c r="I113" s="219">
        <v>216000</v>
      </c>
      <c r="J113" s="321">
        <v>361099.1</v>
      </c>
    </row>
    <row r="114" spans="2:10" ht="27.65" customHeight="1" outlineLevel="1" x14ac:dyDescent="0.35">
      <c r="B114" s="487"/>
      <c r="C114" s="490"/>
      <c r="D114" s="236" t="s">
        <v>39</v>
      </c>
      <c r="E114" s="219">
        <v>7</v>
      </c>
      <c r="F114" s="219">
        <v>7</v>
      </c>
      <c r="G114" s="219">
        <v>15282747.289999999</v>
      </c>
      <c r="H114" s="219">
        <v>1528274.72</v>
      </c>
      <c r="I114" s="219">
        <v>463531.39</v>
      </c>
      <c r="J114" s="321">
        <v>1064743.33</v>
      </c>
    </row>
    <row r="115" spans="2:10" ht="27.65" customHeight="1" outlineLevel="1" x14ac:dyDescent="0.35">
      <c r="B115" s="487"/>
      <c r="C115" s="490"/>
      <c r="D115" s="236" t="s">
        <v>38</v>
      </c>
      <c r="E115" s="219">
        <v>0</v>
      </c>
      <c r="F115" s="219">
        <v>0</v>
      </c>
      <c r="G115" s="219">
        <v>0</v>
      </c>
      <c r="H115" s="219">
        <v>0</v>
      </c>
      <c r="I115" s="219">
        <v>0</v>
      </c>
      <c r="J115" s="321">
        <v>0</v>
      </c>
    </row>
    <row r="116" spans="2:10" x14ac:dyDescent="0.35">
      <c r="B116" s="488"/>
      <c r="C116" s="491"/>
      <c r="D116" s="439" t="s">
        <v>248</v>
      </c>
      <c r="E116" s="438">
        <f t="shared" ref="E116:J116" si="18">SUM(E109:E115)</f>
        <v>9</v>
      </c>
      <c r="F116" s="438">
        <f t="shared" si="18"/>
        <v>9</v>
      </c>
      <c r="G116" s="438">
        <f t="shared" si="18"/>
        <v>23624357.439999998</v>
      </c>
      <c r="H116" s="438">
        <f t="shared" si="18"/>
        <v>2362435.7400000002</v>
      </c>
      <c r="I116" s="437">
        <f t="shared" si="18"/>
        <v>756382.39</v>
      </c>
      <c r="J116" s="436">
        <f t="shared" si="18"/>
        <v>1606053.35</v>
      </c>
    </row>
    <row r="117" spans="2:10" ht="27.65" customHeight="1" outlineLevel="1" x14ac:dyDescent="0.35">
      <c r="B117" s="487" t="s">
        <v>247</v>
      </c>
      <c r="C117" s="490" t="s">
        <v>246</v>
      </c>
      <c r="D117" s="236" t="s">
        <v>36</v>
      </c>
      <c r="E117" s="219">
        <v>1</v>
      </c>
      <c r="F117" s="219">
        <v>1</v>
      </c>
      <c r="G117" s="219">
        <v>4057383</v>
      </c>
      <c r="H117" s="219">
        <v>405738.3</v>
      </c>
      <c r="I117" s="219">
        <v>81200</v>
      </c>
      <c r="J117" s="321">
        <v>324538.3</v>
      </c>
    </row>
    <row r="118" spans="2:10" ht="27.65" customHeight="1" outlineLevel="1" x14ac:dyDescent="0.35">
      <c r="B118" s="487"/>
      <c r="C118" s="490"/>
      <c r="D118" s="236" t="s">
        <v>35</v>
      </c>
      <c r="E118" s="219">
        <v>2</v>
      </c>
      <c r="F118" s="219">
        <v>2</v>
      </c>
      <c r="G118" s="219">
        <v>11448982.75</v>
      </c>
      <c r="H118" s="219">
        <v>1873846.4</v>
      </c>
      <c r="I118" s="219">
        <v>1205389</v>
      </c>
      <c r="J118" s="321">
        <v>668457.4</v>
      </c>
    </row>
    <row r="119" spans="2:10" ht="27.65" customHeight="1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21">
        <v>0</v>
      </c>
    </row>
    <row r="120" spans="2:10" ht="27.65" customHeight="1" outlineLevel="1" x14ac:dyDescent="0.35">
      <c r="B120" s="487"/>
      <c r="C120" s="490"/>
      <c r="D120" s="236" t="s">
        <v>33</v>
      </c>
      <c r="E120" s="219">
        <v>6</v>
      </c>
      <c r="F120" s="219">
        <v>6</v>
      </c>
      <c r="G120" s="219">
        <v>26322560</v>
      </c>
      <c r="H120" s="219">
        <v>2632256</v>
      </c>
      <c r="I120" s="219">
        <v>833740</v>
      </c>
      <c r="J120" s="321">
        <v>1798516.0000000002</v>
      </c>
    </row>
    <row r="121" spans="2:10" x14ac:dyDescent="0.35">
      <c r="B121" s="488"/>
      <c r="C121" s="491"/>
      <c r="D121" s="439" t="s">
        <v>245</v>
      </c>
      <c r="E121" s="438">
        <f t="shared" ref="E121:J121" si="19">SUM(E117:E120)</f>
        <v>9</v>
      </c>
      <c r="F121" s="438">
        <f t="shared" si="19"/>
        <v>9</v>
      </c>
      <c r="G121" s="438">
        <f t="shared" si="19"/>
        <v>41828925.75</v>
      </c>
      <c r="H121" s="438">
        <f t="shared" si="19"/>
        <v>4911840.6999999993</v>
      </c>
      <c r="I121" s="437">
        <f t="shared" si="19"/>
        <v>2120329</v>
      </c>
      <c r="J121" s="436">
        <f t="shared" si="19"/>
        <v>2791511.7</v>
      </c>
    </row>
    <row r="122" spans="2:10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89"/>
    </row>
    <row r="123" spans="2:10" outlineLevel="1" x14ac:dyDescent="0.35">
      <c r="B123" s="492"/>
      <c r="C123" s="485"/>
      <c r="D123" s="225" t="s">
        <v>145</v>
      </c>
      <c r="E123" s="219">
        <f t="shared" ref="E123:J123" si="20">SUM(E124:E127)</f>
        <v>1</v>
      </c>
      <c r="F123" s="219">
        <f t="shared" si="20"/>
        <v>1</v>
      </c>
      <c r="G123" s="219">
        <f t="shared" si="20"/>
        <v>10746494</v>
      </c>
      <c r="H123" s="219">
        <f t="shared" si="20"/>
        <v>1074649.3999999999</v>
      </c>
      <c r="I123" s="219">
        <f t="shared" si="20"/>
        <v>50000</v>
      </c>
      <c r="J123" s="321">
        <f t="shared" si="20"/>
        <v>1024649.4</v>
      </c>
    </row>
    <row r="124" spans="2:10" ht="14.5" hidden="1" customHeight="1" outlineLevel="2" x14ac:dyDescent="0.35">
      <c r="B124" s="492"/>
      <c r="C124" s="485"/>
      <c r="D124" s="222" t="s">
        <v>144</v>
      </c>
      <c r="E124" s="219">
        <v>1</v>
      </c>
      <c r="F124" s="219">
        <v>1</v>
      </c>
      <c r="G124" s="219">
        <v>10746494</v>
      </c>
      <c r="H124" s="219">
        <v>1074649.3999999999</v>
      </c>
      <c r="I124" s="219">
        <v>50000</v>
      </c>
      <c r="J124" s="321">
        <v>1024649.4</v>
      </c>
    </row>
    <row r="125" spans="2:10" ht="14.5" hidden="1" customHeight="1" outlineLevel="2" x14ac:dyDescent="0.35">
      <c r="B125" s="492"/>
      <c r="C125" s="485"/>
      <c r="D125" s="223" t="s">
        <v>143</v>
      </c>
      <c r="E125" s="219">
        <v>0</v>
      </c>
      <c r="F125" s="219">
        <v>0</v>
      </c>
      <c r="G125" s="219">
        <v>0</v>
      </c>
      <c r="H125" s="219">
        <v>0</v>
      </c>
      <c r="I125" s="219">
        <v>0</v>
      </c>
      <c r="J125" s="321">
        <v>0</v>
      </c>
    </row>
    <row r="126" spans="2:10" ht="14.5" hidden="1" customHeight="1" outlineLevel="2" x14ac:dyDescent="0.35">
      <c r="B126" s="492"/>
      <c r="C126" s="485"/>
      <c r="D126" s="223" t="s">
        <v>142</v>
      </c>
      <c r="E126" s="219">
        <v>0</v>
      </c>
      <c r="F126" s="219">
        <v>0</v>
      </c>
      <c r="G126" s="219">
        <v>0</v>
      </c>
      <c r="H126" s="219">
        <v>0</v>
      </c>
      <c r="I126" s="219">
        <v>0</v>
      </c>
      <c r="J126" s="321">
        <v>0</v>
      </c>
    </row>
    <row r="127" spans="2:10" ht="14.5" hidden="1" customHeight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21">
        <v>0</v>
      </c>
    </row>
    <row r="128" spans="2:10" outlineLevel="1" collapsed="1" x14ac:dyDescent="0.35">
      <c r="B128" s="492"/>
      <c r="C128" s="485"/>
      <c r="D128" s="221" t="s">
        <v>121</v>
      </c>
      <c r="E128" s="219">
        <f t="shared" ref="E128:J128" si="21">SUM(E129:E162)</f>
        <v>2</v>
      </c>
      <c r="F128" s="219">
        <f t="shared" si="21"/>
        <v>2</v>
      </c>
      <c r="G128" s="219">
        <f t="shared" si="21"/>
        <v>3299100.74</v>
      </c>
      <c r="H128" s="219">
        <f t="shared" si="21"/>
        <v>515966.95</v>
      </c>
      <c r="I128" s="219">
        <f t="shared" si="21"/>
        <v>272470</v>
      </c>
      <c r="J128" s="321">
        <f t="shared" si="21"/>
        <v>243496.95</v>
      </c>
    </row>
    <row r="129" spans="2:10" ht="14.5" hidden="1" customHeight="1" outlineLevel="2" x14ac:dyDescent="0.35">
      <c r="B129" s="492"/>
      <c r="C129" s="485"/>
      <c r="D129" s="224" t="s">
        <v>119</v>
      </c>
      <c r="E129" s="219">
        <v>0</v>
      </c>
      <c r="F129" s="219">
        <v>0</v>
      </c>
      <c r="G129" s="219">
        <v>0</v>
      </c>
      <c r="H129" s="219">
        <v>0</v>
      </c>
      <c r="I129" s="219">
        <v>0</v>
      </c>
      <c r="J129" s="321">
        <v>0</v>
      </c>
    </row>
    <row r="130" spans="2:10" ht="14.5" hidden="1" customHeight="1" outlineLevel="2" x14ac:dyDescent="0.35">
      <c r="B130" s="492"/>
      <c r="C130" s="485"/>
      <c r="D130" s="223" t="s">
        <v>118</v>
      </c>
      <c r="E130" s="219">
        <v>0</v>
      </c>
      <c r="F130" s="219">
        <v>0</v>
      </c>
      <c r="G130" s="219">
        <v>0</v>
      </c>
      <c r="H130" s="219">
        <v>0</v>
      </c>
      <c r="I130" s="219">
        <v>0</v>
      </c>
      <c r="J130" s="321">
        <v>0</v>
      </c>
    </row>
    <row r="131" spans="2:10" ht="14.5" hidden="1" customHeight="1" outlineLevel="2" x14ac:dyDescent="0.35">
      <c r="B131" s="492"/>
      <c r="C131" s="485"/>
      <c r="D131" s="223" t="s">
        <v>117</v>
      </c>
      <c r="E131" s="219">
        <v>0</v>
      </c>
      <c r="F131" s="219">
        <v>0</v>
      </c>
      <c r="G131" s="219">
        <v>0</v>
      </c>
      <c r="H131" s="219">
        <v>0</v>
      </c>
      <c r="I131" s="219">
        <v>0</v>
      </c>
      <c r="J131" s="321">
        <v>0</v>
      </c>
    </row>
    <row r="132" spans="2:10" ht="14.5" hidden="1" customHeight="1" outlineLevel="2" x14ac:dyDescent="0.35">
      <c r="B132" s="492"/>
      <c r="C132" s="485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21">
        <v>0</v>
      </c>
    </row>
    <row r="133" spans="2:10" ht="14.5" hidden="1" customHeight="1" outlineLevel="2" collapsed="1" x14ac:dyDescent="0.35">
      <c r="B133" s="492"/>
      <c r="C133" s="485"/>
      <c r="D133" s="223" t="s">
        <v>298</v>
      </c>
      <c r="E133" s="219">
        <v>0</v>
      </c>
      <c r="F133" s="219">
        <v>0</v>
      </c>
      <c r="G133" s="219">
        <v>0</v>
      </c>
      <c r="H133" s="219">
        <v>0</v>
      </c>
      <c r="I133" s="219">
        <v>0</v>
      </c>
      <c r="J133" s="321">
        <v>0</v>
      </c>
    </row>
    <row r="134" spans="2:10" ht="14.5" hidden="1" customHeight="1" outlineLevel="2" x14ac:dyDescent="0.35">
      <c r="B134" s="492"/>
      <c r="C134" s="485"/>
      <c r="D134" s="223" t="s">
        <v>113</v>
      </c>
      <c r="E134" s="219">
        <v>0</v>
      </c>
      <c r="F134" s="219">
        <v>0</v>
      </c>
      <c r="G134" s="219">
        <v>0</v>
      </c>
      <c r="H134" s="219">
        <v>0</v>
      </c>
      <c r="I134" s="219">
        <v>0</v>
      </c>
      <c r="J134" s="321">
        <v>0</v>
      </c>
    </row>
    <row r="135" spans="2:10" ht="14.5" hidden="1" customHeight="1" outlineLevel="2" x14ac:dyDescent="0.35">
      <c r="B135" s="492"/>
      <c r="C135" s="485"/>
      <c r="D135" s="223" t="s">
        <v>112</v>
      </c>
      <c r="E135" s="219">
        <v>0</v>
      </c>
      <c r="F135" s="219">
        <v>0</v>
      </c>
      <c r="G135" s="219">
        <v>0</v>
      </c>
      <c r="H135" s="219">
        <v>0</v>
      </c>
      <c r="I135" s="219">
        <v>0</v>
      </c>
      <c r="J135" s="321">
        <v>0</v>
      </c>
    </row>
    <row r="136" spans="2:10" ht="14.5" hidden="1" customHeight="1" outlineLevel="2" x14ac:dyDescent="0.35">
      <c r="B136" s="492"/>
      <c r="C136" s="485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21">
        <v>0</v>
      </c>
    </row>
    <row r="137" spans="2:10" ht="14.5" hidden="1" customHeight="1" outlineLevel="2" collapsed="1" x14ac:dyDescent="0.35">
      <c r="B137" s="492"/>
      <c r="C137" s="485"/>
      <c r="D137" s="223" t="s">
        <v>297</v>
      </c>
      <c r="E137" s="219">
        <v>0</v>
      </c>
      <c r="F137" s="219">
        <v>0</v>
      </c>
      <c r="G137" s="219">
        <v>0</v>
      </c>
      <c r="H137" s="219">
        <v>0</v>
      </c>
      <c r="I137" s="219">
        <v>0</v>
      </c>
      <c r="J137" s="321">
        <v>0</v>
      </c>
    </row>
    <row r="138" spans="2:10" ht="14.5" hidden="1" customHeight="1" outlineLevel="2" x14ac:dyDescent="0.35">
      <c r="B138" s="492"/>
      <c r="C138" s="485"/>
      <c r="D138" s="222" t="s">
        <v>108</v>
      </c>
      <c r="E138" s="219">
        <v>0</v>
      </c>
      <c r="F138" s="219">
        <v>0</v>
      </c>
      <c r="G138" s="219">
        <v>0</v>
      </c>
      <c r="H138" s="219">
        <v>0</v>
      </c>
      <c r="I138" s="219">
        <v>0</v>
      </c>
      <c r="J138" s="321">
        <v>0</v>
      </c>
    </row>
    <row r="139" spans="2:10" ht="14.5" hidden="1" customHeight="1" outlineLevel="2" x14ac:dyDescent="0.35">
      <c r="B139" s="492"/>
      <c r="C139" s="485"/>
      <c r="D139" s="222" t="s">
        <v>107</v>
      </c>
      <c r="E139" s="219">
        <v>0</v>
      </c>
      <c r="F139" s="219">
        <v>0</v>
      </c>
      <c r="G139" s="219">
        <v>0</v>
      </c>
      <c r="H139" s="219">
        <v>0</v>
      </c>
      <c r="I139" s="219">
        <v>0</v>
      </c>
      <c r="J139" s="321">
        <v>0</v>
      </c>
    </row>
    <row r="140" spans="2:10" ht="14.5" hidden="1" customHeight="1" outlineLevel="2" x14ac:dyDescent="0.35">
      <c r="B140" s="492"/>
      <c r="C140" s="485"/>
      <c r="D140" s="222" t="s">
        <v>106</v>
      </c>
      <c r="E140" s="219">
        <v>0</v>
      </c>
      <c r="F140" s="219">
        <v>0</v>
      </c>
      <c r="G140" s="219">
        <v>0</v>
      </c>
      <c r="H140" s="219">
        <v>0</v>
      </c>
      <c r="I140" s="219">
        <v>0</v>
      </c>
      <c r="J140" s="321">
        <v>0</v>
      </c>
    </row>
    <row r="141" spans="2:10" ht="14.5" hidden="1" customHeight="1" outlineLevel="2" collapsed="1" x14ac:dyDescent="0.35">
      <c r="B141" s="492"/>
      <c r="C141" s="485"/>
      <c r="D141" s="223" t="s">
        <v>296</v>
      </c>
      <c r="E141" s="219">
        <v>0</v>
      </c>
      <c r="F141" s="219">
        <v>0</v>
      </c>
      <c r="G141" s="219">
        <v>0</v>
      </c>
      <c r="H141" s="219">
        <v>0</v>
      </c>
      <c r="I141" s="219">
        <v>0</v>
      </c>
      <c r="J141" s="321">
        <v>0</v>
      </c>
    </row>
    <row r="142" spans="2:10" ht="14.5" hidden="1" customHeight="1" outlineLevel="2" x14ac:dyDescent="0.35">
      <c r="B142" s="492"/>
      <c r="C142" s="485"/>
      <c r="D142" s="222" t="s">
        <v>103</v>
      </c>
      <c r="E142" s="219">
        <v>0</v>
      </c>
      <c r="F142" s="219">
        <v>0</v>
      </c>
      <c r="G142" s="219">
        <v>0</v>
      </c>
      <c r="H142" s="219">
        <v>0</v>
      </c>
      <c r="I142" s="219">
        <v>0</v>
      </c>
      <c r="J142" s="321">
        <v>0</v>
      </c>
    </row>
    <row r="143" spans="2:10" ht="14.5" hidden="1" customHeight="1" outlineLevel="2" x14ac:dyDescent="0.35">
      <c r="B143" s="492"/>
      <c r="C143" s="485"/>
      <c r="D143" s="222" t="s">
        <v>102</v>
      </c>
      <c r="E143" s="219">
        <v>0</v>
      </c>
      <c r="F143" s="219">
        <v>0</v>
      </c>
      <c r="G143" s="219">
        <v>0</v>
      </c>
      <c r="H143" s="219">
        <v>0</v>
      </c>
      <c r="I143" s="219">
        <v>0</v>
      </c>
      <c r="J143" s="321">
        <v>0</v>
      </c>
    </row>
    <row r="144" spans="2:10" ht="14.5" hidden="1" customHeight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21">
        <v>0</v>
      </c>
    </row>
    <row r="145" spans="2:10" ht="14.5" hidden="1" customHeight="1" outlineLevel="2" collapsed="1" x14ac:dyDescent="0.35">
      <c r="B145" s="492"/>
      <c r="C145" s="485"/>
      <c r="D145" s="223" t="s">
        <v>295</v>
      </c>
      <c r="E145" s="219">
        <v>0</v>
      </c>
      <c r="F145" s="219">
        <v>0</v>
      </c>
      <c r="G145" s="219">
        <v>0</v>
      </c>
      <c r="H145" s="219">
        <v>0</v>
      </c>
      <c r="I145" s="219">
        <v>0</v>
      </c>
      <c r="J145" s="321">
        <v>0</v>
      </c>
    </row>
    <row r="146" spans="2:10" ht="14.5" hidden="1" customHeight="1" outlineLevel="2" x14ac:dyDescent="0.35">
      <c r="B146" s="492"/>
      <c r="C146" s="485"/>
      <c r="D146" s="223" t="s">
        <v>98</v>
      </c>
      <c r="E146" s="219">
        <v>0</v>
      </c>
      <c r="F146" s="219">
        <v>0</v>
      </c>
      <c r="G146" s="219">
        <v>0</v>
      </c>
      <c r="H146" s="219">
        <v>0</v>
      </c>
      <c r="I146" s="219">
        <v>0</v>
      </c>
      <c r="J146" s="321">
        <v>0</v>
      </c>
    </row>
    <row r="147" spans="2:10" ht="14.5" hidden="1" customHeight="1" outlineLevel="2" x14ac:dyDescent="0.35">
      <c r="B147" s="492"/>
      <c r="C147" s="485"/>
      <c r="D147" s="223" t="s">
        <v>97</v>
      </c>
      <c r="E147" s="219">
        <v>0</v>
      </c>
      <c r="F147" s="219">
        <v>0</v>
      </c>
      <c r="G147" s="219">
        <v>0</v>
      </c>
      <c r="H147" s="219">
        <v>0</v>
      </c>
      <c r="I147" s="219">
        <v>0</v>
      </c>
      <c r="J147" s="321">
        <v>0</v>
      </c>
    </row>
    <row r="148" spans="2:10" ht="14.5" hidden="1" customHeight="1" outlineLevel="2" x14ac:dyDescent="0.35">
      <c r="B148" s="492"/>
      <c r="C148" s="485"/>
      <c r="D148" s="223" t="s">
        <v>96</v>
      </c>
      <c r="E148" s="219">
        <v>0</v>
      </c>
      <c r="F148" s="219">
        <v>0</v>
      </c>
      <c r="G148" s="219">
        <v>0</v>
      </c>
      <c r="H148" s="219">
        <v>0</v>
      </c>
      <c r="I148" s="219">
        <v>0</v>
      </c>
      <c r="J148" s="321">
        <v>0</v>
      </c>
    </row>
    <row r="149" spans="2:10" ht="14.5" hidden="1" customHeight="1" outlineLevel="2" collapsed="1" x14ac:dyDescent="0.35">
      <c r="B149" s="492"/>
      <c r="C149" s="485"/>
      <c r="D149" s="223" t="s">
        <v>94</v>
      </c>
      <c r="E149" s="219">
        <v>0</v>
      </c>
      <c r="F149" s="219">
        <v>0</v>
      </c>
      <c r="G149" s="219">
        <v>0</v>
      </c>
      <c r="H149" s="219">
        <v>0</v>
      </c>
      <c r="I149" s="219">
        <v>0</v>
      </c>
      <c r="J149" s="321">
        <v>0</v>
      </c>
    </row>
    <row r="150" spans="2:10" ht="14.5" hidden="1" customHeight="1" outlineLevel="2" x14ac:dyDescent="0.35">
      <c r="B150" s="492"/>
      <c r="C150" s="485"/>
      <c r="D150" s="223" t="s">
        <v>93</v>
      </c>
      <c r="E150" s="219">
        <v>0</v>
      </c>
      <c r="F150" s="219">
        <v>0</v>
      </c>
      <c r="G150" s="219">
        <v>0</v>
      </c>
      <c r="H150" s="219">
        <v>0</v>
      </c>
      <c r="I150" s="219">
        <v>0</v>
      </c>
      <c r="J150" s="321">
        <v>0</v>
      </c>
    </row>
    <row r="151" spans="2:10" ht="14.5" hidden="1" customHeight="1" outlineLevel="2" x14ac:dyDescent="0.35">
      <c r="B151" s="492"/>
      <c r="C151" s="485"/>
      <c r="D151" s="223" t="s">
        <v>92</v>
      </c>
      <c r="E151" s="219">
        <v>0</v>
      </c>
      <c r="F151" s="219">
        <v>0</v>
      </c>
      <c r="G151" s="219">
        <v>0</v>
      </c>
      <c r="H151" s="219">
        <v>0</v>
      </c>
      <c r="I151" s="219">
        <v>0</v>
      </c>
      <c r="J151" s="321">
        <v>0</v>
      </c>
    </row>
    <row r="152" spans="2:10" ht="14.5" hidden="1" customHeight="1" outlineLevel="2" x14ac:dyDescent="0.35">
      <c r="B152" s="492"/>
      <c r="C152" s="485"/>
      <c r="D152" s="223" t="s">
        <v>91</v>
      </c>
      <c r="E152" s="219">
        <v>0</v>
      </c>
      <c r="F152" s="219">
        <v>0</v>
      </c>
      <c r="G152" s="219">
        <v>0</v>
      </c>
      <c r="H152" s="219">
        <v>0</v>
      </c>
      <c r="I152" s="219">
        <v>0</v>
      </c>
      <c r="J152" s="321">
        <v>0</v>
      </c>
    </row>
    <row r="153" spans="2:10" ht="14.5" hidden="1" customHeight="1" outlineLevel="2" collapsed="1" x14ac:dyDescent="0.35">
      <c r="B153" s="492"/>
      <c r="C153" s="485"/>
      <c r="D153" s="223" t="s">
        <v>89</v>
      </c>
      <c r="E153" s="219">
        <v>0</v>
      </c>
      <c r="F153" s="219">
        <v>0</v>
      </c>
      <c r="G153" s="219">
        <v>0</v>
      </c>
      <c r="H153" s="219">
        <v>0</v>
      </c>
      <c r="I153" s="219">
        <v>0</v>
      </c>
      <c r="J153" s="321">
        <v>0</v>
      </c>
    </row>
    <row r="154" spans="2:10" ht="14.5" hidden="1" customHeight="1" outlineLevel="2" x14ac:dyDescent="0.35">
      <c r="B154" s="492"/>
      <c r="C154" s="485"/>
      <c r="D154" s="223" t="s">
        <v>88</v>
      </c>
      <c r="E154" s="219">
        <v>0</v>
      </c>
      <c r="F154" s="219">
        <v>0</v>
      </c>
      <c r="G154" s="219">
        <v>0</v>
      </c>
      <c r="H154" s="219">
        <v>0</v>
      </c>
      <c r="I154" s="219">
        <v>0</v>
      </c>
      <c r="J154" s="321">
        <v>0</v>
      </c>
    </row>
    <row r="155" spans="2:10" ht="14.5" hidden="1" customHeight="1" outlineLevel="2" x14ac:dyDescent="0.35">
      <c r="B155" s="492"/>
      <c r="C155" s="485"/>
      <c r="D155" s="223" t="s">
        <v>87</v>
      </c>
      <c r="E155" s="219">
        <v>0</v>
      </c>
      <c r="F155" s="219">
        <v>0</v>
      </c>
      <c r="G155" s="219">
        <v>0</v>
      </c>
      <c r="H155" s="219">
        <v>0</v>
      </c>
      <c r="I155" s="219">
        <v>0</v>
      </c>
      <c r="J155" s="321">
        <v>0</v>
      </c>
    </row>
    <row r="156" spans="2:10" ht="14.5" hidden="1" customHeight="1" outlineLevel="2" x14ac:dyDescent="0.35">
      <c r="B156" s="492"/>
      <c r="C156" s="485"/>
      <c r="D156" s="223" t="s">
        <v>86</v>
      </c>
      <c r="E156" s="219">
        <v>0</v>
      </c>
      <c r="F156" s="219">
        <v>0</v>
      </c>
      <c r="G156" s="219">
        <v>0</v>
      </c>
      <c r="H156" s="219">
        <v>0</v>
      </c>
      <c r="I156" s="219">
        <v>0</v>
      </c>
      <c r="J156" s="321">
        <v>0</v>
      </c>
    </row>
    <row r="157" spans="2:10" ht="14.5" hidden="1" customHeight="1" outlineLevel="2" collapsed="1" x14ac:dyDescent="0.35">
      <c r="B157" s="492"/>
      <c r="C157" s="485"/>
      <c r="D157" s="223" t="s">
        <v>84</v>
      </c>
      <c r="E157" s="219">
        <v>0</v>
      </c>
      <c r="F157" s="219">
        <v>0</v>
      </c>
      <c r="G157" s="219">
        <v>0</v>
      </c>
      <c r="H157" s="219">
        <v>0</v>
      </c>
      <c r="I157" s="219">
        <v>0</v>
      </c>
      <c r="J157" s="321">
        <v>0</v>
      </c>
    </row>
    <row r="158" spans="2:10" ht="14.5" hidden="1" customHeight="1" outlineLevel="2" x14ac:dyDescent="0.35">
      <c r="B158" s="492"/>
      <c r="C158" s="485"/>
      <c r="D158" s="223" t="s">
        <v>83</v>
      </c>
      <c r="E158" s="219">
        <v>0</v>
      </c>
      <c r="F158" s="219">
        <v>0</v>
      </c>
      <c r="G158" s="219">
        <v>0</v>
      </c>
      <c r="H158" s="219">
        <v>0</v>
      </c>
      <c r="I158" s="219">
        <v>0</v>
      </c>
      <c r="J158" s="321">
        <v>0</v>
      </c>
    </row>
    <row r="159" spans="2:10" ht="14.5" hidden="1" customHeight="1" outlineLevel="2" x14ac:dyDescent="0.35">
      <c r="B159" s="492"/>
      <c r="C159" s="485"/>
      <c r="D159" s="223" t="s">
        <v>82</v>
      </c>
      <c r="E159" s="219">
        <v>0</v>
      </c>
      <c r="F159" s="219">
        <v>0</v>
      </c>
      <c r="G159" s="219">
        <v>0</v>
      </c>
      <c r="H159" s="219">
        <v>0</v>
      </c>
      <c r="I159" s="219">
        <v>0</v>
      </c>
      <c r="J159" s="321">
        <v>0</v>
      </c>
    </row>
    <row r="160" spans="2:10" ht="14.5" hidden="1" customHeight="1" outlineLevel="2" x14ac:dyDescent="0.35">
      <c r="B160" s="492"/>
      <c r="C160" s="485"/>
      <c r="D160" s="223" t="s">
        <v>81</v>
      </c>
      <c r="E160" s="219">
        <v>0</v>
      </c>
      <c r="F160" s="219">
        <v>0</v>
      </c>
      <c r="G160" s="219">
        <v>0</v>
      </c>
      <c r="H160" s="219">
        <v>0</v>
      </c>
      <c r="I160" s="219">
        <v>0</v>
      </c>
      <c r="J160" s="321">
        <v>0</v>
      </c>
    </row>
    <row r="161" spans="2:10" ht="14.5" hidden="1" customHeight="1" outlineLevel="2" x14ac:dyDescent="0.35">
      <c r="B161" s="492"/>
      <c r="C161" s="485"/>
      <c r="D161" s="223" t="s">
        <v>79</v>
      </c>
      <c r="E161" s="219">
        <v>2</v>
      </c>
      <c r="F161" s="219">
        <v>2</v>
      </c>
      <c r="G161" s="219">
        <v>3299100.74</v>
      </c>
      <c r="H161" s="219">
        <v>515966.95</v>
      </c>
      <c r="I161" s="219">
        <v>272470</v>
      </c>
      <c r="J161" s="321">
        <v>243496.95</v>
      </c>
    </row>
    <row r="162" spans="2:10" ht="14.5" hidden="1" customHeight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21">
        <v>0</v>
      </c>
    </row>
    <row r="163" spans="2:10" outlineLevel="1" collapsed="1" x14ac:dyDescent="0.35">
      <c r="B163" s="492"/>
      <c r="C163" s="485"/>
      <c r="D163" s="221" t="s">
        <v>77</v>
      </c>
      <c r="E163" s="219">
        <f t="shared" ref="E163:J163" si="22">SUM(E164:E185)</f>
        <v>1</v>
      </c>
      <c r="F163" s="219">
        <f t="shared" si="22"/>
        <v>1</v>
      </c>
      <c r="G163" s="219">
        <f t="shared" si="22"/>
        <v>1434312.54</v>
      </c>
      <c r="H163" s="219">
        <f t="shared" si="22"/>
        <v>143431.25</v>
      </c>
      <c r="I163" s="219">
        <f t="shared" si="22"/>
        <v>0</v>
      </c>
      <c r="J163" s="321">
        <f t="shared" si="22"/>
        <v>143431.25</v>
      </c>
    </row>
    <row r="164" spans="2:10" ht="14.5" hidden="1" customHeight="1" outlineLevel="2" x14ac:dyDescent="0.35">
      <c r="B164" s="492"/>
      <c r="C164" s="485"/>
      <c r="D164" s="222" t="s">
        <v>75</v>
      </c>
      <c r="E164" s="219">
        <v>0</v>
      </c>
      <c r="F164" s="219">
        <v>0</v>
      </c>
      <c r="G164" s="219">
        <v>0</v>
      </c>
      <c r="H164" s="219">
        <v>0</v>
      </c>
      <c r="I164" s="219">
        <v>0</v>
      </c>
      <c r="J164" s="321">
        <v>0</v>
      </c>
    </row>
    <row r="165" spans="2:10" ht="14.5" hidden="1" customHeight="1" outlineLevel="2" x14ac:dyDescent="0.35">
      <c r="B165" s="492"/>
      <c r="C165" s="485"/>
      <c r="D165" s="222" t="s">
        <v>74</v>
      </c>
      <c r="E165" s="219">
        <v>0</v>
      </c>
      <c r="F165" s="219">
        <v>0</v>
      </c>
      <c r="G165" s="219">
        <v>0</v>
      </c>
      <c r="H165" s="219">
        <v>0</v>
      </c>
      <c r="I165" s="219">
        <v>0</v>
      </c>
      <c r="J165" s="321">
        <v>0</v>
      </c>
    </row>
    <row r="166" spans="2:10" ht="14.5" hidden="1" customHeight="1" outlineLevel="2" x14ac:dyDescent="0.35">
      <c r="B166" s="492"/>
      <c r="C166" s="485"/>
      <c r="D166" s="222" t="s">
        <v>73</v>
      </c>
      <c r="E166" s="219">
        <v>0</v>
      </c>
      <c r="F166" s="219">
        <v>0</v>
      </c>
      <c r="G166" s="219">
        <v>0</v>
      </c>
      <c r="H166" s="219">
        <v>0</v>
      </c>
      <c r="I166" s="219">
        <v>0</v>
      </c>
      <c r="J166" s="321">
        <v>0</v>
      </c>
    </row>
    <row r="167" spans="2:10" ht="14.5" hidden="1" customHeight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21">
        <v>0</v>
      </c>
    </row>
    <row r="168" spans="2:10" ht="14.5" hidden="1" customHeight="1" outlineLevel="2" x14ac:dyDescent="0.35">
      <c r="B168" s="492"/>
      <c r="C168" s="485"/>
      <c r="D168" s="222" t="s">
        <v>70</v>
      </c>
      <c r="E168" s="219">
        <v>0</v>
      </c>
      <c r="F168" s="219">
        <v>0</v>
      </c>
      <c r="G168" s="219">
        <v>0</v>
      </c>
      <c r="H168" s="219">
        <v>0</v>
      </c>
      <c r="I168" s="219">
        <v>0</v>
      </c>
      <c r="J168" s="321">
        <v>0</v>
      </c>
    </row>
    <row r="169" spans="2:10" ht="14.5" hidden="1" customHeight="1" outlineLevel="2" x14ac:dyDescent="0.35">
      <c r="B169" s="492"/>
      <c r="C169" s="485"/>
      <c r="D169" s="222" t="s">
        <v>69</v>
      </c>
      <c r="E169" s="219">
        <v>0</v>
      </c>
      <c r="F169" s="219">
        <v>0</v>
      </c>
      <c r="G169" s="219">
        <v>0</v>
      </c>
      <c r="H169" s="219">
        <v>0</v>
      </c>
      <c r="I169" s="219">
        <v>0</v>
      </c>
      <c r="J169" s="321">
        <v>0</v>
      </c>
    </row>
    <row r="170" spans="2:10" ht="14.5" hidden="1" customHeight="1" outlineLevel="2" x14ac:dyDescent="0.35">
      <c r="B170" s="492"/>
      <c r="C170" s="485"/>
      <c r="D170" s="222" t="s">
        <v>68</v>
      </c>
      <c r="E170" s="219">
        <v>0</v>
      </c>
      <c r="F170" s="219">
        <v>0</v>
      </c>
      <c r="G170" s="219">
        <v>0</v>
      </c>
      <c r="H170" s="219">
        <v>0</v>
      </c>
      <c r="I170" s="219">
        <v>0</v>
      </c>
      <c r="J170" s="321">
        <v>0</v>
      </c>
    </row>
    <row r="171" spans="2:10" ht="14.5" hidden="1" customHeight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21">
        <v>0</v>
      </c>
    </row>
    <row r="172" spans="2:10" ht="14.5" hidden="1" customHeight="1" outlineLevel="2" x14ac:dyDescent="0.35">
      <c r="B172" s="492"/>
      <c r="C172" s="485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21">
        <v>0</v>
      </c>
    </row>
    <row r="173" spans="2:10" ht="14.5" hidden="1" customHeight="1" outlineLevel="2" x14ac:dyDescent="0.35">
      <c r="B173" s="492"/>
      <c r="C173" s="485"/>
      <c r="D173" s="222" t="s">
        <v>64</v>
      </c>
      <c r="E173" s="219">
        <v>0</v>
      </c>
      <c r="F173" s="219">
        <v>0</v>
      </c>
      <c r="G173" s="219">
        <v>0</v>
      </c>
      <c r="H173" s="219">
        <v>0</v>
      </c>
      <c r="I173" s="219">
        <v>0</v>
      </c>
      <c r="J173" s="321">
        <v>0</v>
      </c>
    </row>
    <row r="174" spans="2:10" ht="14.5" hidden="1" customHeight="1" outlineLevel="2" x14ac:dyDescent="0.35">
      <c r="B174" s="492"/>
      <c r="C174" s="485"/>
      <c r="D174" s="222" t="s">
        <v>63</v>
      </c>
      <c r="E174" s="219">
        <v>0</v>
      </c>
      <c r="F174" s="219">
        <v>0</v>
      </c>
      <c r="G174" s="219">
        <v>0</v>
      </c>
      <c r="H174" s="219">
        <v>0</v>
      </c>
      <c r="I174" s="219">
        <v>0</v>
      </c>
      <c r="J174" s="321">
        <v>0</v>
      </c>
    </row>
    <row r="175" spans="2:10" ht="14.5" hidden="1" customHeight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21">
        <v>0</v>
      </c>
    </row>
    <row r="176" spans="2:10" ht="14.5" hidden="1" customHeight="1" outlineLevel="2" x14ac:dyDescent="0.35">
      <c r="B176" s="492"/>
      <c r="C176" s="485"/>
      <c r="D176" s="222" t="s">
        <v>60</v>
      </c>
      <c r="E176" s="219">
        <v>0</v>
      </c>
      <c r="F176" s="219">
        <v>0</v>
      </c>
      <c r="G176" s="219">
        <v>0</v>
      </c>
      <c r="H176" s="219">
        <v>0</v>
      </c>
      <c r="I176" s="219">
        <v>0</v>
      </c>
      <c r="J176" s="321">
        <v>0</v>
      </c>
    </row>
    <row r="177" spans="2:10" ht="14.5" hidden="1" customHeight="1" outlineLevel="2" x14ac:dyDescent="0.35">
      <c r="B177" s="492"/>
      <c r="C177" s="485"/>
      <c r="D177" s="222" t="s">
        <v>59</v>
      </c>
      <c r="E177" s="219">
        <v>0</v>
      </c>
      <c r="F177" s="219">
        <v>0</v>
      </c>
      <c r="G177" s="219">
        <v>0</v>
      </c>
      <c r="H177" s="219">
        <v>0</v>
      </c>
      <c r="I177" s="219">
        <v>0</v>
      </c>
      <c r="J177" s="321">
        <v>0</v>
      </c>
    </row>
    <row r="178" spans="2:10" ht="14.5" hidden="1" customHeight="1" outlineLevel="2" x14ac:dyDescent="0.35">
      <c r="B178" s="492"/>
      <c r="C178" s="485"/>
      <c r="D178" s="222" t="s">
        <v>58</v>
      </c>
      <c r="E178" s="219">
        <v>0</v>
      </c>
      <c r="F178" s="219">
        <v>0</v>
      </c>
      <c r="G178" s="219">
        <v>0</v>
      </c>
      <c r="H178" s="219">
        <v>0</v>
      </c>
      <c r="I178" s="219">
        <v>0</v>
      </c>
      <c r="J178" s="321">
        <v>0</v>
      </c>
    </row>
    <row r="179" spans="2:10" ht="14.5" hidden="1" customHeight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21">
        <v>0</v>
      </c>
    </row>
    <row r="180" spans="2:10" ht="14.5" hidden="1" customHeight="1" outlineLevel="2" x14ac:dyDescent="0.35">
      <c r="B180" s="492"/>
      <c r="C180" s="485"/>
      <c r="D180" s="222" t="s">
        <v>55</v>
      </c>
      <c r="E180" s="219">
        <v>0</v>
      </c>
      <c r="F180" s="219">
        <v>0</v>
      </c>
      <c r="G180" s="219">
        <v>0</v>
      </c>
      <c r="H180" s="219">
        <v>0</v>
      </c>
      <c r="I180" s="219">
        <v>0</v>
      </c>
      <c r="J180" s="321">
        <v>0</v>
      </c>
    </row>
    <row r="181" spans="2:10" ht="14.5" hidden="1" customHeight="1" outlineLevel="2" x14ac:dyDescent="0.35">
      <c r="B181" s="492"/>
      <c r="C181" s="485"/>
      <c r="D181" s="222" t="s">
        <v>54</v>
      </c>
      <c r="E181" s="219">
        <v>0</v>
      </c>
      <c r="F181" s="219">
        <v>0</v>
      </c>
      <c r="G181" s="219">
        <v>0</v>
      </c>
      <c r="H181" s="219">
        <v>0</v>
      </c>
      <c r="I181" s="219">
        <v>0</v>
      </c>
      <c r="J181" s="321">
        <v>0</v>
      </c>
    </row>
    <row r="182" spans="2:10" ht="14.5" hidden="1" customHeight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21">
        <v>0</v>
      </c>
    </row>
    <row r="183" spans="2:10" ht="14.5" hidden="1" customHeight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21">
        <v>0</v>
      </c>
    </row>
    <row r="184" spans="2:10" ht="14.5" hidden="1" customHeight="1" outlineLevel="2" x14ac:dyDescent="0.35">
      <c r="B184" s="492"/>
      <c r="C184" s="485"/>
      <c r="D184" s="222" t="s">
        <v>50</v>
      </c>
      <c r="E184" s="219">
        <v>1</v>
      </c>
      <c r="F184" s="219">
        <v>1</v>
      </c>
      <c r="G184" s="219">
        <v>1434312.54</v>
      </c>
      <c r="H184" s="219">
        <v>143431.25</v>
      </c>
      <c r="I184" s="219">
        <v>0</v>
      </c>
      <c r="J184" s="321">
        <v>143431.25</v>
      </c>
    </row>
    <row r="185" spans="2:10" ht="14.5" hidden="1" customHeight="1" outlineLevel="2" x14ac:dyDescent="0.35">
      <c r="B185" s="492"/>
      <c r="C185" s="485"/>
      <c r="D185" s="222" t="s">
        <v>49</v>
      </c>
      <c r="E185" s="219">
        <v>0</v>
      </c>
      <c r="F185" s="219">
        <v>0</v>
      </c>
      <c r="G185" s="219">
        <v>0</v>
      </c>
      <c r="H185" s="219">
        <v>0</v>
      </c>
      <c r="I185" s="219">
        <v>0</v>
      </c>
      <c r="J185" s="321">
        <v>0</v>
      </c>
    </row>
    <row r="186" spans="2:10" x14ac:dyDescent="0.35">
      <c r="B186" s="492"/>
      <c r="C186" s="485"/>
      <c r="D186" s="439" t="s">
        <v>243</v>
      </c>
      <c r="E186" s="438">
        <f t="shared" ref="E186:J186" si="23">SUM(E163,E128,E123)</f>
        <v>4</v>
      </c>
      <c r="F186" s="438">
        <f t="shared" si="23"/>
        <v>4</v>
      </c>
      <c r="G186" s="438">
        <f t="shared" si="23"/>
        <v>15479907.280000001</v>
      </c>
      <c r="H186" s="438">
        <f t="shared" si="23"/>
        <v>1734047.5999999999</v>
      </c>
      <c r="I186" s="437">
        <f t="shared" si="23"/>
        <v>322470</v>
      </c>
      <c r="J186" s="436">
        <f t="shared" si="23"/>
        <v>1411577.6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J187" si="24">SUM(E188:E190)</f>
        <v>0</v>
      </c>
      <c r="F187" s="219">
        <f t="shared" si="24"/>
        <v>0</v>
      </c>
      <c r="G187" s="219">
        <f t="shared" si="24"/>
        <v>0</v>
      </c>
      <c r="H187" s="219">
        <f t="shared" si="24"/>
        <v>0</v>
      </c>
      <c r="I187" s="219">
        <f t="shared" si="24"/>
        <v>0</v>
      </c>
      <c r="J187" s="321">
        <f t="shared" si="24"/>
        <v>0</v>
      </c>
    </row>
    <row r="188" spans="2:10" ht="14.5" hidden="1" customHeight="1" outlineLevel="2" x14ac:dyDescent="0.35">
      <c r="B188" s="492"/>
      <c r="C188" s="485"/>
      <c r="D188" s="222" t="s">
        <v>126</v>
      </c>
      <c r="E188" s="219">
        <v>0</v>
      </c>
      <c r="F188" s="219">
        <v>0</v>
      </c>
      <c r="G188" s="219">
        <v>0</v>
      </c>
      <c r="H188" s="219">
        <v>0</v>
      </c>
      <c r="I188" s="219">
        <v>0</v>
      </c>
      <c r="J188" s="321">
        <v>0</v>
      </c>
    </row>
    <row r="189" spans="2:10" ht="14.5" hidden="1" customHeight="1" outlineLevel="2" x14ac:dyDescent="0.35">
      <c r="B189" s="492"/>
      <c r="C189" s="485"/>
      <c r="D189" s="222" t="s">
        <v>125</v>
      </c>
      <c r="E189" s="219">
        <v>0</v>
      </c>
      <c r="F189" s="219">
        <v>0</v>
      </c>
      <c r="G189" s="219">
        <v>0</v>
      </c>
      <c r="H189" s="219">
        <v>0</v>
      </c>
      <c r="I189" s="219">
        <v>0</v>
      </c>
      <c r="J189" s="321">
        <v>0</v>
      </c>
    </row>
    <row r="190" spans="2:10" ht="14.5" hidden="1" customHeight="1" outlineLevel="2" x14ac:dyDescent="0.35">
      <c r="B190" s="492"/>
      <c r="C190" s="485"/>
      <c r="D190" s="222" t="s">
        <v>124</v>
      </c>
      <c r="E190" s="219">
        <v>0</v>
      </c>
      <c r="F190" s="219">
        <v>0</v>
      </c>
      <c r="G190" s="219">
        <v>0</v>
      </c>
      <c r="H190" s="219">
        <v>0</v>
      </c>
      <c r="I190" s="219">
        <v>0</v>
      </c>
      <c r="J190" s="321">
        <v>0</v>
      </c>
    </row>
    <row r="191" spans="2:10" outlineLevel="1" collapsed="1" x14ac:dyDescent="0.35">
      <c r="B191" s="492"/>
      <c r="C191" s="485"/>
      <c r="D191" s="221" t="s">
        <v>46</v>
      </c>
      <c r="E191" s="219">
        <f t="shared" ref="E191:J191" si="25">SUM(E192:E195)</f>
        <v>0</v>
      </c>
      <c r="F191" s="219">
        <f t="shared" si="25"/>
        <v>0</v>
      </c>
      <c r="G191" s="219">
        <f t="shared" si="25"/>
        <v>0</v>
      </c>
      <c r="H191" s="219">
        <f t="shared" si="25"/>
        <v>0</v>
      </c>
      <c r="I191" s="219">
        <f t="shared" si="25"/>
        <v>0</v>
      </c>
      <c r="J191" s="321">
        <f t="shared" si="25"/>
        <v>0</v>
      </c>
    </row>
    <row r="192" spans="2:10" ht="14.5" hidden="1" customHeight="1" outlineLevel="2" x14ac:dyDescent="0.35">
      <c r="B192" s="492"/>
      <c r="C192" s="485"/>
      <c r="D192" s="222" t="s">
        <v>45</v>
      </c>
      <c r="E192" s="219">
        <v>0</v>
      </c>
      <c r="F192" s="219">
        <v>0</v>
      </c>
      <c r="G192" s="219">
        <v>0</v>
      </c>
      <c r="H192" s="219">
        <v>0</v>
      </c>
      <c r="I192" s="219">
        <v>0</v>
      </c>
      <c r="J192" s="321">
        <v>0</v>
      </c>
    </row>
    <row r="193" spans="2:10" ht="14.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21">
        <v>0</v>
      </c>
    </row>
    <row r="194" spans="2:10" ht="14.5" hidden="1" customHeight="1" outlineLevel="2" x14ac:dyDescent="0.35">
      <c r="B194" s="492"/>
      <c r="C194" s="485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21">
        <v>0</v>
      </c>
    </row>
    <row r="195" spans="2:10" ht="14.5" hidden="1" customHeight="1" outlineLevel="2" x14ac:dyDescent="0.35">
      <c r="B195" s="492"/>
      <c r="C195" s="485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21">
        <v>0</v>
      </c>
    </row>
    <row r="196" spans="2:10" x14ac:dyDescent="0.35">
      <c r="B196" s="493"/>
      <c r="C196" s="494"/>
      <c r="D196" s="439" t="s">
        <v>239</v>
      </c>
      <c r="E196" s="438">
        <f t="shared" ref="E196:J196" si="26">SUM(E191,E187)</f>
        <v>0</v>
      </c>
      <c r="F196" s="438">
        <f t="shared" si="26"/>
        <v>0</v>
      </c>
      <c r="G196" s="438">
        <f t="shared" si="26"/>
        <v>0</v>
      </c>
      <c r="H196" s="438">
        <f t="shared" si="26"/>
        <v>0</v>
      </c>
      <c r="I196" s="437">
        <f t="shared" si="26"/>
        <v>0</v>
      </c>
      <c r="J196" s="436">
        <f t="shared" si="26"/>
        <v>0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4.5" hidden="1" customHeight="1" outlineLevel="2" x14ac:dyDescent="0.35">
      <c r="B198" s="492"/>
      <c r="C198" s="485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21">
        <v>0</v>
      </c>
    </row>
    <row r="199" spans="2:10" ht="14.5" hidden="1" customHeight="1" outlineLevel="2" x14ac:dyDescent="0.35">
      <c r="B199" s="492"/>
      <c r="C199" s="485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21">
        <v>0</v>
      </c>
    </row>
    <row r="200" spans="2:10" ht="14.5" hidden="1" customHeight="1" outlineLevel="2" x14ac:dyDescent="0.35">
      <c r="B200" s="492"/>
      <c r="C200" s="485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21">
        <v>0</v>
      </c>
    </row>
    <row r="201" spans="2:10" outlineLevel="1" collapsed="1" x14ac:dyDescent="0.35">
      <c r="B201" s="492"/>
      <c r="C201" s="485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21">
        <v>0</v>
      </c>
    </row>
    <row r="202" spans="2:10" outlineLevel="1" x14ac:dyDescent="0.35">
      <c r="B202" s="492"/>
      <c r="C202" s="485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21">
        <v>0</v>
      </c>
    </row>
    <row r="203" spans="2:10" x14ac:dyDescent="0.35">
      <c r="B203" s="493"/>
      <c r="C203" s="494"/>
      <c r="D203" s="439" t="s">
        <v>236</v>
      </c>
      <c r="E203" s="438">
        <f t="shared" ref="E203:J203" si="28">SUM(E202,E201,E197)</f>
        <v>0</v>
      </c>
      <c r="F203" s="438">
        <f t="shared" si="28"/>
        <v>0</v>
      </c>
      <c r="G203" s="438">
        <f t="shared" si="28"/>
        <v>0</v>
      </c>
      <c r="H203" s="438">
        <f t="shared" si="28"/>
        <v>0</v>
      </c>
      <c r="I203" s="437">
        <f t="shared" si="28"/>
        <v>0</v>
      </c>
      <c r="J203" s="436">
        <f t="shared" si="28"/>
        <v>0</v>
      </c>
    </row>
    <row r="204" spans="2:10" ht="15" thickBot="1" x14ac:dyDescent="0.4">
      <c r="B204" s="583" t="s">
        <v>235</v>
      </c>
      <c r="C204" s="584"/>
      <c r="D204" s="410" t="s">
        <v>15</v>
      </c>
      <c r="E204" s="434">
        <f t="shared" ref="E204:J204" si="29">SUM(E203,E186,E121,E108,E75,E41,E116,E196)</f>
        <v>32</v>
      </c>
      <c r="F204" s="434">
        <f t="shared" si="29"/>
        <v>32</v>
      </c>
      <c r="G204" s="434">
        <f t="shared" si="29"/>
        <v>125008009.23999999</v>
      </c>
      <c r="H204" s="434">
        <f t="shared" si="29"/>
        <v>15418306.609999999</v>
      </c>
      <c r="I204" s="434">
        <f t="shared" si="29"/>
        <v>5949287.6099999994</v>
      </c>
      <c r="J204" s="433">
        <f t="shared" si="29"/>
        <v>9469019</v>
      </c>
    </row>
    <row r="206" spans="2:10" x14ac:dyDescent="0.35">
      <c r="J206" s="290">
        <f>'Overdue-Booking'!J204</f>
        <v>9469019</v>
      </c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69" orientation="landscape" r:id="rId1"/>
  <headerFooter alignWithMargins="0">
    <oddHeader>&amp;LSOBHA LLC&amp;C&amp;"Tahoma,Regular"&amp;14
BOOKING OVERDUE AGEING_ Age calc. from booking date_31-60 Days&amp;R&amp;D</oddHeader>
    <oddFooter>&amp;LCOLLECTIONS&amp;R&amp;P/&amp;N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D598-4702-4806-92E8-8F58D4676B2B}">
  <sheetPr>
    <pageSetUpPr fitToPage="1"/>
  </sheetPr>
  <dimension ref="B1:N206"/>
  <sheetViews>
    <sheetView view="pageBreakPreview" zoomScale="60" zoomScaleNormal="100" workbookViewId="0"/>
  </sheetViews>
  <sheetFormatPr defaultRowHeight="14.5" outlineLevelRow="2" x14ac:dyDescent="0.35"/>
  <cols>
    <col min="2" max="2" width="18.26953125" bestFit="1" customWidth="1"/>
    <col min="3" max="3" width="6.7265625" bestFit="1" customWidth="1"/>
    <col min="4" max="4" width="41.26953125" bestFit="1" customWidth="1"/>
    <col min="5" max="5" width="16.26953125" customWidth="1"/>
    <col min="6" max="6" width="13.7265625" bestFit="1" customWidth="1"/>
    <col min="7" max="7" width="18.453125" bestFit="1" customWidth="1"/>
    <col min="8" max="8" width="18.1796875" bestFit="1" customWidth="1"/>
    <col min="9" max="9" width="18.7265625" bestFit="1" customWidth="1"/>
    <col min="10" max="10" width="15.26953125" style="6" bestFit="1" customWidth="1"/>
    <col min="11" max="11" width="6" bestFit="1" customWidth="1"/>
    <col min="12" max="12" width="5" bestFit="1" customWidth="1"/>
    <col min="14" max="14" width="14.81640625" bestFit="1" customWidth="1"/>
  </cols>
  <sheetData>
    <row r="1" spans="2:14" x14ac:dyDescent="0.35">
      <c r="N1" s="196">
        <v>3247956.51</v>
      </c>
    </row>
    <row r="3" spans="2:14" x14ac:dyDescent="0.35">
      <c r="B3" s="288">
        <v>46143</v>
      </c>
      <c r="C3" t="s">
        <v>266</v>
      </c>
    </row>
    <row r="4" spans="2:14" ht="15" thickBot="1" x14ac:dyDescent="0.4"/>
    <row r="5" spans="2:14" ht="28" x14ac:dyDescent="0.35">
      <c r="B5" s="565" t="s">
        <v>276</v>
      </c>
      <c r="C5" s="579"/>
      <c r="D5" s="581" t="s">
        <v>275</v>
      </c>
      <c r="E5" s="577" t="s">
        <v>281</v>
      </c>
      <c r="F5" s="587" t="s">
        <v>280</v>
      </c>
      <c r="G5" s="581" t="s">
        <v>274</v>
      </c>
      <c r="H5" s="577" t="s">
        <v>294</v>
      </c>
      <c r="I5" s="581" t="s">
        <v>272</v>
      </c>
      <c r="J5" s="442" t="s">
        <v>283</v>
      </c>
    </row>
    <row r="6" spans="2:14" x14ac:dyDescent="0.35">
      <c r="B6" s="567"/>
      <c r="C6" s="580"/>
      <c r="D6" s="582"/>
      <c r="E6" s="578"/>
      <c r="F6" s="588"/>
      <c r="G6" s="582"/>
      <c r="H6" s="578"/>
      <c r="I6" s="582"/>
      <c r="J6" s="441"/>
    </row>
    <row r="7" spans="2:14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1"/>
    </row>
    <row r="8" spans="2:14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21">
        <f t="shared" si="0"/>
        <v>0</v>
      </c>
      <c r="K8" t="s">
        <v>277</v>
      </c>
      <c r="L8">
        <v>1500</v>
      </c>
    </row>
    <row r="9" spans="2:14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1">
        <v>0</v>
      </c>
    </row>
    <row r="10" spans="2:14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1">
        <v>0</v>
      </c>
    </row>
    <row r="11" spans="2:14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1">
        <v>0</v>
      </c>
    </row>
    <row r="12" spans="2:14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1">
        <v>0</v>
      </c>
    </row>
    <row r="13" spans="2:14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21">
        <v>0</v>
      </c>
    </row>
    <row r="14" spans="2:14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1">
        <v>0</v>
      </c>
    </row>
    <row r="15" spans="2:14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1">
        <v>0</v>
      </c>
    </row>
    <row r="16" spans="2:14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21">
        <f t="shared" si="1"/>
        <v>0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1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1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1">
        <v>0</v>
      </c>
    </row>
    <row r="20" spans="2:10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21">
        <v>0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1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21">
        <f t="shared" si="2"/>
        <v>0</v>
      </c>
    </row>
    <row r="23" spans="2:10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21">
        <v>0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21">
        <v>0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21">
        <f t="shared" si="4"/>
        <v>0</v>
      </c>
    </row>
    <row r="35" spans="2:10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21">
        <v>0</v>
      </c>
    </row>
    <row r="36" spans="2:10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21">
        <v>0</v>
      </c>
    </row>
    <row r="37" spans="2:10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21">
        <v>0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2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</row>
    <row r="41" spans="2:10" x14ac:dyDescent="0.35">
      <c r="B41" s="504"/>
      <c r="C41" s="507"/>
      <c r="D41" s="439" t="s">
        <v>259</v>
      </c>
      <c r="E41" s="438">
        <f t="shared" ref="E41:J41" si="5">SUM(E8,E15:E16,E27:E29,E22,E33:E34,E40)</f>
        <v>0</v>
      </c>
      <c r="F41" s="438">
        <f t="shared" si="5"/>
        <v>0</v>
      </c>
      <c r="G41" s="438">
        <f t="shared" si="5"/>
        <v>0</v>
      </c>
      <c r="H41" s="438">
        <f t="shared" si="5"/>
        <v>0</v>
      </c>
      <c r="I41" s="437">
        <f t="shared" si="5"/>
        <v>0</v>
      </c>
      <c r="J41" s="436">
        <f t="shared" si="5"/>
        <v>0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2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2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2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2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21">
        <v>0</v>
      </c>
    </row>
    <row r="49" spans="2:10" outlineLevel="1" x14ac:dyDescent="0.35">
      <c r="B49" s="487"/>
      <c r="C49" s="490"/>
      <c r="D49" s="236" t="s">
        <v>189</v>
      </c>
      <c r="E49" s="219">
        <v>1</v>
      </c>
      <c r="F49" s="219">
        <v>1</v>
      </c>
      <c r="G49" s="219">
        <v>3531650</v>
      </c>
      <c r="H49" s="219">
        <v>370823</v>
      </c>
      <c r="I49" s="219">
        <v>177776.73</v>
      </c>
      <c r="J49" s="321">
        <v>193046.27</v>
      </c>
    </row>
    <row r="50" spans="2:10" outlineLevel="1" x14ac:dyDescent="0.35">
      <c r="B50" s="487"/>
      <c r="C50" s="490"/>
      <c r="D50" s="263" t="s">
        <v>179</v>
      </c>
      <c r="E50" s="219">
        <v>0</v>
      </c>
      <c r="F50" s="219">
        <v>0</v>
      </c>
      <c r="G50" s="219">
        <v>0</v>
      </c>
      <c r="H50" s="219">
        <v>0</v>
      </c>
      <c r="I50" s="219">
        <v>0</v>
      </c>
      <c r="J50" s="321">
        <v>0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0</v>
      </c>
      <c r="F51" s="219">
        <f t="shared" si="7"/>
        <v>0</v>
      </c>
      <c r="G51" s="219">
        <f t="shared" si="7"/>
        <v>0</v>
      </c>
      <c r="H51" s="219">
        <f t="shared" si="7"/>
        <v>0</v>
      </c>
      <c r="I51" s="219">
        <f t="shared" si="7"/>
        <v>0</v>
      </c>
      <c r="J51" s="321">
        <f t="shared" si="7"/>
        <v>0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0</v>
      </c>
      <c r="F54" s="219">
        <v>0</v>
      </c>
      <c r="G54" s="219">
        <v>0</v>
      </c>
      <c r="H54" s="219">
        <v>0</v>
      </c>
      <c r="I54" s="219">
        <v>0</v>
      </c>
      <c r="J54" s="321">
        <v>0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0</v>
      </c>
      <c r="F56" s="219">
        <f t="shared" si="8"/>
        <v>0</v>
      </c>
      <c r="G56" s="219">
        <f t="shared" si="8"/>
        <v>0</v>
      </c>
      <c r="H56" s="219">
        <f t="shared" si="8"/>
        <v>0</v>
      </c>
      <c r="I56" s="219">
        <f t="shared" si="8"/>
        <v>0</v>
      </c>
      <c r="J56" s="321">
        <f t="shared" si="8"/>
        <v>0</v>
      </c>
    </row>
    <row r="57" spans="2:10" hidden="1" outlineLevel="2" x14ac:dyDescent="0.35">
      <c r="B57" s="487"/>
      <c r="C57" s="490"/>
      <c r="D57" s="242" t="s">
        <v>169</v>
      </c>
      <c r="E57" s="219">
        <v>0</v>
      </c>
      <c r="F57" s="219">
        <v>0</v>
      </c>
      <c r="G57" s="219">
        <v>0</v>
      </c>
      <c r="H57" s="219">
        <v>0</v>
      </c>
      <c r="I57" s="219">
        <v>0</v>
      </c>
      <c r="J57" s="321">
        <v>0</v>
      </c>
    </row>
    <row r="58" spans="2:10" hidden="1" outlineLevel="2" x14ac:dyDescent="0.35">
      <c r="B58" s="487"/>
      <c r="C58" s="490"/>
      <c r="D58" s="242" t="s">
        <v>168</v>
      </c>
      <c r="E58" s="219">
        <v>0</v>
      </c>
      <c r="F58" s="219">
        <v>0</v>
      </c>
      <c r="G58" s="219">
        <v>0</v>
      </c>
      <c r="H58" s="219">
        <v>0</v>
      </c>
      <c r="I58" s="219">
        <v>0</v>
      </c>
      <c r="J58" s="321">
        <v>0</v>
      </c>
    </row>
    <row r="59" spans="2:10" hidden="1" outlineLevel="2" x14ac:dyDescent="0.35">
      <c r="B59" s="487"/>
      <c r="C59" s="490"/>
      <c r="D59" s="242" t="s">
        <v>167</v>
      </c>
      <c r="E59" s="219">
        <v>0</v>
      </c>
      <c r="F59" s="219">
        <v>0</v>
      </c>
      <c r="G59" s="219">
        <v>0</v>
      </c>
      <c r="H59" s="219">
        <v>0</v>
      </c>
      <c r="I59" s="219">
        <v>0</v>
      </c>
      <c r="J59" s="321">
        <v>0</v>
      </c>
    </row>
    <row r="60" spans="2:10" hidden="1" outlineLevel="2" x14ac:dyDescent="0.35">
      <c r="B60" s="487"/>
      <c r="C60" s="490"/>
      <c r="D60" s="242" t="s">
        <v>166</v>
      </c>
      <c r="E60" s="219">
        <v>0</v>
      </c>
      <c r="F60" s="219">
        <v>0</v>
      </c>
      <c r="G60" s="219">
        <v>0</v>
      </c>
      <c r="H60" s="219">
        <v>0</v>
      </c>
      <c r="I60" s="219">
        <v>0</v>
      </c>
      <c r="J60" s="321">
        <v>0</v>
      </c>
    </row>
    <row r="61" spans="2:10" hidden="1" outlineLevel="2" x14ac:dyDescent="0.35">
      <c r="B61" s="487"/>
      <c r="C61" s="490"/>
      <c r="D61" s="261" t="s">
        <v>165</v>
      </c>
      <c r="E61" s="219">
        <v>0</v>
      </c>
      <c r="F61" s="219">
        <v>0</v>
      </c>
      <c r="G61" s="219">
        <v>0</v>
      </c>
      <c r="H61" s="219">
        <v>0</v>
      </c>
      <c r="I61" s="219">
        <v>0</v>
      </c>
      <c r="J61" s="321">
        <v>0</v>
      </c>
    </row>
    <row r="62" spans="2:10" hidden="1" outlineLevel="2" x14ac:dyDescent="0.35">
      <c r="B62" s="487"/>
      <c r="C62" s="490"/>
      <c r="D62" s="261" t="s">
        <v>164</v>
      </c>
      <c r="E62" s="219">
        <v>0</v>
      </c>
      <c r="F62" s="219">
        <v>0</v>
      </c>
      <c r="G62" s="219">
        <v>0</v>
      </c>
      <c r="H62" s="219">
        <v>0</v>
      </c>
      <c r="I62" s="219">
        <v>0</v>
      </c>
      <c r="J62" s="321">
        <v>0</v>
      </c>
    </row>
    <row r="63" spans="2:10" outlineLevel="1" collapsed="1" x14ac:dyDescent="0.35">
      <c r="B63" s="487"/>
      <c r="C63" s="490"/>
      <c r="D63" s="246" t="s">
        <v>256</v>
      </c>
      <c r="E63" s="219">
        <f t="shared" ref="E63:J63" si="9">SUM(E64:E66)</f>
        <v>0</v>
      </c>
      <c r="F63" s="219">
        <f t="shared" si="9"/>
        <v>0</v>
      </c>
      <c r="G63" s="219">
        <f t="shared" si="9"/>
        <v>0</v>
      </c>
      <c r="H63" s="219">
        <f t="shared" si="9"/>
        <v>0</v>
      </c>
      <c r="I63" s="219">
        <f t="shared" si="9"/>
        <v>0</v>
      </c>
      <c r="J63" s="321">
        <f t="shared" si="9"/>
        <v>0</v>
      </c>
    </row>
    <row r="64" spans="2:10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21">
        <v>0</v>
      </c>
    </row>
    <row r="65" spans="2:10" hidden="1" outlineLevel="2" x14ac:dyDescent="0.35">
      <c r="B65" s="487"/>
      <c r="C65" s="490"/>
      <c r="D65" s="260" t="s">
        <v>195</v>
      </c>
      <c r="E65" s="219">
        <v>0</v>
      </c>
      <c r="F65" s="219">
        <v>0</v>
      </c>
      <c r="G65" s="219">
        <v>0</v>
      </c>
      <c r="H65" s="219">
        <v>0</v>
      </c>
      <c r="I65" s="219">
        <v>0</v>
      </c>
      <c r="J65" s="321">
        <v>0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</row>
    <row r="67" spans="2:10" outlineLevel="1" collapsed="1" x14ac:dyDescent="0.35">
      <c r="B67" s="487"/>
      <c r="C67" s="490"/>
      <c r="D67" s="246" t="s">
        <v>178</v>
      </c>
      <c r="E67" s="219">
        <f t="shared" ref="E67:J67" si="10">SUM(E68:E74)</f>
        <v>0</v>
      </c>
      <c r="F67" s="219">
        <f t="shared" si="10"/>
        <v>0</v>
      </c>
      <c r="G67" s="219">
        <f t="shared" si="10"/>
        <v>0</v>
      </c>
      <c r="H67" s="219">
        <f t="shared" si="10"/>
        <v>0</v>
      </c>
      <c r="I67" s="219">
        <f t="shared" si="10"/>
        <v>0</v>
      </c>
      <c r="J67" s="321">
        <f t="shared" si="10"/>
        <v>0</v>
      </c>
    </row>
    <row r="68" spans="2:10" hidden="1" outlineLevel="2" x14ac:dyDescent="0.35">
      <c r="B68" s="487"/>
      <c r="C68" s="490"/>
      <c r="D68" s="260" t="s">
        <v>177</v>
      </c>
      <c r="E68" s="219">
        <v>0</v>
      </c>
      <c r="F68" s="219">
        <v>0</v>
      </c>
      <c r="G68" s="219">
        <v>0</v>
      </c>
      <c r="H68" s="219">
        <v>0</v>
      </c>
      <c r="I68" s="219">
        <v>0</v>
      </c>
      <c r="J68" s="321">
        <v>0</v>
      </c>
    </row>
    <row r="69" spans="2:10" hidden="1" outlineLevel="2" x14ac:dyDescent="0.35">
      <c r="B69" s="487"/>
      <c r="C69" s="490"/>
      <c r="D69" s="260" t="s">
        <v>176</v>
      </c>
      <c r="E69" s="219">
        <v>0</v>
      </c>
      <c r="F69" s="219">
        <v>0</v>
      </c>
      <c r="G69" s="219">
        <v>0</v>
      </c>
      <c r="H69" s="219">
        <v>0</v>
      </c>
      <c r="I69" s="219">
        <v>0</v>
      </c>
      <c r="J69" s="321">
        <v>0</v>
      </c>
    </row>
    <row r="70" spans="2:10" hidden="1" outlineLevel="2" x14ac:dyDescent="0.35">
      <c r="B70" s="487"/>
      <c r="C70" s="490"/>
      <c r="D70" s="260" t="s">
        <v>175</v>
      </c>
      <c r="E70" s="219">
        <v>0</v>
      </c>
      <c r="F70" s="219">
        <v>0</v>
      </c>
      <c r="G70" s="219">
        <v>0</v>
      </c>
      <c r="H70" s="219">
        <v>0</v>
      </c>
      <c r="I70" s="219">
        <v>0</v>
      </c>
      <c r="J70" s="321">
        <v>0</v>
      </c>
    </row>
    <row r="71" spans="2:10" hidden="1" outlineLevel="2" x14ac:dyDescent="0.35">
      <c r="B71" s="487"/>
      <c r="C71" s="490"/>
      <c r="D71" s="260" t="s">
        <v>174</v>
      </c>
      <c r="E71" s="219">
        <v>0</v>
      </c>
      <c r="F71" s="219">
        <v>0</v>
      </c>
      <c r="G71" s="219">
        <v>0</v>
      </c>
      <c r="H71" s="219">
        <v>0</v>
      </c>
      <c r="I71" s="219">
        <v>0</v>
      </c>
      <c r="J71" s="321">
        <v>0</v>
      </c>
    </row>
    <row r="72" spans="2:10" hidden="1" outlineLevel="2" x14ac:dyDescent="0.35">
      <c r="B72" s="487"/>
      <c r="C72" s="490"/>
      <c r="D72" s="260" t="s">
        <v>173</v>
      </c>
      <c r="E72" s="219">
        <v>0</v>
      </c>
      <c r="F72" s="219">
        <v>0</v>
      </c>
      <c r="G72" s="219">
        <v>0</v>
      </c>
      <c r="H72" s="219">
        <v>0</v>
      </c>
      <c r="I72" s="219">
        <v>0</v>
      </c>
      <c r="J72" s="321">
        <v>0</v>
      </c>
    </row>
    <row r="73" spans="2:10" hidden="1" outlineLevel="2" x14ac:dyDescent="0.35">
      <c r="B73" s="487"/>
      <c r="C73" s="490"/>
      <c r="D73" s="260" t="s">
        <v>172</v>
      </c>
      <c r="E73" s="219">
        <v>0</v>
      </c>
      <c r="F73" s="219">
        <v>0</v>
      </c>
      <c r="G73" s="219">
        <v>0</v>
      </c>
      <c r="H73" s="219">
        <v>0</v>
      </c>
      <c r="I73" s="219">
        <v>0</v>
      </c>
      <c r="J73" s="321">
        <v>0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21">
        <v>0</v>
      </c>
    </row>
    <row r="75" spans="2:10" x14ac:dyDescent="0.35">
      <c r="B75" s="488"/>
      <c r="C75" s="491"/>
      <c r="D75" s="439" t="s">
        <v>255</v>
      </c>
      <c r="E75" s="438">
        <f t="shared" ref="E75:J75" si="11">SUM(E43,E48:E51,E56,E63,E67)</f>
        <v>1</v>
      </c>
      <c r="F75" s="438">
        <f t="shared" si="11"/>
        <v>1</v>
      </c>
      <c r="G75" s="438">
        <f t="shared" si="11"/>
        <v>3531650</v>
      </c>
      <c r="H75" s="438">
        <f t="shared" si="11"/>
        <v>370823</v>
      </c>
      <c r="I75" s="437">
        <f t="shared" si="11"/>
        <v>177776.73</v>
      </c>
      <c r="J75" s="436">
        <f t="shared" si="11"/>
        <v>193046.27</v>
      </c>
    </row>
    <row r="76" spans="2:10" ht="14.5" customHeight="1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01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0</v>
      </c>
      <c r="F77" s="219">
        <f t="shared" si="12"/>
        <v>0</v>
      </c>
      <c r="G77" s="219">
        <f t="shared" si="12"/>
        <v>0</v>
      </c>
      <c r="H77" s="219">
        <f t="shared" si="12"/>
        <v>0</v>
      </c>
      <c r="I77" s="219">
        <f t="shared" si="12"/>
        <v>0</v>
      </c>
      <c r="J77" s="321">
        <f t="shared" si="12"/>
        <v>0</v>
      </c>
    </row>
    <row r="78" spans="2:10" hidden="1" outlineLevel="2" x14ac:dyDescent="0.35">
      <c r="B78" s="487"/>
      <c r="C78" s="490"/>
      <c r="D78" s="250" t="s">
        <v>192</v>
      </c>
      <c r="E78" s="219">
        <v>0</v>
      </c>
      <c r="F78" s="219">
        <v>0</v>
      </c>
      <c r="G78" s="219">
        <v>0</v>
      </c>
      <c r="H78" s="219">
        <v>0</v>
      </c>
      <c r="I78" s="219">
        <v>0</v>
      </c>
      <c r="J78" s="321">
        <v>0</v>
      </c>
    </row>
    <row r="79" spans="2:10" hidden="1" outlineLevel="2" x14ac:dyDescent="0.35">
      <c r="B79" s="487"/>
      <c r="C79" s="490"/>
      <c r="D79" s="250" t="s">
        <v>191</v>
      </c>
      <c r="E79" s="219">
        <v>0</v>
      </c>
      <c r="F79" s="219">
        <v>0</v>
      </c>
      <c r="G79" s="219">
        <v>0</v>
      </c>
      <c r="H79" s="219">
        <v>0</v>
      </c>
      <c r="I79" s="219">
        <v>0</v>
      </c>
      <c r="J79" s="321">
        <v>0</v>
      </c>
    </row>
    <row r="80" spans="2:10" hidden="1" outlineLevel="2" x14ac:dyDescent="0.35">
      <c r="B80" s="487"/>
      <c r="C80" s="490"/>
      <c r="D80" s="250" t="s">
        <v>190</v>
      </c>
      <c r="E80" s="219">
        <v>0</v>
      </c>
      <c r="F80" s="219">
        <v>0</v>
      </c>
      <c r="G80" s="219">
        <v>0</v>
      </c>
      <c r="H80" s="219">
        <v>0</v>
      </c>
      <c r="I80" s="219">
        <v>0</v>
      </c>
      <c r="J80" s="321">
        <v>0</v>
      </c>
    </row>
    <row r="81" spans="2:10" outlineLevel="1" collapsed="1" x14ac:dyDescent="0.35">
      <c r="B81" s="487"/>
      <c r="C81" s="490"/>
      <c r="D81" s="251" t="s">
        <v>158</v>
      </c>
      <c r="E81" s="219">
        <f t="shared" ref="E81:J81" si="13">SUM(E82:E89)</f>
        <v>1</v>
      </c>
      <c r="F81" s="219">
        <f t="shared" si="13"/>
        <v>1</v>
      </c>
      <c r="G81" s="219">
        <f t="shared" si="13"/>
        <v>2027655</v>
      </c>
      <c r="H81" s="219">
        <f t="shared" si="13"/>
        <v>405531</v>
      </c>
      <c r="I81" s="219">
        <f t="shared" si="13"/>
        <v>401199.41</v>
      </c>
      <c r="J81" s="321">
        <f t="shared" si="13"/>
        <v>4331.59</v>
      </c>
    </row>
    <row r="82" spans="2:10" hidden="1" outlineLevel="2" x14ac:dyDescent="0.35">
      <c r="B82" s="487"/>
      <c r="C82" s="490"/>
      <c r="D82" s="250" t="s">
        <v>157</v>
      </c>
      <c r="E82" s="219">
        <v>1</v>
      </c>
      <c r="F82" s="219">
        <v>1</v>
      </c>
      <c r="G82" s="219">
        <v>2027655</v>
      </c>
      <c r="H82" s="219">
        <v>405531</v>
      </c>
      <c r="I82" s="219">
        <v>401199.41</v>
      </c>
      <c r="J82" s="321">
        <v>4331.59</v>
      </c>
    </row>
    <row r="83" spans="2:10" hidden="1" outlineLevel="2" x14ac:dyDescent="0.35">
      <c r="B83" s="487"/>
      <c r="C83" s="490"/>
      <c r="D83" s="250" t="s">
        <v>156</v>
      </c>
      <c r="E83" s="219">
        <v>0</v>
      </c>
      <c r="F83" s="219">
        <v>0</v>
      </c>
      <c r="G83" s="219">
        <v>0</v>
      </c>
      <c r="H83" s="219">
        <v>0</v>
      </c>
      <c r="I83" s="219">
        <v>0</v>
      </c>
      <c r="J83" s="321">
        <v>0</v>
      </c>
    </row>
    <row r="84" spans="2:10" hidden="1" outlineLevel="2" x14ac:dyDescent="0.35">
      <c r="B84" s="487"/>
      <c r="C84" s="490"/>
      <c r="D84" s="250" t="s">
        <v>155</v>
      </c>
      <c r="E84" s="219">
        <v>0</v>
      </c>
      <c r="F84" s="219">
        <v>0</v>
      </c>
      <c r="G84" s="219">
        <v>0</v>
      </c>
      <c r="H84" s="219">
        <v>0</v>
      </c>
      <c r="I84" s="219">
        <v>0</v>
      </c>
      <c r="J84" s="321">
        <v>0</v>
      </c>
    </row>
    <row r="85" spans="2:10" hidden="1" outlineLevel="2" x14ac:dyDescent="0.35">
      <c r="B85" s="487"/>
      <c r="C85" s="490"/>
      <c r="D85" s="250" t="s">
        <v>154</v>
      </c>
      <c r="E85" s="219">
        <v>0</v>
      </c>
      <c r="F85" s="219">
        <v>0</v>
      </c>
      <c r="G85" s="219">
        <v>0</v>
      </c>
      <c r="H85" s="219">
        <v>0</v>
      </c>
      <c r="I85" s="219">
        <v>0</v>
      </c>
      <c r="J85" s="321">
        <v>0</v>
      </c>
    </row>
    <row r="86" spans="2:10" hidden="1" outlineLevel="2" x14ac:dyDescent="0.35">
      <c r="B86" s="487"/>
      <c r="C86" s="490"/>
      <c r="D86" s="250" t="s">
        <v>153</v>
      </c>
      <c r="E86" s="219">
        <v>0</v>
      </c>
      <c r="F86" s="219">
        <v>0</v>
      </c>
      <c r="G86" s="219">
        <v>0</v>
      </c>
      <c r="H86" s="219">
        <v>0</v>
      </c>
      <c r="I86" s="219">
        <v>0</v>
      </c>
      <c r="J86" s="321">
        <v>0</v>
      </c>
    </row>
    <row r="87" spans="2:10" hidden="1" outlineLevel="2" x14ac:dyDescent="0.35">
      <c r="B87" s="487"/>
      <c r="C87" s="490"/>
      <c r="D87" s="250" t="s">
        <v>152</v>
      </c>
      <c r="E87" s="219">
        <v>0</v>
      </c>
      <c r="F87" s="219">
        <v>0</v>
      </c>
      <c r="G87" s="219">
        <v>0</v>
      </c>
      <c r="H87" s="219">
        <v>0</v>
      </c>
      <c r="I87" s="219">
        <v>0</v>
      </c>
      <c r="J87" s="321">
        <v>0</v>
      </c>
    </row>
    <row r="88" spans="2:10" hidden="1" outlineLevel="2" x14ac:dyDescent="0.35">
      <c r="B88" s="487"/>
      <c r="C88" s="490"/>
      <c r="D88" s="250" t="s">
        <v>151</v>
      </c>
      <c r="E88" s="219">
        <v>0</v>
      </c>
      <c r="F88" s="219">
        <v>0</v>
      </c>
      <c r="G88" s="219">
        <v>0</v>
      </c>
      <c r="H88" s="219">
        <v>0</v>
      </c>
      <c r="I88" s="219">
        <v>0</v>
      </c>
      <c r="J88" s="321">
        <v>0</v>
      </c>
    </row>
    <row r="89" spans="2:10" hidden="1" outlineLevel="2" x14ac:dyDescent="0.35">
      <c r="B89" s="487"/>
      <c r="C89" s="490"/>
      <c r="D89" s="250" t="s">
        <v>150</v>
      </c>
      <c r="E89" s="219">
        <v>0</v>
      </c>
      <c r="F89" s="219">
        <v>0</v>
      </c>
      <c r="G89" s="219">
        <v>0</v>
      </c>
      <c r="H89" s="219">
        <v>0</v>
      </c>
      <c r="I89" s="219">
        <v>0</v>
      </c>
      <c r="J89" s="321">
        <v>0</v>
      </c>
    </row>
    <row r="90" spans="2:10" outlineLevel="1" collapsed="1" x14ac:dyDescent="0.35">
      <c r="B90" s="487"/>
      <c r="C90" s="490"/>
      <c r="D90" s="251" t="s">
        <v>149</v>
      </c>
      <c r="E90" s="219">
        <f t="shared" ref="E90:J90" si="14">SUM(E91:E93)</f>
        <v>0</v>
      </c>
      <c r="F90" s="219">
        <f t="shared" si="14"/>
        <v>0</v>
      </c>
      <c r="G90" s="219">
        <f t="shared" si="14"/>
        <v>0</v>
      </c>
      <c r="H90" s="219">
        <f t="shared" si="14"/>
        <v>0</v>
      </c>
      <c r="I90" s="219">
        <f t="shared" si="14"/>
        <v>0</v>
      </c>
      <c r="J90" s="321">
        <f t="shared" si="14"/>
        <v>0</v>
      </c>
    </row>
    <row r="91" spans="2:10" hidden="1" outlineLevel="2" x14ac:dyDescent="0.35">
      <c r="B91" s="487"/>
      <c r="C91" s="490"/>
      <c r="D91" s="250" t="s">
        <v>148</v>
      </c>
      <c r="E91" s="219">
        <v>0</v>
      </c>
      <c r="F91" s="219">
        <v>0</v>
      </c>
      <c r="G91" s="219">
        <v>0</v>
      </c>
      <c r="H91" s="219">
        <v>0</v>
      </c>
      <c r="I91" s="219">
        <v>0</v>
      </c>
      <c r="J91" s="321">
        <v>0</v>
      </c>
    </row>
    <row r="92" spans="2:10" hidden="1" outlineLevel="2" x14ac:dyDescent="0.35">
      <c r="B92" s="487"/>
      <c r="C92" s="490"/>
      <c r="D92" s="250" t="s">
        <v>147</v>
      </c>
      <c r="E92" s="219">
        <v>0</v>
      </c>
      <c r="F92" s="219">
        <v>0</v>
      </c>
      <c r="G92" s="219">
        <v>0</v>
      </c>
      <c r="H92" s="219">
        <v>0</v>
      </c>
      <c r="I92" s="219">
        <v>0</v>
      </c>
      <c r="J92" s="321">
        <v>0</v>
      </c>
    </row>
    <row r="93" spans="2:10" hidden="1" outlineLevel="2" x14ac:dyDescent="0.35">
      <c r="B93" s="487"/>
      <c r="C93" s="490"/>
      <c r="D93" s="250" t="s">
        <v>146</v>
      </c>
      <c r="E93" s="219">
        <v>0</v>
      </c>
      <c r="F93" s="219">
        <v>0</v>
      </c>
      <c r="G93" s="219">
        <v>0</v>
      </c>
      <c r="H93" s="219">
        <v>0</v>
      </c>
      <c r="I93" s="219">
        <v>0</v>
      </c>
      <c r="J93" s="321">
        <v>0</v>
      </c>
    </row>
    <row r="94" spans="2:10" outlineLevel="1" collapsed="1" x14ac:dyDescent="0.35">
      <c r="B94" s="487"/>
      <c r="C94" s="490"/>
      <c r="D94" s="246" t="s">
        <v>133</v>
      </c>
      <c r="E94" s="219">
        <v>0</v>
      </c>
      <c r="F94" s="219">
        <v>0</v>
      </c>
      <c r="G94" s="219">
        <v>0</v>
      </c>
      <c r="H94" s="219">
        <v>0</v>
      </c>
      <c r="I94" s="219">
        <v>0</v>
      </c>
      <c r="J94" s="321">
        <v>0</v>
      </c>
    </row>
    <row r="95" spans="2:10" outlineLevel="1" x14ac:dyDescent="0.35">
      <c r="B95" s="487"/>
      <c r="C95" s="490"/>
      <c r="D95" s="236" t="s">
        <v>140</v>
      </c>
      <c r="E95" s="219">
        <v>0</v>
      </c>
      <c r="F95" s="219">
        <v>0</v>
      </c>
      <c r="G95" s="219">
        <v>0</v>
      </c>
      <c r="H95" s="219">
        <v>0</v>
      </c>
      <c r="I95" s="219">
        <v>0</v>
      </c>
      <c r="J95" s="321">
        <v>0</v>
      </c>
    </row>
    <row r="96" spans="2:10" outlineLevel="1" x14ac:dyDescent="0.35">
      <c r="B96" s="487"/>
      <c r="C96" s="490"/>
      <c r="D96" s="23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21">
        <v>0</v>
      </c>
    </row>
    <row r="97" spans="2:10" outlineLevel="1" x14ac:dyDescent="0.35">
      <c r="B97" s="487"/>
      <c r="C97" s="490"/>
      <c r="D97" s="236" t="s">
        <v>138</v>
      </c>
      <c r="E97" s="219">
        <f t="shared" ref="E97:J97" si="15">SUM(E98:E101)</f>
        <v>2</v>
      </c>
      <c r="F97" s="219">
        <f t="shared" si="15"/>
        <v>2</v>
      </c>
      <c r="G97" s="219">
        <f t="shared" si="15"/>
        <v>4989060</v>
      </c>
      <c r="H97" s="219">
        <f t="shared" si="15"/>
        <v>788829</v>
      </c>
      <c r="I97" s="219">
        <f t="shared" si="15"/>
        <v>627146</v>
      </c>
      <c r="J97" s="321">
        <f t="shared" si="15"/>
        <v>161683</v>
      </c>
    </row>
    <row r="98" spans="2:10" hidden="1" outlineLevel="2" x14ac:dyDescent="0.35">
      <c r="B98" s="487"/>
      <c r="C98" s="490"/>
      <c r="D98" s="242" t="s">
        <v>137</v>
      </c>
      <c r="E98" s="219">
        <v>1</v>
      </c>
      <c r="F98" s="219">
        <v>1</v>
      </c>
      <c r="G98" s="219">
        <v>2523600</v>
      </c>
      <c r="H98" s="219">
        <v>529956</v>
      </c>
      <c r="I98" s="219">
        <v>380600</v>
      </c>
      <c r="J98" s="321">
        <v>149356</v>
      </c>
    </row>
    <row r="99" spans="2:10" hidden="1" outlineLevel="2" x14ac:dyDescent="0.35">
      <c r="B99" s="487"/>
      <c r="C99" s="490"/>
      <c r="D99" s="242" t="s">
        <v>136</v>
      </c>
      <c r="E99" s="219">
        <v>1</v>
      </c>
      <c r="F99" s="219">
        <v>1</v>
      </c>
      <c r="G99" s="219">
        <v>2465460</v>
      </c>
      <c r="H99" s="219">
        <v>258873</v>
      </c>
      <c r="I99" s="219">
        <v>246546</v>
      </c>
      <c r="J99" s="321">
        <v>12327</v>
      </c>
    </row>
    <row r="100" spans="2:10" hidden="1" outlineLevel="2" x14ac:dyDescent="0.35">
      <c r="B100" s="487"/>
      <c r="C100" s="490"/>
      <c r="D100" s="242" t="s">
        <v>135</v>
      </c>
      <c r="E100" s="219">
        <v>0</v>
      </c>
      <c r="F100" s="219">
        <v>0</v>
      </c>
      <c r="G100" s="219">
        <v>0</v>
      </c>
      <c r="H100" s="219">
        <v>0</v>
      </c>
      <c r="I100" s="219">
        <v>0</v>
      </c>
      <c r="J100" s="321">
        <v>0</v>
      </c>
    </row>
    <row r="101" spans="2:10" hidden="1" outlineLevel="2" x14ac:dyDescent="0.35">
      <c r="B101" s="487"/>
      <c r="C101" s="490"/>
      <c r="D101" s="242" t="s">
        <v>134</v>
      </c>
      <c r="E101" s="219">
        <v>0</v>
      </c>
      <c r="F101" s="219">
        <v>0</v>
      </c>
      <c r="G101" s="219">
        <v>0</v>
      </c>
      <c r="H101" s="219">
        <v>0</v>
      </c>
      <c r="I101" s="219">
        <v>0</v>
      </c>
      <c r="J101" s="321">
        <v>0</v>
      </c>
    </row>
    <row r="102" spans="2:10" outlineLevel="1" collapsed="1" x14ac:dyDescent="0.35">
      <c r="B102" s="487"/>
      <c r="C102" s="490"/>
      <c r="D102" s="236" t="s">
        <v>132</v>
      </c>
      <c r="E102" s="219">
        <f t="shared" ref="E102:J102" si="16">SUM(E103:E106)</f>
        <v>4</v>
      </c>
      <c r="F102" s="219">
        <f t="shared" si="16"/>
        <v>4</v>
      </c>
      <c r="G102" s="219">
        <f t="shared" si="16"/>
        <v>10138358.960000001</v>
      </c>
      <c r="H102" s="219">
        <f t="shared" si="16"/>
        <v>1581939.81</v>
      </c>
      <c r="I102" s="219">
        <f t="shared" si="16"/>
        <v>1308784.52</v>
      </c>
      <c r="J102" s="321">
        <f t="shared" si="16"/>
        <v>273155.28999999998</v>
      </c>
    </row>
    <row r="103" spans="2:10" hidden="1" outlineLevel="2" x14ac:dyDescent="0.35">
      <c r="B103" s="487"/>
      <c r="C103" s="490"/>
      <c r="D103" s="242" t="s">
        <v>131</v>
      </c>
      <c r="E103" s="219">
        <v>0</v>
      </c>
      <c r="F103" s="219">
        <v>0</v>
      </c>
      <c r="G103" s="219">
        <v>0</v>
      </c>
      <c r="H103" s="219">
        <v>0</v>
      </c>
      <c r="I103" s="219">
        <v>0</v>
      </c>
      <c r="J103" s="321">
        <v>0</v>
      </c>
    </row>
    <row r="104" spans="2:10" hidden="1" outlineLevel="2" x14ac:dyDescent="0.35">
      <c r="B104" s="487"/>
      <c r="C104" s="490"/>
      <c r="D104" s="242" t="s">
        <v>130</v>
      </c>
      <c r="E104" s="219">
        <v>0</v>
      </c>
      <c r="F104" s="219">
        <v>0</v>
      </c>
      <c r="G104" s="219">
        <v>0</v>
      </c>
      <c r="H104" s="219">
        <v>0</v>
      </c>
      <c r="I104" s="219">
        <v>0</v>
      </c>
      <c r="J104" s="321">
        <v>0</v>
      </c>
    </row>
    <row r="105" spans="2:10" hidden="1" outlineLevel="2" x14ac:dyDescent="0.35">
      <c r="B105" s="487"/>
      <c r="C105" s="490"/>
      <c r="D105" s="242" t="s">
        <v>129</v>
      </c>
      <c r="E105" s="219">
        <v>0</v>
      </c>
      <c r="F105" s="219">
        <v>0</v>
      </c>
      <c r="G105" s="219">
        <v>0</v>
      </c>
      <c r="H105" s="219">
        <v>0</v>
      </c>
      <c r="I105" s="219">
        <v>0</v>
      </c>
      <c r="J105" s="321">
        <v>0</v>
      </c>
    </row>
    <row r="106" spans="2:10" hidden="1" outlineLevel="2" x14ac:dyDescent="0.35">
      <c r="B106" s="487"/>
      <c r="C106" s="490"/>
      <c r="D106" s="242" t="s">
        <v>128</v>
      </c>
      <c r="E106" s="219">
        <v>4</v>
      </c>
      <c r="F106" s="219">
        <v>4</v>
      </c>
      <c r="G106" s="219">
        <v>10138358.960000001</v>
      </c>
      <c r="H106" s="219">
        <v>1581939.81</v>
      </c>
      <c r="I106" s="219">
        <v>1308784.52</v>
      </c>
      <c r="J106" s="321">
        <v>273155.28999999998</v>
      </c>
    </row>
    <row r="107" spans="2:10" outlineLevel="1" collapsed="1" x14ac:dyDescent="0.35">
      <c r="B107" s="487"/>
      <c r="C107" s="490"/>
      <c r="D107" s="236" t="s">
        <v>41</v>
      </c>
      <c r="E107" s="219">
        <v>0</v>
      </c>
      <c r="F107" s="219">
        <v>0</v>
      </c>
      <c r="G107" s="219">
        <v>0</v>
      </c>
      <c r="H107" s="219">
        <v>0</v>
      </c>
      <c r="I107" s="219">
        <v>0</v>
      </c>
      <c r="J107" s="321">
        <v>0</v>
      </c>
    </row>
    <row r="108" spans="2:10" x14ac:dyDescent="0.35">
      <c r="B108" s="488"/>
      <c r="C108" s="491"/>
      <c r="D108" s="439" t="s">
        <v>251</v>
      </c>
      <c r="E108" s="438">
        <f t="shared" ref="E108:J108" si="17">SUM(E102,E107,E97,E96,E94,E90,E81,E77,E95)</f>
        <v>7</v>
      </c>
      <c r="F108" s="438">
        <f t="shared" si="17"/>
        <v>7</v>
      </c>
      <c r="G108" s="438">
        <f t="shared" si="17"/>
        <v>17155073.960000001</v>
      </c>
      <c r="H108" s="438">
        <f t="shared" si="17"/>
        <v>2776299.81</v>
      </c>
      <c r="I108" s="437">
        <f t="shared" si="17"/>
        <v>2337129.9300000002</v>
      </c>
      <c r="J108" s="436">
        <f t="shared" si="17"/>
        <v>439169.88</v>
      </c>
    </row>
    <row r="109" spans="2:10" ht="27.65" customHeight="1" outlineLevel="1" x14ac:dyDescent="0.35">
      <c r="B109" s="487" t="s">
        <v>250</v>
      </c>
      <c r="C109" s="490" t="s">
        <v>249</v>
      </c>
      <c r="D109" s="236" t="s">
        <v>123</v>
      </c>
      <c r="E109" s="219">
        <v>0</v>
      </c>
      <c r="F109" s="219">
        <v>0</v>
      </c>
      <c r="G109" s="219">
        <v>0</v>
      </c>
      <c r="H109" s="219">
        <v>0</v>
      </c>
      <c r="I109" s="219">
        <v>0</v>
      </c>
      <c r="J109" s="321">
        <v>0</v>
      </c>
    </row>
    <row r="110" spans="2:10" ht="27.65" customHeight="1" outlineLevel="1" x14ac:dyDescent="0.35">
      <c r="B110" s="487"/>
      <c r="C110" s="490"/>
      <c r="D110" s="236" t="s">
        <v>122</v>
      </c>
      <c r="E110" s="219">
        <v>0</v>
      </c>
      <c r="F110" s="219">
        <v>0</v>
      </c>
      <c r="G110" s="219">
        <v>0</v>
      </c>
      <c r="H110" s="219">
        <v>0</v>
      </c>
      <c r="I110" s="219">
        <v>0</v>
      </c>
      <c r="J110" s="321">
        <v>0</v>
      </c>
    </row>
    <row r="111" spans="2:10" ht="27.65" customHeight="1" outlineLevel="1" x14ac:dyDescent="0.35">
      <c r="B111" s="487"/>
      <c r="C111" s="490"/>
      <c r="D111" s="236" t="s">
        <v>48</v>
      </c>
      <c r="E111" s="219">
        <v>1</v>
      </c>
      <c r="F111" s="219">
        <v>1</v>
      </c>
      <c r="G111" s="219">
        <v>2493884.25</v>
      </c>
      <c r="H111" s="219">
        <v>498776.85</v>
      </c>
      <c r="I111" s="219">
        <v>294800</v>
      </c>
      <c r="J111" s="321">
        <v>203976.85</v>
      </c>
    </row>
    <row r="112" spans="2:10" ht="27.65" customHeight="1" outlineLevel="1" x14ac:dyDescent="0.35">
      <c r="B112" s="487"/>
      <c r="C112" s="490"/>
      <c r="D112" s="236" t="s">
        <v>47</v>
      </c>
      <c r="E112" s="219">
        <v>0</v>
      </c>
      <c r="F112" s="219">
        <v>0</v>
      </c>
      <c r="G112" s="219">
        <v>0</v>
      </c>
      <c r="H112" s="219">
        <v>0</v>
      </c>
      <c r="I112" s="219">
        <v>0</v>
      </c>
      <c r="J112" s="321">
        <v>0</v>
      </c>
    </row>
    <row r="113" spans="2:11" ht="27.65" customHeight="1" outlineLevel="1" x14ac:dyDescent="0.35">
      <c r="B113" s="487"/>
      <c r="C113" s="490"/>
      <c r="D113" s="236" t="s">
        <v>40</v>
      </c>
      <c r="E113" s="219">
        <v>1</v>
      </c>
      <c r="F113" s="219">
        <v>1</v>
      </c>
      <c r="G113" s="219">
        <v>2625330</v>
      </c>
      <c r="H113" s="219">
        <v>525066</v>
      </c>
      <c r="I113" s="219">
        <v>262500</v>
      </c>
      <c r="J113" s="321">
        <v>262566</v>
      </c>
    </row>
    <row r="114" spans="2:11" ht="27.65" customHeight="1" outlineLevel="1" x14ac:dyDescent="0.35">
      <c r="B114" s="487"/>
      <c r="C114" s="490"/>
      <c r="D114" s="236" t="s">
        <v>39</v>
      </c>
      <c r="E114" s="219">
        <v>10</v>
      </c>
      <c r="F114" s="219">
        <v>10</v>
      </c>
      <c r="G114" s="219">
        <v>30980548.850000001</v>
      </c>
      <c r="H114" s="219">
        <v>3788180.49</v>
      </c>
      <c r="I114" s="219">
        <v>3358383.29</v>
      </c>
      <c r="J114" s="321">
        <v>429797.2</v>
      </c>
    </row>
    <row r="115" spans="2:11" ht="27.65" customHeight="1" outlineLevel="1" x14ac:dyDescent="0.35">
      <c r="B115" s="487"/>
      <c r="C115" s="490"/>
      <c r="D115" s="236" t="s">
        <v>38</v>
      </c>
      <c r="E115" s="219">
        <v>2</v>
      </c>
      <c r="F115" s="219">
        <v>2</v>
      </c>
      <c r="G115" s="219">
        <v>20102485</v>
      </c>
      <c r="H115" s="219">
        <v>2110761.0499999998</v>
      </c>
      <c r="I115" s="219">
        <v>2094174</v>
      </c>
      <c r="J115" s="321">
        <v>16587.05</v>
      </c>
    </row>
    <row r="116" spans="2:11" x14ac:dyDescent="0.35">
      <c r="B116" s="488"/>
      <c r="C116" s="491"/>
      <c r="D116" s="439" t="s">
        <v>248</v>
      </c>
      <c r="E116" s="438">
        <f t="shared" ref="E116:J116" si="18">SUM(E109:E115)</f>
        <v>14</v>
      </c>
      <c r="F116" s="438">
        <f t="shared" si="18"/>
        <v>14</v>
      </c>
      <c r="G116" s="438">
        <f t="shared" si="18"/>
        <v>56202248.100000001</v>
      </c>
      <c r="H116" s="438">
        <f t="shared" si="18"/>
        <v>6922784.3899999997</v>
      </c>
      <c r="I116" s="437">
        <f t="shared" si="18"/>
        <v>6009857.29</v>
      </c>
      <c r="J116" s="436">
        <f t="shared" si="18"/>
        <v>912927.10000000009</v>
      </c>
    </row>
    <row r="117" spans="2:11" ht="27.65" customHeight="1" outlineLevel="1" x14ac:dyDescent="0.35">
      <c r="B117" s="487" t="s">
        <v>247</v>
      </c>
      <c r="C117" s="490" t="s">
        <v>246</v>
      </c>
      <c r="D117" s="236" t="s">
        <v>36</v>
      </c>
      <c r="E117" s="219">
        <v>1</v>
      </c>
      <c r="F117" s="219">
        <v>1</v>
      </c>
      <c r="G117" s="219">
        <v>5658858</v>
      </c>
      <c r="H117" s="219">
        <v>1131771.6000000001</v>
      </c>
      <c r="I117" s="219">
        <v>574775</v>
      </c>
      <c r="J117" s="321">
        <v>556996.6</v>
      </c>
    </row>
    <row r="118" spans="2:11" ht="27.65" customHeight="1" outlineLevel="1" x14ac:dyDescent="0.35">
      <c r="B118" s="487"/>
      <c r="C118" s="490"/>
      <c r="D118" s="236" t="s">
        <v>35</v>
      </c>
      <c r="E118" s="219">
        <v>3</v>
      </c>
      <c r="F118" s="219">
        <v>3</v>
      </c>
      <c r="G118" s="219">
        <v>18841683</v>
      </c>
      <c r="H118" s="219">
        <v>2289906.61</v>
      </c>
      <c r="I118" s="219">
        <v>1455220.3</v>
      </c>
      <c r="J118" s="321">
        <v>834686.30999999994</v>
      </c>
    </row>
    <row r="119" spans="2:11" ht="27.65" customHeight="1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21">
        <v>0</v>
      </c>
    </row>
    <row r="120" spans="2:11" ht="27.65" customHeight="1" outlineLevel="1" x14ac:dyDescent="0.35">
      <c r="B120" s="487"/>
      <c r="C120" s="490"/>
      <c r="D120" s="236" t="s">
        <v>33</v>
      </c>
      <c r="E120" s="219">
        <v>0</v>
      </c>
      <c r="F120" s="219">
        <v>0</v>
      </c>
      <c r="G120" s="219">
        <v>0</v>
      </c>
      <c r="H120" s="219">
        <v>0</v>
      </c>
      <c r="I120" s="219">
        <v>0</v>
      </c>
      <c r="J120" s="321">
        <v>0</v>
      </c>
    </row>
    <row r="121" spans="2:11" x14ac:dyDescent="0.35">
      <c r="B121" s="488"/>
      <c r="C121" s="491"/>
      <c r="D121" s="439" t="s">
        <v>245</v>
      </c>
      <c r="E121" s="438">
        <f t="shared" ref="E121:J121" si="19">SUM(E117:E120)</f>
        <v>4</v>
      </c>
      <c r="F121" s="438">
        <f t="shared" si="19"/>
        <v>4</v>
      </c>
      <c r="G121" s="438">
        <f t="shared" si="19"/>
        <v>24500541</v>
      </c>
      <c r="H121" s="438">
        <f t="shared" si="19"/>
        <v>3421678.21</v>
      </c>
      <c r="I121" s="437">
        <f t="shared" si="19"/>
        <v>2029995.3</v>
      </c>
      <c r="J121" s="436">
        <f t="shared" si="19"/>
        <v>1391682.91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298"/>
      <c r="K122" s="297"/>
    </row>
    <row r="123" spans="2:11" outlineLevel="1" x14ac:dyDescent="0.35">
      <c r="B123" s="492"/>
      <c r="C123" s="485"/>
      <c r="D123" s="225" t="s">
        <v>145</v>
      </c>
      <c r="E123" s="219">
        <f t="shared" ref="E123:J123" si="20">SUM(E124:E127)</f>
        <v>0</v>
      </c>
      <c r="F123" s="219">
        <f t="shared" si="20"/>
        <v>0</v>
      </c>
      <c r="G123" s="219">
        <f t="shared" si="20"/>
        <v>0</v>
      </c>
      <c r="H123" s="219">
        <f t="shared" si="20"/>
        <v>0</v>
      </c>
      <c r="I123" s="219">
        <f t="shared" si="20"/>
        <v>0</v>
      </c>
      <c r="J123" s="321">
        <f t="shared" si="20"/>
        <v>0</v>
      </c>
    </row>
    <row r="124" spans="2:11" hidden="1" outlineLevel="2" x14ac:dyDescent="0.35">
      <c r="B124" s="492"/>
      <c r="C124" s="485"/>
      <c r="D124" s="222" t="s">
        <v>144</v>
      </c>
      <c r="E124" s="219">
        <v>0</v>
      </c>
      <c r="F124" s="219">
        <v>0</v>
      </c>
      <c r="G124" s="219">
        <v>0</v>
      </c>
      <c r="H124" s="219">
        <v>0</v>
      </c>
      <c r="I124" s="219">
        <v>0</v>
      </c>
      <c r="J124" s="321">
        <v>0</v>
      </c>
    </row>
    <row r="125" spans="2:11" hidden="1" outlineLevel="2" x14ac:dyDescent="0.35">
      <c r="B125" s="492"/>
      <c r="C125" s="485"/>
      <c r="D125" s="223" t="s">
        <v>143</v>
      </c>
      <c r="E125" s="219">
        <v>0</v>
      </c>
      <c r="F125" s="219">
        <v>0</v>
      </c>
      <c r="G125" s="219">
        <v>0</v>
      </c>
      <c r="H125" s="219">
        <v>0</v>
      </c>
      <c r="I125" s="219">
        <v>0</v>
      </c>
      <c r="J125" s="321">
        <v>0</v>
      </c>
    </row>
    <row r="126" spans="2:11" hidden="1" outlineLevel="2" x14ac:dyDescent="0.35">
      <c r="B126" s="492"/>
      <c r="C126" s="485"/>
      <c r="D126" s="223" t="s">
        <v>142</v>
      </c>
      <c r="E126" s="219">
        <v>0</v>
      </c>
      <c r="F126" s="219">
        <v>0</v>
      </c>
      <c r="G126" s="219">
        <v>0</v>
      </c>
      <c r="H126" s="219">
        <v>0</v>
      </c>
      <c r="I126" s="219">
        <v>0</v>
      </c>
      <c r="J126" s="321">
        <v>0</v>
      </c>
    </row>
    <row r="127" spans="2:11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21">
        <v>0</v>
      </c>
    </row>
    <row r="128" spans="2:11" outlineLevel="1" collapsed="1" x14ac:dyDescent="0.35">
      <c r="B128" s="492"/>
      <c r="C128" s="485"/>
      <c r="D128" s="221" t="s">
        <v>121</v>
      </c>
      <c r="E128" s="219">
        <f t="shared" ref="E128:J128" si="21">SUM(E129:E162)</f>
        <v>0</v>
      </c>
      <c r="F128" s="219">
        <f t="shared" si="21"/>
        <v>0</v>
      </c>
      <c r="G128" s="219">
        <f t="shared" si="21"/>
        <v>0</v>
      </c>
      <c r="H128" s="219">
        <f t="shared" si="21"/>
        <v>0</v>
      </c>
      <c r="I128" s="219">
        <f t="shared" si="21"/>
        <v>0</v>
      </c>
      <c r="J128" s="321">
        <f t="shared" si="21"/>
        <v>0</v>
      </c>
    </row>
    <row r="129" spans="2:10" hidden="1" outlineLevel="2" x14ac:dyDescent="0.35">
      <c r="B129" s="492"/>
      <c r="C129" s="485"/>
      <c r="D129" s="224" t="s">
        <v>119</v>
      </c>
      <c r="E129" s="219">
        <v>0</v>
      </c>
      <c r="F129" s="219">
        <v>0</v>
      </c>
      <c r="G129" s="219">
        <v>0</v>
      </c>
      <c r="H129" s="219">
        <v>0</v>
      </c>
      <c r="I129" s="219">
        <v>0</v>
      </c>
      <c r="J129" s="321">
        <v>0</v>
      </c>
    </row>
    <row r="130" spans="2:10" hidden="1" outlineLevel="2" x14ac:dyDescent="0.35">
      <c r="B130" s="492"/>
      <c r="C130" s="485"/>
      <c r="D130" s="223" t="s">
        <v>118</v>
      </c>
      <c r="E130" s="219">
        <v>0</v>
      </c>
      <c r="F130" s="219">
        <v>0</v>
      </c>
      <c r="G130" s="219">
        <v>0</v>
      </c>
      <c r="H130" s="219">
        <v>0</v>
      </c>
      <c r="I130" s="219">
        <v>0</v>
      </c>
      <c r="J130" s="321">
        <v>0</v>
      </c>
    </row>
    <row r="131" spans="2:10" hidden="1" outlineLevel="2" x14ac:dyDescent="0.35">
      <c r="B131" s="492"/>
      <c r="C131" s="485"/>
      <c r="D131" s="223" t="s">
        <v>117</v>
      </c>
      <c r="E131" s="219">
        <v>0</v>
      </c>
      <c r="F131" s="219">
        <v>0</v>
      </c>
      <c r="G131" s="219">
        <v>0</v>
      </c>
      <c r="H131" s="219">
        <v>0</v>
      </c>
      <c r="I131" s="219">
        <v>0</v>
      </c>
      <c r="J131" s="321">
        <v>0</v>
      </c>
    </row>
    <row r="132" spans="2:10" hidden="1" outlineLevel="2" x14ac:dyDescent="0.35">
      <c r="B132" s="492"/>
      <c r="C132" s="485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21">
        <v>0</v>
      </c>
    </row>
    <row r="133" spans="2:10" hidden="1" outlineLevel="2" collapsed="1" x14ac:dyDescent="0.35">
      <c r="B133" s="492"/>
      <c r="C133" s="485"/>
      <c r="D133" s="445" t="s">
        <v>114</v>
      </c>
      <c r="E133" s="219">
        <v>0</v>
      </c>
      <c r="F133" s="219">
        <v>0</v>
      </c>
      <c r="G133" s="219">
        <v>0</v>
      </c>
      <c r="H133" s="219">
        <v>0</v>
      </c>
      <c r="I133" s="219">
        <v>0</v>
      </c>
      <c r="J133" s="321">
        <v>0</v>
      </c>
    </row>
    <row r="134" spans="2:10" hidden="1" outlineLevel="2" x14ac:dyDescent="0.35">
      <c r="B134" s="492"/>
      <c r="C134" s="485"/>
      <c r="D134" s="223" t="s">
        <v>113</v>
      </c>
      <c r="E134" s="219">
        <v>0</v>
      </c>
      <c r="F134" s="219">
        <v>0</v>
      </c>
      <c r="G134" s="219">
        <v>0</v>
      </c>
      <c r="H134" s="219">
        <v>0</v>
      </c>
      <c r="I134" s="219">
        <v>0</v>
      </c>
      <c r="J134" s="321">
        <v>0</v>
      </c>
    </row>
    <row r="135" spans="2:10" hidden="1" outlineLevel="2" x14ac:dyDescent="0.35">
      <c r="B135" s="492"/>
      <c r="C135" s="485"/>
      <c r="D135" s="223" t="s">
        <v>112</v>
      </c>
      <c r="E135" s="219">
        <v>0</v>
      </c>
      <c r="F135" s="219">
        <v>0</v>
      </c>
      <c r="G135" s="219">
        <v>0</v>
      </c>
      <c r="H135" s="219">
        <v>0</v>
      </c>
      <c r="I135" s="219">
        <v>0</v>
      </c>
      <c r="J135" s="321">
        <v>0</v>
      </c>
    </row>
    <row r="136" spans="2:10" hidden="1" outlineLevel="2" x14ac:dyDescent="0.35">
      <c r="B136" s="492"/>
      <c r="C136" s="485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21">
        <v>0</v>
      </c>
    </row>
    <row r="137" spans="2:10" hidden="1" outlineLevel="2" collapsed="1" x14ac:dyDescent="0.35">
      <c r="B137" s="492"/>
      <c r="C137" s="485"/>
      <c r="D137" s="445" t="s">
        <v>109</v>
      </c>
      <c r="E137" s="219">
        <v>0</v>
      </c>
      <c r="F137" s="219">
        <v>0</v>
      </c>
      <c r="G137" s="219">
        <v>0</v>
      </c>
      <c r="H137" s="219">
        <v>0</v>
      </c>
      <c r="I137" s="219">
        <v>0</v>
      </c>
      <c r="J137" s="321">
        <v>0</v>
      </c>
    </row>
    <row r="138" spans="2:10" hidden="1" outlineLevel="2" x14ac:dyDescent="0.35">
      <c r="B138" s="492"/>
      <c r="C138" s="485"/>
      <c r="D138" s="222" t="s">
        <v>108</v>
      </c>
      <c r="E138" s="219">
        <v>0</v>
      </c>
      <c r="F138" s="219">
        <v>0</v>
      </c>
      <c r="G138" s="219">
        <v>0</v>
      </c>
      <c r="H138" s="219">
        <v>0</v>
      </c>
      <c r="I138" s="219">
        <v>0</v>
      </c>
      <c r="J138" s="321">
        <v>0</v>
      </c>
    </row>
    <row r="139" spans="2:10" hidden="1" outlineLevel="2" x14ac:dyDescent="0.35">
      <c r="B139" s="492"/>
      <c r="C139" s="485"/>
      <c r="D139" s="222" t="s">
        <v>107</v>
      </c>
      <c r="E139" s="219">
        <v>0</v>
      </c>
      <c r="F139" s="219">
        <v>0</v>
      </c>
      <c r="G139" s="219">
        <v>0</v>
      </c>
      <c r="H139" s="219">
        <v>0</v>
      </c>
      <c r="I139" s="219">
        <v>0</v>
      </c>
      <c r="J139" s="321">
        <v>0</v>
      </c>
    </row>
    <row r="140" spans="2:10" hidden="1" outlineLevel="2" x14ac:dyDescent="0.35">
      <c r="B140" s="492"/>
      <c r="C140" s="485"/>
      <c r="D140" s="222" t="s">
        <v>106</v>
      </c>
      <c r="E140" s="219">
        <v>0</v>
      </c>
      <c r="F140" s="219">
        <v>0</v>
      </c>
      <c r="G140" s="219">
        <v>0</v>
      </c>
      <c r="H140" s="219">
        <v>0</v>
      </c>
      <c r="I140" s="219">
        <v>0</v>
      </c>
      <c r="J140" s="321">
        <v>0</v>
      </c>
    </row>
    <row r="141" spans="2:10" hidden="1" outlineLevel="2" collapsed="1" x14ac:dyDescent="0.35">
      <c r="B141" s="492"/>
      <c r="C141" s="485"/>
      <c r="D141" s="446" t="s">
        <v>104</v>
      </c>
      <c r="E141" s="219">
        <v>0</v>
      </c>
      <c r="F141" s="219">
        <v>0</v>
      </c>
      <c r="G141" s="219">
        <v>0</v>
      </c>
      <c r="H141" s="219">
        <v>0</v>
      </c>
      <c r="I141" s="219">
        <v>0</v>
      </c>
      <c r="J141" s="321">
        <v>0</v>
      </c>
    </row>
    <row r="142" spans="2:10" hidden="1" outlineLevel="2" x14ac:dyDescent="0.35">
      <c r="B142" s="492"/>
      <c r="C142" s="485"/>
      <c r="D142" s="222" t="s">
        <v>103</v>
      </c>
      <c r="E142" s="219">
        <v>0</v>
      </c>
      <c r="F142" s="219">
        <v>0</v>
      </c>
      <c r="G142" s="219">
        <v>0</v>
      </c>
      <c r="H142" s="219">
        <v>0</v>
      </c>
      <c r="I142" s="219">
        <v>0</v>
      </c>
      <c r="J142" s="321">
        <v>0</v>
      </c>
    </row>
    <row r="143" spans="2:10" hidden="1" outlineLevel="2" x14ac:dyDescent="0.35">
      <c r="B143" s="492"/>
      <c r="C143" s="485"/>
      <c r="D143" s="222" t="s">
        <v>102</v>
      </c>
      <c r="E143" s="219">
        <v>0</v>
      </c>
      <c r="F143" s="219">
        <v>0</v>
      </c>
      <c r="G143" s="219">
        <v>0</v>
      </c>
      <c r="H143" s="219">
        <v>0</v>
      </c>
      <c r="I143" s="219">
        <v>0</v>
      </c>
      <c r="J143" s="321">
        <v>0</v>
      </c>
    </row>
    <row r="144" spans="2:10" hidden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21">
        <v>0</v>
      </c>
    </row>
    <row r="145" spans="2:10" hidden="1" outlineLevel="2" collapsed="1" x14ac:dyDescent="0.35">
      <c r="B145" s="492"/>
      <c r="C145" s="485"/>
      <c r="D145" s="446" t="s">
        <v>99</v>
      </c>
      <c r="E145" s="219">
        <v>0</v>
      </c>
      <c r="F145" s="219">
        <v>0</v>
      </c>
      <c r="G145" s="219">
        <v>0</v>
      </c>
      <c r="H145" s="219">
        <v>0</v>
      </c>
      <c r="I145" s="219">
        <v>0</v>
      </c>
      <c r="J145" s="321">
        <v>0</v>
      </c>
    </row>
    <row r="146" spans="2:10" hidden="1" outlineLevel="2" x14ac:dyDescent="0.35">
      <c r="B146" s="492"/>
      <c r="C146" s="485"/>
      <c r="D146" s="223" t="s">
        <v>98</v>
      </c>
      <c r="E146" s="219">
        <v>0</v>
      </c>
      <c r="F146" s="219">
        <v>0</v>
      </c>
      <c r="G146" s="219">
        <v>0</v>
      </c>
      <c r="H146" s="219">
        <v>0</v>
      </c>
      <c r="I146" s="219">
        <v>0</v>
      </c>
      <c r="J146" s="321">
        <v>0</v>
      </c>
    </row>
    <row r="147" spans="2:10" hidden="1" outlineLevel="2" x14ac:dyDescent="0.35">
      <c r="B147" s="492"/>
      <c r="C147" s="485"/>
      <c r="D147" s="223" t="s">
        <v>97</v>
      </c>
      <c r="E147" s="219">
        <v>0</v>
      </c>
      <c r="F147" s="219">
        <v>0</v>
      </c>
      <c r="G147" s="219">
        <v>0</v>
      </c>
      <c r="H147" s="219">
        <v>0</v>
      </c>
      <c r="I147" s="219">
        <v>0</v>
      </c>
      <c r="J147" s="321">
        <v>0</v>
      </c>
    </row>
    <row r="148" spans="2:10" hidden="1" outlineLevel="2" x14ac:dyDescent="0.35">
      <c r="B148" s="492"/>
      <c r="C148" s="485"/>
      <c r="D148" s="223" t="s">
        <v>96</v>
      </c>
      <c r="E148" s="219">
        <v>0</v>
      </c>
      <c r="F148" s="219">
        <v>0</v>
      </c>
      <c r="G148" s="219">
        <v>0</v>
      </c>
      <c r="H148" s="219">
        <v>0</v>
      </c>
      <c r="I148" s="219">
        <v>0</v>
      </c>
      <c r="J148" s="321">
        <v>0</v>
      </c>
    </row>
    <row r="149" spans="2:10" hidden="1" outlineLevel="2" collapsed="1" x14ac:dyDescent="0.35">
      <c r="B149" s="492"/>
      <c r="C149" s="485"/>
      <c r="D149" s="445" t="s">
        <v>94</v>
      </c>
      <c r="E149" s="219">
        <v>0</v>
      </c>
      <c r="F149" s="219">
        <v>0</v>
      </c>
      <c r="G149" s="219">
        <v>0</v>
      </c>
      <c r="H149" s="219">
        <v>0</v>
      </c>
      <c r="I149" s="219">
        <v>0</v>
      </c>
      <c r="J149" s="321">
        <v>0</v>
      </c>
    </row>
    <row r="150" spans="2:10" hidden="1" outlineLevel="2" x14ac:dyDescent="0.35">
      <c r="B150" s="492"/>
      <c r="C150" s="485"/>
      <c r="D150" s="223" t="s">
        <v>93</v>
      </c>
      <c r="E150" s="219">
        <v>0</v>
      </c>
      <c r="F150" s="219">
        <v>0</v>
      </c>
      <c r="G150" s="219">
        <v>0</v>
      </c>
      <c r="H150" s="219">
        <v>0</v>
      </c>
      <c r="I150" s="219">
        <v>0</v>
      </c>
      <c r="J150" s="321">
        <v>0</v>
      </c>
    </row>
    <row r="151" spans="2:10" hidden="1" outlineLevel="2" x14ac:dyDescent="0.35">
      <c r="B151" s="492"/>
      <c r="C151" s="485"/>
      <c r="D151" s="223" t="s">
        <v>92</v>
      </c>
      <c r="E151" s="219">
        <v>0</v>
      </c>
      <c r="F151" s="219">
        <v>0</v>
      </c>
      <c r="G151" s="219">
        <v>0</v>
      </c>
      <c r="H151" s="219">
        <v>0</v>
      </c>
      <c r="I151" s="219">
        <v>0</v>
      </c>
      <c r="J151" s="321">
        <v>0</v>
      </c>
    </row>
    <row r="152" spans="2:10" hidden="1" outlineLevel="2" x14ac:dyDescent="0.35">
      <c r="B152" s="492"/>
      <c r="C152" s="485"/>
      <c r="D152" s="223" t="s">
        <v>91</v>
      </c>
      <c r="E152" s="219">
        <v>0</v>
      </c>
      <c r="F152" s="219">
        <v>0</v>
      </c>
      <c r="G152" s="219">
        <v>0</v>
      </c>
      <c r="H152" s="219">
        <v>0</v>
      </c>
      <c r="I152" s="219">
        <v>0</v>
      </c>
      <c r="J152" s="321">
        <v>0</v>
      </c>
    </row>
    <row r="153" spans="2:10" hidden="1" outlineLevel="2" collapsed="1" x14ac:dyDescent="0.35">
      <c r="B153" s="492"/>
      <c r="C153" s="485"/>
      <c r="D153" s="445" t="s">
        <v>89</v>
      </c>
      <c r="E153" s="219">
        <v>0</v>
      </c>
      <c r="F153" s="219">
        <v>0</v>
      </c>
      <c r="G153" s="219">
        <v>0</v>
      </c>
      <c r="H153" s="219">
        <v>0</v>
      </c>
      <c r="I153" s="219">
        <v>0</v>
      </c>
      <c r="J153" s="321">
        <v>0</v>
      </c>
    </row>
    <row r="154" spans="2:10" hidden="1" outlineLevel="2" x14ac:dyDescent="0.35">
      <c r="B154" s="492"/>
      <c r="C154" s="485"/>
      <c r="D154" s="223" t="s">
        <v>88</v>
      </c>
      <c r="E154" s="219">
        <v>0</v>
      </c>
      <c r="F154" s="219">
        <v>0</v>
      </c>
      <c r="G154" s="219">
        <v>0</v>
      </c>
      <c r="H154" s="219">
        <v>0</v>
      </c>
      <c r="I154" s="219">
        <v>0</v>
      </c>
      <c r="J154" s="321">
        <v>0</v>
      </c>
    </row>
    <row r="155" spans="2:10" hidden="1" outlineLevel="2" x14ac:dyDescent="0.35">
      <c r="B155" s="492"/>
      <c r="C155" s="485"/>
      <c r="D155" s="223" t="s">
        <v>87</v>
      </c>
      <c r="E155" s="219">
        <v>0</v>
      </c>
      <c r="F155" s="219">
        <v>0</v>
      </c>
      <c r="G155" s="219">
        <v>0</v>
      </c>
      <c r="H155" s="219">
        <v>0</v>
      </c>
      <c r="I155" s="219">
        <v>0</v>
      </c>
      <c r="J155" s="321">
        <v>0</v>
      </c>
    </row>
    <row r="156" spans="2:10" hidden="1" outlineLevel="2" x14ac:dyDescent="0.35">
      <c r="B156" s="492"/>
      <c r="C156" s="485"/>
      <c r="D156" s="223" t="s">
        <v>86</v>
      </c>
      <c r="E156" s="219">
        <v>0</v>
      </c>
      <c r="F156" s="219">
        <v>0</v>
      </c>
      <c r="G156" s="219">
        <v>0</v>
      </c>
      <c r="H156" s="219">
        <v>0</v>
      </c>
      <c r="I156" s="219">
        <v>0</v>
      </c>
      <c r="J156" s="321">
        <v>0</v>
      </c>
    </row>
    <row r="157" spans="2:10" hidden="1" outlineLevel="2" collapsed="1" x14ac:dyDescent="0.35">
      <c r="B157" s="492"/>
      <c r="C157" s="485"/>
      <c r="D157" s="445" t="s">
        <v>84</v>
      </c>
      <c r="E157" s="219">
        <v>0</v>
      </c>
      <c r="F157" s="219">
        <v>0</v>
      </c>
      <c r="G157" s="219">
        <v>0</v>
      </c>
      <c r="H157" s="219">
        <v>0</v>
      </c>
      <c r="I157" s="219">
        <v>0</v>
      </c>
      <c r="J157" s="321">
        <v>0</v>
      </c>
    </row>
    <row r="158" spans="2:10" hidden="1" outlineLevel="2" x14ac:dyDescent="0.35">
      <c r="B158" s="492"/>
      <c r="C158" s="485"/>
      <c r="D158" s="223" t="s">
        <v>83</v>
      </c>
      <c r="E158" s="219">
        <v>0</v>
      </c>
      <c r="F158" s="219">
        <v>0</v>
      </c>
      <c r="G158" s="219">
        <v>0</v>
      </c>
      <c r="H158" s="219">
        <v>0</v>
      </c>
      <c r="I158" s="219">
        <v>0</v>
      </c>
      <c r="J158" s="321">
        <v>0</v>
      </c>
    </row>
    <row r="159" spans="2:10" hidden="1" outlineLevel="2" x14ac:dyDescent="0.35">
      <c r="B159" s="492"/>
      <c r="C159" s="485"/>
      <c r="D159" s="223" t="s">
        <v>82</v>
      </c>
      <c r="E159" s="219">
        <v>0</v>
      </c>
      <c r="F159" s="219">
        <v>0</v>
      </c>
      <c r="G159" s="219">
        <v>0</v>
      </c>
      <c r="H159" s="219">
        <v>0</v>
      </c>
      <c r="I159" s="219">
        <v>0</v>
      </c>
      <c r="J159" s="321">
        <v>0</v>
      </c>
    </row>
    <row r="160" spans="2:10" hidden="1" outlineLevel="2" x14ac:dyDescent="0.35">
      <c r="B160" s="492"/>
      <c r="C160" s="485"/>
      <c r="D160" s="223" t="s">
        <v>81</v>
      </c>
      <c r="E160" s="219">
        <v>0</v>
      </c>
      <c r="F160" s="219">
        <v>0</v>
      </c>
      <c r="G160" s="219">
        <v>0</v>
      </c>
      <c r="H160" s="219">
        <v>0</v>
      </c>
      <c r="I160" s="219">
        <v>0</v>
      </c>
      <c r="J160" s="321">
        <v>0</v>
      </c>
    </row>
    <row r="161" spans="2:10" hidden="1" outlineLevel="2" x14ac:dyDescent="0.35">
      <c r="B161" s="492"/>
      <c r="C161" s="485"/>
      <c r="D161" s="223" t="s">
        <v>79</v>
      </c>
      <c r="E161" s="219">
        <v>0</v>
      </c>
      <c r="F161" s="219">
        <v>0</v>
      </c>
      <c r="G161" s="219">
        <v>0</v>
      </c>
      <c r="H161" s="219">
        <v>0</v>
      </c>
      <c r="I161" s="219">
        <v>0</v>
      </c>
      <c r="J161" s="321">
        <v>0</v>
      </c>
    </row>
    <row r="162" spans="2:10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21">
        <v>0</v>
      </c>
    </row>
    <row r="163" spans="2:10" outlineLevel="1" collapsed="1" x14ac:dyDescent="0.35">
      <c r="B163" s="492"/>
      <c r="C163" s="485"/>
      <c r="D163" s="221" t="s">
        <v>77</v>
      </c>
      <c r="E163" s="219">
        <f t="shared" ref="E163:J163" si="22">SUM(E164:E185)</f>
        <v>2</v>
      </c>
      <c r="F163" s="219">
        <f t="shared" si="22"/>
        <v>2</v>
      </c>
      <c r="G163" s="219">
        <f t="shared" si="22"/>
        <v>3659094.33</v>
      </c>
      <c r="H163" s="219">
        <f t="shared" si="22"/>
        <v>731818.87</v>
      </c>
      <c r="I163" s="219">
        <f t="shared" si="22"/>
        <v>517929.96</v>
      </c>
      <c r="J163" s="321">
        <f t="shared" si="22"/>
        <v>213888.91</v>
      </c>
    </row>
    <row r="164" spans="2:10" hidden="1" outlineLevel="2" x14ac:dyDescent="0.35">
      <c r="B164" s="492"/>
      <c r="C164" s="485"/>
      <c r="D164" s="222" t="s">
        <v>75</v>
      </c>
      <c r="E164" s="219">
        <v>0</v>
      </c>
      <c r="F164" s="219">
        <v>0</v>
      </c>
      <c r="G164" s="219">
        <v>0</v>
      </c>
      <c r="H164" s="219">
        <v>0</v>
      </c>
      <c r="I164" s="219">
        <v>0</v>
      </c>
      <c r="J164" s="321">
        <v>0</v>
      </c>
    </row>
    <row r="165" spans="2:10" hidden="1" outlineLevel="2" x14ac:dyDescent="0.35">
      <c r="B165" s="492"/>
      <c r="C165" s="485"/>
      <c r="D165" s="222" t="s">
        <v>74</v>
      </c>
      <c r="E165" s="219">
        <v>0</v>
      </c>
      <c r="F165" s="219">
        <v>0</v>
      </c>
      <c r="G165" s="219">
        <v>0</v>
      </c>
      <c r="H165" s="219">
        <v>0</v>
      </c>
      <c r="I165" s="219">
        <v>0</v>
      </c>
      <c r="J165" s="321">
        <v>0</v>
      </c>
    </row>
    <row r="166" spans="2:10" hidden="1" outlineLevel="2" x14ac:dyDescent="0.35">
      <c r="B166" s="492"/>
      <c r="C166" s="485"/>
      <c r="D166" s="222" t="s">
        <v>73</v>
      </c>
      <c r="E166" s="219">
        <v>0</v>
      </c>
      <c r="F166" s="219">
        <v>0</v>
      </c>
      <c r="G166" s="219">
        <v>0</v>
      </c>
      <c r="H166" s="219">
        <v>0</v>
      </c>
      <c r="I166" s="219">
        <v>0</v>
      </c>
      <c r="J166" s="321">
        <v>0</v>
      </c>
    </row>
    <row r="167" spans="2:10" hidden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21">
        <v>0</v>
      </c>
    </row>
    <row r="168" spans="2:10" hidden="1" outlineLevel="2" x14ac:dyDescent="0.35">
      <c r="B168" s="492"/>
      <c r="C168" s="485"/>
      <c r="D168" s="222" t="s">
        <v>70</v>
      </c>
      <c r="E168" s="219">
        <v>0</v>
      </c>
      <c r="F168" s="219">
        <v>0</v>
      </c>
      <c r="G168" s="219">
        <v>0</v>
      </c>
      <c r="H168" s="219">
        <v>0</v>
      </c>
      <c r="I168" s="219">
        <v>0</v>
      </c>
      <c r="J168" s="321">
        <v>0</v>
      </c>
    </row>
    <row r="169" spans="2:10" hidden="1" outlineLevel="2" x14ac:dyDescent="0.35">
      <c r="B169" s="492"/>
      <c r="C169" s="485"/>
      <c r="D169" s="222" t="s">
        <v>69</v>
      </c>
      <c r="E169" s="219">
        <v>0</v>
      </c>
      <c r="F169" s="219">
        <v>0</v>
      </c>
      <c r="G169" s="219">
        <v>0</v>
      </c>
      <c r="H169" s="219">
        <v>0</v>
      </c>
      <c r="I169" s="219">
        <v>0</v>
      </c>
      <c r="J169" s="321">
        <v>0</v>
      </c>
    </row>
    <row r="170" spans="2:10" hidden="1" outlineLevel="2" x14ac:dyDescent="0.35">
      <c r="B170" s="492"/>
      <c r="C170" s="485"/>
      <c r="D170" s="222" t="s">
        <v>68</v>
      </c>
      <c r="E170" s="219">
        <v>0</v>
      </c>
      <c r="F170" s="219">
        <v>0</v>
      </c>
      <c r="G170" s="219">
        <v>0</v>
      </c>
      <c r="H170" s="219">
        <v>0</v>
      </c>
      <c r="I170" s="219">
        <v>0</v>
      </c>
      <c r="J170" s="321">
        <v>0</v>
      </c>
    </row>
    <row r="171" spans="2:10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21">
        <v>0</v>
      </c>
    </row>
    <row r="172" spans="2:10" hidden="1" outlineLevel="2" x14ac:dyDescent="0.35">
      <c r="B172" s="492"/>
      <c r="C172" s="485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21">
        <v>0</v>
      </c>
    </row>
    <row r="173" spans="2:10" hidden="1" outlineLevel="2" x14ac:dyDescent="0.35">
      <c r="B173" s="492"/>
      <c r="C173" s="485"/>
      <c r="D173" s="222" t="s">
        <v>64</v>
      </c>
      <c r="E173" s="219">
        <v>0</v>
      </c>
      <c r="F173" s="219">
        <v>0</v>
      </c>
      <c r="G173" s="219">
        <v>0</v>
      </c>
      <c r="H173" s="219">
        <v>0</v>
      </c>
      <c r="I173" s="219">
        <v>0</v>
      </c>
      <c r="J173" s="321">
        <v>0</v>
      </c>
    </row>
    <row r="174" spans="2:10" hidden="1" outlineLevel="2" x14ac:dyDescent="0.35">
      <c r="B174" s="492"/>
      <c r="C174" s="485"/>
      <c r="D174" s="222" t="s">
        <v>63</v>
      </c>
      <c r="E174" s="219">
        <v>1</v>
      </c>
      <c r="F174" s="219">
        <v>1</v>
      </c>
      <c r="G174" s="219">
        <v>1782998.64</v>
      </c>
      <c r="H174" s="219">
        <v>356599.73</v>
      </c>
      <c r="I174" s="219">
        <v>178300</v>
      </c>
      <c r="J174" s="321">
        <v>178299.73</v>
      </c>
    </row>
    <row r="175" spans="2:10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21">
        <v>0</v>
      </c>
    </row>
    <row r="176" spans="2:10" hidden="1" outlineLevel="2" x14ac:dyDescent="0.35">
      <c r="B176" s="492"/>
      <c r="C176" s="485"/>
      <c r="D176" s="222" t="s">
        <v>60</v>
      </c>
      <c r="E176" s="219">
        <v>0</v>
      </c>
      <c r="F176" s="219">
        <v>0</v>
      </c>
      <c r="G176" s="219">
        <v>0</v>
      </c>
      <c r="H176" s="219">
        <v>0</v>
      </c>
      <c r="I176" s="219">
        <v>0</v>
      </c>
      <c r="J176" s="321">
        <v>0</v>
      </c>
    </row>
    <row r="177" spans="2:10" hidden="1" outlineLevel="2" x14ac:dyDescent="0.35">
      <c r="B177" s="492"/>
      <c r="C177" s="485"/>
      <c r="D177" s="222" t="s">
        <v>59</v>
      </c>
      <c r="E177" s="219">
        <v>0</v>
      </c>
      <c r="F177" s="219">
        <v>0</v>
      </c>
      <c r="G177" s="219">
        <v>0</v>
      </c>
      <c r="H177" s="219">
        <v>0</v>
      </c>
      <c r="I177" s="219">
        <v>0</v>
      </c>
      <c r="J177" s="321">
        <v>0</v>
      </c>
    </row>
    <row r="178" spans="2:10" hidden="1" outlineLevel="2" x14ac:dyDescent="0.35">
      <c r="B178" s="492"/>
      <c r="C178" s="485"/>
      <c r="D178" s="222" t="s">
        <v>58</v>
      </c>
      <c r="E178" s="219">
        <v>0</v>
      </c>
      <c r="F178" s="219">
        <v>0</v>
      </c>
      <c r="G178" s="219">
        <v>0</v>
      </c>
      <c r="H178" s="219">
        <v>0</v>
      </c>
      <c r="I178" s="219">
        <v>0</v>
      </c>
      <c r="J178" s="321">
        <v>0</v>
      </c>
    </row>
    <row r="179" spans="2:10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21">
        <v>0</v>
      </c>
    </row>
    <row r="180" spans="2:10" hidden="1" outlineLevel="2" x14ac:dyDescent="0.35">
      <c r="B180" s="492"/>
      <c r="C180" s="485"/>
      <c r="D180" s="222" t="s">
        <v>55</v>
      </c>
      <c r="E180" s="219">
        <v>0</v>
      </c>
      <c r="F180" s="219">
        <v>0</v>
      </c>
      <c r="G180" s="219">
        <v>0</v>
      </c>
      <c r="H180" s="219">
        <v>0</v>
      </c>
      <c r="I180" s="219">
        <v>0</v>
      </c>
      <c r="J180" s="321">
        <v>0</v>
      </c>
    </row>
    <row r="181" spans="2:10" hidden="1" outlineLevel="2" x14ac:dyDescent="0.35">
      <c r="B181" s="492"/>
      <c r="C181" s="485"/>
      <c r="D181" s="222" t="s">
        <v>54</v>
      </c>
      <c r="E181" s="219">
        <v>0</v>
      </c>
      <c r="F181" s="219">
        <v>0</v>
      </c>
      <c r="G181" s="219">
        <v>0</v>
      </c>
      <c r="H181" s="219">
        <v>0</v>
      </c>
      <c r="I181" s="219">
        <v>0</v>
      </c>
      <c r="J181" s="321">
        <v>0</v>
      </c>
    </row>
    <row r="182" spans="2:10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21">
        <v>0</v>
      </c>
    </row>
    <row r="183" spans="2:10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21">
        <v>0</v>
      </c>
    </row>
    <row r="184" spans="2:10" hidden="1" outlineLevel="2" x14ac:dyDescent="0.35">
      <c r="B184" s="492"/>
      <c r="C184" s="485"/>
      <c r="D184" s="222" t="s">
        <v>50</v>
      </c>
      <c r="E184" s="219">
        <v>1</v>
      </c>
      <c r="F184" s="219">
        <v>1</v>
      </c>
      <c r="G184" s="219">
        <v>1876095.69</v>
      </c>
      <c r="H184" s="219">
        <v>375219.14</v>
      </c>
      <c r="I184" s="219">
        <v>339629.96</v>
      </c>
      <c r="J184" s="321">
        <v>35589.18</v>
      </c>
    </row>
    <row r="185" spans="2:10" hidden="1" outlineLevel="2" x14ac:dyDescent="0.35">
      <c r="B185" s="492"/>
      <c r="C185" s="485"/>
      <c r="D185" s="222" t="s">
        <v>49</v>
      </c>
      <c r="E185" s="219">
        <v>0</v>
      </c>
      <c r="F185" s="219">
        <v>0</v>
      </c>
      <c r="G185" s="219">
        <v>0</v>
      </c>
      <c r="H185" s="219">
        <v>0</v>
      </c>
      <c r="I185" s="219">
        <v>0</v>
      </c>
      <c r="J185" s="321">
        <v>0</v>
      </c>
    </row>
    <row r="186" spans="2:10" x14ac:dyDescent="0.35">
      <c r="B186" s="492"/>
      <c r="C186" s="485"/>
      <c r="D186" s="439" t="s">
        <v>243</v>
      </c>
      <c r="E186" s="438">
        <f t="shared" ref="E186:J186" si="23">SUM(E163,E128,E123)</f>
        <v>2</v>
      </c>
      <c r="F186" s="438">
        <f t="shared" si="23"/>
        <v>2</v>
      </c>
      <c r="G186" s="438">
        <f t="shared" si="23"/>
        <v>3659094.33</v>
      </c>
      <c r="H186" s="438">
        <f t="shared" si="23"/>
        <v>731818.87</v>
      </c>
      <c r="I186" s="437">
        <f t="shared" si="23"/>
        <v>517929.96</v>
      </c>
      <c r="J186" s="436">
        <f t="shared" si="23"/>
        <v>213888.91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J187" si="24">SUM(E188:E190)</f>
        <v>0</v>
      </c>
      <c r="F187" s="219">
        <f t="shared" si="24"/>
        <v>0</v>
      </c>
      <c r="G187" s="219">
        <f t="shared" si="24"/>
        <v>0</v>
      </c>
      <c r="H187" s="219">
        <f t="shared" si="24"/>
        <v>0</v>
      </c>
      <c r="I187" s="219">
        <f t="shared" si="24"/>
        <v>0</v>
      </c>
      <c r="J187" s="321">
        <f t="shared" si="24"/>
        <v>0</v>
      </c>
    </row>
    <row r="188" spans="2:10" ht="15" hidden="1" customHeight="1" outlineLevel="2" x14ac:dyDescent="0.35">
      <c r="B188" s="492"/>
      <c r="C188" s="485"/>
      <c r="D188" s="222" t="s">
        <v>126</v>
      </c>
      <c r="E188" s="219">
        <v>0</v>
      </c>
      <c r="F188" s="219">
        <v>0</v>
      </c>
      <c r="G188" s="219">
        <v>0</v>
      </c>
      <c r="H188" s="219">
        <v>0</v>
      </c>
      <c r="I188" s="219">
        <v>0</v>
      </c>
      <c r="J188" s="321">
        <v>0</v>
      </c>
    </row>
    <row r="189" spans="2:10" ht="15" hidden="1" customHeight="1" outlineLevel="2" x14ac:dyDescent="0.35">
      <c r="B189" s="492"/>
      <c r="C189" s="485"/>
      <c r="D189" s="222" t="s">
        <v>125</v>
      </c>
      <c r="E189" s="219">
        <v>0</v>
      </c>
      <c r="F189" s="219">
        <v>0</v>
      </c>
      <c r="G189" s="219">
        <v>0</v>
      </c>
      <c r="H189" s="219">
        <v>0</v>
      </c>
      <c r="I189" s="219">
        <v>0</v>
      </c>
      <c r="J189" s="321">
        <v>0</v>
      </c>
    </row>
    <row r="190" spans="2:10" ht="15" hidden="1" customHeight="1" outlineLevel="2" x14ac:dyDescent="0.35">
      <c r="B190" s="492"/>
      <c r="C190" s="485"/>
      <c r="D190" s="222" t="s">
        <v>124</v>
      </c>
      <c r="E190" s="219">
        <v>0</v>
      </c>
      <c r="F190" s="219">
        <v>0</v>
      </c>
      <c r="G190" s="219">
        <v>0</v>
      </c>
      <c r="H190" s="219">
        <v>0</v>
      </c>
      <c r="I190" s="219">
        <v>0</v>
      </c>
      <c r="J190" s="321">
        <v>0</v>
      </c>
    </row>
    <row r="191" spans="2:10" outlineLevel="1" collapsed="1" x14ac:dyDescent="0.35">
      <c r="B191" s="492"/>
      <c r="C191" s="485"/>
      <c r="D191" s="221" t="s">
        <v>46</v>
      </c>
      <c r="E191" s="219">
        <f t="shared" ref="E191:J191" si="25">SUM(E192:E195)</f>
        <v>1</v>
      </c>
      <c r="F191" s="219">
        <f t="shared" si="25"/>
        <v>1</v>
      </c>
      <c r="G191" s="219">
        <f t="shared" si="25"/>
        <v>1215914.42</v>
      </c>
      <c r="H191" s="219">
        <f t="shared" si="25"/>
        <v>121591.44</v>
      </c>
      <c r="I191" s="219">
        <f t="shared" si="25"/>
        <v>24350</v>
      </c>
      <c r="J191" s="321">
        <f t="shared" si="25"/>
        <v>97241.44</v>
      </c>
    </row>
    <row r="192" spans="2:10" ht="15" hidden="1" customHeight="1" outlineLevel="2" x14ac:dyDescent="0.35">
      <c r="B192" s="492"/>
      <c r="C192" s="485"/>
      <c r="D192" s="222" t="s">
        <v>45</v>
      </c>
      <c r="E192" s="219">
        <v>1</v>
      </c>
      <c r="F192" s="219">
        <v>1</v>
      </c>
      <c r="G192" s="219">
        <v>1215914.42</v>
      </c>
      <c r="H192" s="219">
        <v>121591.44</v>
      </c>
      <c r="I192" s="219">
        <v>24350</v>
      </c>
      <c r="J192" s="321">
        <v>97241.44</v>
      </c>
    </row>
    <row r="193" spans="2:10" ht="1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21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21">
        <v>0</v>
      </c>
    </row>
    <row r="195" spans="2:10" ht="15" hidden="1" customHeight="1" outlineLevel="2" x14ac:dyDescent="0.35">
      <c r="B195" s="492"/>
      <c r="C195" s="485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21">
        <v>0</v>
      </c>
    </row>
    <row r="196" spans="2:10" x14ac:dyDescent="0.35">
      <c r="B196" s="493"/>
      <c r="C196" s="494"/>
      <c r="D196" s="439" t="s">
        <v>239</v>
      </c>
      <c r="E196" s="438">
        <f t="shared" ref="E196:J196" si="26">SUM(E191,E187)</f>
        <v>1</v>
      </c>
      <c r="F196" s="438">
        <f t="shared" si="26"/>
        <v>1</v>
      </c>
      <c r="G196" s="438">
        <f t="shared" si="26"/>
        <v>1215914.42</v>
      </c>
      <c r="H196" s="438">
        <f t="shared" si="26"/>
        <v>121591.44</v>
      </c>
      <c r="I196" s="437">
        <f t="shared" si="26"/>
        <v>24350</v>
      </c>
      <c r="J196" s="436">
        <f t="shared" si="26"/>
        <v>97241.44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5" hidden="1" customHeight="1" outlineLevel="2" x14ac:dyDescent="0.35">
      <c r="B198" s="492"/>
      <c r="C198" s="485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21">
        <v>0</v>
      </c>
    </row>
    <row r="199" spans="2:10" ht="15" hidden="1" customHeight="1" outlineLevel="2" x14ac:dyDescent="0.35">
      <c r="B199" s="492"/>
      <c r="C199" s="485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21">
        <v>0</v>
      </c>
    </row>
    <row r="200" spans="2:10" ht="15" hidden="1" customHeight="1" outlineLevel="2" x14ac:dyDescent="0.35">
      <c r="B200" s="492"/>
      <c r="C200" s="485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21">
        <v>0</v>
      </c>
    </row>
    <row r="201" spans="2:10" outlineLevel="1" collapsed="1" x14ac:dyDescent="0.35">
      <c r="B201" s="492"/>
      <c r="C201" s="485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21">
        <v>0</v>
      </c>
    </row>
    <row r="202" spans="2:10" outlineLevel="1" x14ac:dyDescent="0.35">
      <c r="B202" s="492"/>
      <c r="C202" s="485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21">
        <v>0</v>
      </c>
    </row>
    <row r="203" spans="2:10" x14ac:dyDescent="0.35">
      <c r="B203" s="493"/>
      <c r="C203" s="494"/>
      <c r="D203" s="439" t="s">
        <v>236</v>
      </c>
      <c r="E203" s="438">
        <f t="shared" ref="E203:J203" si="28">SUM(E202,E201,E197)</f>
        <v>0</v>
      </c>
      <c r="F203" s="438">
        <f t="shared" si="28"/>
        <v>0</v>
      </c>
      <c r="G203" s="438">
        <f t="shared" si="28"/>
        <v>0</v>
      </c>
      <c r="H203" s="438">
        <f t="shared" si="28"/>
        <v>0</v>
      </c>
      <c r="I203" s="437">
        <f t="shared" si="28"/>
        <v>0</v>
      </c>
      <c r="J203" s="436">
        <f t="shared" si="28"/>
        <v>0</v>
      </c>
    </row>
    <row r="204" spans="2:10" ht="15" thickBot="1" x14ac:dyDescent="0.4">
      <c r="B204" s="583" t="s">
        <v>235</v>
      </c>
      <c r="C204" s="584"/>
      <c r="D204" s="410" t="s">
        <v>15</v>
      </c>
      <c r="E204" s="434">
        <f t="shared" ref="E204:J204" si="29">SUM(E203,E186,E121,E108,E75,E41,E116,E196)</f>
        <v>29</v>
      </c>
      <c r="F204" s="434">
        <f t="shared" si="29"/>
        <v>29</v>
      </c>
      <c r="G204" s="434">
        <f t="shared" si="29"/>
        <v>106264521.81</v>
      </c>
      <c r="H204" s="434">
        <f t="shared" si="29"/>
        <v>14344995.720000001</v>
      </c>
      <c r="I204" s="434">
        <f t="shared" si="29"/>
        <v>11097039.210000001</v>
      </c>
      <c r="J204" s="444">
        <f t="shared" si="29"/>
        <v>3247956.51</v>
      </c>
    </row>
    <row r="206" spans="2:10" x14ac:dyDescent="0.35">
      <c r="J206" s="290">
        <f>'Overdue-Booking'!K204</f>
        <v>3247956.51</v>
      </c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69" orientation="landscape" r:id="rId1"/>
  <headerFooter alignWithMargins="0">
    <oddHeader>&amp;LSOBHA LLC&amp;C&amp;"Tahoma,Regular"&amp;14
BOOKING OVERDUE AGEING_ Age calc. from booking date_61-90 Days&amp;R&amp;D</oddHeader>
    <oddFooter>&amp;LCOLLECTIONS&amp;R&amp;P/&amp;N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A4A2-A8DA-4E0F-AB73-D8546308B9A6}">
  <sheetPr>
    <pageSetUpPr fitToPage="1"/>
  </sheetPr>
  <dimension ref="B1:M206"/>
  <sheetViews>
    <sheetView view="pageBreakPreview" zoomScale="60" zoomScaleNormal="100" workbookViewId="0"/>
  </sheetViews>
  <sheetFormatPr defaultRowHeight="14.5" outlineLevelRow="2" x14ac:dyDescent="0.35"/>
  <cols>
    <col min="2" max="2" width="18.26953125" bestFit="1" customWidth="1"/>
    <col min="3" max="3" width="7.54296875" bestFit="1" customWidth="1"/>
    <col min="4" max="4" width="41.26953125" bestFit="1" customWidth="1"/>
    <col min="5" max="5" width="16.26953125" customWidth="1"/>
    <col min="6" max="6" width="13.7265625" bestFit="1" customWidth="1"/>
    <col min="7" max="7" width="18" bestFit="1" customWidth="1"/>
    <col min="8" max="8" width="18.1796875" bestFit="1" customWidth="1"/>
    <col min="9" max="9" width="23.26953125" bestFit="1" customWidth="1"/>
    <col min="10" max="10" width="15.81640625" style="6" bestFit="1" customWidth="1"/>
    <col min="11" max="11" width="6" bestFit="1" customWidth="1"/>
    <col min="12" max="12" width="5" bestFit="1" customWidth="1"/>
    <col min="13" max="13" width="13.7265625" bestFit="1" customWidth="1"/>
  </cols>
  <sheetData>
    <row r="1" spans="2:13" x14ac:dyDescent="0.35">
      <c r="M1" s="443">
        <v>3654658.9600000004</v>
      </c>
    </row>
    <row r="3" spans="2:13" x14ac:dyDescent="0.35">
      <c r="B3" s="288">
        <v>46143</v>
      </c>
      <c r="C3" t="s">
        <v>265</v>
      </c>
    </row>
    <row r="4" spans="2:13" ht="15" thickBot="1" x14ac:dyDescent="0.4"/>
    <row r="5" spans="2:13" ht="28" x14ac:dyDescent="0.35">
      <c r="B5" s="565" t="s">
        <v>276</v>
      </c>
      <c r="C5" s="579"/>
      <c r="D5" s="581" t="s">
        <v>275</v>
      </c>
      <c r="E5" s="573" t="s">
        <v>281</v>
      </c>
      <c r="F5" s="575" t="s">
        <v>280</v>
      </c>
      <c r="G5" s="573" t="s">
        <v>274</v>
      </c>
      <c r="H5" s="577" t="s">
        <v>294</v>
      </c>
      <c r="I5" s="577" t="s">
        <v>272</v>
      </c>
      <c r="J5" s="442" t="s">
        <v>284</v>
      </c>
    </row>
    <row r="6" spans="2:13" x14ac:dyDescent="0.35">
      <c r="B6" s="567"/>
      <c r="C6" s="580"/>
      <c r="D6" s="582"/>
      <c r="E6" s="574"/>
      <c r="F6" s="576"/>
      <c r="G6" s="574"/>
      <c r="H6" s="578"/>
      <c r="I6" s="578"/>
      <c r="J6" s="441"/>
    </row>
    <row r="7" spans="2:13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21"/>
    </row>
    <row r="8" spans="2:13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21">
        <f t="shared" si="0"/>
        <v>0</v>
      </c>
      <c r="K8" t="s">
        <v>277</v>
      </c>
      <c r="L8">
        <v>1500</v>
      </c>
    </row>
    <row r="9" spans="2:13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21">
        <v>0</v>
      </c>
    </row>
    <row r="10" spans="2:13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21">
        <v>0</v>
      </c>
    </row>
    <row r="11" spans="2:13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21">
        <v>0</v>
      </c>
    </row>
    <row r="12" spans="2:13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21">
        <v>0</v>
      </c>
    </row>
    <row r="13" spans="2:13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21">
        <v>0</v>
      </c>
    </row>
    <row r="14" spans="2:13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21">
        <v>0</v>
      </c>
    </row>
    <row r="15" spans="2:13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21">
        <v>0</v>
      </c>
    </row>
    <row r="16" spans="2:13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21">
        <f t="shared" si="1"/>
        <v>0</v>
      </c>
    </row>
    <row r="17" spans="2:10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21">
        <v>0</v>
      </c>
    </row>
    <row r="18" spans="2:10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21">
        <v>0</v>
      </c>
    </row>
    <row r="19" spans="2:10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21">
        <v>0</v>
      </c>
    </row>
    <row r="20" spans="2:10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21">
        <v>0</v>
      </c>
    </row>
    <row r="21" spans="2:10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21">
        <v>0</v>
      </c>
    </row>
    <row r="22" spans="2:10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21">
        <f t="shared" si="2"/>
        <v>0</v>
      </c>
    </row>
    <row r="23" spans="2:10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21">
        <v>0</v>
      </c>
    </row>
    <row r="24" spans="2:10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21">
        <v>0</v>
      </c>
    </row>
    <row r="25" spans="2:10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21">
        <v>0</v>
      </c>
    </row>
    <row r="26" spans="2:10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21">
        <v>0</v>
      </c>
    </row>
    <row r="27" spans="2:10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21">
        <v>0</v>
      </c>
    </row>
    <row r="28" spans="2:10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21">
        <v>0</v>
      </c>
    </row>
    <row r="29" spans="2:10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21">
        <f t="shared" si="3"/>
        <v>0</v>
      </c>
    </row>
    <row r="30" spans="2:10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21">
        <v>0</v>
      </c>
    </row>
    <row r="31" spans="2:10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21">
        <v>0</v>
      </c>
    </row>
    <row r="32" spans="2:10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21">
        <v>0</v>
      </c>
    </row>
    <row r="33" spans="2:10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21">
        <v>0</v>
      </c>
    </row>
    <row r="34" spans="2:10" outlineLevel="1" x14ac:dyDescent="0.35">
      <c r="B34" s="503"/>
      <c r="C34" s="506"/>
      <c r="D34" s="263" t="s">
        <v>23</v>
      </c>
      <c r="E34" s="219">
        <f t="shared" ref="E34:J34" si="4">SUM(E35:E39)</f>
        <v>0</v>
      </c>
      <c r="F34" s="219">
        <f t="shared" si="4"/>
        <v>0</v>
      </c>
      <c r="G34" s="219">
        <f t="shared" si="4"/>
        <v>0</v>
      </c>
      <c r="H34" s="219">
        <f t="shared" si="4"/>
        <v>0</v>
      </c>
      <c r="I34" s="219">
        <f t="shared" si="4"/>
        <v>0</v>
      </c>
      <c r="J34" s="321">
        <f t="shared" si="4"/>
        <v>0</v>
      </c>
    </row>
    <row r="35" spans="2:10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21">
        <v>0</v>
      </c>
    </row>
    <row r="36" spans="2:10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21">
        <v>0</v>
      </c>
    </row>
    <row r="37" spans="2:10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21">
        <v>0</v>
      </c>
    </row>
    <row r="38" spans="2:10" hidden="1" outlineLevel="2" x14ac:dyDescent="0.35">
      <c r="B38" s="503"/>
      <c r="C38" s="506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21">
        <v>0</v>
      </c>
    </row>
    <row r="39" spans="2:10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21">
        <v>0</v>
      </c>
    </row>
    <row r="40" spans="2:10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21">
        <v>0</v>
      </c>
    </row>
    <row r="41" spans="2:10" x14ac:dyDescent="0.35">
      <c r="B41" s="504"/>
      <c r="C41" s="507"/>
      <c r="D41" s="439" t="s">
        <v>259</v>
      </c>
      <c r="E41" s="438">
        <f t="shared" ref="E41:J41" si="5">SUM(E8,E15:E16,E27:E29,E22,E33:E34,E40)</f>
        <v>0</v>
      </c>
      <c r="F41" s="438">
        <f t="shared" si="5"/>
        <v>0</v>
      </c>
      <c r="G41" s="438">
        <f t="shared" si="5"/>
        <v>0</v>
      </c>
      <c r="H41" s="438">
        <f t="shared" si="5"/>
        <v>0</v>
      </c>
      <c r="I41" s="437">
        <f t="shared" si="5"/>
        <v>0</v>
      </c>
      <c r="J41" s="436">
        <f t="shared" si="5"/>
        <v>0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301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2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2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2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2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2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21">
        <v>0</v>
      </c>
    </row>
    <row r="49" spans="2:10" outlineLevel="1" x14ac:dyDescent="0.35">
      <c r="B49" s="487"/>
      <c r="C49" s="490"/>
      <c r="D49" s="236" t="s">
        <v>189</v>
      </c>
      <c r="E49" s="219">
        <v>0</v>
      </c>
      <c r="F49" s="219">
        <v>0</v>
      </c>
      <c r="G49" s="219">
        <v>0</v>
      </c>
      <c r="H49" s="219">
        <v>0</v>
      </c>
      <c r="I49" s="219">
        <v>0</v>
      </c>
      <c r="J49" s="321">
        <v>0</v>
      </c>
    </row>
    <row r="50" spans="2:10" outlineLevel="1" x14ac:dyDescent="0.35">
      <c r="B50" s="487"/>
      <c r="C50" s="490"/>
      <c r="D50" s="263" t="s">
        <v>179</v>
      </c>
      <c r="E50" s="219">
        <v>0</v>
      </c>
      <c r="F50" s="219">
        <v>0</v>
      </c>
      <c r="G50" s="219">
        <v>0</v>
      </c>
      <c r="H50" s="219">
        <v>0</v>
      </c>
      <c r="I50" s="219">
        <v>0</v>
      </c>
      <c r="J50" s="321">
        <v>0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0</v>
      </c>
      <c r="F51" s="219">
        <f t="shared" si="7"/>
        <v>0</v>
      </c>
      <c r="G51" s="219">
        <f t="shared" si="7"/>
        <v>0</v>
      </c>
      <c r="H51" s="219">
        <f t="shared" si="7"/>
        <v>0</v>
      </c>
      <c r="I51" s="219">
        <f t="shared" si="7"/>
        <v>0</v>
      </c>
      <c r="J51" s="321">
        <f t="shared" si="7"/>
        <v>0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2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21">
        <v>0</v>
      </c>
    </row>
    <row r="54" spans="2:10" hidden="1" outlineLevel="2" x14ac:dyDescent="0.35">
      <c r="B54" s="487"/>
      <c r="C54" s="490"/>
      <c r="D54" s="262" t="s">
        <v>182</v>
      </c>
      <c r="E54" s="219">
        <v>0</v>
      </c>
      <c r="F54" s="219">
        <v>0</v>
      </c>
      <c r="G54" s="219">
        <v>0</v>
      </c>
      <c r="H54" s="219">
        <v>0</v>
      </c>
      <c r="I54" s="219">
        <v>0</v>
      </c>
      <c r="J54" s="321">
        <v>0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2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0</v>
      </c>
      <c r="F56" s="219">
        <f t="shared" si="8"/>
        <v>0</v>
      </c>
      <c r="G56" s="219">
        <f t="shared" si="8"/>
        <v>0</v>
      </c>
      <c r="H56" s="219">
        <f t="shared" si="8"/>
        <v>0</v>
      </c>
      <c r="I56" s="219">
        <f t="shared" si="8"/>
        <v>0</v>
      </c>
      <c r="J56" s="321">
        <f t="shared" si="8"/>
        <v>0</v>
      </c>
    </row>
    <row r="57" spans="2:10" hidden="1" outlineLevel="2" x14ac:dyDescent="0.35">
      <c r="B57" s="487"/>
      <c r="C57" s="490"/>
      <c r="D57" s="242" t="s">
        <v>169</v>
      </c>
      <c r="E57" s="219">
        <v>0</v>
      </c>
      <c r="F57" s="219">
        <v>0</v>
      </c>
      <c r="G57" s="219">
        <v>0</v>
      </c>
      <c r="H57" s="219">
        <v>0</v>
      </c>
      <c r="I57" s="219">
        <v>0</v>
      </c>
      <c r="J57" s="321">
        <v>0</v>
      </c>
    </row>
    <row r="58" spans="2:10" hidden="1" outlineLevel="2" x14ac:dyDescent="0.35">
      <c r="B58" s="487"/>
      <c r="C58" s="490"/>
      <c r="D58" s="242" t="s">
        <v>168</v>
      </c>
      <c r="E58" s="219">
        <v>0</v>
      </c>
      <c r="F58" s="219">
        <v>0</v>
      </c>
      <c r="G58" s="219">
        <v>0</v>
      </c>
      <c r="H58" s="219">
        <v>0</v>
      </c>
      <c r="I58" s="219">
        <v>0</v>
      </c>
      <c r="J58" s="321">
        <v>0</v>
      </c>
    </row>
    <row r="59" spans="2:10" hidden="1" outlineLevel="2" x14ac:dyDescent="0.35">
      <c r="B59" s="487"/>
      <c r="C59" s="490"/>
      <c r="D59" s="242" t="s">
        <v>167</v>
      </c>
      <c r="E59" s="219">
        <v>0</v>
      </c>
      <c r="F59" s="219">
        <v>0</v>
      </c>
      <c r="G59" s="219">
        <v>0</v>
      </c>
      <c r="H59" s="219">
        <v>0</v>
      </c>
      <c r="I59" s="219">
        <v>0</v>
      </c>
      <c r="J59" s="321">
        <v>0</v>
      </c>
    </row>
    <row r="60" spans="2:10" hidden="1" outlineLevel="2" x14ac:dyDescent="0.35">
      <c r="B60" s="487"/>
      <c r="C60" s="490"/>
      <c r="D60" s="242" t="s">
        <v>166</v>
      </c>
      <c r="E60" s="219">
        <v>0</v>
      </c>
      <c r="F60" s="219">
        <v>0</v>
      </c>
      <c r="G60" s="219">
        <v>0</v>
      </c>
      <c r="H60" s="219">
        <v>0</v>
      </c>
      <c r="I60" s="219">
        <v>0</v>
      </c>
      <c r="J60" s="321">
        <v>0</v>
      </c>
    </row>
    <row r="61" spans="2:10" hidden="1" outlineLevel="2" x14ac:dyDescent="0.35">
      <c r="B61" s="487"/>
      <c r="C61" s="490"/>
      <c r="D61" s="261" t="s">
        <v>165</v>
      </c>
      <c r="E61" s="219">
        <v>0</v>
      </c>
      <c r="F61" s="219">
        <v>0</v>
      </c>
      <c r="G61" s="219">
        <v>0</v>
      </c>
      <c r="H61" s="219">
        <v>0</v>
      </c>
      <c r="I61" s="219">
        <v>0</v>
      </c>
      <c r="J61" s="321">
        <v>0</v>
      </c>
    </row>
    <row r="62" spans="2:10" hidden="1" outlineLevel="2" x14ac:dyDescent="0.35">
      <c r="B62" s="487"/>
      <c r="C62" s="490"/>
      <c r="D62" s="261" t="s">
        <v>164</v>
      </c>
      <c r="E62" s="219">
        <v>0</v>
      </c>
      <c r="F62" s="219">
        <v>0</v>
      </c>
      <c r="G62" s="219">
        <v>0</v>
      </c>
      <c r="H62" s="219">
        <v>0</v>
      </c>
      <c r="I62" s="219">
        <v>0</v>
      </c>
      <c r="J62" s="321">
        <v>0</v>
      </c>
    </row>
    <row r="63" spans="2:10" outlineLevel="1" collapsed="1" x14ac:dyDescent="0.35">
      <c r="B63" s="487"/>
      <c r="C63" s="490"/>
      <c r="D63" s="324" t="s">
        <v>256</v>
      </c>
      <c r="E63" s="219">
        <f t="shared" ref="E63:J63" si="9">SUM(E64:E66)</f>
        <v>0</v>
      </c>
      <c r="F63" s="219">
        <f t="shared" si="9"/>
        <v>0</v>
      </c>
      <c r="G63" s="219">
        <f t="shared" si="9"/>
        <v>0</v>
      </c>
      <c r="H63" s="219">
        <f t="shared" si="9"/>
        <v>0</v>
      </c>
      <c r="I63" s="219">
        <f t="shared" si="9"/>
        <v>0</v>
      </c>
      <c r="J63" s="321">
        <f t="shared" si="9"/>
        <v>0</v>
      </c>
    </row>
    <row r="64" spans="2:10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21">
        <v>0</v>
      </c>
    </row>
    <row r="65" spans="2:10" hidden="1" outlineLevel="2" x14ac:dyDescent="0.35">
      <c r="B65" s="487"/>
      <c r="C65" s="490"/>
      <c r="D65" s="260" t="s">
        <v>195</v>
      </c>
      <c r="E65" s="219">
        <v>0</v>
      </c>
      <c r="F65" s="219">
        <v>0</v>
      </c>
      <c r="G65" s="219">
        <v>0</v>
      </c>
      <c r="H65" s="219">
        <v>0</v>
      </c>
      <c r="I65" s="219">
        <v>0</v>
      </c>
      <c r="J65" s="321">
        <v>0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21">
        <v>0</v>
      </c>
    </row>
    <row r="67" spans="2:10" outlineLevel="1" collapsed="1" x14ac:dyDescent="0.35">
      <c r="B67" s="487"/>
      <c r="C67" s="490"/>
      <c r="D67" s="324" t="s">
        <v>178</v>
      </c>
      <c r="E67" s="219">
        <f t="shared" ref="E67:J67" si="10">SUM(E68:E74)</f>
        <v>0</v>
      </c>
      <c r="F67" s="219">
        <f t="shared" si="10"/>
        <v>0</v>
      </c>
      <c r="G67" s="219">
        <f t="shared" si="10"/>
        <v>0</v>
      </c>
      <c r="H67" s="219">
        <f t="shared" si="10"/>
        <v>0</v>
      </c>
      <c r="I67" s="219">
        <f t="shared" si="10"/>
        <v>0</v>
      </c>
      <c r="J67" s="321">
        <f t="shared" si="10"/>
        <v>0</v>
      </c>
    </row>
    <row r="68" spans="2:10" hidden="1" outlineLevel="2" x14ac:dyDescent="0.35">
      <c r="B68" s="487"/>
      <c r="C68" s="490"/>
      <c r="D68" s="260" t="s">
        <v>177</v>
      </c>
      <c r="E68" s="219">
        <v>0</v>
      </c>
      <c r="F68" s="219">
        <v>0</v>
      </c>
      <c r="G68" s="219">
        <v>0</v>
      </c>
      <c r="H68" s="219">
        <v>0</v>
      </c>
      <c r="I68" s="219">
        <v>0</v>
      </c>
      <c r="J68" s="321">
        <v>0</v>
      </c>
    </row>
    <row r="69" spans="2:10" hidden="1" outlineLevel="2" x14ac:dyDescent="0.35">
      <c r="B69" s="487"/>
      <c r="C69" s="490"/>
      <c r="D69" s="260" t="s">
        <v>176</v>
      </c>
      <c r="E69" s="219">
        <v>0</v>
      </c>
      <c r="F69" s="219">
        <v>0</v>
      </c>
      <c r="G69" s="219">
        <v>0</v>
      </c>
      <c r="H69" s="219">
        <v>0</v>
      </c>
      <c r="I69" s="219">
        <v>0</v>
      </c>
      <c r="J69" s="321">
        <v>0</v>
      </c>
    </row>
    <row r="70" spans="2:10" hidden="1" outlineLevel="2" x14ac:dyDescent="0.35">
      <c r="B70" s="487"/>
      <c r="C70" s="490"/>
      <c r="D70" s="260" t="s">
        <v>175</v>
      </c>
      <c r="E70" s="219">
        <v>0</v>
      </c>
      <c r="F70" s="219">
        <v>0</v>
      </c>
      <c r="G70" s="219">
        <v>0</v>
      </c>
      <c r="H70" s="219">
        <v>0</v>
      </c>
      <c r="I70" s="219">
        <v>0</v>
      </c>
      <c r="J70" s="321">
        <v>0</v>
      </c>
    </row>
    <row r="71" spans="2:10" hidden="1" outlineLevel="2" x14ac:dyDescent="0.35">
      <c r="B71" s="487"/>
      <c r="C71" s="490"/>
      <c r="D71" s="260" t="s">
        <v>174</v>
      </c>
      <c r="E71" s="219">
        <v>0</v>
      </c>
      <c r="F71" s="219">
        <v>0</v>
      </c>
      <c r="G71" s="219">
        <v>0</v>
      </c>
      <c r="H71" s="219">
        <v>0</v>
      </c>
      <c r="I71" s="219">
        <v>0</v>
      </c>
      <c r="J71" s="321">
        <v>0</v>
      </c>
    </row>
    <row r="72" spans="2:10" hidden="1" outlineLevel="2" x14ac:dyDescent="0.35">
      <c r="B72" s="487"/>
      <c r="C72" s="490"/>
      <c r="D72" s="260" t="s">
        <v>173</v>
      </c>
      <c r="E72" s="219">
        <v>0</v>
      </c>
      <c r="F72" s="219">
        <v>0</v>
      </c>
      <c r="G72" s="219">
        <v>0</v>
      </c>
      <c r="H72" s="219">
        <v>0</v>
      </c>
      <c r="I72" s="219">
        <v>0</v>
      </c>
      <c r="J72" s="321">
        <v>0</v>
      </c>
    </row>
    <row r="73" spans="2:10" hidden="1" outlineLevel="2" x14ac:dyDescent="0.35">
      <c r="B73" s="487"/>
      <c r="C73" s="490"/>
      <c r="D73" s="260" t="s">
        <v>172</v>
      </c>
      <c r="E73" s="219">
        <v>0</v>
      </c>
      <c r="F73" s="219">
        <v>0</v>
      </c>
      <c r="G73" s="219">
        <v>0</v>
      </c>
      <c r="H73" s="219">
        <v>0</v>
      </c>
      <c r="I73" s="219">
        <v>0</v>
      </c>
      <c r="J73" s="321">
        <v>0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21">
        <v>0</v>
      </c>
    </row>
    <row r="75" spans="2:10" x14ac:dyDescent="0.35">
      <c r="B75" s="488"/>
      <c r="C75" s="491"/>
      <c r="D75" s="439" t="s">
        <v>255</v>
      </c>
      <c r="E75" s="438">
        <f t="shared" ref="E75:J75" si="11">SUM(E43,E48:E51,E56,E63,E67)</f>
        <v>0</v>
      </c>
      <c r="F75" s="438">
        <f t="shared" si="11"/>
        <v>0</v>
      </c>
      <c r="G75" s="438">
        <f t="shared" si="11"/>
        <v>0</v>
      </c>
      <c r="H75" s="438">
        <f t="shared" si="11"/>
        <v>0</v>
      </c>
      <c r="I75" s="437">
        <f t="shared" si="11"/>
        <v>0</v>
      </c>
      <c r="J75" s="436">
        <f t="shared" si="11"/>
        <v>0</v>
      </c>
    </row>
    <row r="76" spans="2:10" ht="14.5" customHeight="1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301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0</v>
      </c>
      <c r="F77" s="219">
        <f t="shared" si="12"/>
        <v>0</v>
      </c>
      <c r="G77" s="219">
        <f t="shared" si="12"/>
        <v>0</v>
      </c>
      <c r="H77" s="219">
        <f t="shared" si="12"/>
        <v>0</v>
      </c>
      <c r="I77" s="219">
        <f t="shared" si="12"/>
        <v>0</v>
      </c>
      <c r="J77" s="321">
        <f t="shared" si="12"/>
        <v>0</v>
      </c>
    </row>
    <row r="78" spans="2:10" hidden="1" outlineLevel="2" x14ac:dyDescent="0.35">
      <c r="B78" s="487"/>
      <c r="C78" s="490"/>
      <c r="D78" s="250" t="s">
        <v>192</v>
      </c>
      <c r="E78" s="219">
        <v>0</v>
      </c>
      <c r="F78" s="219">
        <v>0</v>
      </c>
      <c r="G78" s="219">
        <v>0</v>
      </c>
      <c r="H78" s="219">
        <v>0</v>
      </c>
      <c r="I78" s="219">
        <v>0</v>
      </c>
      <c r="J78" s="321">
        <v>0</v>
      </c>
    </row>
    <row r="79" spans="2:10" hidden="1" outlineLevel="2" x14ac:dyDescent="0.35">
      <c r="B79" s="487"/>
      <c r="C79" s="490"/>
      <c r="D79" s="250" t="s">
        <v>191</v>
      </c>
      <c r="E79" s="219">
        <v>0</v>
      </c>
      <c r="F79" s="219">
        <v>0</v>
      </c>
      <c r="G79" s="219">
        <v>0</v>
      </c>
      <c r="H79" s="219">
        <v>0</v>
      </c>
      <c r="I79" s="219">
        <v>0</v>
      </c>
      <c r="J79" s="321">
        <v>0</v>
      </c>
    </row>
    <row r="80" spans="2:10" hidden="1" outlineLevel="2" x14ac:dyDescent="0.35">
      <c r="B80" s="487"/>
      <c r="C80" s="490"/>
      <c r="D80" s="250" t="s">
        <v>190</v>
      </c>
      <c r="E80" s="219">
        <v>0</v>
      </c>
      <c r="F80" s="219">
        <v>0</v>
      </c>
      <c r="G80" s="219">
        <v>0</v>
      </c>
      <c r="H80" s="219">
        <v>0</v>
      </c>
      <c r="I80" s="219">
        <v>0</v>
      </c>
      <c r="J80" s="321">
        <v>0</v>
      </c>
    </row>
    <row r="81" spans="2:10" outlineLevel="1" collapsed="1" x14ac:dyDescent="0.35">
      <c r="B81" s="487"/>
      <c r="C81" s="490"/>
      <c r="D81" s="251" t="s">
        <v>158</v>
      </c>
      <c r="E81" s="219">
        <f t="shared" ref="E81:J81" si="13">SUM(E82:E89)</f>
        <v>0</v>
      </c>
      <c r="F81" s="219">
        <f t="shared" si="13"/>
        <v>0</v>
      </c>
      <c r="G81" s="219">
        <f t="shared" si="13"/>
        <v>0</v>
      </c>
      <c r="H81" s="219">
        <f t="shared" si="13"/>
        <v>0</v>
      </c>
      <c r="I81" s="219">
        <f t="shared" si="13"/>
        <v>0</v>
      </c>
      <c r="J81" s="321">
        <f t="shared" si="13"/>
        <v>0</v>
      </c>
    </row>
    <row r="82" spans="2:10" hidden="1" outlineLevel="2" x14ac:dyDescent="0.35">
      <c r="B82" s="487"/>
      <c r="C82" s="490"/>
      <c r="D82" s="250" t="s">
        <v>157</v>
      </c>
      <c r="E82" s="219">
        <v>0</v>
      </c>
      <c r="F82" s="219">
        <v>0</v>
      </c>
      <c r="G82" s="219">
        <v>0</v>
      </c>
      <c r="H82" s="219">
        <v>0</v>
      </c>
      <c r="I82" s="219">
        <v>0</v>
      </c>
      <c r="J82" s="321">
        <v>0</v>
      </c>
    </row>
    <row r="83" spans="2:10" hidden="1" outlineLevel="2" x14ac:dyDescent="0.35">
      <c r="B83" s="487"/>
      <c r="C83" s="490"/>
      <c r="D83" s="250" t="s">
        <v>156</v>
      </c>
      <c r="E83" s="219">
        <v>0</v>
      </c>
      <c r="F83" s="219">
        <v>0</v>
      </c>
      <c r="G83" s="219">
        <v>0</v>
      </c>
      <c r="H83" s="219">
        <v>0</v>
      </c>
      <c r="I83" s="219">
        <v>0</v>
      </c>
      <c r="J83" s="321">
        <v>0</v>
      </c>
    </row>
    <row r="84" spans="2:10" hidden="1" outlineLevel="2" x14ac:dyDescent="0.35">
      <c r="B84" s="487"/>
      <c r="C84" s="490"/>
      <c r="D84" s="250" t="s">
        <v>155</v>
      </c>
      <c r="E84" s="219">
        <v>0</v>
      </c>
      <c r="F84" s="219">
        <v>0</v>
      </c>
      <c r="G84" s="219">
        <v>0</v>
      </c>
      <c r="H84" s="219">
        <v>0</v>
      </c>
      <c r="I84" s="219">
        <v>0</v>
      </c>
      <c r="J84" s="321">
        <v>0</v>
      </c>
    </row>
    <row r="85" spans="2:10" hidden="1" outlineLevel="2" x14ac:dyDescent="0.35">
      <c r="B85" s="487"/>
      <c r="C85" s="490"/>
      <c r="D85" s="250" t="s">
        <v>154</v>
      </c>
      <c r="E85" s="219">
        <v>0</v>
      </c>
      <c r="F85" s="219">
        <v>0</v>
      </c>
      <c r="G85" s="219">
        <v>0</v>
      </c>
      <c r="H85" s="219">
        <v>0</v>
      </c>
      <c r="I85" s="219">
        <v>0</v>
      </c>
      <c r="J85" s="321">
        <v>0</v>
      </c>
    </row>
    <row r="86" spans="2:10" hidden="1" outlineLevel="2" x14ac:dyDescent="0.35">
      <c r="B86" s="487"/>
      <c r="C86" s="490"/>
      <c r="D86" s="250" t="s">
        <v>153</v>
      </c>
      <c r="E86" s="219">
        <v>0</v>
      </c>
      <c r="F86" s="219">
        <v>0</v>
      </c>
      <c r="G86" s="219">
        <v>0</v>
      </c>
      <c r="H86" s="219">
        <v>0</v>
      </c>
      <c r="I86" s="219">
        <v>0</v>
      </c>
      <c r="J86" s="321">
        <v>0</v>
      </c>
    </row>
    <row r="87" spans="2:10" hidden="1" outlineLevel="2" x14ac:dyDescent="0.35">
      <c r="B87" s="487"/>
      <c r="C87" s="490"/>
      <c r="D87" s="250" t="s">
        <v>152</v>
      </c>
      <c r="E87" s="219">
        <v>0</v>
      </c>
      <c r="F87" s="219">
        <v>0</v>
      </c>
      <c r="G87" s="219">
        <v>0</v>
      </c>
      <c r="H87" s="219">
        <v>0</v>
      </c>
      <c r="I87" s="219">
        <v>0</v>
      </c>
      <c r="J87" s="321">
        <v>0</v>
      </c>
    </row>
    <row r="88" spans="2:10" hidden="1" outlineLevel="2" x14ac:dyDescent="0.35">
      <c r="B88" s="487"/>
      <c r="C88" s="490"/>
      <c r="D88" s="250" t="s">
        <v>151</v>
      </c>
      <c r="E88" s="219">
        <v>0</v>
      </c>
      <c r="F88" s="219">
        <v>0</v>
      </c>
      <c r="G88" s="219">
        <v>0</v>
      </c>
      <c r="H88" s="219">
        <v>0</v>
      </c>
      <c r="I88" s="219">
        <v>0</v>
      </c>
      <c r="J88" s="321">
        <v>0</v>
      </c>
    </row>
    <row r="89" spans="2:10" hidden="1" outlineLevel="2" x14ac:dyDescent="0.35">
      <c r="B89" s="487"/>
      <c r="C89" s="490"/>
      <c r="D89" s="250" t="s">
        <v>150</v>
      </c>
      <c r="E89" s="219">
        <v>0</v>
      </c>
      <c r="F89" s="219">
        <v>0</v>
      </c>
      <c r="G89" s="219">
        <v>0</v>
      </c>
      <c r="H89" s="219">
        <v>0</v>
      </c>
      <c r="I89" s="219">
        <v>0</v>
      </c>
      <c r="J89" s="321">
        <v>0</v>
      </c>
    </row>
    <row r="90" spans="2:10" outlineLevel="1" collapsed="1" x14ac:dyDescent="0.35">
      <c r="B90" s="487"/>
      <c r="C90" s="490"/>
      <c r="D90" s="251" t="s">
        <v>149</v>
      </c>
      <c r="E90" s="219">
        <f t="shared" ref="E90:J90" si="14">SUM(E91:E93)</f>
        <v>1</v>
      </c>
      <c r="F90" s="219">
        <f t="shared" si="14"/>
        <v>1</v>
      </c>
      <c r="G90" s="219">
        <f t="shared" si="14"/>
        <v>2010627.5</v>
      </c>
      <c r="H90" s="219">
        <f t="shared" si="14"/>
        <v>201062.75</v>
      </c>
      <c r="I90" s="219">
        <f t="shared" si="14"/>
        <v>197729.11</v>
      </c>
      <c r="J90" s="321">
        <f t="shared" si="14"/>
        <v>3333.64</v>
      </c>
    </row>
    <row r="91" spans="2:10" hidden="1" outlineLevel="2" x14ac:dyDescent="0.35">
      <c r="B91" s="487"/>
      <c r="C91" s="490"/>
      <c r="D91" s="250" t="s">
        <v>148</v>
      </c>
      <c r="E91" s="219">
        <v>1</v>
      </c>
      <c r="F91" s="219">
        <v>1</v>
      </c>
      <c r="G91" s="219">
        <v>2010627.5</v>
      </c>
      <c r="H91" s="219">
        <v>201062.75</v>
      </c>
      <c r="I91" s="219">
        <v>197729.11</v>
      </c>
      <c r="J91" s="321">
        <v>3333.64</v>
      </c>
    </row>
    <row r="92" spans="2:10" hidden="1" outlineLevel="2" x14ac:dyDescent="0.35">
      <c r="B92" s="487"/>
      <c r="C92" s="490"/>
      <c r="D92" s="250" t="s">
        <v>147</v>
      </c>
      <c r="E92" s="219">
        <v>0</v>
      </c>
      <c r="F92" s="219">
        <v>0</v>
      </c>
      <c r="G92" s="219">
        <v>0</v>
      </c>
      <c r="H92" s="219">
        <v>0</v>
      </c>
      <c r="I92" s="219">
        <v>0</v>
      </c>
      <c r="J92" s="321">
        <v>0</v>
      </c>
    </row>
    <row r="93" spans="2:10" hidden="1" outlineLevel="2" x14ac:dyDescent="0.35">
      <c r="B93" s="487"/>
      <c r="C93" s="490"/>
      <c r="D93" s="250" t="s">
        <v>146</v>
      </c>
      <c r="E93" s="219">
        <v>0</v>
      </c>
      <c r="F93" s="219">
        <v>0</v>
      </c>
      <c r="G93" s="219">
        <v>0</v>
      </c>
      <c r="H93" s="219">
        <v>0</v>
      </c>
      <c r="I93" s="219">
        <v>0</v>
      </c>
      <c r="J93" s="321">
        <v>0</v>
      </c>
    </row>
    <row r="94" spans="2:10" outlineLevel="1" collapsed="1" x14ac:dyDescent="0.35">
      <c r="B94" s="487"/>
      <c r="C94" s="490"/>
      <c r="D94" s="324" t="s">
        <v>133</v>
      </c>
      <c r="E94" s="219">
        <v>0</v>
      </c>
      <c r="F94" s="219">
        <v>0</v>
      </c>
      <c r="G94" s="219">
        <v>0</v>
      </c>
      <c r="H94" s="219">
        <v>0</v>
      </c>
      <c r="I94" s="219">
        <v>0</v>
      </c>
      <c r="J94" s="321">
        <v>0</v>
      </c>
    </row>
    <row r="95" spans="2:10" outlineLevel="1" x14ac:dyDescent="0.35">
      <c r="B95" s="487"/>
      <c r="C95" s="490"/>
      <c r="D95" s="236" t="s">
        <v>140</v>
      </c>
      <c r="E95" s="219">
        <v>0</v>
      </c>
      <c r="F95" s="219">
        <v>0</v>
      </c>
      <c r="G95" s="219">
        <v>0</v>
      </c>
      <c r="H95" s="219">
        <v>0</v>
      </c>
      <c r="I95" s="219">
        <v>0</v>
      </c>
      <c r="J95" s="321">
        <v>0</v>
      </c>
    </row>
    <row r="96" spans="2:10" outlineLevel="1" x14ac:dyDescent="0.35">
      <c r="B96" s="487"/>
      <c r="C96" s="490"/>
      <c r="D96" s="23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21">
        <v>0</v>
      </c>
    </row>
    <row r="97" spans="2:10" outlineLevel="1" x14ac:dyDescent="0.35">
      <c r="B97" s="487"/>
      <c r="C97" s="490"/>
      <c r="D97" s="236" t="s">
        <v>138</v>
      </c>
      <c r="E97" s="219">
        <f t="shared" ref="E97:J97" si="15">SUM(E98:E101)</f>
        <v>0</v>
      </c>
      <c r="F97" s="219">
        <f t="shared" si="15"/>
        <v>0</v>
      </c>
      <c r="G97" s="219">
        <f t="shared" si="15"/>
        <v>0</v>
      </c>
      <c r="H97" s="219">
        <f t="shared" si="15"/>
        <v>0</v>
      </c>
      <c r="I97" s="219">
        <f t="shared" si="15"/>
        <v>0</v>
      </c>
      <c r="J97" s="321">
        <f t="shared" si="15"/>
        <v>0</v>
      </c>
    </row>
    <row r="98" spans="2:10" hidden="1" outlineLevel="2" x14ac:dyDescent="0.35">
      <c r="B98" s="487"/>
      <c r="C98" s="490"/>
      <c r="D98" s="242" t="s">
        <v>137</v>
      </c>
      <c r="E98" s="219">
        <v>0</v>
      </c>
      <c r="F98" s="219">
        <v>0</v>
      </c>
      <c r="G98" s="219">
        <v>0</v>
      </c>
      <c r="H98" s="219">
        <v>0</v>
      </c>
      <c r="I98" s="219">
        <v>0</v>
      </c>
      <c r="J98" s="321">
        <v>0</v>
      </c>
    </row>
    <row r="99" spans="2:10" hidden="1" outlineLevel="2" x14ac:dyDescent="0.35">
      <c r="B99" s="487"/>
      <c r="C99" s="490"/>
      <c r="D99" s="242" t="s">
        <v>136</v>
      </c>
      <c r="E99" s="219">
        <v>0</v>
      </c>
      <c r="F99" s="219">
        <v>0</v>
      </c>
      <c r="G99" s="219">
        <v>0</v>
      </c>
      <c r="H99" s="219">
        <v>0</v>
      </c>
      <c r="I99" s="219">
        <v>0</v>
      </c>
      <c r="J99" s="321">
        <v>0</v>
      </c>
    </row>
    <row r="100" spans="2:10" hidden="1" outlineLevel="2" x14ac:dyDescent="0.35">
      <c r="B100" s="487"/>
      <c r="C100" s="490"/>
      <c r="D100" s="242" t="s">
        <v>135</v>
      </c>
      <c r="E100" s="219">
        <v>0</v>
      </c>
      <c r="F100" s="219">
        <v>0</v>
      </c>
      <c r="G100" s="219">
        <v>0</v>
      </c>
      <c r="H100" s="219">
        <v>0</v>
      </c>
      <c r="I100" s="219">
        <v>0</v>
      </c>
      <c r="J100" s="321">
        <v>0</v>
      </c>
    </row>
    <row r="101" spans="2:10" hidden="1" outlineLevel="2" x14ac:dyDescent="0.35">
      <c r="B101" s="487"/>
      <c r="C101" s="490"/>
      <c r="D101" s="242" t="s">
        <v>134</v>
      </c>
      <c r="E101" s="219">
        <v>0</v>
      </c>
      <c r="F101" s="219">
        <v>0</v>
      </c>
      <c r="G101" s="219">
        <v>0</v>
      </c>
      <c r="H101" s="219">
        <v>0</v>
      </c>
      <c r="I101" s="219">
        <v>0</v>
      </c>
      <c r="J101" s="321">
        <v>0</v>
      </c>
    </row>
    <row r="102" spans="2:10" outlineLevel="1" collapsed="1" x14ac:dyDescent="0.35">
      <c r="B102" s="487"/>
      <c r="C102" s="490"/>
      <c r="D102" s="236" t="s">
        <v>132</v>
      </c>
      <c r="E102" s="219">
        <f t="shared" ref="E102:J102" si="16">SUM(E103:E106)</f>
        <v>6</v>
      </c>
      <c r="F102" s="219">
        <f t="shared" si="16"/>
        <v>6</v>
      </c>
      <c r="G102" s="219">
        <f t="shared" si="16"/>
        <v>13714901.299999999</v>
      </c>
      <c r="H102" s="219">
        <f t="shared" si="16"/>
        <v>2524972.7600000002</v>
      </c>
      <c r="I102" s="219">
        <f t="shared" si="16"/>
        <v>2091789.04</v>
      </c>
      <c r="J102" s="321">
        <f t="shared" si="16"/>
        <v>433183.72</v>
      </c>
    </row>
    <row r="103" spans="2:10" hidden="1" outlineLevel="2" x14ac:dyDescent="0.35">
      <c r="B103" s="487"/>
      <c r="C103" s="490"/>
      <c r="D103" s="242" t="s">
        <v>131</v>
      </c>
      <c r="E103" s="219">
        <v>0</v>
      </c>
      <c r="F103" s="219">
        <v>0</v>
      </c>
      <c r="G103" s="219">
        <v>0</v>
      </c>
      <c r="H103" s="219">
        <v>0</v>
      </c>
      <c r="I103" s="219">
        <v>0</v>
      </c>
      <c r="J103" s="321">
        <v>0</v>
      </c>
    </row>
    <row r="104" spans="2:10" hidden="1" outlineLevel="2" x14ac:dyDescent="0.35">
      <c r="B104" s="487"/>
      <c r="C104" s="490"/>
      <c r="D104" s="242" t="s">
        <v>130</v>
      </c>
      <c r="E104" s="219">
        <v>0</v>
      </c>
      <c r="F104" s="219">
        <v>0</v>
      </c>
      <c r="G104" s="219">
        <v>0</v>
      </c>
      <c r="H104" s="219">
        <v>0</v>
      </c>
      <c r="I104" s="219">
        <v>0</v>
      </c>
      <c r="J104" s="321">
        <v>0</v>
      </c>
    </row>
    <row r="105" spans="2:10" hidden="1" outlineLevel="2" x14ac:dyDescent="0.35">
      <c r="B105" s="487"/>
      <c r="C105" s="490"/>
      <c r="D105" s="242" t="s">
        <v>129</v>
      </c>
      <c r="E105" s="219">
        <v>0</v>
      </c>
      <c r="F105" s="219">
        <v>0</v>
      </c>
      <c r="G105" s="219">
        <v>0</v>
      </c>
      <c r="H105" s="219">
        <v>0</v>
      </c>
      <c r="I105" s="219">
        <v>0</v>
      </c>
      <c r="J105" s="321">
        <v>0</v>
      </c>
    </row>
    <row r="106" spans="2:10" hidden="1" outlineLevel="2" x14ac:dyDescent="0.35">
      <c r="B106" s="487"/>
      <c r="C106" s="490"/>
      <c r="D106" s="242" t="s">
        <v>128</v>
      </c>
      <c r="E106" s="219">
        <v>6</v>
      </c>
      <c r="F106" s="219">
        <v>6</v>
      </c>
      <c r="G106" s="219">
        <v>13714901.299999999</v>
      </c>
      <c r="H106" s="219">
        <v>2524972.7600000002</v>
      </c>
      <c r="I106" s="219">
        <v>2091789.04</v>
      </c>
      <c r="J106" s="321">
        <v>433183.72</v>
      </c>
    </row>
    <row r="107" spans="2:10" outlineLevel="1" collapsed="1" x14ac:dyDescent="0.35">
      <c r="B107" s="487"/>
      <c r="C107" s="490"/>
      <c r="D107" s="236" t="s">
        <v>41</v>
      </c>
      <c r="E107" s="219">
        <v>0</v>
      </c>
      <c r="F107" s="219">
        <v>0</v>
      </c>
      <c r="G107" s="219">
        <v>0</v>
      </c>
      <c r="H107" s="219">
        <v>0</v>
      </c>
      <c r="I107" s="219">
        <v>0</v>
      </c>
      <c r="J107" s="321">
        <v>0</v>
      </c>
    </row>
    <row r="108" spans="2:10" x14ac:dyDescent="0.35">
      <c r="B108" s="488"/>
      <c r="C108" s="491"/>
      <c r="D108" s="439" t="s">
        <v>251</v>
      </c>
      <c r="E108" s="438">
        <f t="shared" ref="E108:J108" si="17">SUM(E102,E107,E97,E96,E94,E90,E81,E77,E95)</f>
        <v>7</v>
      </c>
      <c r="F108" s="438">
        <f t="shared" si="17"/>
        <v>7</v>
      </c>
      <c r="G108" s="438">
        <f t="shared" si="17"/>
        <v>15725528.799999999</v>
      </c>
      <c r="H108" s="438">
        <f t="shared" si="17"/>
        <v>2726035.5100000002</v>
      </c>
      <c r="I108" s="437">
        <f t="shared" si="17"/>
        <v>2289518.15</v>
      </c>
      <c r="J108" s="436">
        <f t="shared" si="17"/>
        <v>436517.36</v>
      </c>
    </row>
    <row r="109" spans="2:10" ht="27.65" customHeight="1" outlineLevel="1" x14ac:dyDescent="0.35">
      <c r="B109" s="487" t="s">
        <v>250</v>
      </c>
      <c r="C109" s="490" t="s">
        <v>249</v>
      </c>
      <c r="D109" s="236" t="s">
        <v>123</v>
      </c>
      <c r="E109" s="219">
        <v>1</v>
      </c>
      <c r="F109" s="219">
        <v>1</v>
      </c>
      <c r="G109" s="219">
        <v>2021934.4</v>
      </c>
      <c r="H109" s="219">
        <v>202193.44</v>
      </c>
      <c r="I109" s="219">
        <v>200469.89</v>
      </c>
      <c r="J109" s="321">
        <v>1723.55</v>
      </c>
    </row>
    <row r="110" spans="2:10" ht="27.65" customHeight="1" outlineLevel="1" x14ac:dyDescent="0.35">
      <c r="B110" s="487"/>
      <c r="C110" s="490"/>
      <c r="D110" s="236" t="s">
        <v>122</v>
      </c>
      <c r="E110" s="219">
        <v>0</v>
      </c>
      <c r="F110" s="219">
        <v>0</v>
      </c>
      <c r="G110" s="219">
        <v>0</v>
      </c>
      <c r="H110" s="219">
        <v>0</v>
      </c>
      <c r="I110" s="219">
        <v>0</v>
      </c>
      <c r="J110" s="321">
        <v>0</v>
      </c>
    </row>
    <row r="111" spans="2:10" ht="27.65" customHeight="1" outlineLevel="1" x14ac:dyDescent="0.35">
      <c r="B111" s="487"/>
      <c r="C111" s="490"/>
      <c r="D111" s="236" t="s">
        <v>48</v>
      </c>
      <c r="E111" s="219">
        <v>0</v>
      </c>
      <c r="F111" s="219">
        <v>0</v>
      </c>
      <c r="G111" s="219">
        <v>0</v>
      </c>
      <c r="H111" s="219">
        <v>0</v>
      </c>
      <c r="I111" s="219">
        <v>0</v>
      </c>
      <c r="J111" s="321">
        <v>0</v>
      </c>
    </row>
    <row r="112" spans="2:10" ht="27.65" customHeight="1" outlineLevel="1" x14ac:dyDescent="0.35">
      <c r="B112" s="487"/>
      <c r="C112" s="490"/>
      <c r="D112" s="236" t="s">
        <v>47</v>
      </c>
      <c r="E112" s="219">
        <v>0</v>
      </c>
      <c r="F112" s="219">
        <v>0</v>
      </c>
      <c r="G112" s="219">
        <v>0</v>
      </c>
      <c r="H112" s="219">
        <v>0</v>
      </c>
      <c r="I112" s="219">
        <v>0</v>
      </c>
      <c r="J112" s="321">
        <v>0</v>
      </c>
    </row>
    <row r="113" spans="2:11" ht="27.65" customHeight="1" outlineLevel="1" x14ac:dyDescent="0.35">
      <c r="B113" s="487"/>
      <c r="C113" s="490"/>
      <c r="D113" s="236" t="s">
        <v>40</v>
      </c>
      <c r="E113" s="219">
        <v>1</v>
      </c>
      <c r="F113" s="219">
        <v>1</v>
      </c>
      <c r="G113" s="219">
        <v>2049774.4</v>
      </c>
      <c r="H113" s="219">
        <v>409954.88</v>
      </c>
      <c r="I113" s="219">
        <v>407446.83</v>
      </c>
      <c r="J113" s="321">
        <v>2508.0500000000002</v>
      </c>
    </row>
    <row r="114" spans="2:11" ht="27.65" customHeight="1" outlineLevel="1" x14ac:dyDescent="0.35">
      <c r="B114" s="487"/>
      <c r="C114" s="490"/>
      <c r="D114" s="236" t="s">
        <v>39</v>
      </c>
      <c r="E114" s="219">
        <v>10</v>
      </c>
      <c r="F114" s="219">
        <v>10</v>
      </c>
      <c r="G114" s="219">
        <v>22142234.549999997</v>
      </c>
      <c r="H114" s="219">
        <v>4216215.59</v>
      </c>
      <c r="I114" s="219">
        <v>4042562.0900000003</v>
      </c>
      <c r="J114" s="321">
        <v>173653.50000000003</v>
      </c>
    </row>
    <row r="115" spans="2:11" ht="27.65" customHeight="1" outlineLevel="1" x14ac:dyDescent="0.35">
      <c r="B115" s="487"/>
      <c r="C115" s="490"/>
      <c r="D115" s="236" t="s">
        <v>38</v>
      </c>
      <c r="E115" s="219">
        <v>5</v>
      </c>
      <c r="F115" s="219">
        <v>5</v>
      </c>
      <c r="G115" s="219">
        <v>36492990</v>
      </c>
      <c r="H115" s="219">
        <v>6427595.9000000004</v>
      </c>
      <c r="I115" s="219">
        <v>5730114.0599999996</v>
      </c>
      <c r="J115" s="321">
        <v>697481.84000000008</v>
      </c>
    </row>
    <row r="116" spans="2:11" x14ac:dyDescent="0.35">
      <c r="B116" s="488"/>
      <c r="C116" s="491"/>
      <c r="D116" s="439" t="s">
        <v>248</v>
      </c>
      <c r="E116" s="438">
        <f t="shared" ref="E116:J116" si="18">SUM(E109:E115)</f>
        <v>17</v>
      </c>
      <c r="F116" s="438">
        <f t="shared" si="18"/>
        <v>17</v>
      </c>
      <c r="G116" s="438">
        <f t="shared" si="18"/>
        <v>62706933.349999994</v>
      </c>
      <c r="H116" s="438">
        <f t="shared" si="18"/>
        <v>11255959.810000001</v>
      </c>
      <c r="I116" s="437">
        <f t="shared" si="18"/>
        <v>10380592.870000001</v>
      </c>
      <c r="J116" s="436">
        <f t="shared" si="18"/>
        <v>875366.94000000018</v>
      </c>
    </row>
    <row r="117" spans="2:11" ht="27.65" customHeight="1" outlineLevel="1" x14ac:dyDescent="0.35">
      <c r="B117" s="487" t="s">
        <v>247</v>
      </c>
      <c r="C117" s="490" t="s">
        <v>246</v>
      </c>
      <c r="D117" s="236" t="s">
        <v>36</v>
      </c>
      <c r="E117" s="219">
        <v>3</v>
      </c>
      <c r="F117" s="219">
        <v>3</v>
      </c>
      <c r="G117" s="219">
        <v>13798722.41</v>
      </c>
      <c r="H117" s="219">
        <v>2759744.4800000004</v>
      </c>
      <c r="I117" s="219">
        <v>1394293.8</v>
      </c>
      <c r="J117" s="321">
        <v>1365450.68</v>
      </c>
    </row>
    <row r="118" spans="2:11" ht="27.65" customHeight="1" outlineLevel="1" x14ac:dyDescent="0.35">
      <c r="B118" s="487"/>
      <c r="C118" s="490"/>
      <c r="D118" s="236" t="s">
        <v>35</v>
      </c>
      <c r="E118" s="219">
        <v>3</v>
      </c>
      <c r="F118" s="219">
        <v>3</v>
      </c>
      <c r="G118" s="219">
        <v>13884698.5</v>
      </c>
      <c r="H118" s="219">
        <v>2193798.9</v>
      </c>
      <c r="I118" s="219">
        <v>1307735.6400000001</v>
      </c>
      <c r="J118" s="321">
        <v>886063.26</v>
      </c>
    </row>
    <row r="119" spans="2:11" ht="27.65" customHeight="1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21">
        <v>0</v>
      </c>
    </row>
    <row r="120" spans="2:11" ht="27.65" customHeight="1" outlineLevel="1" x14ac:dyDescent="0.35">
      <c r="B120" s="487"/>
      <c r="C120" s="490"/>
      <c r="D120" s="236" t="s">
        <v>33</v>
      </c>
      <c r="E120" s="219">
        <v>0</v>
      </c>
      <c r="F120" s="219">
        <v>0</v>
      </c>
      <c r="G120" s="219">
        <v>0</v>
      </c>
      <c r="H120" s="219">
        <v>0</v>
      </c>
      <c r="I120" s="219">
        <v>0</v>
      </c>
      <c r="J120" s="321">
        <v>0</v>
      </c>
    </row>
    <row r="121" spans="2:11" x14ac:dyDescent="0.35">
      <c r="B121" s="488"/>
      <c r="C121" s="491"/>
      <c r="D121" s="439" t="s">
        <v>245</v>
      </c>
      <c r="E121" s="438">
        <f t="shared" ref="E121:J121" si="19">SUM(E117:E120)</f>
        <v>6</v>
      </c>
      <c r="F121" s="438">
        <f t="shared" si="19"/>
        <v>6</v>
      </c>
      <c r="G121" s="438">
        <f t="shared" si="19"/>
        <v>27683420.91</v>
      </c>
      <c r="H121" s="438">
        <f t="shared" si="19"/>
        <v>4953543.3800000008</v>
      </c>
      <c r="I121" s="437">
        <f t="shared" si="19"/>
        <v>2702029.4400000004</v>
      </c>
      <c r="J121" s="436">
        <f t="shared" si="19"/>
        <v>2251513.94</v>
      </c>
    </row>
    <row r="122" spans="2:11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298"/>
      <c r="K122" s="297"/>
    </row>
    <row r="123" spans="2:11" outlineLevel="1" x14ac:dyDescent="0.35">
      <c r="B123" s="492"/>
      <c r="C123" s="485"/>
      <c r="D123" s="225" t="s">
        <v>145</v>
      </c>
      <c r="E123" s="219">
        <f t="shared" ref="E123:J123" si="20">SUM(E124:E127)</f>
        <v>0</v>
      </c>
      <c r="F123" s="219">
        <f t="shared" si="20"/>
        <v>0</v>
      </c>
      <c r="G123" s="219">
        <f t="shared" si="20"/>
        <v>0</v>
      </c>
      <c r="H123" s="219">
        <f t="shared" si="20"/>
        <v>0</v>
      </c>
      <c r="I123" s="219">
        <f t="shared" si="20"/>
        <v>0</v>
      </c>
      <c r="J123" s="321">
        <f t="shared" si="20"/>
        <v>0</v>
      </c>
    </row>
    <row r="124" spans="2:11" hidden="1" outlineLevel="2" x14ac:dyDescent="0.35">
      <c r="B124" s="492"/>
      <c r="C124" s="485"/>
      <c r="D124" s="222" t="s">
        <v>144</v>
      </c>
      <c r="E124" s="219">
        <v>0</v>
      </c>
      <c r="F124" s="219">
        <v>0</v>
      </c>
      <c r="G124" s="219">
        <v>0</v>
      </c>
      <c r="H124" s="219">
        <v>0</v>
      </c>
      <c r="I124" s="219">
        <v>0</v>
      </c>
      <c r="J124" s="321">
        <v>0</v>
      </c>
    </row>
    <row r="125" spans="2:11" hidden="1" outlineLevel="2" x14ac:dyDescent="0.35">
      <c r="B125" s="492"/>
      <c r="C125" s="485"/>
      <c r="D125" s="223" t="s">
        <v>143</v>
      </c>
      <c r="E125" s="219">
        <v>0</v>
      </c>
      <c r="F125" s="219">
        <v>0</v>
      </c>
      <c r="G125" s="219">
        <v>0</v>
      </c>
      <c r="H125" s="219">
        <v>0</v>
      </c>
      <c r="I125" s="219">
        <v>0</v>
      </c>
      <c r="J125" s="321">
        <v>0</v>
      </c>
    </row>
    <row r="126" spans="2:11" hidden="1" outlineLevel="2" x14ac:dyDescent="0.35">
      <c r="B126" s="492"/>
      <c r="C126" s="485"/>
      <c r="D126" s="223" t="s">
        <v>142</v>
      </c>
      <c r="E126" s="219">
        <v>0</v>
      </c>
      <c r="F126" s="219">
        <v>0</v>
      </c>
      <c r="G126" s="219">
        <v>0</v>
      </c>
      <c r="H126" s="219">
        <v>0</v>
      </c>
      <c r="I126" s="219">
        <v>0</v>
      </c>
      <c r="J126" s="321">
        <v>0</v>
      </c>
    </row>
    <row r="127" spans="2:11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21">
        <v>0</v>
      </c>
    </row>
    <row r="128" spans="2:11" outlineLevel="1" collapsed="1" x14ac:dyDescent="0.35">
      <c r="B128" s="492"/>
      <c r="C128" s="485"/>
      <c r="D128" s="221" t="s">
        <v>121</v>
      </c>
      <c r="E128" s="219">
        <f t="shared" ref="E128:J128" si="21">SUM(E129:E162)</f>
        <v>0</v>
      </c>
      <c r="F128" s="219">
        <f t="shared" si="21"/>
        <v>0</v>
      </c>
      <c r="G128" s="219">
        <f t="shared" si="21"/>
        <v>0</v>
      </c>
      <c r="H128" s="219">
        <f t="shared" si="21"/>
        <v>0</v>
      </c>
      <c r="I128" s="219">
        <f t="shared" si="21"/>
        <v>0</v>
      </c>
      <c r="J128" s="321">
        <f t="shared" si="21"/>
        <v>0</v>
      </c>
    </row>
    <row r="129" spans="2:10" hidden="1" outlineLevel="2" x14ac:dyDescent="0.35">
      <c r="B129" s="492"/>
      <c r="C129" s="485"/>
      <c r="D129" s="224" t="s">
        <v>119</v>
      </c>
      <c r="E129" s="219">
        <v>0</v>
      </c>
      <c r="F129" s="219">
        <v>0</v>
      </c>
      <c r="G129" s="219">
        <v>0</v>
      </c>
      <c r="H129" s="219">
        <v>0</v>
      </c>
      <c r="I129" s="219">
        <v>0</v>
      </c>
      <c r="J129" s="321">
        <v>0</v>
      </c>
    </row>
    <row r="130" spans="2:10" hidden="1" outlineLevel="2" x14ac:dyDescent="0.35">
      <c r="B130" s="492"/>
      <c r="C130" s="485"/>
      <c r="D130" s="223" t="s">
        <v>118</v>
      </c>
      <c r="E130" s="219">
        <v>0</v>
      </c>
      <c r="F130" s="219">
        <v>0</v>
      </c>
      <c r="G130" s="219">
        <v>0</v>
      </c>
      <c r="H130" s="219">
        <v>0</v>
      </c>
      <c r="I130" s="219">
        <v>0</v>
      </c>
      <c r="J130" s="321">
        <v>0</v>
      </c>
    </row>
    <row r="131" spans="2:10" hidden="1" outlineLevel="2" x14ac:dyDescent="0.35">
      <c r="B131" s="492"/>
      <c r="C131" s="485"/>
      <c r="D131" s="223" t="s">
        <v>117</v>
      </c>
      <c r="E131" s="219">
        <v>0</v>
      </c>
      <c r="F131" s="219">
        <v>0</v>
      </c>
      <c r="G131" s="219">
        <v>0</v>
      </c>
      <c r="H131" s="219">
        <v>0</v>
      </c>
      <c r="I131" s="219">
        <v>0</v>
      </c>
      <c r="J131" s="321">
        <v>0</v>
      </c>
    </row>
    <row r="132" spans="2:10" hidden="1" outlineLevel="2" x14ac:dyDescent="0.35">
      <c r="B132" s="492"/>
      <c r="C132" s="485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21">
        <v>0</v>
      </c>
    </row>
    <row r="133" spans="2:10" hidden="1" outlineLevel="2" collapsed="1" x14ac:dyDescent="0.35">
      <c r="B133" s="492"/>
      <c r="C133" s="485"/>
      <c r="D133" s="445" t="s">
        <v>114</v>
      </c>
      <c r="E133" s="219">
        <v>0</v>
      </c>
      <c r="F133" s="219">
        <v>0</v>
      </c>
      <c r="G133" s="219">
        <v>0</v>
      </c>
      <c r="H133" s="219">
        <v>0</v>
      </c>
      <c r="I133" s="219">
        <v>0</v>
      </c>
      <c r="J133" s="321">
        <v>0</v>
      </c>
    </row>
    <row r="134" spans="2:10" hidden="1" outlineLevel="2" x14ac:dyDescent="0.35">
      <c r="B134" s="492"/>
      <c r="C134" s="485"/>
      <c r="D134" s="223" t="s">
        <v>113</v>
      </c>
      <c r="E134" s="219">
        <v>0</v>
      </c>
      <c r="F134" s="219">
        <v>0</v>
      </c>
      <c r="G134" s="219">
        <v>0</v>
      </c>
      <c r="H134" s="219">
        <v>0</v>
      </c>
      <c r="I134" s="219">
        <v>0</v>
      </c>
      <c r="J134" s="321">
        <v>0</v>
      </c>
    </row>
    <row r="135" spans="2:10" hidden="1" outlineLevel="2" x14ac:dyDescent="0.35">
      <c r="B135" s="492"/>
      <c r="C135" s="485"/>
      <c r="D135" s="223" t="s">
        <v>112</v>
      </c>
      <c r="E135" s="219">
        <v>0</v>
      </c>
      <c r="F135" s="219">
        <v>0</v>
      </c>
      <c r="G135" s="219">
        <v>0</v>
      </c>
      <c r="H135" s="219">
        <v>0</v>
      </c>
      <c r="I135" s="219">
        <v>0</v>
      </c>
      <c r="J135" s="321">
        <v>0</v>
      </c>
    </row>
    <row r="136" spans="2:10" hidden="1" outlineLevel="2" x14ac:dyDescent="0.35">
      <c r="B136" s="492"/>
      <c r="C136" s="485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21">
        <v>0</v>
      </c>
    </row>
    <row r="137" spans="2:10" hidden="1" outlineLevel="2" collapsed="1" x14ac:dyDescent="0.35">
      <c r="B137" s="492"/>
      <c r="C137" s="485"/>
      <c r="D137" s="445" t="s">
        <v>109</v>
      </c>
      <c r="E137" s="219">
        <v>0</v>
      </c>
      <c r="F137" s="219">
        <v>0</v>
      </c>
      <c r="G137" s="219">
        <v>0</v>
      </c>
      <c r="H137" s="219">
        <v>0</v>
      </c>
      <c r="I137" s="219">
        <v>0</v>
      </c>
      <c r="J137" s="321">
        <v>0</v>
      </c>
    </row>
    <row r="138" spans="2:10" hidden="1" outlineLevel="2" x14ac:dyDescent="0.35">
      <c r="B138" s="492"/>
      <c r="C138" s="485"/>
      <c r="D138" s="222" t="s">
        <v>108</v>
      </c>
      <c r="E138" s="219">
        <v>0</v>
      </c>
      <c r="F138" s="219">
        <v>0</v>
      </c>
      <c r="G138" s="219">
        <v>0</v>
      </c>
      <c r="H138" s="219">
        <v>0</v>
      </c>
      <c r="I138" s="219">
        <v>0</v>
      </c>
      <c r="J138" s="321">
        <v>0</v>
      </c>
    </row>
    <row r="139" spans="2:10" hidden="1" outlineLevel="2" x14ac:dyDescent="0.35">
      <c r="B139" s="492"/>
      <c r="C139" s="485"/>
      <c r="D139" s="222" t="s">
        <v>107</v>
      </c>
      <c r="E139" s="219">
        <v>0</v>
      </c>
      <c r="F139" s="219">
        <v>0</v>
      </c>
      <c r="G139" s="219">
        <v>0</v>
      </c>
      <c r="H139" s="219">
        <v>0</v>
      </c>
      <c r="I139" s="219">
        <v>0</v>
      </c>
      <c r="J139" s="321">
        <v>0</v>
      </c>
    </row>
    <row r="140" spans="2:10" hidden="1" outlineLevel="2" x14ac:dyDescent="0.35">
      <c r="B140" s="492"/>
      <c r="C140" s="485"/>
      <c r="D140" s="222" t="s">
        <v>106</v>
      </c>
      <c r="E140" s="219">
        <v>0</v>
      </c>
      <c r="F140" s="219">
        <v>0</v>
      </c>
      <c r="G140" s="219">
        <v>0</v>
      </c>
      <c r="H140" s="219">
        <v>0</v>
      </c>
      <c r="I140" s="219">
        <v>0</v>
      </c>
      <c r="J140" s="321">
        <v>0</v>
      </c>
    </row>
    <row r="141" spans="2:10" hidden="1" outlineLevel="2" collapsed="1" x14ac:dyDescent="0.35">
      <c r="B141" s="492"/>
      <c r="C141" s="485"/>
      <c r="D141" s="446" t="s">
        <v>104</v>
      </c>
      <c r="E141" s="219">
        <v>0</v>
      </c>
      <c r="F141" s="219">
        <v>0</v>
      </c>
      <c r="G141" s="219">
        <v>0</v>
      </c>
      <c r="H141" s="219">
        <v>0</v>
      </c>
      <c r="I141" s="219">
        <v>0</v>
      </c>
      <c r="J141" s="321">
        <v>0</v>
      </c>
    </row>
    <row r="142" spans="2:10" hidden="1" outlineLevel="2" x14ac:dyDescent="0.35">
      <c r="B142" s="492"/>
      <c r="C142" s="485"/>
      <c r="D142" s="222" t="s">
        <v>103</v>
      </c>
      <c r="E142" s="219">
        <v>0</v>
      </c>
      <c r="F142" s="219">
        <v>0</v>
      </c>
      <c r="G142" s="219">
        <v>0</v>
      </c>
      <c r="H142" s="219">
        <v>0</v>
      </c>
      <c r="I142" s="219">
        <v>0</v>
      </c>
      <c r="J142" s="321">
        <v>0</v>
      </c>
    </row>
    <row r="143" spans="2:10" hidden="1" outlineLevel="2" x14ac:dyDescent="0.35">
      <c r="B143" s="492"/>
      <c r="C143" s="485"/>
      <c r="D143" s="222" t="s">
        <v>102</v>
      </c>
      <c r="E143" s="219">
        <v>0</v>
      </c>
      <c r="F143" s="219">
        <v>0</v>
      </c>
      <c r="G143" s="219">
        <v>0</v>
      </c>
      <c r="H143" s="219">
        <v>0</v>
      </c>
      <c r="I143" s="219">
        <v>0</v>
      </c>
      <c r="J143" s="321">
        <v>0</v>
      </c>
    </row>
    <row r="144" spans="2:10" hidden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21">
        <v>0</v>
      </c>
    </row>
    <row r="145" spans="2:10" hidden="1" outlineLevel="2" collapsed="1" x14ac:dyDescent="0.35">
      <c r="B145" s="492"/>
      <c r="C145" s="485"/>
      <c r="D145" s="446" t="s">
        <v>99</v>
      </c>
      <c r="E145" s="219">
        <v>0</v>
      </c>
      <c r="F145" s="219">
        <v>0</v>
      </c>
      <c r="G145" s="219">
        <v>0</v>
      </c>
      <c r="H145" s="219">
        <v>0</v>
      </c>
      <c r="I145" s="219">
        <v>0</v>
      </c>
      <c r="J145" s="321">
        <v>0</v>
      </c>
    </row>
    <row r="146" spans="2:10" hidden="1" outlineLevel="2" x14ac:dyDescent="0.35">
      <c r="B146" s="492"/>
      <c r="C146" s="485"/>
      <c r="D146" s="223" t="s">
        <v>98</v>
      </c>
      <c r="E146" s="219">
        <v>0</v>
      </c>
      <c r="F146" s="219">
        <v>0</v>
      </c>
      <c r="G146" s="219">
        <v>0</v>
      </c>
      <c r="H146" s="219">
        <v>0</v>
      </c>
      <c r="I146" s="219">
        <v>0</v>
      </c>
      <c r="J146" s="321">
        <v>0</v>
      </c>
    </row>
    <row r="147" spans="2:10" hidden="1" outlineLevel="2" x14ac:dyDescent="0.35">
      <c r="B147" s="492"/>
      <c r="C147" s="485"/>
      <c r="D147" s="223" t="s">
        <v>97</v>
      </c>
      <c r="E147" s="219">
        <v>0</v>
      </c>
      <c r="F147" s="219">
        <v>0</v>
      </c>
      <c r="G147" s="219">
        <v>0</v>
      </c>
      <c r="H147" s="219">
        <v>0</v>
      </c>
      <c r="I147" s="219">
        <v>0</v>
      </c>
      <c r="J147" s="321">
        <v>0</v>
      </c>
    </row>
    <row r="148" spans="2:10" hidden="1" outlineLevel="2" x14ac:dyDescent="0.35">
      <c r="B148" s="492"/>
      <c r="C148" s="485"/>
      <c r="D148" s="223" t="s">
        <v>96</v>
      </c>
      <c r="E148" s="219">
        <v>0</v>
      </c>
      <c r="F148" s="219">
        <v>0</v>
      </c>
      <c r="G148" s="219">
        <v>0</v>
      </c>
      <c r="H148" s="219">
        <v>0</v>
      </c>
      <c r="I148" s="219">
        <v>0</v>
      </c>
      <c r="J148" s="321">
        <v>0</v>
      </c>
    </row>
    <row r="149" spans="2:10" hidden="1" outlineLevel="2" collapsed="1" x14ac:dyDescent="0.35">
      <c r="B149" s="492"/>
      <c r="C149" s="485"/>
      <c r="D149" s="445" t="s">
        <v>94</v>
      </c>
      <c r="E149" s="219">
        <v>0</v>
      </c>
      <c r="F149" s="219">
        <v>0</v>
      </c>
      <c r="G149" s="219">
        <v>0</v>
      </c>
      <c r="H149" s="219">
        <v>0</v>
      </c>
      <c r="I149" s="219">
        <v>0</v>
      </c>
      <c r="J149" s="321">
        <v>0</v>
      </c>
    </row>
    <row r="150" spans="2:10" hidden="1" outlineLevel="2" x14ac:dyDescent="0.35">
      <c r="B150" s="492"/>
      <c r="C150" s="485"/>
      <c r="D150" s="223" t="s">
        <v>93</v>
      </c>
      <c r="E150" s="219">
        <v>0</v>
      </c>
      <c r="F150" s="219">
        <v>0</v>
      </c>
      <c r="G150" s="219">
        <v>0</v>
      </c>
      <c r="H150" s="219">
        <v>0</v>
      </c>
      <c r="I150" s="219">
        <v>0</v>
      </c>
      <c r="J150" s="321">
        <v>0</v>
      </c>
    </row>
    <row r="151" spans="2:10" hidden="1" outlineLevel="2" x14ac:dyDescent="0.35">
      <c r="B151" s="492"/>
      <c r="C151" s="485"/>
      <c r="D151" s="223" t="s">
        <v>92</v>
      </c>
      <c r="E151" s="219">
        <v>0</v>
      </c>
      <c r="F151" s="219">
        <v>0</v>
      </c>
      <c r="G151" s="219">
        <v>0</v>
      </c>
      <c r="H151" s="219">
        <v>0</v>
      </c>
      <c r="I151" s="219">
        <v>0</v>
      </c>
      <c r="J151" s="321">
        <v>0</v>
      </c>
    </row>
    <row r="152" spans="2:10" hidden="1" outlineLevel="2" x14ac:dyDescent="0.35">
      <c r="B152" s="492"/>
      <c r="C152" s="485"/>
      <c r="D152" s="223" t="s">
        <v>91</v>
      </c>
      <c r="E152" s="219">
        <v>0</v>
      </c>
      <c r="F152" s="219">
        <v>0</v>
      </c>
      <c r="G152" s="219">
        <v>0</v>
      </c>
      <c r="H152" s="219">
        <v>0</v>
      </c>
      <c r="I152" s="219">
        <v>0</v>
      </c>
      <c r="J152" s="321">
        <v>0</v>
      </c>
    </row>
    <row r="153" spans="2:10" hidden="1" outlineLevel="2" collapsed="1" x14ac:dyDescent="0.35">
      <c r="B153" s="492"/>
      <c r="C153" s="485"/>
      <c r="D153" s="445" t="s">
        <v>89</v>
      </c>
      <c r="E153" s="219">
        <v>0</v>
      </c>
      <c r="F153" s="219">
        <v>0</v>
      </c>
      <c r="G153" s="219">
        <v>0</v>
      </c>
      <c r="H153" s="219">
        <v>0</v>
      </c>
      <c r="I153" s="219">
        <v>0</v>
      </c>
      <c r="J153" s="321">
        <v>0</v>
      </c>
    </row>
    <row r="154" spans="2:10" hidden="1" outlineLevel="2" x14ac:dyDescent="0.35">
      <c r="B154" s="492"/>
      <c r="C154" s="485"/>
      <c r="D154" s="223" t="s">
        <v>88</v>
      </c>
      <c r="E154" s="219">
        <v>0</v>
      </c>
      <c r="F154" s="219">
        <v>0</v>
      </c>
      <c r="G154" s="219">
        <v>0</v>
      </c>
      <c r="H154" s="219">
        <v>0</v>
      </c>
      <c r="I154" s="219">
        <v>0</v>
      </c>
      <c r="J154" s="321">
        <v>0</v>
      </c>
    </row>
    <row r="155" spans="2:10" hidden="1" outlineLevel="2" x14ac:dyDescent="0.35">
      <c r="B155" s="492"/>
      <c r="C155" s="485"/>
      <c r="D155" s="223" t="s">
        <v>87</v>
      </c>
      <c r="E155" s="219">
        <v>0</v>
      </c>
      <c r="F155" s="219">
        <v>0</v>
      </c>
      <c r="G155" s="219">
        <v>0</v>
      </c>
      <c r="H155" s="219">
        <v>0</v>
      </c>
      <c r="I155" s="219">
        <v>0</v>
      </c>
      <c r="J155" s="321">
        <v>0</v>
      </c>
    </row>
    <row r="156" spans="2:10" hidden="1" outlineLevel="2" x14ac:dyDescent="0.35">
      <c r="B156" s="492"/>
      <c r="C156" s="485"/>
      <c r="D156" s="223" t="s">
        <v>86</v>
      </c>
      <c r="E156" s="219">
        <v>0</v>
      </c>
      <c r="F156" s="219">
        <v>0</v>
      </c>
      <c r="G156" s="219">
        <v>0</v>
      </c>
      <c r="H156" s="219">
        <v>0</v>
      </c>
      <c r="I156" s="219">
        <v>0</v>
      </c>
      <c r="J156" s="321">
        <v>0</v>
      </c>
    </row>
    <row r="157" spans="2:10" hidden="1" outlineLevel="2" collapsed="1" x14ac:dyDescent="0.35">
      <c r="B157" s="492"/>
      <c r="C157" s="485"/>
      <c r="D157" s="445" t="s">
        <v>84</v>
      </c>
      <c r="E157" s="219">
        <v>0</v>
      </c>
      <c r="F157" s="219">
        <v>0</v>
      </c>
      <c r="G157" s="219">
        <v>0</v>
      </c>
      <c r="H157" s="219">
        <v>0</v>
      </c>
      <c r="I157" s="219">
        <v>0</v>
      </c>
      <c r="J157" s="321">
        <v>0</v>
      </c>
    </row>
    <row r="158" spans="2:10" hidden="1" outlineLevel="2" x14ac:dyDescent="0.35">
      <c r="B158" s="492"/>
      <c r="C158" s="485"/>
      <c r="D158" s="223" t="s">
        <v>83</v>
      </c>
      <c r="E158" s="219">
        <v>0</v>
      </c>
      <c r="F158" s="219">
        <v>0</v>
      </c>
      <c r="G158" s="219">
        <v>0</v>
      </c>
      <c r="H158" s="219">
        <v>0</v>
      </c>
      <c r="I158" s="219">
        <v>0</v>
      </c>
      <c r="J158" s="321">
        <v>0</v>
      </c>
    </row>
    <row r="159" spans="2:10" hidden="1" outlineLevel="2" x14ac:dyDescent="0.35">
      <c r="B159" s="492"/>
      <c r="C159" s="485"/>
      <c r="D159" s="223" t="s">
        <v>82</v>
      </c>
      <c r="E159" s="219">
        <v>0</v>
      </c>
      <c r="F159" s="219">
        <v>0</v>
      </c>
      <c r="G159" s="219">
        <v>0</v>
      </c>
      <c r="H159" s="219">
        <v>0</v>
      </c>
      <c r="I159" s="219">
        <v>0</v>
      </c>
      <c r="J159" s="321">
        <v>0</v>
      </c>
    </row>
    <row r="160" spans="2:10" hidden="1" outlineLevel="2" x14ac:dyDescent="0.35">
      <c r="B160" s="492"/>
      <c r="C160" s="485"/>
      <c r="D160" s="223" t="s">
        <v>81</v>
      </c>
      <c r="E160" s="219">
        <v>0</v>
      </c>
      <c r="F160" s="219">
        <v>0</v>
      </c>
      <c r="G160" s="219">
        <v>0</v>
      </c>
      <c r="H160" s="219">
        <v>0</v>
      </c>
      <c r="I160" s="219">
        <v>0</v>
      </c>
      <c r="J160" s="321">
        <v>0</v>
      </c>
    </row>
    <row r="161" spans="2:10" hidden="1" outlineLevel="2" x14ac:dyDescent="0.35">
      <c r="B161" s="492"/>
      <c r="C161" s="485"/>
      <c r="D161" s="223" t="s">
        <v>79</v>
      </c>
      <c r="E161" s="219">
        <v>0</v>
      </c>
      <c r="F161" s="219">
        <v>0</v>
      </c>
      <c r="G161" s="219">
        <v>0</v>
      </c>
      <c r="H161" s="219">
        <v>0</v>
      </c>
      <c r="I161" s="219">
        <v>0</v>
      </c>
      <c r="J161" s="321">
        <v>0</v>
      </c>
    </row>
    <row r="162" spans="2:10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21">
        <v>0</v>
      </c>
    </row>
    <row r="163" spans="2:10" outlineLevel="1" collapsed="1" x14ac:dyDescent="0.35">
      <c r="B163" s="492"/>
      <c r="C163" s="485"/>
      <c r="D163" s="221" t="s">
        <v>77</v>
      </c>
      <c r="E163" s="219">
        <f t="shared" ref="E163:J163" si="22">SUM(E164:E185)</f>
        <v>2</v>
      </c>
      <c r="F163" s="219">
        <f t="shared" si="22"/>
        <v>2</v>
      </c>
      <c r="G163" s="219">
        <f t="shared" si="22"/>
        <v>3601414.8899999997</v>
      </c>
      <c r="H163" s="219">
        <f t="shared" si="22"/>
        <v>720282.98</v>
      </c>
      <c r="I163" s="219">
        <f t="shared" si="22"/>
        <v>629022.26</v>
      </c>
      <c r="J163" s="321">
        <f t="shared" si="22"/>
        <v>91260.72</v>
      </c>
    </row>
    <row r="164" spans="2:10" hidden="1" outlineLevel="2" x14ac:dyDescent="0.35">
      <c r="B164" s="492"/>
      <c r="C164" s="485"/>
      <c r="D164" s="222" t="s">
        <v>75</v>
      </c>
      <c r="E164" s="219">
        <v>0</v>
      </c>
      <c r="F164" s="219">
        <v>0</v>
      </c>
      <c r="G164" s="219">
        <v>0</v>
      </c>
      <c r="H164" s="219">
        <v>0</v>
      </c>
      <c r="I164" s="219">
        <v>0</v>
      </c>
      <c r="J164" s="321">
        <v>0</v>
      </c>
    </row>
    <row r="165" spans="2:10" hidden="1" outlineLevel="2" x14ac:dyDescent="0.35">
      <c r="B165" s="492"/>
      <c r="C165" s="485"/>
      <c r="D165" s="222" t="s">
        <v>74</v>
      </c>
      <c r="E165" s="219">
        <v>0</v>
      </c>
      <c r="F165" s="219">
        <v>0</v>
      </c>
      <c r="G165" s="219">
        <v>0</v>
      </c>
      <c r="H165" s="219">
        <v>0</v>
      </c>
      <c r="I165" s="219">
        <v>0</v>
      </c>
      <c r="J165" s="321">
        <v>0</v>
      </c>
    </row>
    <row r="166" spans="2:10" hidden="1" outlineLevel="2" x14ac:dyDescent="0.35">
      <c r="B166" s="492"/>
      <c r="C166" s="485"/>
      <c r="D166" s="222" t="s">
        <v>73</v>
      </c>
      <c r="E166" s="219">
        <v>0</v>
      </c>
      <c r="F166" s="219">
        <v>0</v>
      </c>
      <c r="G166" s="219">
        <v>0</v>
      </c>
      <c r="H166" s="219">
        <v>0</v>
      </c>
      <c r="I166" s="219">
        <v>0</v>
      </c>
      <c r="J166" s="321">
        <v>0</v>
      </c>
    </row>
    <row r="167" spans="2:10" hidden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21">
        <v>0</v>
      </c>
    </row>
    <row r="168" spans="2:10" hidden="1" outlineLevel="2" x14ac:dyDescent="0.35">
      <c r="B168" s="492"/>
      <c r="C168" s="485"/>
      <c r="D168" s="222" t="s">
        <v>70</v>
      </c>
      <c r="E168" s="219">
        <v>1</v>
      </c>
      <c r="F168" s="219">
        <v>1</v>
      </c>
      <c r="G168" s="219">
        <v>1794612.89</v>
      </c>
      <c r="H168" s="219">
        <v>358922.58</v>
      </c>
      <c r="I168" s="219">
        <v>269192.26</v>
      </c>
      <c r="J168" s="321">
        <v>89730.32</v>
      </c>
    </row>
    <row r="169" spans="2:10" hidden="1" outlineLevel="2" x14ac:dyDescent="0.35">
      <c r="B169" s="492"/>
      <c r="C169" s="485"/>
      <c r="D169" s="222" t="s">
        <v>69</v>
      </c>
      <c r="E169" s="219">
        <v>0</v>
      </c>
      <c r="F169" s="219">
        <v>0</v>
      </c>
      <c r="G169" s="219">
        <v>0</v>
      </c>
      <c r="H169" s="219">
        <v>0</v>
      </c>
      <c r="I169" s="219">
        <v>0</v>
      </c>
      <c r="J169" s="321">
        <v>0</v>
      </c>
    </row>
    <row r="170" spans="2:10" hidden="1" outlineLevel="2" x14ac:dyDescent="0.35">
      <c r="B170" s="492"/>
      <c r="C170" s="485"/>
      <c r="D170" s="222" t="s">
        <v>68</v>
      </c>
      <c r="E170" s="219">
        <v>0</v>
      </c>
      <c r="F170" s="219">
        <v>0</v>
      </c>
      <c r="G170" s="219">
        <v>0</v>
      </c>
      <c r="H170" s="219">
        <v>0</v>
      </c>
      <c r="I170" s="219">
        <v>0</v>
      </c>
      <c r="J170" s="321">
        <v>0</v>
      </c>
    </row>
    <row r="171" spans="2:10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21">
        <v>0</v>
      </c>
    </row>
    <row r="172" spans="2:10" hidden="1" outlineLevel="2" x14ac:dyDescent="0.35">
      <c r="B172" s="492"/>
      <c r="C172" s="485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21">
        <v>0</v>
      </c>
    </row>
    <row r="173" spans="2:10" hidden="1" outlineLevel="2" x14ac:dyDescent="0.35">
      <c r="B173" s="492"/>
      <c r="C173" s="485"/>
      <c r="D173" s="222" t="s">
        <v>64</v>
      </c>
      <c r="E173" s="219">
        <v>0</v>
      </c>
      <c r="F173" s="219">
        <v>0</v>
      </c>
      <c r="G173" s="219">
        <v>0</v>
      </c>
      <c r="H173" s="219">
        <v>0</v>
      </c>
      <c r="I173" s="219">
        <v>0</v>
      </c>
      <c r="J173" s="321">
        <v>0</v>
      </c>
    </row>
    <row r="174" spans="2:10" hidden="1" outlineLevel="2" x14ac:dyDescent="0.35">
      <c r="B174" s="492"/>
      <c r="C174" s="485"/>
      <c r="D174" s="222" t="s">
        <v>63</v>
      </c>
      <c r="E174" s="219">
        <v>0</v>
      </c>
      <c r="F174" s="219">
        <v>0</v>
      </c>
      <c r="G174" s="219">
        <v>0</v>
      </c>
      <c r="H174" s="219">
        <v>0</v>
      </c>
      <c r="I174" s="219">
        <v>0</v>
      </c>
      <c r="J174" s="321">
        <v>0</v>
      </c>
    </row>
    <row r="175" spans="2:10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21">
        <v>0</v>
      </c>
    </row>
    <row r="176" spans="2:10" hidden="1" outlineLevel="2" x14ac:dyDescent="0.35">
      <c r="B176" s="492"/>
      <c r="C176" s="485"/>
      <c r="D176" s="222" t="s">
        <v>60</v>
      </c>
      <c r="E176" s="219">
        <v>0</v>
      </c>
      <c r="F176" s="219">
        <v>0</v>
      </c>
      <c r="G176" s="219">
        <v>0</v>
      </c>
      <c r="H176" s="219">
        <v>0</v>
      </c>
      <c r="I176" s="219">
        <v>0</v>
      </c>
      <c r="J176" s="321">
        <v>0</v>
      </c>
    </row>
    <row r="177" spans="2:10" hidden="1" outlineLevel="2" x14ac:dyDescent="0.35">
      <c r="B177" s="492"/>
      <c r="C177" s="485"/>
      <c r="D177" s="222" t="s">
        <v>59</v>
      </c>
      <c r="E177" s="219">
        <v>1</v>
      </c>
      <c r="F177" s="219">
        <v>1</v>
      </c>
      <c r="G177" s="219">
        <v>1806802</v>
      </c>
      <c r="H177" s="219">
        <v>361360.4</v>
      </c>
      <c r="I177" s="219">
        <v>359830</v>
      </c>
      <c r="J177" s="321">
        <v>1530.4</v>
      </c>
    </row>
    <row r="178" spans="2:10" hidden="1" outlineLevel="2" x14ac:dyDescent="0.35">
      <c r="B178" s="492"/>
      <c r="C178" s="485"/>
      <c r="D178" s="222" t="s">
        <v>58</v>
      </c>
      <c r="E178" s="219">
        <v>0</v>
      </c>
      <c r="F178" s="219">
        <v>0</v>
      </c>
      <c r="G178" s="219">
        <v>0</v>
      </c>
      <c r="H178" s="219">
        <v>0</v>
      </c>
      <c r="I178" s="219">
        <v>0</v>
      </c>
      <c r="J178" s="321">
        <v>0</v>
      </c>
    </row>
    <row r="179" spans="2:10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21">
        <v>0</v>
      </c>
    </row>
    <row r="180" spans="2:10" hidden="1" outlineLevel="2" x14ac:dyDescent="0.35">
      <c r="B180" s="492"/>
      <c r="C180" s="485"/>
      <c r="D180" s="222" t="s">
        <v>55</v>
      </c>
      <c r="E180" s="219">
        <v>0</v>
      </c>
      <c r="F180" s="219">
        <v>0</v>
      </c>
      <c r="G180" s="219">
        <v>0</v>
      </c>
      <c r="H180" s="219">
        <v>0</v>
      </c>
      <c r="I180" s="219">
        <v>0</v>
      </c>
      <c r="J180" s="321">
        <v>0</v>
      </c>
    </row>
    <row r="181" spans="2:10" hidden="1" outlineLevel="2" x14ac:dyDescent="0.35">
      <c r="B181" s="492"/>
      <c r="C181" s="485"/>
      <c r="D181" s="222" t="s">
        <v>54</v>
      </c>
      <c r="E181" s="219">
        <v>0</v>
      </c>
      <c r="F181" s="219">
        <v>0</v>
      </c>
      <c r="G181" s="219">
        <v>0</v>
      </c>
      <c r="H181" s="219">
        <v>0</v>
      </c>
      <c r="I181" s="219">
        <v>0</v>
      </c>
      <c r="J181" s="321">
        <v>0</v>
      </c>
    </row>
    <row r="182" spans="2:10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21">
        <v>0</v>
      </c>
    </row>
    <row r="183" spans="2:10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21">
        <v>0</v>
      </c>
    </row>
    <row r="184" spans="2:10" hidden="1" outlineLevel="2" x14ac:dyDescent="0.35">
      <c r="B184" s="492"/>
      <c r="C184" s="485"/>
      <c r="D184" s="222" t="s">
        <v>50</v>
      </c>
      <c r="E184" s="219">
        <v>0</v>
      </c>
      <c r="F184" s="219">
        <v>0</v>
      </c>
      <c r="G184" s="219">
        <v>0</v>
      </c>
      <c r="H184" s="219">
        <v>0</v>
      </c>
      <c r="I184" s="219">
        <v>0</v>
      </c>
      <c r="J184" s="321">
        <v>0</v>
      </c>
    </row>
    <row r="185" spans="2:10" hidden="1" outlineLevel="2" x14ac:dyDescent="0.35">
      <c r="B185" s="492"/>
      <c r="C185" s="485"/>
      <c r="D185" s="222" t="s">
        <v>49</v>
      </c>
      <c r="E185" s="219">
        <v>0</v>
      </c>
      <c r="F185" s="219">
        <v>0</v>
      </c>
      <c r="G185" s="219">
        <v>0</v>
      </c>
      <c r="H185" s="219">
        <v>0</v>
      </c>
      <c r="I185" s="219">
        <v>0</v>
      </c>
      <c r="J185" s="321">
        <v>0</v>
      </c>
    </row>
    <row r="186" spans="2:10" x14ac:dyDescent="0.35">
      <c r="B186" s="492"/>
      <c r="C186" s="485"/>
      <c r="D186" s="439" t="s">
        <v>243</v>
      </c>
      <c r="E186" s="438">
        <f t="shared" ref="E186:J186" si="23">SUM(E163,E128,E123)</f>
        <v>2</v>
      </c>
      <c r="F186" s="438">
        <f t="shared" si="23"/>
        <v>2</v>
      </c>
      <c r="G186" s="438">
        <f t="shared" si="23"/>
        <v>3601414.8899999997</v>
      </c>
      <c r="H186" s="438">
        <f t="shared" si="23"/>
        <v>720282.98</v>
      </c>
      <c r="I186" s="437">
        <f t="shared" si="23"/>
        <v>629022.26</v>
      </c>
      <c r="J186" s="436">
        <f t="shared" si="23"/>
        <v>91260.72</v>
      </c>
    </row>
    <row r="187" spans="2:10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J187" si="24">SUM(E188:E190)</f>
        <v>0</v>
      </c>
      <c r="F187" s="219">
        <f t="shared" si="24"/>
        <v>0</v>
      </c>
      <c r="G187" s="219">
        <f t="shared" si="24"/>
        <v>0</v>
      </c>
      <c r="H187" s="219">
        <f t="shared" si="24"/>
        <v>0</v>
      </c>
      <c r="I187" s="219">
        <f t="shared" si="24"/>
        <v>0</v>
      </c>
      <c r="J187" s="321">
        <f t="shared" si="24"/>
        <v>0</v>
      </c>
    </row>
    <row r="188" spans="2:10" ht="15" hidden="1" customHeight="1" outlineLevel="2" x14ac:dyDescent="0.35">
      <c r="B188" s="492"/>
      <c r="C188" s="485"/>
      <c r="D188" s="222" t="s">
        <v>126</v>
      </c>
      <c r="E188" s="219">
        <v>0</v>
      </c>
      <c r="F188" s="219">
        <v>0</v>
      </c>
      <c r="G188" s="219">
        <v>0</v>
      </c>
      <c r="H188" s="219">
        <v>0</v>
      </c>
      <c r="I188" s="219">
        <v>0</v>
      </c>
      <c r="J188" s="321">
        <v>0</v>
      </c>
    </row>
    <row r="189" spans="2:10" ht="15" hidden="1" customHeight="1" outlineLevel="2" x14ac:dyDescent="0.35">
      <c r="B189" s="492"/>
      <c r="C189" s="485"/>
      <c r="D189" s="222" t="s">
        <v>125</v>
      </c>
      <c r="E189" s="219">
        <v>0</v>
      </c>
      <c r="F189" s="219">
        <v>0</v>
      </c>
      <c r="G189" s="219">
        <v>0</v>
      </c>
      <c r="H189" s="219">
        <v>0</v>
      </c>
      <c r="I189" s="219">
        <v>0</v>
      </c>
      <c r="J189" s="321">
        <v>0</v>
      </c>
    </row>
    <row r="190" spans="2:10" ht="15" hidden="1" customHeight="1" outlineLevel="2" x14ac:dyDescent="0.35">
      <c r="B190" s="492"/>
      <c r="C190" s="485"/>
      <c r="D190" s="222" t="s">
        <v>124</v>
      </c>
      <c r="E190" s="219">
        <v>0</v>
      </c>
      <c r="F190" s="219">
        <v>0</v>
      </c>
      <c r="G190" s="219">
        <v>0</v>
      </c>
      <c r="H190" s="219">
        <v>0</v>
      </c>
      <c r="I190" s="219">
        <v>0</v>
      </c>
      <c r="J190" s="321">
        <v>0</v>
      </c>
    </row>
    <row r="191" spans="2:10" outlineLevel="1" collapsed="1" x14ac:dyDescent="0.35">
      <c r="B191" s="492"/>
      <c r="C191" s="485"/>
      <c r="D191" s="221" t="s">
        <v>46</v>
      </c>
      <c r="E191" s="219">
        <f t="shared" ref="E191:J191" si="25">SUM(E192:E195)</f>
        <v>0</v>
      </c>
      <c r="F191" s="219">
        <f t="shared" si="25"/>
        <v>0</v>
      </c>
      <c r="G191" s="219">
        <f t="shared" si="25"/>
        <v>0</v>
      </c>
      <c r="H191" s="219">
        <f t="shared" si="25"/>
        <v>0</v>
      </c>
      <c r="I191" s="219">
        <f t="shared" si="25"/>
        <v>0</v>
      </c>
      <c r="J191" s="321">
        <f t="shared" si="25"/>
        <v>0</v>
      </c>
    </row>
    <row r="192" spans="2:10" ht="15" hidden="1" customHeight="1" outlineLevel="2" x14ac:dyDescent="0.35">
      <c r="B192" s="492"/>
      <c r="C192" s="485"/>
      <c r="D192" s="222" t="s">
        <v>45</v>
      </c>
      <c r="E192" s="219">
        <v>0</v>
      </c>
      <c r="F192" s="219">
        <v>0</v>
      </c>
      <c r="G192" s="219">
        <v>0</v>
      </c>
      <c r="H192" s="219">
        <v>0</v>
      </c>
      <c r="I192" s="219">
        <v>0</v>
      </c>
      <c r="J192" s="321">
        <v>0</v>
      </c>
    </row>
    <row r="193" spans="2:10" ht="1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21">
        <v>0</v>
      </c>
    </row>
    <row r="194" spans="2:10" ht="15" hidden="1" customHeight="1" outlineLevel="2" x14ac:dyDescent="0.35">
      <c r="B194" s="492"/>
      <c r="C194" s="485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21">
        <v>0</v>
      </c>
    </row>
    <row r="195" spans="2:10" ht="15" hidden="1" customHeight="1" outlineLevel="2" x14ac:dyDescent="0.35">
      <c r="B195" s="492"/>
      <c r="C195" s="485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21">
        <v>0</v>
      </c>
    </row>
    <row r="196" spans="2:10" x14ac:dyDescent="0.35">
      <c r="B196" s="493"/>
      <c r="C196" s="494"/>
      <c r="D196" s="439" t="s">
        <v>239</v>
      </c>
      <c r="E196" s="438">
        <f t="shared" ref="E196:J196" si="26">SUM(E191,E187)</f>
        <v>0</v>
      </c>
      <c r="F196" s="438">
        <f t="shared" si="26"/>
        <v>0</v>
      </c>
      <c r="G196" s="438">
        <f t="shared" si="26"/>
        <v>0</v>
      </c>
      <c r="H196" s="438">
        <f t="shared" si="26"/>
        <v>0</v>
      </c>
      <c r="I196" s="437">
        <f t="shared" si="26"/>
        <v>0</v>
      </c>
      <c r="J196" s="436">
        <f t="shared" si="26"/>
        <v>0</v>
      </c>
    </row>
    <row r="197" spans="2:10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21">
        <f t="shared" si="27"/>
        <v>0</v>
      </c>
    </row>
    <row r="198" spans="2:10" ht="15" hidden="1" customHeight="1" outlineLevel="2" x14ac:dyDescent="0.35">
      <c r="B198" s="492"/>
      <c r="C198" s="485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21">
        <v>0</v>
      </c>
    </row>
    <row r="199" spans="2:10" ht="15" hidden="1" customHeight="1" outlineLevel="2" x14ac:dyDescent="0.35">
      <c r="B199" s="492"/>
      <c r="C199" s="485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21">
        <v>0</v>
      </c>
    </row>
    <row r="200" spans="2:10" ht="15" hidden="1" customHeight="1" outlineLevel="2" x14ac:dyDescent="0.35">
      <c r="B200" s="492"/>
      <c r="C200" s="485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21">
        <v>0</v>
      </c>
    </row>
    <row r="201" spans="2:10" outlineLevel="1" collapsed="1" x14ac:dyDescent="0.35">
      <c r="B201" s="492"/>
      <c r="C201" s="485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21">
        <v>0</v>
      </c>
    </row>
    <row r="202" spans="2:10" outlineLevel="1" x14ac:dyDescent="0.35">
      <c r="B202" s="492"/>
      <c r="C202" s="485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21">
        <v>0</v>
      </c>
    </row>
    <row r="203" spans="2:10" x14ac:dyDescent="0.35">
      <c r="B203" s="493"/>
      <c r="C203" s="494"/>
      <c r="D203" s="439" t="s">
        <v>236</v>
      </c>
      <c r="E203" s="438">
        <f t="shared" ref="E203:J203" si="28">SUM(E202,E201,E197)</f>
        <v>0</v>
      </c>
      <c r="F203" s="438">
        <f t="shared" si="28"/>
        <v>0</v>
      </c>
      <c r="G203" s="438">
        <f t="shared" si="28"/>
        <v>0</v>
      </c>
      <c r="H203" s="438">
        <f t="shared" si="28"/>
        <v>0</v>
      </c>
      <c r="I203" s="437">
        <f t="shared" si="28"/>
        <v>0</v>
      </c>
      <c r="J203" s="436">
        <f t="shared" si="28"/>
        <v>0</v>
      </c>
    </row>
    <row r="204" spans="2:10" ht="15" thickBot="1" x14ac:dyDescent="0.4">
      <c r="B204" s="583" t="s">
        <v>235</v>
      </c>
      <c r="C204" s="584"/>
      <c r="D204" s="410" t="s">
        <v>15</v>
      </c>
      <c r="E204" s="434">
        <f t="shared" ref="E204:J204" si="29">SUM(E203,E186,E121,E108,E75,E41,E116,E196)</f>
        <v>32</v>
      </c>
      <c r="F204" s="434">
        <f t="shared" si="29"/>
        <v>32</v>
      </c>
      <c r="G204" s="434">
        <f t="shared" si="29"/>
        <v>109717297.94999999</v>
      </c>
      <c r="H204" s="434">
        <f t="shared" si="29"/>
        <v>19655821.68</v>
      </c>
      <c r="I204" s="434">
        <f t="shared" si="29"/>
        <v>16001162.720000001</v>
      </c>
      <c r="J204" s="444">
        <f t="shared" si="29"/>
        <v>3654658.96</v>
      </c>
    </row>
    <row r="206" spans="2:10" x14ac:dyDescent="0.35">
      <c r="J206" s="290">
        <f>'Overdue-Booking'!L204</f>
        <v>3654658.96</v>
      </c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69" orientation="landscape" r:id="rId1"/>
  <headerFooter alignWithMargins="0">
    <oddHeader>&amp;LSOBHA LLC&amp;C&amp;"Tahoma,Regular"&amp;14
BOOKING OVERDUE AGEING_ Age calc. from booking date_91-120 Days&amp;R&amp;D</oddHeader>
    <oddFooter>&amp;LCOLLECTIONS&amp;R&amp;P/&amp;N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4C7D-6A84-4103-B325-496B3E6A1C1D}">
  <sheetPr>
    <pageSetUpPr fitToPage="1"/>
  </sheetPr>
  <dimension ref="B1:N206"/>
  <sheetViews>
    <sheetView view="pageBreakPreview" zoomScale="60" zoomScaleNormal="100" workbookViewId="0"/>
  </sheetViews>
  <sheetFormatPr defaultRowHeight="14.5" outlineLevelRow="2" x14ac:dyDescent="0.35"/>
  <cols>
    <col min="2" max="2" width="18.26953125" bestFit="1" customWidth="1"/>
    <col min="3" max="3" width="8.453125" bestFit="1" customWidth="1"/>
    <col min="4" max="4" width="41.26953125" bestFit="1" customWidth="1"/>
    <col min="5" max="5" width="16.26953125" customWidth="1"/>
    <col min="6" max="6" width="13.7265625" bestFit="1" customWidth="1"/>
    <col min="7" max="7" width="16.453125" bestFit="1" customWidth="1"/>
    <col min="8" max="8" width="18.1796875" bestFit="1" customWidth="1"/>
    <col min="9" max="9" width="20.81640625" bestFit="1" customWidth="1"/>
    <col min="10" max="10" width="16.7265625" style="6" bestFit="1" customWidth="1"/>
    <col min="11" max="11" width="6.26953125" bestFit="1" customWidth="1"/>
    <col min="12" max="12" width="5.26953125" bestFit="1" customWidth="1"/>
    <col min="13" max="13" width="14.81640625" customWidth="1"/>
    <col min="14" max="14" width="13.7265625" bestFit="1" customWidth="1"/>
  </cols>
  <sheetData>
    <row r="1" spans="2:14" x14ac:dyDescent="0.35">
      <c r="M1" s="443">
        <v>3200184.9999999991</v>
      </c>
    </row>
    <row r="3" spans="2:14" x14ac:dyDescent="0.35">
      <c r="B3" s="288">
        <v>46143</v>
      </c>
      <c r="C3" t="s">
        <v>264</v>
      </c>
    </row>
    <row r="4" spans="2:14" ht="15" thickBot="1" x14ac:dyDescent="0.4"/>
    <row r="5" spans="2:14" ht="28" x14ac:dyDescent="0.35">
      <c r="B5" s="565" t="s">
        <v>276</v>
      </c>
      <c r="C5" s="579"/>
      <c r="D5" s="581" t="s">
        <v>275</v>
      </c>
      <c r="E5" s="573" t="s">
        <v>281</v>
      </c>
      <c r="F5" s="575" t="s">
        <v>280</v>
      </c>
      <c r="G5" s="573" t="s">
        <v>274</v>
      </c>
      <c r="H5" s="577" t="s">
        <v>294</v>
      </c>
      <c r="I5" s="577" t="s">
        <v>272</v>
      </c>
      <c r="J5" s="451" t="s">
        <v>285</v>
      </c>
    </row>
    <row r="6" spans="2:14" x14ac:dyDescent="0.35">
      <c r="B6" s="567"/>
      <c r="C6" s="580"/>
      <c r="D6" s="582"/>
      <c r="E6" s="574"/>
      <c r="F6" s="576"/>
      <c r="G6" s="574"/>
      <c r="H6" s="578"/>
      <c r="I6" s="578"/>
      <c r="J6" s="450"/>
    </row>
    <row r="7" spans="2:14" outlineLevel="1" x14ac:dyDescent="0.35">
      <c r="B7" s="502" t="s">
        <v>261</v>
      </c>
      <c r="C7" s="505" t="s">
        <v>260</v>
      </c>
      <c r="D7" s="272"/>
      <c r="E7" s="219"/>
      <c r="F7" s="219"/>
      <c r="G7" s="219"/>
      <c r="H7" s="219"/>
      <c r="I7" s="219"/>
      <c r="J7" s="311"/>
    </row>
    <row r="8" spans="2:14" outlineLevel="1" x14ac:dyDescent="0.35">
      <c r="B8" s="503"/>
      <c r="C8" s="506"/>
      <c r="D8" s="272" t="s">
        <v>218</v>
      </c>
      <c r="E8" s="219">
        <f t="shared" ref="E8:J8" si="0">SUM(E9:E14)</f>
        <v>0</v>
      </c>
      <c r="F8" s="219">
        <f t="shared" si="0"/>
        <v>0</v>
      </c>
      <c r="G8" s="219">
        <f t="shared" si="0"/>
        <v>0</v>
      </c>
      <c r="H8" s="219">
        <f t="shared" si="0"/>
        <v>0</v>
      </c>
      <c r="I8" s="219">
        <f t="shared" si="0"/>
        <v>0</v>
      </c>
      <c r="J8" s="311">
        <f t="shared" si="0"/>
        <v>0</v>
      </c>
      <c r="K8" t="s">
        <v>277</v>
      </c>
      <c r="L8">
        <v>1500</v>
      </c>
      <c r="N8" s="443"/>
    </row>
    <row r="9" spans="2:14" hidden="1" outlineLevel="2" x14ac:dyDescent="0.35">
      <c r="B9" s="503"/>
      <c r="C9" s="506"/>
      <c r="D9" s="242" t="s">
        <v>217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311">
        <v>0</v>
      </c>
      <c r="N9" s="443"/>
    </row>
    <row r="10" spans="2:14" hidden="1" outlineLevel="2" x14ac:dyDescent="0.35">
      <c r="B10" s="503"/>
      <c r="C10" s="506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11">
        <v>0</v>
      </c>
      <c r="N10" s="443"/>
    </row>
    <row r="11" spans="2:14" hidden="1" outlineLevel="2" x14ac:dyDescent="0.35">
      <c r="B11" s="503"/>
      <c r="C11" s="506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11">
        <v>0</v>
      </c>
      <c r="N11" s="443"/>
    </row>
    <row r="12" spans="2:14" hidden="1" outlineLevel="2" x14ac:dyDescent="0.35">
      <c r="B12" s="503"/>
      <c r="C12" s="506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11">
        <v>0</v>
      </c>
      <c r="N12" s="443"/>
    </row>
    <row r="13" spans="2:14" hidden="1" outlineLevel="2" x14ac:dyDescent="0.35">
      <c r="B13" s="503"/>
      <c r="C13" s="506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11">
        <v>0</v>
      </c>
      <c r="N13" s="443"/>
    </row>
    <row r="14" spans="2:14" hidden="1" outlineLevel="2" x14ac:dyDescent="0.35">
      <c r="B14" s="503"/>
      <c r="C14" s="506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11">
        <v>0</v>
      </c>
      <c r="N14" s="443"/>
    </row>
    <row r="15" spans="2:14" outlineLevel="1" collapsed="1" x14ac:dyDescent="0.35">
      <c r="B15" s="503"/>
      <c r="C15" s="506"/>
      <c r="D15" s="236" t="s">
        <v>10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311">
        <v>0</v>
      </c>
      <c r="N15" s="443"/>
    </row>
    <row r="16" spans="2:14" outlineLevel="1" x14ac:dyDescent="0.35">
      <c r="B16" s="503"/>
      <c r="C16" s="506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11">
        <f t="shared" si="1"/>
        <v>0</v>
      </c>
      <c r="N16" s="443"/>
    </row>
    <row r="17" spans="2:14" hidden="1" outlineLevel="2" x14ac:dyDescent="0.35">
      <c r="B17" s="503"/>
      <c r="C17" s="506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11">
        <v>0</v>
      </c>
      <c r="N17" s="443"/>
    </row>
    <row r="18" spans="2:14" hidden="1" outlineLevel="2" x14ac:dyDescent="0.35">
      <c r="B18" s="503"/>
      <c r="C18" s="506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11">
        <v>0</v>
      </c>
      <c r="N18" s="443"/>
    </row>
    <row r="19" spans="2:14" hidden="1" outlineLevel="2" x14ac:dyDescent="0.35">
      <c r="B19" s="503"/>
      <c r="C19" s="506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11">
        <v>0</v>
      </c>
      <c r="N19" s="443"/>
    </row>
    <row r="20" spans="2:14" hidden="1" outlineLevel="2" x14ac:dyDescent="0.35">
      <c r="B20" s="503"/>
      <c r="C20" s="506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11">
        <v>0</v>
      </c>
      <c r="N20" s="443"/>
    </row>
    <row r="21" spans="2:14" hidden="1" outlineLevel="2" x14ac:dyDescent="0.35">
      <c r="B21" s="503"/>
      <c r="C21" s="506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11">
        <v>0</v>
      </c>
      <c r="N21" s="443"/>
    </row>
    <row r="22" spans="2:14" outlineLevel="1" collapsed="1" x14ac:dyDescent="0.35">
      <c r="B22" s="503"/>
      <c r="C22" s="506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11">
        <f t="shared" si="2"/>
        <v>0</v>
      </c>
      <c r="N22" s="443"/>
    </row>
    <row r="23" spans="2:14" hidden="1" outlineLevel="2" x14ac:dyDescent="0.35">
      <c r="B23" s="503"/>
      <c r="C23" s="506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11">
        <v>0</v>
      </c>
      <c r="N23" s="443"/>
    </row>
    <row r="24" spans="2:14" hidden="1" outlineLevel="2" x14ac:dyDescent="0.35">
      <c r="B24" s="503"/>
      <c r="C24" s="506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11">
        <v>0</v>
      </c>
      <c r="N24" s="443"/>
    </row>
    <row r="25" spans="2:14" hidden="1" outlineLevel="2" x14ac:dyDescent="0.35">
      <c r="B25" s="503"/>
      <c r="C25" s="506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11">
        <v>0</v>
      </c>
      <c r="N25" s="443"/>
    </row>
    <row r="26" spans="2:14" hidden="1" outlineLevel="2" x14ac:dyDescent="0.35">
      <c r="B26" s="503"/>
      <c r="C26" s="506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11">
        <v>0</v>
      </c>
      <c r="N26" s="443"/>
    </row>
    <row r="27" spans="2:14" outlineLevel="1" collapsed="1" x14ac:dyDescent="0.35">
      <c r="B27" s="503"/>
      <c r="C27" s="506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11">
        <v>0</v>
      </c>
      <c r="N27" s="443"/>
    </row>
    <row r="28" spans="2:14" outlineLevel="1" x14ac:dyDescent="0.35">
      <c r="B28" s="503"/>
      <c r="C28" s="506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11">
        <v>0</v>
      </c>
      <c r="N28" s="443"/>
    </row>
    <row r="29" spans="2:14" outlineLevel="1" x14ac:dyDescent="0.35">
      <c r="B29" s="503"/>
      <c r="C29" s="506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11">
        <f t="shared" si="3"/>
        <v>0</v>
      </c>
      <c r="N29" s="443"/>
    </row>
    <row r="30" spans="2:14" hidden="1" outlineLevel="2" x14ac:dyDescent="0.35">
      <c r="B30" s="503"/>
      <c r="C30" s="506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11">
        <v>0</v>
      </c>
      <c r="N30" s="443"/>
    </row>
    <row r="31" spans="2:14" hidden="1" outlineLevel="2" x14ac:dyDescent="0.35">
      <c r="B31" s="503"/>
      <c r="C31" s="506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11">
        <v>0</v>
      </c>
      <c r="N31" s="443"/>
    </row>
    <row r="32" spans="2:14" hidden="1" outlineLevel="2" x14ac:dyDescent="0.35">
      <c r="B32" s="503"/>
      <c r="C32" s="506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11">
        <v>0</v>
      </c>
      <c r="N32" s="443"/>
    </row>
    <row r="33" spans="2:14" outlineLevel="1" collapsed="1" x14ac:dyDescent="0.35">
      <c r="B33" s="503"/>
      <c r="C33" s="506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11">
        <v>0</v>
      </c>
      <c r="N33" s="443"/>
    </row>
    <row r="34" spans="2:14" outlineLevel="1" x14ac:dyDescent="0.35">
      <c r="B34" s="503"/>
      <c r="C34" s="506"/>
      <c r="D34" s="263" t="s">
        <v>23</v>
      </c>
      <c r="E34" s="219">
        <f t="shared" ref="E34:J34" si="4">SUM(E35:E39)</f>
        <v>1</v>
      </c>
      <c r="F34" s="219">
        <f t="shared" si="4"/>
        <v>1</v>
      </c>
      <c r="G34" s="219">
        <f t="shared" si="4"/>
        <v>2750293.36</v>
      </c>
      <c r="H34" s="219">
        <f t="shared" si="4"/>
        <v>1288838</v>
      </c>
      <c r="I34" s="219">
        <f t="shared" si="4"/>
        <v>936180</v>
      </c>
      <c r="J34" s="311">
        <f t="shared" si="4"/>
        <v>352658</v>
      </c>
      <c r="N34" s="443"/>
    </row>
    <row r="35" spans="2:14" hidden="1" outlineLevel="2" x14ac:dyDescent="0.35">
      <c r="B35" s="503"/>
      <c r="C35" s="506"/>
      <c r="D35" s="242" t="s">
        <v>22</v>
      </c>
      <c r="E35" s="219">
        <v>0</v>
      </c>
      <c r="F35" s="219">
        <v>0</v>
      </c>
      <c r="G35" s="219">
        <v>0</v>
      </c>
      <c r="H35" s="219">
        <v>0</v>
      </c>
      <c r="I35" s="219">
        <v>0</v>
      </c>
      <c r="J35" s="311">
        <v>0</v>
      </c>
      <c r="N35" s="443"/>
    </row>
    <row r="36" spans="2:14" hidden="1" outlineLevel="2" x14ac:dyDescent="0.35">
      <c r="B36" s="503"/>
      <c r="C36" s="506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11">
        <v>0</v>
      </c>
      <c r="N36" s="443"/>
    </row>
    <row r="37" spans="2:14" hidden="1" outlineLevel="2" x14ac:dyDescent="0.35">
      <c r="B37" s="503"/>
      <c r="C37" s="506"/>
      <c r="D37" s="242" t="s">
        <v>20</v>
      </c>
      <c r="E37" s="219">
        <v>0</v>
      </c>
      <c r="F37" s="219">
        <v>0</v>
      </c>
      <c r="G37" s="219">
        <v>0</v>
      </c>
      <c r="H37" s="219">
        <v>0</v>
      </c>
      <c r="I37" s="219">
        <v>0</v>
      </c>
      <c r="J37" s="311">
        <v>0</v>
      </c>
      <c r="N37" s="443"/>
    </row>
    <row r="38" spans="2:14" hidden="1" outlineLevel="2" x14ac:dyDescent="0.35">
      <c r="B38" s="503"/>
      <c r="C38" s="506"/>
      <c r="D38" s="242" t="s">
        <v>19</v>
      </c>
      <c r="E38" s="219">
        <v>1</v>
      </c>
      <c r="F38" s="219">
        <v>1</v>
      </c>
      <c r="G38" s="219">
        <v>2750293.36</v>
      </c>
      <c r="H38" s="219">
        <v>1288838</v>
      </c>
      <c r="I38" s="219">
        <v>936180</v>
      </c>
      <c r="J38" s="311">
        <v>352658</v>
      </c>
      <c r="N38" s="443"/>
    </row>
    <row r="39" spans="2:14" hidden="1" outlineLevel="2" x14ac:dyDescent="0.35">
      <c r="B39" s="503"/>
      <c r="C39" s="506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11">
        <v>0</v>
      </c>
      <c r="N39" s="443"/>
    </row>
    <row r="40" spans="2:14" outlineLevel="1" collapsed="1" x14ac:dyDescent="0.35">
      <c r="B40" s="503"/>
      <c r="C40" s="506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11">
        <v>0</v>
      </c>
      <c r="N40" s="443"/>
    </row>
    <row r="41" spans="2:14" x14ac:dyDescent="0.35">
      <c r="B41" s="504"/>
      <c r="C41" s="507"/>
      <c r="D41" s="439" t="s">
        <v>259</v>
      </c>
      <c r="E41" s="438">
        <f t="shared" ref="E41:J41" si="5">SUM(E8,E15:E16,E27:E29,E22,E33:E34,E40)</f>
        <v>1</v>
      </c>
      <c r="F41" s="438">
        <f t="shared" si="5"/>
        <v>1</v>
      </c>
      <c r="G41" s="438">
        <f t="shared" si="5"/>
        <v>2750293.36</v>
      </c>
      <c r="H41" s="438">
        <f t="shared" si="5"/>
        <v>1288838</v>
      </c>
      <c r="I41" s="437">
        <f t="shared" si="5"/>
        <v>936180</v>
      </c>
      <c r="J41" s="448">
        <f t="shared" si="5"/>
        <v>352658</v>
      </c>
      <c r="N41" s="443"/>
    </row>
    <row r="42" spans="2:14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449"/>
      <c r="N42" s="443"/>
    </row>
    <row r="43" spans="2:14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11">
        <f t="shared" si="6"/>
        <v>0</v>
      </c>
      <c r="N43" s="443"/>
    </row>
    <row r="44" spans="2:14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11">
        <v>0</v>
      </c>
      <c r="N44" s="443"/>
    </row>
    <row r="45" spans="2:14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11">
        <v>0</v>
      </c>
      <c r="N45" s="443"/>
    </row>
    <row r="46" spans="2:14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11">
        <v>0</v>
      </c>
      <c r="N46" s="443"/>
    </row>
    <row r="47" spans="2:14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11">
        <v>0</v>
      </c>
      <c r="N47" s="443"/>
    </row>
    <row r="48" spans="2:14" outlineLevel="1" collapsed="1" x14ac:dyDescent="0.35">
      <c r="B48" s="487"/>
      <c r="C48" s="490"/>
      <c r="D48" s="263" t="s">
        <v>198</v>
      </c>
      <c r="E48" s="219">
        <v>0</v>
      </c>
      <c r="F48" s="219">
        <v>0</v>
      </c>
      <c r="G48" s="219">
        <v>0</v>
      </c>
      <c r="H48" s="219">
        <v>0</v>
      </c>
      <c r="I48" s="219">
        <v>0</v>
      </c>
      <c r="J48" s="311">
        <v>0</v>
      </c>
      <c r="N48" s="443"/>
    </row>
    <row r="49" spans="2:14" outlineLevel="1" x14ac:dyDescent="0.35">
      <c r="B49" s="487"/>
      <c r="C49" s="490"/>
      <c r="D49" s="236" t="s">
        <v>189</v>
      </c>
      <c r="E49" s="219">
        <v>1</v>
      </c>
      <c r="F49" s="219">
        <v>1</v>
      </c>
      <c r="G49" s="219">
        <v>3996100</v>
      </c>
      <c r="H49" s="219">
        <v>839493</v>
      </c>
      <c r="I49" s="219">
        <v>812948</v>
      </c>
      <c r="J49" s="311">
        <v>26545</v>
      </c>
      <c r="N49" s="443"/>
    </row>
    <row r="50" spans="2:14" outlineLevel="1" x14ac:dyDescent="0.35">
      <c r="B50" s="487"/>
      <c r="C50" s="490"/>
      <c r="D50" s="263" t="s">
        <v>179</v>
      </c>
      <c r="E50" s="219">
        <v>2</v>
      </c>
      <c r="F50" s="219">
        <v>2</v>
      </c>
      <c r="G50" s="219">
        <v>3581000.5</v>
      </c>
      <c r="H50" s="219">
        <v>752010.10000000009</v>
      </c>
      <c r="I50" s="219">
        <v>71620.009999999995</v>
      </c>
      <c r="J50" s="311">
        <v>680390.09</v>
      </c>
      <c r="N50" s="443"/>
    </row>
    <row r="51" spans="2:14" outlineLevel="1" x14ac:dyDescent="0.35">
      <c r="B51" s="487"/>
      <c r="C51" s="490"/>
      <c r="D51" s="263" t="s">
        <v>188</v>
      </c>
      <c r="E51" s="219">
        <f t="shared" ref="E51:J51" si="7">SUM(E52:E55)</f>
        <v>0</v>
      </c>
      <c r="F51" s="219">
        <f t="shared" si="7"/>
        <v>0</v>
      </c>
      <c r="G51" s="219">
        <f t="shared" si="7"/>
        <v>0</v>
      </c>
      <c r="H51" s="219">
        <f t="shared" si="7"/>
        <v>0</v>
      </c>
      <c r="I51" s="219">
        <f t="shared" si="7"/>
        <v>0</v>
      </c>
      <c r="J51" s="311">
        <f t="shared" si="7"/>
        <v>0</v>
      </c>
      <c r="N51" s="443"/>
    </row>
    <row r="52" spans="2:14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11">
        <v>0</v>
      </c>
      <c r="N52" s="443"/>
    </row>
    <row r="53" spans="2:14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11">
        <v>0</v>
      </c>
      <c r="N53" s="443"/>
    </row>
    <row r="54" spans="2:14" hidden="1" outlineLevel="2" x14ac:dyDescent="0.35">
      <c r="B54" s="487"/>
      <c r="C54" s="490"/>
      <c r="D54" s="262" t="s">
        <v>182</v>
      </c>
      <c r="E54" s="219">
        <v>0</v>
      </c>
      <c r="F54" s="219">
        <v>0</v>
      </c>
      <c r="G54" s="219">
        <v>0</v>
      </c>
      <c r="H54" s="219">
        <v>0</v>
      </c>
      <c r="I54" s="219">
        <v>0</v>
      </c>
      <c r="J54" s="311">
        <v>0</v>
      </c>
      <c r="N54" s="443"/>
    </row>
    <row r="55" spans="2:14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11">
        <v>0</v>
      </c>
      <c r="N55" s="443"/>
    </row>
    <row r="56" spans="2:14" outlineLevel="1" collapsed="1" x14ac:dyDescent="0.35">
      <c r="B56" s="487"/>
      <c r="C56" s="490"/>
      <c r="D56" s="246" t="s">
        <v>170</v>
      </c>
      <c r="E56" s="219">
        <f t="shared" ref="E56:J56" si="8">SUM(E57:E62)</f>
        <v>2</v>
      </c>
      <c r="F56" s="219">
        <f t="shared" si="8"/>
        <v>2</v>
      </c>
      <c r="G56" s="219">
        <f t="shared" si="8"/>
        <v>10742696.199999999</v>
      </c>
      <c r="H56" s="219">
        <f t="shared" si="8"/>
        <v>1360220.24</v>
      </c>
      <c r="I56" s="219">
        <f t="shared" si="8"/>
        <v>1201873.4100000001</v>
      </c>
      <c r="J56" s="311">
        <f t="shared" si="8"/>
        <v>158346.82999999999</v>
      </c>
      <c r="N56" s="443"/>
    </row>
    <row r="57" spans="2:14" hidden="1" outlineLevel="2" x14ac:dyDescent="0.35">
      <c r="B57" s="487"/>
      <c r="C57" s="490"/>
      <c r="D57" s="242" t="s">
        <v>169</v>
      </c>
      <c r="E57" s="219">
        <v>0</v>
      </c>
      <c r="F57" s="219">
        <v>0</v>
      </c>
      <c r="G57" s="219">
        <v>0</v>
      </c>
      <c r="H57" s="219">
        <v>0</v>
      </c>
      <c r="I57" s="219">
        <v>0</v>
      </c>
      <c r="J57" s="311">
        <v>0</v>
      </c>
      <c r="N57" s="443"/>
    </row>
    <row r="58" spans="2:14" hidden="1" outlineLevel="2" x14ac:dyDescent="0.35">
      <c r="B58" s="487"/>
      <c r="C58" s="490"/>
      <c r="D58" s="242" t="s">
        <v>168</v>
      </c>
      <c r="E58" s="219">
        <v>1</v>
      </c>
      <c r="F58" s="219">
        <v>1</v>
      </c>
      <c r="G58" s="219">
        <v>2444686.2000000002</v>
      </c>
      <c r="H58" s="219">
        <v>488937.24</v>
      </c>
      <c r="I58" s="219">
        <v>356500</v>
      </c>
      <c r="J58" s="311">
        <v>132437.24</v>
      </c>
      <c r="N58" s="443"/>
    </row>
    <row r="59" spans="2:14" hidden="1" outlineLevel="2" x14ac:dyDescent="0.35">
      <c r="B59" s="487"/>
      <c r="C59" s="490"/>
      <c r="D59" s="242" t="s">
        <v>167</v>
      </c>
      <c r="E59" s="219">
        <v>0</v>
      </c>
      <c r="F59" s="219">
        <v>0</v>
      </c>
      <c r="G59" s="219">
        <v>0</v>
      </c>
      <c r="H59" s="219">
        <v>0</v>
      </c>
      <c r="I59" s="219">
        <v>0</v>
      </c>
      <c r="J59" s="311">
        <v>0</v>
      </c>
      <c r="N59" s="443"/>
    </row>
    <row r="60" spans="2:14" hidden="1" outlineLevel="2" x14ac:dyDescent="0.35">
      <c r="B60" s="487"/>
      <c r="C60" s="490"/>
      <c r="D60" s="242" t="s">
        <v>166</v>
      </c>
      <c r="E60" s="219">
        <v>1</v>
      </c>
      <c r="F60" s="219">
        <v>1</v>
      </c>
      <c r="G60" s="219">
        <v>8298010</v>
      </c>
      <c r="H60" s="219">
        <v>871283</v>
      </c>
      <c r="I60" s="219">
        <v>845373.41</v>
      </c>
      <c r="J60" s="311">
        <v>25909.59</v>
      </c>
      <c r="N60" s="443"/>
    </row>
    <row r="61" spans="2:14" hidden="1" outlineLevel="2" x14ac:dyDescent="0.35">
      <c r="B61" s="487"/>
      <c r="C61" s="490"/>
      <c r="D61" s="261" t="s">
        <v>165</v>
      </c>
      <c r="E61" s="219">
        <v>0</v>
      </c>
      <c r="F61" s="219">
        <v>0</v>
      </c>
      <c r="G61" s="219">
        <v>0</v>
      </c>
      <c r="H61" s="219">
        <v>0</v>
      </c>
      <c r="I61" s="219">
        <v>0</v>
      </c>
      <c r="J61" s="311">
        <v>0</v>
      </c>
      <c r="N61" s="443"/>
    </row>
    <row r="62" spans="2:14" hidden="1" outlineLevel="2" x14ac:dyDescent="0.35">
      <c r="B62" s="487"/>
      <c r="C62" s="490"/>
      <c r="D62" s="261" t="s">
        <v>164</v>
      </c>
      <c r="E62" s="219">
        <v>0</v>
      </c>
      <c r="F62" s="219">
        <v>0</v>
      </c>
      <c r="G62" s="219">
        <v>0</v>
      </c>
      <c r="H62" s="219">
        <v>0</v>
      </c>
      <c r="I62" s="219">
        <v>0</v>
      </c>
      <c r="J62" s="311">
        <v>0</v>
      </c>
      <c r="N62" s="443"/>
    </row>
    <row r="63" spans="2:14" outlineLevel="1" collapsed="1" x14ac:dyDescent="0.35">
      <c r="B63" s="487"/>
      <c r="C63" s="490"/>
      <c r="D63" s="324" t="s">
        <v>256</v>
      </c>
      <c r="E63" s="219">
        <f t="shared" ref="E63:J63" si="9">SUM(E64:E66)</f>
        <v>0</v>
      </c>
      <c r="F63" s="219">
        <f t="shared" si="9"/>
        <v>0</v>
      </c>
      <c r="G63" s="219">
        <f t="shared" si="9"/>
        <v>0</v>
      </c>
      <c r="H63" s="219">
        <f t="shared" si="9"/>
        <v>0</v>
      </c>
      <c r="I63" s="219">
        <f t="shared" si="9"/>
        <v>0</v>
      </c>
      <c r="J63" s="311">
        <f t="shared" si="9"/>
        <v>0</v>
      </c>
      <c r="N63" s="443"/>
    </row>
    <row r="64" spans="2:14" hidden="1" outlineLevel="2" x14ac:dyDescent="0.35">
      <c r="B64" s="487"/>
      <c r="C64" s="490"/>
      <c r="D64" s="260" t="s">
        <v>196</v>
      </c>
      <c r="E64" s="219">
        <v>0</v>
      </c>
      <c r="F64" s="219">
        <v>0</v>
      </c>
      <c r="G64" s="219">
        <v>0</v>
      </c>
      <c r="H64" s="219">
        <v>0</v>
      </c>
      <c r="I64" s="219">
        <v>0</v>
      </c>
      <c r="J64" s="311">
        <v>0</v>
      </c>
      <c r="N64" s="443"/>
    </row>
    <row r="65" spans="2:14" hidden="1" outlineLevel="2" x14ac:dyDescent="0.35">
      <c r="B65" s="487"/>
      <c r="C65" s="490"/>
      <c r="D65" s="260" t="s">
        <v>195</v>
      </c>
      <c r="E65" s="219">
        <v>0</v>
      </c>
      <c r="F65" s="219">
        <v>0</v>
      </c>
      <c r="G65" s="219">
        <v>0</v>
      </c>
      <c r="H65" s="219">
        <v>0</v>
      </c>
      <c r="I65" s="219">
        <v>0</v>
      </c>
      <c r="J65" s="311">
        <v>0</v>
      </c>
      <c r="N65" s="443"/>
    </row>
    <row r="66" spans="2:14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11">
        <v>0</v>
      </c>
      <c r="N66" s="443"/>
    </row>
    <row r="67" spans="2:14" outlineLevel="1" collapsed="1" x14ac:dyDescent="0.35">
      <c r="B67" s="487"/>
      <c r="C67" s="490"/>
      <c r="D67" s="324" t="s">
        <v>178</v>
      </c>
      <c r="E67" s="219">
        <f t="shared" ref="E67:J67" si="10">SUM(E68:E74)</f>
        <v>1</v>
      </c>
      <c r="F67" s="219">
        <f t="shared" si="10"/>
        <v>1</v>
      </c>
      <c r="G67" s="219">
        <f t="shared" si="10"/>
        <v>1855774</v>
      </c>
      <c r="H67" s="219">
        <f t="shared" si="10"/>
        <v>371154.8</v>
      </c>
      <c r="I67" s="219">
        <f t="shared" si="10"/>
        <v>367634.02</v>
      </c>
      <c r="J67" s="311">
        <f t="shared" si="10"/>
        <v>3520.78</v>
      </c>
      <c r="N67" s="443"/>
    </row>
    <row r="68" spans="2:14" hidden="1" outlineLevel="2" x14ac:dyDescent="0.35">
      <c r="B68" s="487"/>
      <c r="C68" s="490"/>
      <c r="D68" s="260" t="s">
        <v>177</v>
      </c>
      <c r="E68" s="219">
        <v>0</v>
      </c>
      <c r="F68" s="219">
        <v>0</v>
      </c>
      <c r="G68" s="219">
        <v>0</v>
      </c>
      <c r="H68" s="219">
        <v>0</v>
      </c>
      <c r="I68" s="219">
        <v>0</v>
      </c>
      <c r="J68" s="311">
        <v>0</v>
      </c>
      <c r="N68" s="443"/>
    </row>
    <row r="69" spans="2:14" hidden="1" outlineLevel="2" x14ac:dyDescent="0.35">
      <c r="B69" s="487"/>
      <c r="C69" s="490"/>
      <c r="D69" s="260" t="s">
        <v>176</v>
      </c>
      <c r="E69" s="219">
        <v>0</v>
      </c>
      <c r="F69" s="219">
        <v>0</v>
      </c>
      <c r="G69" s="219">
        <v>0</v>
      </c>
      <c r="H69" s="219">
        <v>0</v>
      </c>
      <c r="I69" s="219">
        <v>0</v>
      </c>
      <c r="J69" s="311">
        <v>0</v>
      </c>
      <c r="N69" s="443"/>
    </row>
    <row r="70" spans="2:14" hidden="1" outlineLevel="2" x14ac:dyDescent="0.35">
      <c r="B70" s="487"/>
      <c r="C70" s="490"/>
      <c r="D70" s="260" t="s">
        <v>175</v>
      </c>
      <c r="E70" s="219">
        <v>0</v>
      </c>
      <c r="F70" s="219">
        <v>0</v>
      </c>
      <c r="G70" s="219">
        <v>0</v>
      </c>
      <c r="H70" s="219">
        <v>0</v>
      </c>
      <c r="I70" s="219">
        <v>0</v>
      </c>
      <c r="J70" s="311">
        <v>0</v>
      </c>
      <c r="N70" s="443"/>
    </row>
    <row r="71" spans="2:14" hidden="1" outlineLevel="2" x14ac:dyDescent="0.35">
      <c r="B71" s="487"/>
      <c r="C71" s="490"/>
      <c r="D71" s="260" t="s">
        <v>174</v>
      </c>
      <c r="E71" s="219">
        <v>0</v>
      </c>
      <c r="F71" s="219">
        <v>0</v>
      </c>
      <c r="G71" s="219">
        <v>0</v>
      </c>
      <c r="H71" s="219">
        <v>0</v>
      </c>
      <c r="I71" s="219">
        <v>0</v>
      </c>
      <c r="J71" s="311">
        <v>0</v>
      </c>
      <c r="N71" s="443"/>
    </row>
    <row r="72" spans="2:14" hidden="1" outlineLevel="2" x14ac:dyDescent="0.35">
      <c r="B72" s="487"/>
      <c r="C72" s="490"/>
      <c r="D72" s="260" t="s">
        <v>173</v>
      </c>
      <c r="E72" s="219">
        <v>0</v>
      </c>
      <c r="F72" s="219">
        <v>0</v>
      </c>
      <c r="G72" s="219">
        <v>0</v>
      </c>
      <c r="H72" s="219">
        <v>0</v>
      </c>
      <c r="I72" s="219">
        <v>0</v>
      </c>
      <c r="J72" s="311">
        <v>0</v>
      </c>
      <c r="N72" s="443"/>
    </row>
    <row r="73" spans="2:14" hidden="1" outlineLevel="2" x14ac:dyDescent="0.35">
      <c r="B73" s="487"/>
      <c r="C73" s="490"/>
      <c r="D73" s="260" t="s">
        <v>172</v>
      </c>
      <c r="E73" s="219">
        <v>1</v>
      </c>
      <c r="F73" s="219">
        <v>1</v>
      </c>
      <c r="G73" s="219">
        <v>1855774</v>
      </c>
      <c r="H73" s="219">
        <v>371154.8</v>
      </c>
      <c r="I73" s="219">
        <v>367634.02</v>
      </c>
      <c r="J73" s="311">
        <v>3520.78</v>
      </c>
      <c r="N73" s="443"/>
    </row>
    <row r="74" spans="2:14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11">
        <v>0</v>
      </c>
      <c r="N74" s="443"/>
    </row>
    <row r="75" spans="2:14" x14ac:dyDescent="0.35">
      <c r="B75" s="488"/>
      <c r="C75" s="491"/>
      <c r="D75" s="439" t="s">
        <v>255</v>
      </c>
      <c r="E75" s="438">
        <f t="shared" ref="E75:J75" si="11">SUM(E43,E48:E51,E56,E63,E67)</f>
        <v>6</v>
      </c>
      <c r="F75" s="438">
        <f t="shared" si="11"/>
        <v>6</v>
      </c>
      <c r="G75" s="438">
        <f t="shared" si="11"/>
        <v>20175570.699999999</v>
      </c>
      <c r="H75" s="438">
        <f t="shared" si="11"/>
        <v>3322878.1399999997</v>
      </c>
      <c r="I75" s="437">
        <f t="shared" si="11"/>
        <v>2454075.4400000004</v>
      </c>
      <c r="J75" s="448">
        <f t="shared" si="11"/>
        <v>868802.7</v>
      </c>
      <c r="N75" s="443"/>
    </row>
    <row r="76" spans="2:14" ht="14.5" customHeight="1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449"/>
      <c r="N76" s="443"/>
    </row>
    <row r="77" spans="2:14" outlineLevel="1" x14ac:dyDescent="0.35">
      <c r="B77" s="487"/>
      <c r="C77" s="490"/>
      <c r="D77" s="251" t="s">
        <v>252</v>
      </c>
      <c r="E77" s="219">
        <f t="shared" ref="E77:J77" si="12">SUM(E78:E80)</f>
        <v>0</v>
      </c>
      <c r="F77" s="219">
        <f t="shared" si="12"/>
        <v>0</v>
      </c>
      <c r="G77" s="219">
        <f t="shared" si="12"/>
        <v>0</v>
      </c>
      <c r="H77" s="219">
        <f t="shared" si="12"/>
        <v>0</v>
      </c>
      <c r="I77" s="219">
        <f t="shared" si="12"/>
        <v>0</v>
      </c>
      <c r="J77" s="311">
        <f t="shared" si="12"/>
        <v>0</v>
      </c>
      <c r="N77" s="443"/>
    </row>
    <row r="78" spans="2:14" hidden="1" outlineLevel="2" x14ac:dyDescent="0.35">
      <c r="B78" s="487"/>
      <c r="C78" s="490"/>
      <c r="D78" s="250" t="s">
        <v>192</v>
      </c>
      <c r="E78" s="219">
        <v>0</v>
      </c>
      <c r="F78" s="219">
        <v>0</v>
      </c>
      <c r="G78" s="219">
        <v>0</v>
      </c>
      <c r="H78" s="219">
        <v>0</v>
      </c>
      <c r="I78" s="219">
        <v>0</v>
      </c>
      <c r="J78" s="311">
        <v>0</v>
      </c>
      <c r="N78" s="443"/>
    </row>
    <row r="79" spans="2:14" hidden="1" outlineLevel="2" x14ac:dyDescent="0.35">
      <c r="B79" s="487"/>
      <c r="C79" s="490"/>
      <c r="D79" s="250" t="s">
        <v>191</v>
      </c>
      <c r="E79" s="219">
        <v>0</v>
      </c>
      <c r="F79" s="219">
        <v>0</v>
      </c>
      <c r="G79" s="219">
        <v>0</v>
      </c>
      <c r="H79" s="219">
        <v>0</v>
      </c>
      <c r="I79" s="219">
        <v>0</v>
      </c>
      <c r="J79" s="311">
        <v>0</v>
      </c>
      <c r="N79" s="443"/>
    </row>
    <row r="80" spans="2:14" hidden="1" outlineLevel="2" x14ac:dyDescent="0.35">
      <c r="B80" s="487"/>
      <c r="C80" s="490"/>
      <c r="D80" s="250" t="s">
        <v>190</v>
      </c>
      <c r="E80" s="219">
        <v>0</v>
      </c>
      <c r="F80" s="219">
        <v>0</v>
      </c>
      <c r="G80" s="219">
        <v>0</v>
      </c>
      <c r="H80" s="219">
        <v>0</v>
      </c>
      <c r="I80" s="219">
        <v>0</v>
      </c>
      <c r="J80" s="311">
        <v>0</v>
      </c>
      <c r="N80" s="443"/>
    </row>
    <row r="81" spans="2:14" outlineLevel="1" collapsed="1" x14ac:dyDescent="0.35">
      <c r="B81" s="487"/>
      <c r="C81" s="490"/>
      <c r="D81" s="251" t="s">
        <v>158</v>
      </c>
      <c r="E81" s="219">
        <f t="shared" ref="E81:J81" si="13">SUM(E82:E89)</f>
        <v>1</v>
      </c>
      <c r="F81" s="219">
        <f t="shared" si="13"/>
        <v>1</v>
      </c>
      <c r="G81" s="219">
        <f t="shared" si="13"/>
        <v>2224350</v>
      </c>
      <c r="H81" s="219">
        <f t="shared" si="13"/>
        <v>233556.75</v>
      </c>
      <c r="I81" s="219">
        <f t="shared" si="13"/>
        <v>227283</v>
      </c>
      <c r="J81" s="311">
        <f t="shared" si="13"/>
        <v>6273.75</v>
      </c>
      <c r="N81" s="443"/>
    </row>
    <row r="82" spans="2:14" hidden="1" outlineLevel="2" x14ac:dyDescent="0.35">
      <c r="B82" s="487"/>
      <c r="C82" s="490"/>
      <c r="D82" s="250" t="s">
        <v>157</v>
      </c>
      <c r="E82" s="219">
        <v>0</v>
      </c>
      <c r="F82" s="219">
        <v>0</v>
      </c>
      <c r="G82" s="219">
        <v>0</v>
      </c>
      <c r="H82" s="219">
        <v>0</v>
      </c>
      <c r="I82" s="219">
        <v>0</v>
      </c>
      <c r="J82" s="311">
        <v>0</v>
      </c>
      <c r="N82" s="443"/>
    </row>
    <row r="83" spans="2:14" hidden="1" outlineLevel="2" x14ac:dyDescent="0.35">
      <c r="B83" s="487"/>
      <c r="C83" s="490"/>
      <c r="D83" s="250" t="s">
        <v>156</v>
      </c>
      <c r="E83" s="219">
        <v>0</v>
      </c>
      <c r="F83" s="219">
        <v>0</v>
      </c>
      <c r="G83" s="219">
        <v>0</v>
      </c>
      <c r="H83" s="219">
        <v>0</v>
      </c>
      <c r="I83" s="219">
        <v>0</v>
      </c>
      <c r="J83" s="311">
        <v>0</v>
      </c>
      <c r="N83" s="443"/>
    </row>
    <row r="84" spans="2:14" hidden="1" outlineLevel="2" x14ac:dyDescent="0.35">
      <c r="B84" s="487"/>
      <c r="C84" s="490"/>
      <c r="D84" s="250" t="s">
        <v>155</v>
      </c>
      <c r="E84" s="219">
        <v>0</v>
      </c>
      <c r="F84" s="219">
        <v>0</v>
      </c>
      <c r="G84" s="219">
        <v>0</v>
      </c>
      <c r="H84" s="219">
        <v>0</v>
      </c>
      <c r="I84" s="219">
        <v>0</v>
      </c>
      <c r="J84" s="311">
        <v>0</v>
      </c>
      <c r="N84" s="443"/>
    </row>
    <row r="85" spans="2:14" hidden="1" outlineLevel="2" x14ac:dyDescent="0.35">
      <c r="B85" s="487"/>
      <c r="C85" s="490"/>
      <c r="D85" s="250" t="s">
        <v>154</v>
      </c>
      <c r="E85" s="219">
        <v>0</v>
      </c>
      <c r="F85" s="219">
        <v>0</v>
      </c>
      <c r="G85" s="219">
        <v>0</v>
      </c>
      <c r="H85" s="219">
        <v>0</v>
      </c>
      <c r="I85" s="219">
        <v>0</v>
      </c>
      <c r="J85" s="311">
        <v>0</v>
      </c>
      <c r="N85" s="443"/>
    </row>
    <row r="86" spans="2:14" hidden="1" outlineLevel="2" x14ac:dyDescent="0.35">
      <c r="B86" s="487"/>
      <c r="C86" s="490"/>
      <c r="D86" s="250" t="s">
        <v>153</v>
      </c>
      <c r="E86" s="219">
        <v>0</v>
      </c>
      <c r="F86" s="219">
        <v>0</v>
      </c>
      <c r="G86" s="219">
        <v>0</v>
      </c>
      <c r="H86" s="219">
        <v>0</v>
      </c>
      <c r="I86" s="219">
        <v>0</v>
      </c>
      <c r="J86" s="311">
        <v>0</v>
      </c>
      <c r="N86" s="443"/>
    </row>
    <row r="87" spans="2:14" hidden="1" outlineLevel="2" x14ac:dyDescent="0.35">
      <c r="B87" s="487"/>
      <c r="C87" s="490"/>
      <c r="D87" s="250" t="s">
        <v>152</v>
      </c>
      <c r="E87" s="219">
        <v>0</v>
      </c>
      <c r="F87" s="219">
        <v>0</v>
      </c>
      <c r="G87" s="219">
        <v>0</v>
      </c>
      <c r="H87" s="219">
        <v>0</v>
      </c>
      <c r="I87" s="219">
        <v>0</v>
      </c>
      <c r="J87" s="311">
        <v>0</v>
      </c>
      <c r="N87" s="443"/>
    </row>
    <row r="88" spans="2:14" hidden="1" outlineLevel="2" x14ac:dyDescent="0.35">
      <c r="B88" s="487"/>
      <c r="C88" s="490"/>
      <c r="D88" s="250" t="s">
        <v>151</v>
      </c>
      <c r="E88" s="219">
        <v>0</v>
      </c>
      <c r="F88" s="219">
        <v>0</v>
      </c>
      <c r="G88" s="219">
        <v>0</v>
      </c>
      <c r="H88" s="219">
        <v>0</v>
      </c>
      <c r="I88" s="219">
        <v>0</v>
      </c>
      <c r="J88" s="311">
        <v>0</v>
      </c>
      <c r="N88" s="443"/>
    </row>
    <row r="89" spans="2:14" hidden="1" outlineLevel="2" x14ac:dyDescent="0.35">
      <c r="B89" s="487"/>
      <c r="C89" s="490"/>
      <c r="D89" s="250" t="s">
        <v>150</v>
      </c>
      <c r="E89" s="219">
        <v>1</v>
      </c>
      <c r="F89" s="219">
        <v>1</v>
      </c>
      <c r="G89" s="219">
        <v>2224350</v>
      </c>
      <c r="H89" s="219">
        <v>233556.75</v>
      </c>
      <c r="I89" s="219">
        <v>227283</v>
      </c>
      <c r="J89" s="311">
        <v>6273.75</v>
      </c>
      <c r="N89" s="443"/>
    </row>
    <row r="90" spans="2:14" outlineLevel="1" collapsed="1" x14ac:dyDescent="0.35">
      <c r="B90" s="487"/>
      <c r="C90" s="490"/>
      <c r="D90" s="251" t="s">
        <v>149</v>
      </c>
      <c r="E90" s="219">
        <f t="shared" ref="E90:J90" si="14">SUM(E91:E93)</f>
        <v>0</v>
      </c>
      <c r="F90" s="219">
        <f t="shared" si="14"/>
        <v>0</v>
      </c>
      <c r="G90" s="219">
        <f t="shared" si="14"/>
        <v>0</v>
      </c>
      <c r="H90" s="219">
        <f t="shared" si="14"/>
        <v>0</v>
      </c>
      <c r="I90" s="219">
        <f t="shared" si="14"/>
        <v>0</v>
      </c>
      <c r="J90" s="311">
        <f t="shared" si="14"/>
        <v>0</v>
      </c>
      <c r="N90" s="443"/>
    </row>
    <row r="91" spans="2:14" hidden="1" outlineLevel="2" x14ac:dyDescent="0.35">
      <c r="B91" s="487"/>
      <c r="C91" s="490"/>
      <c r="D91" s="250" t="s">
        <v>148</v>
      </c>
      <c r="E91" s="219">
        <v>0</v>
      </c>
      <c r="F91" s="219">
        <v>0</v>
      </c>
      <c r="G91" s="219">
        <v>0</v>
      </c>
      <c r="H91" s="219">
        <v>0</v>
      </c>
      <c r="I91" s="219">
        <v>0</v>
      </c>
      <c r="J91" s="311">
        <v>0</v>
      </c>
      <c r="N91" s="443"/>
    </row>
    <row r="92" spans="2:14" hidden="1" outlineLevel="2" x14ac:dyDescent="0.35">
      <c r="B92" s="487"/>
      <c r="C92" s="490"/>
      <c r="D92" s="250" t="s">
        <v>147</v>
      </c>
      <c r="E92" s="219">
        <v>0</v>
      </c>
      <c r="F92" s="219">
        <v>0</v>
      </c>
      <c r="G92" s="219">
        <v>0</v>
      </c>
      <c r="H92" s="219">
        <v>0</v>
      </c>
      <c r="I92" s="219">
        <v>0</v>
      </c>
      <c r="J92" s="311">
        <v>0</v>
      </c>
      <c r="N92" s="443"/>
    </row>
    <row r="93" spans="2:14" hidden="1" outlineLevel="2" x14ac:dyDescent="0.35">
      <c r="B93" s="487"/>
      <c r="C93" s="490"/>
      <c r="D93" s="250" t="s">
        <v>146</v>
      </c>
      <c r="E93" s="219">
        <v>0</v>
      </c>
      <c r="F93" s="219">
        <v>0</v>
      </c>
      <c r="G93" s="219">
        <v>0</v>
      </c>
      <c r="H93" s="219">
        <v>0</v>
      </c>
      <c r="I93" s="219">
        <v>0</v>
      </c>
      <c r="J93" s="311">
        <v>0</v>
      </c>
      <c r="N93" s="443"/>
    </row>
    <row r="94" spans="2:14" outlineLevel="1" collapsed="1" x14ac:dyDescent="0.35">
      <c r="B94" s="487"/>
      <c r="C94" s="490"/>
      <c r="D94" s="324" t="s">
        <v>133</v>
      </c>
      <c r="E94" s="219">
        <v>1</v>
      </c>
      <c r="F94" s="219">
        <v>1</v>
      </c>
      <c r="G94" s="219">
        <v>8349656.25</v>
      </c>
      <c r="H94" s="219">
        <v>834965.63</v>
      </c>
      <c r="I94" s="219">
        <v>833167.38</v>
      </c>
      <c r="J94" s="311">
        <v>1798.25</v>
      </c>
      <c r="N94" s="443"/>
    </row>
    <row r="95" spans="2:14" outlineLevel="1" x14ac:dyDescent="0.35">
      <c r="B95" s="487"/>
      <c r="C95" s="490"/>
      <c r="D95" s="236" t="s">
        <v>140</v>
      </c>
      <c r="E95" s="219">
        <v>0</v>
      </c>
      <c r="F95" s="219">
        <v>0</v>
      </c>
      <c r="G95" s="219">
        <v>0</v>
      </c>
      <c r="H95" s="219">
        <v>0</v>
      </c>
      <c r="I95" s="219">
        <v>0</v>
      </c>
      <c r="J95" s="311">
        <v>0</v>
      </c>
      <c r="N95" s="443"/>
    </row>
    <row r="96" spans="2:14" outlineLevel="1" x14ac:dyDescent="0.35">
      <c r="B96" s="487"/>
      <c r="C96" s="490"/>
      <c r="D96" s="23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11">
        <v>0</v>
      </c>
      <c r="N96" s="443"/>
    </row>
    <row r="97" spans="2:14" outlineLevel="1" x14ac:dyDescent="0.35">
      <c r="B97" s="487"/>
      <c r="C97" s="490"/>
      <c r="D97" s="236" t="s">
        <v>138</v>
      </c>
      <c r="E97" s="219">
        <f t="shared" ref="E97:J97" si="15">SUM(E98:E101)</f>
        <v>0</v>
      </c>
      <c r="F97" s="219">
        <f t="shared" si="15"/>
        <v>0</v>
      </c>
      <c r="G97" s="219">
        <f t="shared" si="15"/>
        <v>0</v>
      </c>
      <c r="H97" s="219">
        <f t="shared" si="15"/>
        <v>0</v>
      </c>
      <c r="I97" s="219">
        <f t="shared" si="15"/>
        <v>0</v>
      </c>
      <c r="J97" s="311">
        <f t="shared" si="15"/>
        <v>0</v>
      </c>
      <c r="N97" s="443"/>
    </row>
    <row r="98" spans="2:14" hidden="1" outlineLevel="2" x14ac:dyDescent="0.35">
      <c r="B98" s="487"/>
      <c r="C98" s="490"/>
      <c r="D98" s="242" t="s">
        <v>137</v>
      </c>
      <c r="E98" s="219">
        <v>0</v>
      </c>
      <c r="F98" s="219">
        <v>0</v>
      </c>
      <c r="G98" s="219">
        <v>0</v>
      </c>
      <c r="H98" s="219">
        <v>0</v>
      </c>
      <c r="I98" s="219">
        <v>0</v>
      </c>
      <c r="J98" s="311">
        <v>0</v>
      </c>
      <c r="N98" s="443"/>
    </row>
    <row r="99" spans="2:14" hidden="1" outlineLevel="2" x14ac:dyDescent="0.35">
      <c r="B99" s="487"/>
      <c r="C99" s="490"/>
      <c r="D99" s="242" t="s">
        <v>136</v>
      </c>
      <c r="E99" s="219">
        <v>0</v>
      </c>
      <c r="F99" s="219">
        <v>0</v>
      </c>
      <c r="G99" s="219">
        <v>0</v>
      </c>
      <c r="H99" s="219">
        <v>0</v>
      </c>
      <c r="I99" s="219">
        <v>0</v>
      </c>
      <c r="J99" s="311">
        <v>0</v>
      </c>
      <c r="N99" s="443"/>
    </row>
    <row r="100" spans="2:14" hidden="1" outlineLevel="2" x14ac:dyDescent="0.35">
      <c r="B100" s="487"/>
      <c r="C100" s="490"/>
      <c r="D100" s="242" t="s">
        <v>135</v>
      </c>
      <c r="E100" s="219">
        <v>0</v>
      </c>
      <c r="F100" s="219">
        <v>0</v>
      </c>
      <c r="G100" s="219">
        <v>0</v>
      </c>
      <c r="H100" s="219">
        <v>0</v>
      </c>
      <c r="I100" s="219">
        <v>0</v>
      </c>
      <c r="J100" s="311">
        <v>0</v>
      </c>
      <c r="N100" s="443"/>
    </row>
    <row r="101" spans="2:14" hidden="1" outlineLevel="2" x14ac:dyDescent="0.35">
      <c r="B101" s="487"/>
      <c r="C101" s="490"/>
      <c r="D101" s="242" t="s">
        <v>134</v>
      </c>
      <c r="E101" s="219">
        <v>0</v>
      </c>
      <c r="F101" s="219">
        <v>0</v>
      </c>
      <c r="G101" s="219">
        <v>0</v>
      </c>
      <c r="H101" s="219">
        <v>0</v>
      </c>
      <c r="I101" s="219">
        <v>0</v>
      </c>
      <c r="J101" s="311">
        <v>0</v>
      </c>
      <c r="N101" s="443"/>
    </row>
    <row r="102" spans="2:14" outlineLevel="1" collapsed="1" x14ac:dyDescent="0.35">
      <c r="B102" s="487"/>
      <c r="C102" s="490"/>
      <c r="D102" s="236" t="s">
        <v>132</v>
      </c>
      <c r="E102" s="219">
        <f t="shared" ref="E102:J102" si="16">SUM(E103:E106)</f>
        <v>7</v>
      </c>
      <c r="F102" s="219">
        <f t="shared" si="16"/>
        <v>7</v>
      </c>
      <c r="G102" s="219">
        <f t="shared" si="16"/>
        <v>16671588.1</v>
      </c>
      <c r="H102" s="219">
        <f t="shared" si="16"/>
        <v>2870452.4</v>
      </c>
      <c r="I102" s="219">
        <f t="shared" si="16"/>
        <v>2329416.5499999998</v>
      </c>
      <c r="J102" s="311">
        <f t="shared" si="16"/>
        <v>541035.85</v>
      </c>
      <c r="N102" s="443"/>
    </row>
    <row r="103" spans="2:14" hidden="1" outlineLevel="2" x14ac:dyDescent="0.35">
      <c r="B103" s="487"/>
      <c r="C103" s="490"/>
      <c r="D103" s="242" t="s">
        <v>131</v>
      </c>
      <c r="E103" s="219">
        <v>0</v>
      </c>
      <c r="F103" s="219">
        <v>0</v>
      </c>
      <c r="G103" s="219">
        <v>0</v>
      </c>
      <c r="H103" s="219">
        <v>0</v>
      </c>
      <c r="I103" s="219">
        <v>0</v>
      </c>
      <c r="J103" s="311">
        <v>0</v>
      </c>
      <c r="N103" s="443"/>
    </row>
    <row r="104" spans="2:14" hidden="1" outlineLevel="2" x14ac:dyDescent="0.35">
      <c r="B104" s="487"/>
      <c r="C104" s="490"/>
      <c r="D104" s="242" t="s">
        <v>130</v>
      </c>
      <c r="E104" s="219">
        <v>0</v>
      </c>
      <c r="F104" s="219">
        <v>0</v>
      </c>
      <c r="G104" s="219">
        <v>0</v>
      </c>
      <c r="H104" s="219">
        <v>0</v>
      </c>
      <c r="I104" s="219">
        <v>0</v>
      </c>
      <c r="J104" s="311">
        <v>0</v>
      </c>
      <c r="N104" s="443"/>
    </row>
    <row r="105" spans="2:14" hidden="1" outlineLevel="2" x14ac:dyDescent="0.35">
      <c r="B105" s="487"/>
      <c r="C105" s="490"/>
      <c r="D105" s="242" t="s">
        <v>129</v>
      </c>
      <c r="E105" s="219">
        <v>2</v>
      </c>
      <c r="F105" s="219">
        <v>2</v>
      </c>
      <c r="G105" s="219">
        <v>5705948.4000000004</v>
      </c>
      <c r="H105" s="219">
        <v>904386.18</v>
      </c>
      <c r="I105" s="219">
        <v>858954.72</v>
      </c>
      <c r="J105" s="311">
        <v>45431.46</v>
      </c>
      <c r="N105" s="443"/>
    </row>
    <row r="106" spans="2:14" hidden="1" outlineLevel="2" x14ac:dyDescent="0.35">
      <c r="B106" s="487"/>
      <c r="C106" s="490"/>
      <c r="D106" s="242" t="s">
        <v>128</v>
      </c>
      <c r="E106" s="219">
        <v>5</v>
      </c>
      <c r="F106" s="219">
        <v>5</v>
      </c>
      <c r="G106" s="219">
        <v>10965639.699999999</v>
      </c>
      <c r="H106" s="219">
        <v>1966066.22</v>
      </c>
      <c r="I106" s="219">
        <v>1470461.83</v>
      </c>
      <c r="J106" s="311">
        <v>495604.39</v>
      </c>
      <c r="N106" s="443"/>
    </row>
    <row r="107" spans="2:14" outlineLevel="1" collapsed="1" x14ac:dyDescent="0.35">
      <c r="B107" s="487"/>
      <c r="C107" s="490"/>
      <c r="D107" s="236" t="s">
        <v>41</v>
      </c>
      <c r="E107" s="219">
        <v>0</v>
      </c>
      <c r="F107" s="219">
        <v>0</v>
      </c>
      <c r="G107" s="219">
        <v>0</v>
      </c>
      <c r="H107" s="219">
        <v>0</v>
      </c>
      <c r="I107" s="219">
        <v>0</v>
      </c>
      <c r="J107" s="311">
        <v>0</v>
      </c>
      <c r="N107" s="443"/>
    </row>
    <row r="108" spans="2:14" x14ac:dyDescent="0.35">
      <c r="B108" s="488"/>
      <c r="C108" s="491"/>
      <c r="D108" s="439" t="s">
        <v>251</v>
      </c>
      <c r="E108" s="438">
        <f t="shared" ref="E108:J108" si="17">SUM(E102,E107,E97,E96,E94,E90,E81,E77,E95)</f>
        <v>9</v>
      </c>
      <c r="F108" s="438">
        <f t="shared" si="17"/>
        <v>9</v>
      </c>
      <c r="G108" s="438">
        <f t="shared" si="17"/>
        <v>27245594.350000001</v>
      </c>
      <c r="H108" s="438">
        <f t="shared" si="17"/>
        <v>3938974.78</v>
      </c>
      <c r="I108" s="437">
        <f t="shared" si="17"/>
        <v>3389866.9299999997</v>
      </c>
      <c r="J108" s="448">
        <f t="shared" si="17"/>
        <v>549107.85</v>
      </c>
      <c r="N108" s="443"/>
    </row>
    <row r="109" spans="2:14" ht="27.65" customHeight="1" outlineLevel="1" x14ac:dyDescent="0.35">
      <c r="B109" s="487" t="s">
        <v>250</v>
      </c>
      <c r="C109" s="490" t="s">
        <v>249</v>
      </c>
      <c r="D109" s="236" t="s">
        <v>123</v>
      </c>
      <c r="E109" s="219">
        <v>0</v>
      </c>
      <c r="F109" s="219">
        <v>0</v>
      </c>
      <c r="G109" s="219">
        <v>0</v>
      </c>
      <c r="H109" s="219">
        <v>0</v>
      </c>
      <c r="I109" s="219">
        <v>0</v>
      </c>
      <c r="J109" s="311">
        <v>0</v>
      </c>
      <c r="N109" s="443"/>
    </row>
    <row r="110" spans="2:14" ht="27.65" customHeight="1" outlineLevel="1" x14ac:dyDescent="0.35">
      <c r="B110" s="487"/>
      <c r="C110" s="490"/>
      <c r="D110" s="236" t="s">
        <v>122</v>
      </c>
      <c r="E110" s="219">
        <v>0</v>
      </c>
      <c r="F110" s="219">
        <v>0</v>
      </c>
      <c r="G110" s="219">
        <v>0</v>
      </c>
      <c r="H110" s="219">
        <v>0</v>
      </c>
      <c r="I110" s="219">
        <v>0</v>
      </c>
      <c r="J110" s="311">
        <v>0</v>
      </c>
      <c r="N110" s="443"/>
    </row>
    <row r="111" spans="2:14" ht="27.65" customHeight="1" outlineLevel="1" x14ac:dyDescent="0.35">
      <c r="B111" s="487"/>
      <c r="C111" s="490"/>
      <c r="D111" s="236" t="s">
        <v>48</v>
      </c>
      <c r="E111" s="219">
        <v>3</v>
      </c>
      <c r="F111" s="219">
        <v>3</v>
      </c>
      <c r="G111" s="219">
        <v>6533334.1499999994</v>
      </c>
      <c r="H111" s="219">
        <v>1306666.83</v>
      </c>
      <c r="I111" s="219">
        <v>915320.29</v>
      </c>
      <c r="J111" s="311">
        <v>391346.54000000004</v>
      </c>
      <c r="N111" s="443"/>
    </row>
    <row r="112" spans="2:14" ht="27.65" customHeight="1" outlineLevel="1" x14ac:dyDescent="0.35">
      <c r="B112" s="487"/>
      <c r="C112" s="490"/>
      <c r="D112" s="236" t="s">
        <v>47</v>
      </c>
      <c r="E112" s="219">
        <v>4</v>
      </c>
      <c r="F112" s="219">
        <v>4</v>
      </c>
      <c r="G112" s="219">
        <v>9454044.6999999993</v>
      </c>
      <c r="H112" s="219">
        <v>1890808.94</v>
      </c>
      <c r="I112" s="219">
        <v>1555736.5</v>
      </c>
      <c r="J112" s="311">
        <v>335072.44</v>
      </c>
      <c r="N112" s="443"/>
    </row>
    <row r="113" spans="2:14" ht="27.65" customHeight="1" outlineLevel="1" x14ac:dyDescent="0.35">
      <c r="B113" s="487"/>
      <c r="C113" s="490"/>
      <c r="D113" s="236" t="s">
        <v>40</v>
      </c>
      <c r="E113" s="219">
        <v>20</v>
      </c>
      <c r="F113" s="219">
        <v>20</v>
      </c>
      <c r="G113" s="219">
        <v>43030704.789999984</v>
      </c>
      <c r="H113" s="219">
        <v>8606140.9600000009</v>
      </c>
      <c r="I113" s="219">
        <v>8556168.5600000005</v>
      </c>
      <c r="J113" s="311">
        <v>49972.4</v>
      </c>
      <c r="N113" s="443"/>
    </row>
    <row r="114" spans="2:14" ht="27.65" customHeight="1" outlineLevel="1" x14ac:dyDescent="0.35">
      <c r="B114" s="487"/>
      <c r="C114" s="490"/>
      <c r="D114" s="236" t="s">
        <v>39</v>
      </c>
      <c r="E114" s="219">
        <v>14</v>
      </c>
      <c r="F114" s="219">
        <v>13</v>
      </c>
      <c r="G114" s="219">
        <v>29744638.799999997</v>
      </c>
      <c r="H114" s="219">
        <v>5522852.419999999</v>
      </c>
      <c r="I114" s="219">
        <v>5324684.3499999996</v>
      </c>
      <c r="J114" s="311">
        <v>198168.07</v>
      </c>
      <c r="N114" s="443"/>
    </row>
    <row r="115" spans="2:14" ht="27.65" customHeight="1" outlineLevel="1" x14ac:dyDescent="0.35">
      <c r="B115" s="487"/>
      <c r="C115" s="490"/>
      <c r="D115" s="236" t="s">
        <v>38</v>
      </c>
      <c r="E115" s="219">
        <v>3</v>
      </c>
      <c r="F115" s="219">
        <v>2</v>
      </c>
      <c r="G115" s="219">
        <v>22264705</v>
      </c>
      <c r="H115" s="219">
        <v>3972729.6</v>
      </c>
      <c r="I115" s="219">
        <v>3773593</v>
      </c>
      <c r="J115" s="311">
        <v>199136.6</v>
      </c>
      <c r="N115" s="443"/>
    </row>
    <row r="116" spans="2:14" x14ac:dyDescent="0.35">
      <c r="B116" s="488"/>
      <c r="C116" s="491"/>
      <c r="D116" s="439" t="s">
        <v>248</v>
      </c>
      <c r="E116" s="438">
        <f t="shared" ref="E116:J116" si="18">SUM(E109:E115)</f>
        <v>44</v>
      </c>
      <c r="F116" s="438">
        <f t="shared" si="18"/>
        <v>42</v>
      </c>
      <c r="G116" s="438">
        <f t="shared" si="18"/>
        <v>111027427.43999998</v>
      </c>
      <c r="H116" s="438">
        <f t="shared" si="18"/>
        <v>21299198.75</v>
      </c>
      <c r="I116" s="437">
        <f t="shared" si="18"/>
        <v>20125502.700000003</v>
      </c>
      <c r="J116" s="448">
        <f t="shared" si="18"/>
        <v>1173696.05</v>
      </c>
      <c r="N116" s="443"/>
    </row>
    <row r="117" spans="2:14" ht="27.65" customHeight="1" outlineLevel="1" x14ac:dyDescent="0.35">
      <c r="B117" s="487" t="s">
        <v>247</v>
      </c>
      <c r="C117" s="490" t="s">
        <v>246</v>
      </c>
      <c r="D117" s="236" t="s">
        <v>36</v>
      </c>
      <c r="E117" s="219">
        <v>0</v>
      </c>
      <c r="F117" s="219">
        <v>0</v>
      </c>
      <c r="G117" s="219">
        <v>0</v>
      </c>
      <c r="H117" s="219">
        <v>0</v>
      </c>
      <c r="I117" s="219">
        <v>0</v>
      </c>
      <c r="J117" s="311">
        <v>0</v>
      </c>
      <c r="N117" s="443"/>
    </row>
    <row r="118" spans="2:14" ht="27.65" customHeight="1" outlineLevel="1" x14ac:dyDescent="0.35">
      <c r="B118" s="487"/>
      <c r="C118" s="490"/>
      <c r="D118" s="236" t="s">
        <v>35</v>
      </c>
      <c r="E118" s="219">
        <v>0</v>
      </c>
      <c r="F118" s="219">
        <v>0</v>
      </c>
      <c r="G118" s="219">
        <v>0</v>
      </c>
      <c r="H118" s="219">
        <v>0</v>
      </c>
      <c r="I118" s="219">
        <v>0</v>
      </c>
      <c r="J118" s="311">
        <v>0</v>
      </c>
      <c r="N118" s="443"/>
    </row>
    <row r="119" spans="2:14" ht="27.65" customHeight="1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11">
        <v>0</v>
      </c>
      <c r="N119" s="443"/>
    </row>
    <row r="120" spans="2:14" ht="27.65" customHeight="1" outlineLevel="1" x14ac:dyDescent="0.35">
      <c r="B120" s="487"/>
      <c r="C120" s="490"/>
      <c r="D120" s="236" t="s">
        <v>33</v>
      </c>
      <c r="E120" s="219">
        <v>0</v>
      </c>
      <c r="F120" s="219">
        <v>0</v>
      </c>
      <c r="G120" s="219">
        <v>0</v>
      </c>
      <c r="H120" s="219">
        <v>0</v>
      </c>
      <c r="I120" s="219">
        <v>0</v>
      </c>
      <c r="J120" s="311">
        <v>0</v>
      </c>
      <c r="N120" s="443"/>
    </row>
    <row r="121" spans="2:14" x14ac:dyDescent="0.35">
      <c r="B121" s="488"/>
      <c r="C121" s="491"/>
      <c r="D121" s="439" t="s">
        <v>245</v>
      </c>
      <c r="E121" s="438">
        <f t="shared" ref="E121:J121" si="19">SUM(E117:E120)</f>
        <v>0</v>
      </c>
      <c r="F121" s="438">
        <f t="shared" si="19"/>
        <v>0</v>
      </c>
      <c r="G121" s="438">
        <f t="shared" si="19"/>
        <v>0</v>
      </c>
      <c r="H121" s="438">
        <f t="shared" si="19"/>
        <v>0</v>
      </c>
      <c r="I121" s="437">
        <f t="shared" si="19"/>
        <v>0</v>
      </c>
      <c r="J121" s="448">
        <f t="shared" si="19"/>
        <v>0</v>
      </c>
      <c r="N121" s="443"/>
    </row>
    <row r="122" spans="2:14" outlineLevel="1" x14ac:dyDescent="0.35">
      <c r="B122" s="497" t="s">
        <v>144</v>
      </c>
      <c r="C122" s="484" t="s">
        <v>244</v>
      </c>
      <c r="D122" s="231"/>
      <c r="E122" s="227"/>
      <c r="F122" s="227"/>
      <c r="G122" s="227"/>
      <c r="H122" s="230"/>
      <c r="I122" s="229"/>
      <c r="J122" s="312"/>
      <c r="K122" s="297"/>
      <c r="N122" s="443"/>
    </row>
    <row r="123" spans="2:14" outlineLevel="1" x14ac:dyDescent="0.35">
      <c r="B123" s="492"/>
      <c r="C123" s="485"/>
      <c r="D123" s="225" t="s">
        <v>145</v>
      </c>
      <c r="E123" s="219">
        <f t="shared" ref="E123:J123" si="20">SUM(E124:E127)</f>
        <v>0</v>
      </c>
      <c r="F123" s="219">
        <f t="shared" si="20"/>
        <v>0</v>
      </c>
      <c r="G123" s="219">
        <f t="shared" si="20"/>
        <v>0</v>
      </c>
      <c r="H123" s="219">
        <f t="shared" si="20"/>
        <v>0</v>
      </c>
      <c r="I123" s="219">
        <f t="shared" si="20"/>
        <v>0</v>
      </c>
      <c r="J123" s="311">
        <f t="shared" si="20"/>
        <v>0</v>
      </c>
      <c r="N123" s="443"/>
    </row>
    <row r="124" spans="2:14" hidden="1" outlineLevel="2" x14ac:dyDescent="0.35">
      <c r="B124" s="492"/>
      <c r="C124" s="485"/>
      <c r="D124" s="222" t="s">
        <v>144</v>
      </c>
      <c r="E124" s="219">
        <v>0</v>
      </c>
      <c r="F124" s="219">
        <v>0</v>
      </c>
      <c r="G124" s="219">
        <v>0</v>
      </c>
      <c r="H124" s="219">
        <v>0</v>
      </c>
      <c r="I124" s="219">
        <v>0</v>
      </c>
      <c r="J124" s="311">
        <v>0</v>
      </c>
      <c r="N124" s="443"/>
    </row>
    <row r="125" spans="2:14" hidden="1" outlineLevel="2" x14ac:dyDescent="0.35">
      <c r="B125" s="492"/>
      <c r="C125" s="485"/>
      <c r="D125" s="223" t="s">
        <v>143</v>
      </c>
      <c r="E125" s="219">
        <v>0</v>
      </c>
      <c r="F125" s="219">
        <v>0</v>
      </c>
      <c r="G125" s="219">
        <v>0</v>
      </c>
      <c r="H125" s="219">
        <v>0</v>
      </c>
      <c r="I125" s="219">
        <v>0</v>
      </c>
      <c r="J125" s="311">
        <v>0</v>
      </c>
      <c r="N125" s="443"/>
    </row>
    <row r="126" spans="2:14" hidden="1" outlineLevel="2" x14ac:dyDescent="0.35">
      <c r="B126" s="492"/>
      <c r="C126" s="485"/>
      <c r="D126" s="223" t="s">
        <v>142</v>
      </c>
      <c r="E126" s="219">
        <v>0</v>
      </c>
      <c r="F126" s="219">
        <v>0</v>
      </c>
      <c r="G126" s="219">
        <v>0</v>
      </c>
      <c r="H126" s="219">
        <v>0</v>
      </c>
      <c r="I126" s="219">
        <v>0</v>
      </c>
      <c r="J126" s="311">
        <v>0</v>
      </c>
      <c r="N126" s="443"/>
    </row>
    <row r="127" spans="2:14" hidden="1" outlineLevel="2" x14ac:dyDescent="0.35">
      <c r="B127" s="492"/>
      <c r="C127" s="485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11">
        <v>0</v>
      </c>
      <c r="N127" s="443"/>
    </row>
    <row r="128" spans="2:14" outlineLevel="1" collapsed="1" x14ac:dyDescent="0.35">
      <c r="B128" s="492"/>
      <c r="C128" s="485"/>
      <c r="D128" s="221" t="s">
        <v>121</v>
      </c>
      <c r="E128" s="219">
        <f t="shared" ref="E128:J128" si="21">SUM(E129:E162)</f>
        <v>1</v>
      </c>
      <c r="F128" s="219">
        <f t="shared" si="21"/>
        <v>1</v>
      </c>
      <c r="G128" s="219">
        <f t="shared" si="21"/>
        <v>2514899</v>
      </c>
      <c r="H128" s="219">
        <f t="shared" si="21"/>
        <v>251489.9</v>
      </c>
      <c r="I128" s="219">
        <f t="shared" si="21"/>
        <v>0</v>
      </c>
      <c r="J128" s="311">
        <f t="shared" si="21"/>
        <v>251489.9</v>
      </c>
      <c r="N128" s="443"/>
    </row>
    <row r="129" spans="2:14" hidden="1" outlineLevel="2" x14ac:dyDescent="0.35">
      <c r="B129" s="492"/>
      <c r="C129" s="485"/>
      <c r="D129" s="224" t="s">
        <v>119</v>
      </c>
      <c r="E129" s="219">
        <v>0</v>
      </c>
      <c r="F129" s="219">
        <v>0</v>
      </c>
      <c r="G129" s="219">
        <v>0</v>
      </c>
      <c r="H129" s="219">
        <v>0</v>
      </c>
      <c r="I129" s="219">
        <v>0</v>
      </c>
      <c r="J129" s="311">
        <v>0</v>
      </c>
      <c r="N129" s="443"/>
    </row>
    <row r="130" spans="2:14" hidden="1" outlineLevel="2" x14ac:dyDescent="0.35">
      <c r="B130" s="492"/>
      <c r="C130" s="485"/>
      <c r="D130" s="223" t="s">
        <v>118</v>
      </c>
      <c r="E130" s="219">
        <v>0</v>
      </c>
      <c r="F130" s="219">
        <v>0</v>
      </c>
      <c r="G130" s="219">
        <v>0</v>
      </c>
      <c r="H130" s="219">
        <v>0</v>
      </c>
      <c r="I130" s="219">
        <v>0</v>
      </c>
      <c r="J130" s="311">
        <v>0</v>
      </c>
      <c r="N130" s="443"/>
    </row>
    <row r="131" spans="2:14" hidden="1" outlineLevel="2" x14ac:dyDescent="0.35">
      <c r="B131" s="492"/>
      <c r="C131" s="485"/>
      <c r="D131" s="223" t="s">
        <v>117</v>
      </c>
      <c r="E131" s="219">
        <v>0</v>
      </c>
      <c r="F131" s="219">
        <v>0</v>
      </c>
      <c r="G131" s="219">
        <v>0</v>
      </c>
      <c r="H131" s="219">
        <v>0</v>
      </c>
      <c r="I131" s="219">
        <v>0</v>
      </c>
      <c r="J131" s="311">
        <v>0</v>
      </c>
      <c r="N131" s="443"/>
    </row>
    <row r="132" spans="2:14" hidden="1" outlineLevel="2" x14ac:dyDescent="0.35">
      <c r="B132" s="492"/>
      <c r="C132" s="485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11">
        <v>0</v>
      </c>
      <c r="N132" s="443"/>
    </row>
    <row r="133" spans="2:14" hidden="1" outlineLevel="2" collapsed="1" x14ac:dyDescent="0.35">
      <c r="B133" s="492"/>
      <c r="C133" s="485"/>
      <c r="D133" s="445" t="s">
        <v>114</v>
      </c>
      <c r="E133" s="219">
        <v>0</v>
      </c>
      <c r="F133" s="219">
        <v>0</v>
      </c>
      <c r="G133" s="219">
        <v>0</v>
      </c>
      <c r="H133" s="219">
        <v>0</v>
      </c>
      <c r="I133" s="219">
        <v>0</v>
      </c>
      <c r="J133" s="311">
        <v>0</v>
      </c>
      <c r="N133" s="443"/>
    </row>
    <row r="134" spans="2:14" hidden="1" outlineLevel="2" x14ac:dyDescent="0.35">
      <c r="B134" s="492"/>
      <c r="C134" s="485"/>
      <c r="D134" s="223" t="s">
        <v>113</v>
      </c>
      <c r="E134" s="219">
        <v>0</v>
      </c>
      <c r="F134" s="219">
        <v>0</v>
      </c>
      <c r="G134" s="219">
        <v>0</v>
      </c>
      <c r="H134" s="219">
        <v>0</v>
      </c>
      <c r="I134" s="219">
        <v>0</v>
      </c>
      <c r="J134" s="311">
        <v>0</v>
      </c>
      <c r="N134" s="443"/>
    </row>
    <row r="135" spans="2:14" hidden="1" outlineLevel="2" x14ac:dyDescent="0.35">
      <c r="B135" s="492"/>
      <c r="C135" s="485"/>
      <c r="D135" s="223" t="s">
        <v>112</v>
      </c>
      <c r="E135" s="219">
        <v>0</v>
      </c>
      <c r="F135" s="219">
        <v>0</v>
      </c>
      <c r="G135" s="219">
        <v>0</v>
      </c>
      <c r="H135" s="219">
        <v>0</v>
      </c>
      <c r="I135" s="219">
        <v>0</v>
      </c>
      <c r="J135" s="311">
        <v>0</v>
      </c>
      <c r="N135" s="443"/>
    </row>
    <row r="136" spans="2:14" hidden="1" outlineLevel="2" x14ac:dyDescent="0.35">
      <c r="B136" s="492"/>
      <c r="C136" s="485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11">
        <v>0</v>
      </c>
      <c r="N136" s="443"/>
    </row>
    <row r="137" spans="2:14" hidden="1" outlineLevel="2" collapsed="1" x14ac:dyDescent="0.35">
      <c r="B137" s="492"/>
      <c r="C137" s="485"/>
      <c r="D137" s="445" t="s">
        <v>109</v>
      </c>
      <c r="E137" s="219">
        <v>0</v>
      </c>
      <c r="F137" s="219">
        <v>0</v>
      </c>
      <c r="G137" s="219">
        <v>0</v>
      </c>
      <c r="H137" s="219">
        <v>0</v>
      </c>
      <c r="I137" s="219">
        <v>0</v>
      </c>
      <c r="J137" s="311">
        <v>0</v>
      </c>
      <c r="N137" s="443"/>
    </row>
    <row r="138" spans="2:14" hidden="1" outlineLevel="2" x14ac:dyDescent="0.35">
      <c r="B138" s="492"/>
      <c r="C138" s="485"/>
      <c r="D138" s="222" t="s">
        <v>108</v>
      </c>
      <c r="E138" s="219">
        <v>0</v>
      </c>
      <c r="F138" s="219">
        <v>0</v>
      </c>
      <c r="G138" s="219">
        <v>0</v>
      </c>
      <c r="H138" s="219">
        <v>0</v>
      </c>
      <c r="I138" s="219">
        <v>0</v>
      </c>
      <c r="J138" s="311">
        <v>0</v>
      </c>
      <c r="N138" s="443"/>
    </row>
    <row r="139" spans="2:14" hidden="1" outlineLevel="2" x14ac:dyDescent="0.35">
      <c r="B139" s="492"/>
      <c r="C139" s="485"/>
      <c r="D139" s="222" t="s">
        <v>107</v>
      </c>
      <c r="E139" s="219">
        <v>0</v>
      </c>
      <c r="F139" s="219">
        <v>0</v>
      </c>
      <c r="G139" s="219">
        <v>0</v>
      </c>
      <c r="H139" s="219">
        <v>0</v>
      </c>
      <c r="I139" s="219">
        <v>0</v>
      </c>
      <c r="J139" s="311">
        <v>0</v>
      </c>
      <c r="N139" s="443"/>
    </row>
    <row r="140" spans="2:14" hidden="1" outlineLevel="2" x14ac:dyDescent="0.35">
      <c r="B140" s="492"/>
      <c r="C140" s="485"/>
      <c r="D140" s="222" t="s">
        <v>106</v>
      </c>
      <c r="E140" s="219">
        <v>0</v>
      </c>
      <c r="F140" s="219">
        <v>0</v>
      </c>
      <c r="G140" s="219">
        <v>0</v>
      </c>
      <c r="H140" s="219">
        <v>0</v>
      </c>
      <c r="I140" s="219">
        <v>0</v>
      </c>
      <c r="J140" s="311">
        <v>0</v>
      </c>
      <c r="N140" s="443"/>
    </row>
    <row r="141" spans="2:14" hidden="1" outlineLevel="2" collapsed="1" x14ac:dyDescent="0.35">
      <c r="B141" s="492"/>
      <c r="C141" s="485"/>
      <c r="D141" s="446" t="s">
        <v>104</v>
      </c>
      <c r="E141" s="219">
        <v>0</v>
      </c>
      <c r="F141" s="219">
        <v>0</v>
      </c>
      <c r="G141" s="219">
        <v>0</v>
      </c>
      <c r="H141" s="219">
        <v>0</v>
      </c>
      <c r="I141" s="219">
        <v>0</v>
      </c>
      <c r="J141" s="311">
        <v>0</v>
      </c>
      <c r="N141" s="443"/>
    </row>
    <row r="142" spans="2:14" hidden="1" outlineLevel="2" x14ac:dyDescent="0.35">
      <c r="B142" s="492"/>
      <c r="C142" s="485"/>
      <c r="D142" s="222" t="s">
        <v>103</v>
      </c>
      <c r="E142" s="219">
        <v>0</v>
      </c>
      <c r="F142" s="219">
        <v>0</v>
      </c>
      <c r="G142" s="219">
        <v>0</v>
      </c>
      <c r="H142" s="219">
        <v>0</v>
      </c>
      <c r="I142" s="219">
        <v>0</v>
      </c>
      <c r="J142" s="311">
        <v>0</v>
      </c>
      <c r="N142" s="443"/>
    </row>
    <row r="143" spans="2:14" hidden="1" outlineLevel="2" x14ac:dyDescent="0.35">
      <c r="B143" s="492"/>
      <c r="C143" s="485"/>
      <c r="D143" s="222" t="s">
        <v>102</v>
      </c>
      <c r="E143" s="219">
        <v>0</v>
      </c>
      <c r="F143" s="219">
        <v>0</v>
      </c>
      <c r="G143" s="219">
        <v>0</v>
      </c>
      <c r="H143" s="219">
        <v>0</v>
      </c>
      <c r="I143" s="219">
        <v>0</v>
      </c>
      <c r="J143" s="311">
        <v>0</v>
      </c>
      <c r="N143" s="443"/>
    </row>
    <row r="144" spans="2:14" hidden="1" outlineLevel="2" x14ac:dyDescent="0.35">
      <c r="B144" s="492"/>
      <c r="C144" s="485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11">
        <v>0</v>
      </c>
      <c r="N144" s="443"/>
    </row>
    <row r="145" spans="2:14" hidden="1" outlineLevel="2" collapsed="1" x14ac:dyDescent="0.35">
      <c r="B145" s="492"/>
      <c r="C145" s="485"/>
      <c r="D145" s="446" t="s">
        <v>99</v>
      </c>
      <c r="E145" s="219">
        <v>0</v>
      </c>
      <c r="F145" s="219">
        <v>0</v>
      </c>
      <c r="G145" s="219">
        <v>0</v>
      </c>
      <c r="H145" s="219">
        <v>0</v>
      </c>
      <c r="I145" s="219">
        <v>0</v>
      </c>
      <c r="J145" s="311">
        <v>0</v>
      </c>
      <c r="N145" s="443"/>
    </row>
    <row r="146" spans="2:14" hidden="1" outlineLevel="2" x14ac:dyDescent="0.35">
      <c r="B146" s="492"/>
      <c r="C146" s="485"/>
      <c r="D146" s="223" t="s">
        <v>98</v>
      </c>
      <c r="E146" s="219">
        <v>0</v>
      </c>
      <c r="F146" s="219">
        <v>0</v>
      </c>
      <c r="G146" s="219">
        <v>0</v>
      </c>
      <c r="H146" s="219">
        <v>0</v>
      </c>
      <c r="I146" s="219">
        <v>0</v>
      </c>
      <c r="J146" s="311">
        <v>0</v>
      </c>
      <c r="N146" s="443"/>
    </row>
    <row r="147" spans="2:14" hidden="1" outlineLevel="2" x14ac:dyDescent="0.35">
      <c r="B147" s="492"/>
      <c r="C147" s="485"/>
      <c r="D147" s="223" t="s">
        <v>97</v>
      </c>
      <c r="E147" s="219">
        <v>0</v>
      </c>
      <c r="F147" s="219">
        <v>0</v>
      </c>
      <c r="G147" s="219">
        <v>0</v>
      </c>
      <c r="H147" s="219">
        <v>0</v>
      </c>
      <c r="I147" s="219">
        <v>0</v>
      </c>
      <c r="J147" s="311">
        <v>0</v>
      </c>
      <c r="N147" s="443"/>
    </row>
    <row r="148" spans="2:14" hidden="1" outlineLevel="2" x14ac:dyDescent="0.35">
      <c r="B148" s="492"/>
      <c r="C148" s="485"/>
      <c r="D148" s="223" t="s">
        <v>96</v>
      </c>
      <c r="E148" s="219">
        <v>0</v>
      </c>
      <c r="F148" s="219">
        <v>0</v>
      </c>
      <c r="G148" s="219">
        <v>0</v>
      </c>
      <c r="H148" s="219">
        <v>0</v>
      </c>
      <c r="I148" s="219">
        <v>0</v>
      </c>
      <c r="J148" s="311">
        <v>0</v>
      </c>
      <c r="N148" s="443"/>
    </row>
    <row r="149" spans="2:14" hidden="1" outlineLevel="2" collapsed="1" x14ac:dyDescent="0.35">
      <c r="B149" s="492"/>
      <c r="C149" s="485"/>
      <c r="D149" s="445" t="s">
        <v>94</v>
      </c>
      <c r="E149" s="219">
        <v>0</v>
      </c>
      <c r="F149" s="219">
        <v>0</v>
      </c>
      <c r="G149" s="219">
        <v>0</v>
      </c>
      <c r="H149" s="219">
        <v>0</v>
      </c>
      <c r="I149" s="219">
        <v>0</v>
      </c>
      <c r="J149" s="311">
        <v>0</v>
      </c>
      <c r="N149" s="443"/>
    </row>
    <row r="150" spans="2:14" hidden="1" outlineLevel="2" x14ac:dyDescent="0.35">
      <c r="B150" s="492"/>
      <c r="C150" s="485"/>
      <c r="D150" s="223" t="s">
        <v>93</v>
      </c>
      <c r="E150" s="219">
        <v>0</v>
      </c>
      <c r="F150" s="219">
        <v>0</v>
      </c>
      <c r="G150" s="219">
        <v>0</v>
      </c>
      <c r="H150" s="219">
        <v>0</v>
      </c>
      <c r="I150" s="219">
        <v>0</v>
      </c>
      <c r="J150" s="311">
        <v>0</v>
      </c>
      <c r="N150" s="443"/>
    </row>
    <row r="151" spans="2:14" hidden="1" outlineLevel="2" x14ac:dyDescent="0.35">
      <c r="B151" s="492"/>
      <c r="C151" s="485"/>
      <c r="D151" s="223" t="s">
        <v>92</v>
      </c>
      <c r="E151" s="219">
        <v>0</v>
      </c>
      <c r="F151" s="219">
        <v>0</v>
      </c>
      <c r="G151" s="219">
        <v>0</v>
      </c>
      <c r="H151" s="219">
        <v>0</v>
      </c>
      <c r="I151" s="219">
        <v>0</v>
      </c>
      <c r="J151" s="311">
        <v>0</v>
      </c>
      <c r="N151" s="443"/>
    </row>
    <row r="152" spans="2:14" hidden="1" outlineLevel="2" x14ac:dyDescent="0.35">
      <c r="B152" s="492"/>
      <c r="C152" s="485"/>
      <c r="D152" s="223" t="s">
        <v>91</v>
      </c>
      <c r="E152" s="219">
        <v>0</v>
      </c>
      <c r="F152" s="219">
        <v>0</v>
      </c>
      <c r="G152" s="219">
        <v>0</v>
      </c>
      <c r="H152" s="219">
        <v>0</v>
      </c>
      <c r="I152" s="219">
        <v>0</v>
      </c>
      <c r="J152" s="311">
        <v>0</v>
      </c>
      <c r="N152" s="443"/>
    </row>
    <row r="153" spans="2:14" hidden="1" outlineLevel="2" collapsed="1" x14ac:dyDescent="0.35">
      <c r="B153" s="492"/>
      <c r="C153" s="485"/>
      <c r="D153" s="445" t="s">
        <v>89</v>
      </c>
      <c r="E153" s="219">
        <v>0</v>
      </c>
      <c r="F153" s="219">
        <v>0</v>
      </c>
      <c r="G153" s="219">
        <v>0</v>
      </c>
      <c r="H153" s="219">
        <v>0</v>
      </c>
      <c r="I153" s="219">
        <v>0</v>
      </c>
      <c r="J153" s="311">
        <v>0</v>
      </c>
      <c r="N153" s="443"/>
    </row>
    <row r="154" spans="2:14" hidden="1" outlineLevel="2" x14ac:dyDescent="0.35">
      <c r="B154" s="492"/>
      <c r="C154" s="485"/>
      <c r="D154" s="223" t="s">
        <v>88</v>
      </c>
      <c r="E154" s="219">
        <v>0</v>
      </c>
      <c r="F154" s="219">
        <v>0</v>
      </c>
      <c r="G154" s="219">
        <v>0</v>
      </c>
      <c r="H154" s="219">
        <v>0</v>
      </c>
      <c r="I154" s="219">
        <v>0</v>
      </c>
      <c r="J154" s="311">
        <v>0</v>
      </c>
      <c r="N154" s="443"/>
    </row>
    <row r="155" spans="2:14" hidden="1" outlineLevel="2" x14ac:dyDescent="0.35">
      <c r="B155" s="492"/>
      <c r="C155" s="485"/>
      <c r="D155" s="223" t="s">
        <v>87</v>
      </c>
      <c r="E155" s="219">
        <v>0</v>
      </c>
      <c r="F155" s="219">
        <v>0</v>
      </c>
      <c r="G155" s="219">
        <v>0</v>
      </c>
      <c r="H155" s="219">
        <v>0</v>
      </c>
      <c r="I155" s="219">
        <v>0</v>
      </c>
      <c r="J155" s="311">
        <v>0</v>
      </c>
      <c r="N155" s="443"/>
    </row>
    <row r="156" spans="2:14" hidden="1" outlineLevel="2" x14ac:dyDescent="0.35">
      <c r="B156" s="492"/>
      <c r="C156" s="485"/>
      <c r="D156" s="223" t="s">
        <v>86</v>
      </c>
      <c r="E156" s="219">
        <v>0</v>
      </c>
      <c r="F156" s="219">
        <v>0</v>
      </c>
      <c r="G156" s="219">
        <v>0</v>
      </c>
      <c r="H156" s="219">
        <v>0</v>
      </c>
      <c r="I156" s="219">
        <v>0</v>
      </c>
      <c r="J156" s="311">
        <v>0</v>
      </c>
      <c r="N156" s="443"/>
    </row>
    <row r="157" spans="2:14" hidden="1" outlineLevel="2" collapsed="1" x14ac:dyDescent="0.35">
      <c r="B157" s="492"/>
      <c r="C157" s="485"/>
      <c r="D157" s="445" t="s">
        <v>84</v>
      </c>
      <c r="E157" s="219">
        <v>1</v>
      </c>
      <c r="F157" s="219">
        <v>1</v>
      </c>
      <c r="G157" s="219">
        <v>2514899</v>
      </c>
      <c r="H157" s="219">
        <v>251489.9</v>
      </c>
      <c r="I157" s="219">
        <v>0</v>
      </c>
      <c r="J157" s="311">
        <v>251489.9</v>
      </c>
      <c r="N157" s="443"/>
    </row>
    <row r="158" spans="2:14" hidden="1" outlineLevel="2" x14ac:dyDescent="0.35">
      <c r="B158" s="492"/>
      <c r="C158" s="485"/>
      <c r="D158" s="223" t="s">
        <v>83</v>
      </c>
      <c r="E158" s="219">
        <v>0</v>
      </c>
      <c r="F158" s="219">
        <v>0</v>
      </c>
      <c r="G158" s="219">
        <v>0</v>
      </c>
      <c r="H158" s="219">
        <v>0</v>
      </c>
      <c r="I158" s="219">
        <v>0</v>
      </c>
      <c r="J158" s="311">
        <v>0</v>
      </c>
      <c r="N158" s="443"/>
    </row>
    <row r="159" spans="2:14" hidden="1" outlineLevel="2" x14ac:dyDescent="0.35">
      <c r="B159" s="492"/>
      <c r="C159" s="485"/>
      <c r="D159" s="223" t="s">
        <v>82</v>
      </c>
      <c r="E159" s="219">
        <v>0</v>
      </c>
      <c r="F159" s="219">
        <v>0</v>
      </c>
      <c r="G159" s="219">
        <v>0</v>
      </c>
      <c r="H159" s="219">
        <v>0</v>
      </c>
      <c r="I159" s="219">
        <v>0</v>
      </c>
      <c r="J159" s="311">
        <v>0</v>
      </c>
      <c r="N159" s="443"/>
    </row>
    <row r="160" spans="2:14" hidden="1" outlineLevel="2" x14ac:dyDescent="0.35">
      <c r="B160" s="492"/>
      <c r="C160" s="485"/>
      <c r="D160" s="223" t="s">
        <v>81</v>
      </c>
      <c r="E160" s="219">
        <v>0</v>
      </c>
      <c r="F160" s="219">
        <v>0</v>
      </c>
      <c r="G160" s="219">
        <v>0</v>
      </c>
      <c r="H160" s="219">
        <v>0</v>
      </c>
      <c r="I160" s="219">
        <v>0</v>
      </c>
      <c r="J160" s="311">
        <v>0</v>
      </c>
      <c r="N160" s="443"/>
    </row>
    <row r="161" spans="2:14" hidden="1" outlineLevel="2" x14ac:dyDescent="0.35">
      <c r="B161" s="492"/>
      <c r="C161" s="485"/>
      <c r="D161" s="223" t="s">
        <v>79</v>
      </c>
      <c r="E161" s="219">
        <v>0</v>
      </c>
      <c r="F161" s="219">
        <v>0</v>
      </c>
      <c r="G161" s="219">
        <v>0</v>
      </c>
      <c r="H161" s="219">
        <v>0</v>
      </c>
      <c r="I161" s="219">
        <v>0</v>
      </c>
      <c r="J161" s="311">
        <v>0</v>
      </c>
      <c r="N161" s="443"/>
    </row>
    <row r="162" spans="2:14" hidden="1" outlineLevel="2" x14ac:dyDescent="0.35">
      <c r="B162" s="492"/>
      <c r="C162" s="485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11">
        <v>0</v>
      </c>
      <c r="N162" s="443"/>
    </row>
    <row r="163" spans="2:14" outlineLevel="1" collapsed="1" x14ac:dyDescent="0.35">
      <c r="B163" s="492"/>
      <c r="C163" s="485"/>
      <c r="D163" s="221" t="s">
        <v>77</v>
      </c>
      <c r="E163" s="219">
        <f t="shared" ref="E163:J163" si="22">SUM(E164:E185)</f>
        <v>1</v>
      </c>
      <c r="F163" s="219">
        <f t="shared" si="22"/>
        <v>1</v>
      </c>
      <c r="G163" s="219">
        <f t="shared" si="22"/>
        <v>1857157.5</v>
      </c>
      <c r="H163" s="219">
        <f t="shared" si="22"/>
        <v>371431.5</v>
      </c>
      <c r="I163" s="219">
        <f t="shared" si="22"/>
        <v>367001</v>
      </c>
      <c r="J163" s="311">
        <f t="shared" si="22"/>
        <v>4430.5</v>
      </c>
      <c r="N163" s="443"/>
    </row>
    <row r="164" spans="2:14" hidden="1" outlineLevel="2" x14ac:dyDescent="0.35">
      <c r="B164" s="492"/>
      <c r="C164" s="485"/>
      <c r="D164" s="222" t="s">
        <v>75</v>
      </c>
      <c r="E164" s="219">
        <v>0</v>
      </c>
      <c r="F164" s="219">
        <v>0</v>
      </c>
      <c r="G164" s="219">
        <v>0</v>
      </c>
      <c r="H164" s="219">
        <v>0</v>
      </c>
      <c r="I164" s="219">
        <v>0</v>
      </c>
      <c r="J164" s="311">
        <v>0</v>
      </c>
      <c r="N164" s="443"/>
    </row>
    <row r="165" spans="2:14" hidden="1" outlineLevel="2" x14ac:dyDescent="0.35">
      <c r="B165" s="492"/>
      <c r="C165" s="485"/>
      <c r="D165" s="222" t="s">
        <v>74</v>
      </c>
      <c r="E165" s="219">
        <v>0</v>
      </c>
      <c r="F165" s="219">
        <v>0</v>
      </c>
      <c r="G165" s="219">
        <v>0</v>
      </c>
      <c r="H165" s="219">
        <v>0</v>
      </c>
      <c r="I165" s="219">
        <v>0</v>
      </c>
      <c r="J165" s="311">
        <v>0</v>
      </c>
      <c r="N165" s="443"/>
    </row>
    <row r="166" spans="2:14" hidden="1" outlineLevel="2" x14ac:dyDescent="0.35">
      <c r="B166" s="492"/>
      <c r="C166" s="485"/>
      <c r="D166" s="222" t="s">
        <v>73</v>
      </c>
      <c r="E166" s="219">
        <v>0</v>
      </c>
      <c r="F166" s="219">
        <v>0</v>
      </c>
      <c r="G166" s="219">
        <v>0</v>
      </c>
      <c r="H166" s="219">
        <v>0</v>
      </c>
      <c r="I166" s="219">
        <v>0</v>
      </c>
      <c r="J166" s="311">
        <v>0</v>
      </c>
      <c r="N166" s="443"/>
    </row>
    <row r="167" spans="2:14" hidden="1" outlineLevel="2" x14ac:dyDescent="0.35">
      <c r="B167" s="492"/>
      <c r="C167" s="485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11">
        <v>0</v>
      </c>
      <c r="N167" s="443"/>
    </row>
    <row r="168" spans="2:14" hidden="1" outlineLevel="2" x14ac:dyDescent="0.35">
      <c r="B168" s="492"/>
      <c r="C168" s="485"/>
      <c r="D168" s="222" t="s">
        <v>70</v>
      </c>
      <c r="E168" s="219">
        <v>0</v>
      </c>
      <c r="F168" s="219">
        <v>0</v>
      </c>
      <c r="G168" s="219">
        <v>0</v>
      </c>
      <c r="H168" s="219">
        <v>0</v>
      </c>
      <c r="I168" s="219">
        <v>0</v>
      </c>
      <c r="J168" s="311">
        <v>0</v>
      </c>
      <c r="N168" s="443"/>
    </row>
    <row r="169" spans="2:14" hidden="1" outlineLevel="2" x14ac:dyDescent="0.35">
      <c r="B169" s="492"/>
      <c r="C169" s="485"/>
      <c r="D169" s="222" t="s">
        <v>69</v>
      </c>
      <c r="E169" s="219">
        <v>0</v>
      </c>
      <c r="F169" s="219">
        <v>0</v>
      </c>
      <c r="G169" s="219">
        <v>0</v>
      </c>
      <c r="H169" s="219">
        <v>0</v>
      </c>
      <c r="I169" s="219">
        <v>0</v>
      </c>
      <c r="J169" s="311">
        <v>0</v>
      </c>
      <c r="N169" s="443"/>
    </row>
    <row r="170" spans="2:14" hidden="1" outlineLevel="2" x14ac:dyDescent="0.35">
      <c r="B170" s="492"/>
      <c r="C170" s="485"/>
      <c r="D170" s="222" t="s">
        <v>68</v>
      </c>
      <c r="E170" s="219">
        <v>0</v>
      </c>
      <c r="F170" s="219">
        <v>0</v>
      </c>
      <c r="G170" s="219">
        <v>0</v>
      </c>
      <c r="H170" s="219">
        <v>0</v>
      </c>
      <c r="I170" s="219">
        <v>0</v>
      </c>
      <c r="J170" s="311">
        <v>0</v>
      </c>
      <c r="N170" s="443"/>
    </row>
    <row r="171" spans="2:14" hidden="1" outlineLevel="2" x14ac:dyDescent="0.35">
      <c r="B171" s="492"/>
      <c r="C171" s="485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11">
        <v>0</v>
      </c>
      <c r="N171" s="443"/>
    </row>
    <row r="172" spans="2:14" hidden="1" outlineLevel="2" x14ac:dyDescent="0.35">
      <c r="B172" s="492"/>
      <c r="C172" s="485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11">
        <v>0</v>
      </c>
      <c r="N172" s="443"/>
    </row>
    <row r="173" spans="2:14" hidden="1" outlineLevel="2" x14ac:dyDescent="0.35">
      <c r="B173" s="492"/>
      <c r="C173" s="485"/>
      <c r="D173" s="222" t="s">
        <v>64</v>
      </c>
      <c r="E173" s="219">
        <v>0</v>
      </c>
      <c r="F173" s="219">
        <v>0</v>
      </c>
      <c r="G173" s="219">
        <v>0</v>
      </c>
      <c r="H173" s="219">
        <v>0</v>
      </c>
      <c r="I173" s="219">
        <v>0</v>
      </c>
      <c r="J173" s="311">
        <v>0</v>
      </c>
      <c r="N173" s="443"/>
    </row>
    <row r="174" spans="2:14" hidden="1" outlineLevel="2" x14ac:dyDescent="0.35">
      <c r="B174" s="492"/>
      <c r="C174" s="485"/>
      <c r="D174" s="222" t="s">
        <v>63</v>
      </c>
      <c r="E174" s="219">
        <v>0</v>
      </c>
      <c r="F174" s="219">
        <v>0</v>
      </c>
      <c r="G174" s="219">
        <v>0</v>
      </c>
      <c r="H174" s="219">
        <v>0</v>
      </c>
      <c r="I174" s="219">
        <v>0</v>
      </c>
      <c r="J174" s="311">
        <v>0</v>
      </c>
      <c r="N174" s="443"/>
    </row>
    <row r="175" spans="2:14" hidden="1" outlineLevel="2" x14ac:dyDescent="0.35">
      <c r="B175" s="492"/>
      <c r="C175" s="485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11">
        <v>0</v>
      </c>
      <c r="N175" s="443"/>
    </row>
    <row r="176" spans="2:14" hidden="1" outlineLevel="2" x14ac:dyDescent="0.35">
      <c r="B176" s="492"/>
      <c r="C176" s="485"/>
      <c r="D176" s="222" t="s">
        <v>60</v>
      </c>
      <c r="E176" s="219">
        <v>0</v>
      </c>
      <c r="F176" s="219">
        <v>0</v>
      </c>
      <c r="G176" s="219">
        <v>0</v>
      </c>
      <c r="H176" s="219">
        <v>0</v>
      </c>
      <c r="I176" s="219">
        <v>0</v>
      </c>
      <c r="J176" s="311">
        <v>0</v>
      </c>
      <c r="N176" s="443"/>
    </row>
    <row r="177" spans="2:14" hidden="1" outlineLevel="2" x14ac:dyDescent="0.35">
      <c r="B177" s="492"/>
      <c r="C177" s="485"/>
      <c r="D177" s="222" t="s">
        <v>59</v>
      </c>
      <c r="E177" s="219">
        <v>1</v>
      </c>
      <c r="F177" s="219">
        <v>1</v>
      </c>
      <c r="G177" s="219">
        <v>1857157.5</v>
      </c>
      <c r="H177" s="219">
        <v>371431.5</v>
      </c>
      <c r="I177" s="219">
        <v>367001</v>
      </c>
      <c r="J177" s="311">
        <v>4430.5</v>
      </c>
      <c r="N177" s="443"/>
    </row>
    <row r="178" spans="2:14" hidden="1" outlineLevel="2" x14ac:dyDescent="0.35">
      <c r="B178" s="492"/>
      <c r="C178" s="485"/>
      <c r="D178" s="222" t="s">
        <v>58</v>
      </c>
      <c r="E178" s="219">
        <v>0</v>
      </c>
      <c r="F178" s="219">
        <v>0</v>
      </c>
      <c r="G178" s="219">
        <v>0</v>
      </c>
      <c r="H178" s="219">
        <v>0</v>
      </c>
      <c r="I178" s="219">
        <v>0</v>
      </c>
      <c r="J178" s="311">
        <v>0</v>
      </c>
      <c r="N178" s="443"/>
    </row>
    <row r="179" spans="2:14" hidden="1" outlineLevel="2" x14ac:dyDescent="0.35">
      <c r="B179" s="492"/>
      <c r="C179" s="485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11">
        <v>0</v>
      </c>
      <c r="N179" s="443"/>
    </row>
    <row r="180" spans="2:14" hidden="1" outlineLevel="2" x14ac:dyDescent="0.35">
      <c r="B180" s="492"/>
      <c r="C180" s="485"/>
      <c r="D180" s="222" t="s">
        <v>55</v>
      </c>
      <c r="E180" s="219">
        <v>0</v>
      </c>
      <c r="F180" s="219">
        <v>0</v>
      </c>
      <c r="G180" s="219">
        <v>0</v>
      </c>
      <c r="H180" s="219">
        <v>0</v>
      </c>
      <c r="I180" s="219">
        <v>0</v>
      </c>
      <c r="J180" s="311">
        <v>0</v>
      </c>
      <c r="N180" s="443"/>
    </row>
    <row r="181" spans="2:14" hidden="1" outlineLevel="2" x14ac:dyDescent="0.35">
      <c r="B181" s="492"/>
      <c r="C181" s="485"/>
      <c r="D181" s="222" t="s">
        <v>54</v>
      </c>
      <c r="E181" s="219">
        <v>0</v>
      </c>
      <c r="F181" s="219">
        <v>0</v>
      </c>
      <c r="G181" s="219">
        <v>0</v>
      </c>
      <c r="H181" s="219">
        <v>0</v>
      </c>
      <c r="I181" s="219">
        <v>0</v>
      </c>
      <c r="J181" s="311">
        <v>0</v>
      </c>
      <c r="N181" s="443"/>
    </row>
    <row r="182" spans="2:14" hidden="1" outlineLevel="2" x14ac:dyDescent="0.35">
      <c r="B182" s="492"/>
      <c r="C182" s="485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11">
        <v>0</v>
      </c>
      <c r="N182" s="443"/>
    </row>
    <row r="183" spans="2:14" hidden="1" outlineLevel="2" x14ac:dyDescent="0.35">
      <c r="B183" s="492"/>
      <c r="C183" s="485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11">
        <v>0</v>
      </c>
      <c r="N183" s="443"/>
    </row>
    <row r="184" spans="2:14" hidden="1" outlineLevel="2" x14ac:dyDescent="0.35">
      <c r="B184" s="492"/>
      <c r="C184" s="485"/>
      <c r="D184" s="222" t="s">
        <v>50</v>
      </c>
      <c r="E184" s="219">
        <v>0</v>
      </c>
      <c r="F184" s="219">
        <v>0</v>
      </c>
      <c r="G184" s="219">
        <v>0</v>
      </c>
      <c r="H184" s="219">
        <v>0</v>
      </c>
      <c r="I184" s="219">
        <v>0</v>
      </c>
      <c r="J184" s="311">
        <v>0</v>
      </c>
      <c r="N184" s="443"/>
    </row>
    <row r="185" spans="2:14" hidden="1" outlineLevel="2" x14ac:dyDescent="0.35">
      <c r="B185" s="492"/>
      <c r="C185" s="485"/>
      <c r="D185" s="222" t="s">
        <v>49</v>
      </c>
      <c r="E185" s="219">
        <v>0</v>
      </c>
      <c r="F185" s="219">
        <v>0</v>
      </c>
      <c r="G185" s="219">
        <v>0</v>
      </c>
      <c r="H185" s="219">
        <v>0</v>
      </c>
      <c r="I185" s="219">
        <v>0</v>
      </c>
      <c r="J185" s="311">
        <v>0</v>
      </c>
      <c r="N185" s="443"/>
    </row>
    <row r="186" spans="2:14" x14ac:dyDescent="0.35">
      <c r="B186" s="492"/>
      <c r="C186" s="485"/>
      <c r="D186" s="439" t="s">
        <v>243</v>
      </c>
      <c r="E186" s="438">
        <f t="shared" ref="E186:J186" si="23">SUM(E163,E128,E123)</f>
        <v>2</v>
      </c>
      <c r="F186" s="438">
        <f t="shared" si="23"/>
        <v>2</v>
      </c>
      <c r="G186" s="438">
        <f t="shared" si="23"/>
        <v>4372056.5</v>
      </c>
      <c r="H186" s="438">
        <f t="shared" si="23"/>
        <v>622921.4</v>
      </c>
      <c r="I186" s="437">
        <f t="shared" si="23"/>
        <v>367001</v>
      </c>
      <c r="J186" s="448">
        <f t="shared" si="23"/>
        <v>255920.4</v>
      </c>
      <c r="N186" s="443"/>
    </row>
    <row r="187" spans="2:14" outlineLevel="1" x14ac:dyDescent="0.35">
      <c r="B187" s="492" t="s">
        <v>242</v>
      </c>
      <c r="C187" s="485" t="s">
        <v>241</v>
      </c>
      <c r="D187" s="221" t="s">
        <v>240</v>
      </c>
      <c r="E187" s="219">
        <f t="shared" ref="E187:J187" si="24">SUM(E188:E190)</f>
        <v>0</v>
      </c>
      <c r="F187" s="219">
        <f t="shared" si="24"/>
        <v>0</v>
      </c>
      <c r="G187" s="219">
        <f t="shared" si="24"/>
        <v>0</v>
      </c>
      <c r="H187" s="219">
        <f t="shared" si="24"/>
        <v>0</v>
      </c>
      <c r="I187" s="219">
        <f t="shared" si="24"/>
        <v>0</v>
      </c>
      <c r="J187" s="311">
        <f t="shared" si="24"/>
        <v>0</v>
      </c>
      <c r="N187" s="443"/>
    </row>
    <row r="188" spans="2:14" ht="15" hidden="1" customHeight="1" outlineLevel="2" x14ac:dyDescent="0.35">
      <c r="B188" s="492"/>
      <c r="C188" s="485"/>
      <c r="D188" s="222" t="s">
        <v>126</v>
      </c>
      <c r="E188" s="219">
        <v>0</v>
      </c>
      <c r="F188" s="219">
        <v>0</v>
      </c>
      <c r="G188" s="219">
        <v>0</v>
      </c>
      <c r="H188" s="219">
        <v>0</v>
      </c>
      <c r="I188" s="219">
        <v>0</v>
      </c>
      <c r="J188" s="311">
        <v>0</v>
      </c>
      <c r="N188" s="443"/>
    </row>
    <row r="189" spans="2:14" ht="15" hidden="1" customHeight="1" outlineLevel="2" x14ac:dyDescent="0.35">
      <c r="B189" s="492"/>
      <c r="C189" s="485"/>
      <c r="D189" s="222" t="s">
        <v>125</v>
      </c>
      <c r="E189" s="219">
        <v>0</v>
      </c>
      <c r="F189" s="219">
        <v>0</v>
      </c>
      <c r="G189" s="219">
        <v>0</v>
      </c>
      <c r="H189" s="219">
        <v>0</v>
      </c>
      <c r="I189" s="219">
        <v>0</v>
      </c>
      <c r="J189" s="311">
        <v>0</v>
      </c>
      <c r="N189" s="443"/>
    </row>
    <row r="190" spans="2:14" ht="15" hidden="1" customHeight="1" outlineLevel="2" x14ac:dyDescent="0.35">
      <c r="B190" s="492"/>
      <c r="C190" s="485"/>
      <c r="D190" s="222" t="s">
        <v>124</v>
      </c>
      <c r="E190" s="219">
        <v>0</v>
      </c>
      <c r="F190" s="219">
        <v>0</v>
      </c>
      <c r="G190" s="219">
        <v>0</v>
      </c>
      <c r="H190" s="219">
        <v>0</v>
      </c>
      <c r="I190" s="219">
        <v>0</v>
      </c>
      <c r="J190" s="311">
        <v>0</v>
      </c>
      <c r="N190" s="443"/>
    </row>
    <row r="191" spans="2:14" outlineLevel="1" collapsed="1" x14ac:dyDescent="0.35">
      <c r="B191" s="492"/>
      <c r="C191" s="485"/>
      <c r="D191" s="221" t="s">
        <v>46</v>
      </c>
      <c r="E191" s="219">
        <f t="shared" ref="E191:J191" si="25">SUM(E192:E195)</f>
        <v>0</v>
      </c>
      <c r="F191" s="219">
        <f t="shared" si="25"/>
        <v>0</v>
      </c>
      <c r="G191" s="219">
        <f t="shared" si="25"/>
        <v>0</v>
      </c>
      <c r="H191" s="219">
        <f t="shared" si="25"/>
        <v>0</v>
      </c>
      <c r="I191" s="219">
        <f t="shared" si="25"/>
        <v>0</v>
      </c>
      <c r="J191" s="311">
        <f t="shared" si="25"/>
        <v>0</v>
      </c>
      <c r="N191" s="443"/>
    </row>
    <row r="192" spans="2:14" ht="15" hidden="1" customHeight="1" outlineLevel="2" x14ac:dyDescent="0.35">
      <c r="B192" s="492"/>
      <c r="C192" s="485"/>
      <c r="D192" s="222" t="s">
        <v>45</v>
      </c>
      <c r="E192" s="219">
        <v>0</v>
      </c>
      <c r="F192" s="219">
        <v>0</v>
      </c>
      <c r="G192" s="219">
        <v>0</v>
      </c>
      <c r="H192" s="219">
        <v>0</v>
      </c>
      <c r="I192" s="219">
        <v>0</v>
      </c>
      <c r="J192" s="311">
        <v>0</v>
      </c>
      <c r="N192" s="443"/>
    </row>
    <row r="193" spans="2:14" ht="15" hidden="1" customHeight="1" outlineLevel="2" x14ac:dyDescent="0.35">
      <c r="B193" s="492"/>
      <c r="C193" s="485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11">
        <v>0</v>
      </c>
      <c r="N193" s="443"/>
    </row>
    <row r="194" spans="2:14" ht="15" hidden="1" customHeight="1" outlineLevel="2" x14ac:dyDescent="0.35">
      <c r="B194" s="492"/>
      <c r="C194" s="485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11">
        <v>0</v>
      </c>
      <c r="N194" s="443"/>
    </row>
    <row r="195" spans="2:14" ht="15" hidden="1" customHeight="1" outlineLevel="2" x14ac:dyDescent="0.35">
      <c r="B195" s="492"/>
      <c r="C195" s="485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11">
        <v>0</v>
      </c>
      <c r="N195" s="443"/>
    </row>
    <row r="196" spans="2:14" x14ac:dyDescent="0.35">
      <c r="B196" s="493"/>
      <c r="C196" s="494"/>
      <c r="D196" s="439" t="s">
        <v>239</v>
      </c>
      <c r="E196" s="438">
        <f t="shared" ref="E196:J196" si="26">SUM(E191,E187)</f>
        <v>0</v>
      </c>
      <c r="F196" s="438">
        <f t="shared" si="26"/>
        <v>0</v>
      </c>
      <c r="G196" s="438">
        <f t="shared" si="26"/>
        <v>0</v>
      </c>
      <c r="H196" s="438">
        <f t="shared" si="26"/>
        <v>0</v>
      </c>
      <c r="I196" s="437">
        <f t="shared" si="26"/>
        <v>0</v>
      </c>
      <c r="J196" s="448">
        <f t="shared" si="26"/>
        <v>0</v>
      </c>
      <c r="N196" s="443"/>
    </row>
    <row r="197" spans="2:14" outlineLevel="1" x14ac:dyDescent="0.35">
      <c r="B197" s="492" t="s">
        <v>238</v>
      </c>
      <c r="C197" s="485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11">
        <f t="shared" si="27"/>
        <v>0</v>
      </c>
      <c r="N197" s="443"/>
    </row>
    <row r="198" spans="2:14" ht="15" hidden="1" customHeight="1" outlineLevel="2" x14ac:dyDescent="0.35">
      <c r="B198" s="492"/>
      <c r="C198" s="485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11">
        <v>0</v>
      </c>
      <c r="N198" s="443"/>
    </row>
    <row r="199" spans="2:14" ht="15" hidden="1" customHeight="1" outlineLevel="2" x14ac:dyDescent="0.35">
      <c r="B199" s="492"/>
      <c r="C199" s="485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11">
        <v>0</v>
      </c>
      <c r="N199" s="443"/>
    </row>
    <row r="200" spans="2:14" ht="15" hidden="1" customHeight="1" outlineLevel="2" x14ac:dyDescent="0.35">
      <c r="B200" s="492"/>
      <c r="C200" s="485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11">
        <v>0</v>
      </c>
      <c r="N200" s="443"/>
    </row>
    <row r="201" spans="2:14" outlineLevel="1" collapsed="1" x14ac:dyDescent="0.35">
      <c r="B201" s="492"/>
      <c r="C201" s="485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11">
        <v>0</v>
      </c>
      <c r="N201" s="443"/>
    </row>
    <row r="202" spans="2:14" outlineLevel="1" x14ac:dyDescent="0.35">
      <c r="B202" s="492"/>
      <c r="C202" s="485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11">
        <v>0</v>
      </c>
      <c r="N202" s="443"/>
    </row>
    <row r="203" spans="2:14" x14ac:dyDescent="0.35">
      <c r="B203" s="493"/>
      <c r="C203" s="494"/>
      <c r="D203" s="439" t="s">
        <v>236</v>
      </c>
      <c r="E203" s="438">
        <f t="shared" ref="E203:J203" si="28">SUM(E202,E201,E197)</f>
        <v>0</v>
      </c>
      <c r="F203" s="438">
        <f t="shared" si="28"/>
        <v>0</v>
      </c>
      <c r="G203" s="438">
        <f t="shared" si="28"/>
        <v>0</v>
      </c>
      <c r="H203" s="438">
        <f t="shared" si="28"/>
        <v>0</v>
      </c>
      <c r="I203" s="437">
        <f t="shared" si="28"/>
        <v>0</v>
      </c>
      <c r="J203" s="448">
        <f t="shared" si="28"/>
        <v>0</v>
      </c>
      <c r="N203" s="443"/>
    </row>
    <row r="204" spans="2:14" ht="15" thickBot="1" x14ac:dyDescent="0.4">
      <c r="B204" s="583" t="s">
        <v>235</v>
      </c>
      <c r="C204" s="584"/>
      <c r="D204" s="410" t="s">
        <v>15</v>
      </c>
      <c r="E204" s="434">
        <f t="shared" ref="E204:J204" si="29">SUM(E203,E186,E121,E108,E75,E41,E116,E196)</f>
        <v>62</v>
      </c>
      <c r="F204" s="434">
        <f t="shared" si="29"/>
        <v>60</v>
      </c>
      <c r="G204" s="434">
        <f t="shared" si="29"/>
        <v>165570942.34999996</v>
      </c>
      <c r="H204" s="434">
        <f t="shared" si="29"/>
        <v>30472811.07</v>
      </c>
      <c r="I204" s="434">
        <f t="shared" si="29"/>
        <v>27272626.070000004</v>
      </c>
      <c r="J204" s="447">
        <f t="shared" si="29"/>
        <v>3200185</v>
      </c>
      <c r="N204" s="443"/>
    </row>
    <row r="206" spans="2:14" x14ac:dyDescent="0.35">
      <c r="J206" s="290">
        <f>'Overdue-Booking'!M204</f>
        <v>3200185</v>
      </c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69" orientation="landscape" r:id="rId1"/>
  <headerFooter alignWithMargins="0">
    <oddHeader>&amp;LSOBHA LLC&amp;C&amp;"Tahoma,Regular"&amp;14
BOOKING OVERDUE AGEING_ Age calc. from booking date_121-180 Days&amp;R&amp;D</oddHeader>
    <oddFooter>&amp;LCOLLECTIONS&amp;R&amp;P/&amp;N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0B92-5B6D-44FD-AF90-2FB54C789136}">
  <sheetPr>
    <pageSetUpPr fitToPage="1"/>
  </sheetPr>
  <dimension ref="B1:M206"/>
  <sheetViews>
    <sheetView view="pageBreakPreview" zoomScale="60" zoomScaleNormal="100" workbookViewId="0"/>
  </sheetViews>
  <sheetFormatPr defaultColWidth="7.26953125" defaultRowHeight="14.5" outlineLevelRow="2" x14ac:dyDescent="0.35"/>
  <cols>
    <col min="2" max="2" width="28.26953125" bestFit="1" customWidth="1"/>
    <col min="3" max="3" width="5.453125" bestFit="1" customWidth="1"/>
    <col min="4" max="4" width="41.26953125" bestFit="1" customWidth="1"/>
    <col min="5" max="5" width="16.26953125" customWidth="1"/>
    <col min="6" max="6" width="13.7265625" bestFit="1" customWidth="1"/>
    <col min="7" max="7" width="18" bestFit="1" customWidth="1"/>
    <col min="8" max="8" width="18.1796875" bestFit="1" customWidth="1"/>
    <col min="9" max="9" width="20.81640625" bestFit="1" customWidth="1"/>
    <col min="10" max="10" width="16.54296875" style="6" bestFit="1" customWidth="1"/>
    <col min="11" max="11" width="6.453125" bestFit="1" customWidth="1"/>
    <col min="12" max="12" width="5.7265625" bestFit="1" customWidth="1"/>
    <col min="13" max="13" width="15.7265625" bestFit="1" customWidth="1"/>
  </cols>
  <sheetData>
    <row r="1" spans="2:13" x14ac:dyDescent="0.35">
      <c r="M1" s="443">
        <v>14329470.560000006</v>
      </c>
    </row>
    <row r="3" spans="2:13" x14ac:dyDescent="0.35">
      <c r="B3" s="288">
        <v>46143</v>
      </c>
      <c r="C3" t="s">
        <v>263</v>
      </c>
    </row>
    <row r="4" spans="2:13" ht="15" thickBot="1" x14ac:dyDescent="0.4"/>
    <row r="5" spans="2:13" ht="28" x14ac:dyDescent="0.35">
      <c r="B5" s="565" t="s">
        <v>276</v>
      </c>
      <c r="C5" s="579"/>
      <c r="D5" s="581" t="s">
        <v>275</v>
      </c>
      <c r="E5" s="573" t="s">
        <v>281</v>
      </c>
      <c r="F5" s="575" t="s">
        <v>280</v>
      </c>
      <c r="G5" s="573" t="s">
        <v>274</v>
      </c>
      <c r="H5" s="577" t="s">
        <v>294</v>
      </c>
      <c r="I5" s="577" t="s">
        <v>272</v>
      </c>
      <c r="J5" s="451" t="s">
        <v>286</v>
      </c>
    </row>
    <row r="6" spans="2:13" x14ac:dyDescent="0.35">
      <c r="B6" s="567"/>
      <c r="C6" s="580"/>
      <c r="D6" s="582"/>
      <c r="E6" s="574"/>
      <c r="F6" s="576"/>
      <c r="G6" s="574"/>
      <c r="H6" s="578"/>
      <c r="I6" s="578"/>
      <c r="J6" s="450"/>
    </row>
    <row r="7" spans="2:13" outlineLevel="1" x14ac:dyDescent="0.35">
      <c r="B7" s="502" t="s">
        <v>261</v>
      </c>
      <c r="C7" s="489" t="s">
        <v>260</v>
      </c>
      <c r="D7" s="272"/>
      <c r="E7" s="219"/>
      <c r="F7" s="219"/>
      <c r="G7" s="219"/>
      <c r="H7" s="219"/>
      <c r="I7" s="219"/>
      <c r="J7" s="311"/>
    </row>
    <row r="8" spans="2:13" outlineLevel="1" x14ac:dyDescent="0.35">
      <c r="B8" s="503"/>
      <c r="C8" s="490"/>
      <c r="D8" s="272" t="s">
        <v>218</v>
      </c>
      <c r="E8" s="219">
        <f t="shared" ref="E8:J8" si="0">SUM(E9:E14)</f>
        <v>1</v>
      </c>
      <c r="F8" s="219">
        <f t="shared" si="0"/>
        <v>1</v>
      </c>
      <c r="G8" s="219">
        <f t="shared" si="0"/>
        <v>1206348</v>
      </c>
      <c r="H8" s="219">
        <f t="shared" si="0"/>
        <v>1206348</v>
      </c>
      <c r="I8" s="219">
        <f t="shared" si="0"/>
        <v>315830</v>
      </c>
      <c r="J8" s="311">
        <f t="shared" si="0"/>
        <v>890518</v>
      </c>
      <c r="K8" t="s">
        <v>277</v>
      </c>
      <c r="L8">
        <v>1500</v>
      </c>
    </row>
    <row r="9" spans="2:13" ht="14.5" hidden="1" customHeight="1" outlineLevel="2" x14ac:dyDescent="0.35">
      <c r="B9" s="503"/>
      <c r="C9" s="490"/>
      <c r="D9" s="242" t="s">
        <v>217</v>
      </c>
      <c r="E9" s="219">
        <v>1</v>
      </c>
      <c r="F9" s="219">
        <v>1</v>
      </c>
      <c r="G9" s="219">
        <v>1206348</v>
      </c>
      <c r="H9" s="219">
        <v>1206348</v>
      </c>
      <c r="I9" s="219">
        <v>315830</v>
      </c>
      <c r="J9" s="311">
        <v>890518</v>
      </c>
    </row>
    <row r="10" spans="2:13" ht="14.5" hidden="1" customHeight="1" outlineLevel="2" x14ac:dyDescent="0.35">
      <c r="B10" s="503"/>
      <c r="C10" s="490"/>
      <c r="D10" s="242" t="s">
        <v>216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311">
        <v>0</v>
      </c>
    </row>
    <row r="11" spans="2:13" ht="14.5" hidden="1" customHeight="1" outlineLevel="2" x14ac:dyDescent="0.35">
      <c r="B11" s="503"/>
      <c r="C11" s="490"/>
      <c r="D11" s="242" t="s">
        <v>215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311">
        <v>0</v>
      </c>
    </row>
    <row r="12" spans="2:13" ht="14.5" hidden="1" customHeight="1" outlineLevel="2" x14ac:dyDescent="0.35">
      <c r="B12" s="503"/>
      <c r="C12" s="490"/>
      <c r="D12" s="242" t="s">
        <v>214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311">
        <v>0</v>
      </c>
    </row>
    <row r="13" spans="2:13" ht="14.5" hidden="1" customHeight="1" outlineLevel="2" x14ac:dyDescent="0.35">
      <c r="B13" s="503"/>
      <c r="C13" s="490"/>
      <c r="D13" s="242" t="s">
        <v>213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311">
        <v>0</v>
      </c>
    </row>
    <row r="14" spans="2:13" ht="14.5" hidden="1" customHeight="1" outlineLevel="2" x14ac:dyDescent="0.35">
      <c r="B14" s="503"/>
      <c r="C14" s="490"/>
      <c r="D14" s="242" t="s">
        <v>212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311">
        <v>0</v>
      </c>
    </row>
    <row r="15" spans="2:13" outlineLevel="1" collapsed="1" x14ac:dyDescent="0.35">
      <c r="B15" s="503"/>
      <c r="C15" s="490"/>
      <c r="D15" s="236" t="s">
        <v>10</v>
      </c>
      <c r="E15" s="219">
        <v>2</v>
      </c>
      <c r="F15" s="219">
        <v>2</v>
      </c>
      <c r="G15" s="219">
        <v>4112597.13</v>
      </c>
      <c r="H15" s="219">
        <v>2684506.73</v>
      </c>
      <c r="I15" s="219">
        <v>2316330</v>
      </c>
      <c r="J15" s="311">
        <v>368176.73</v>
      </c>
    </row>
    <row r="16" spans="2:13" outlineLevel="1" x14ac:dyDescent="0.35">
      <c r="B16" s="503"/>
      <c r="C16" s="490"/>
      <c r="D16" s="236" t="s">
        <v>211</v>
      </c>
      <c r="E16" s="219">
        <f t="shared" ref="E16:J16" si="1">SUM(E17:E21)</f>
        <v>0</v>
      </c>
      <c r="F16" s="219">
        <f t="shared" si="1"/>
        <v>0</v>
      </c>
      <c r="G16" s="219">
        <f t="shared" si="1"/>
        <v>0</v>
      </c>
      <c r="H16" s="219">
        <f t="shared" si="1"/>
        <v>0</v>
      </c>
      <c r="I16" s="219">
        <f t="shared" si="1"/>
        <v>0</v>
      </c>
      <c r="J16" s="311">
        <f t="shared" si="1"/>
        <v>0</v>
      </c>
    </row>
    <row r="17" spans="2:10" ht="14.5" hidden="1" customHeight="1" outlineLevel="2" x14ac:dyDescent="0.35">
      <c r="B17" s="503"/>
      <c r="C17" s="490"/>
      <c r="D17" s="242" t="s">
        <v>206</v>
      </c>
      <c r="E17" s="219">
        <v>0</v>
      </c>
      <c r="F17" s="219">
        <v>0</v>
      </c>
      <c r="G17" s="219">
        <v>0</v>
      </c>
      <c r="H17" s="219">
        <v>0</v>
      </c>
      <c r="I17" s="219">
        <v>0</v>
      </c>
      <c r="J17" s="311">
        <v>0</v>
      </c>
    </row>
    <row r="18" spans="2:10" ht="14.5" hidden="1" customHeight="1" outlineLevel="2" x14ac:dyDescent="0.35">
      <c r="B18" s="503"/>
      <c r="C18" s="490"/>
      <c r="D18" s="242" t="s">
        <v>210</v>
      </c>
      <c r="E18" s="219">
        <v>0</v>
      </c>
      <c r="F18" s="219">
        <v>0</v>
      </c>
      <c r="G18" s="219">
        <v>0</v>
      </c>
      <c r="H18" s="219">
        <v>0</v>
      </c>
      <c r="I18" s="219">
        <v>0</v>
      </c>
      <c r="J18" s="311">
        <v>0</v>
      </c>
    </row>
    <row r="19" spans="2:10" ht="14.5" hidden="1" customHeight="1" outlineLevel="2" x14ac:dyDescent="0.35">
      <c r="B19" s="503"/>
      <c r="C19" s="490"/>
      <c r="D19" s="242" t="s">
        <v>209</v>
      </c>
      <c r="E19" s="219">
        <v>0</v>
      </c>
      <c r="F19" s="219">
        <v>0</v>
      </c>
      <c r="G19" s="219">
        <v>0</v>
      </c>
      <c r="H19" s="219">
        <v>0</v>
      </c>
      <c r="I19" s="219">
        <v>0</v>
      </c>
      <c r="J19" s="311">
        <v>0</v>
      </c>
    </row>
    <row r="20" spans="2:10" ht="14.5" hidden="1" customHeight="1" outlineLevel="2" x14ac:dyDescent="0.35">
      <c r="B20" s="503"/>
      <c r="C20" s="490"/>
      <c r="D20" s="242" t="s">
        <v>208</v>
      </c>
      <c r="E20" s="219">
        <v>0</v>
      </c>
      <c r="F20" s="219">
        <v>0</v>
      </c>
      <c r="G20" s="219">
        <v>0</v>
      </c>
      <c r="H20" s="219">
        <v>0</v>
      </c>
      <c r="I20" s="219">
        <v>0</v>
      </c>
      <c r="J20" s="311">
        <v>0</v>
      </c>
    </row>
    <row r="21" spans="2:10" ht="14.5" hidden="1" customHeight="1" outlineLevel="2" x14ac:dyDescent="0.35">
      <c r="B21" s="503"/>
      <c r="C21" s="490"/>
      <c r="D21" s="242" t="s">
        <v>207</v>
      </c>
      <c r="E21" s="219">
        <v>0</v>
      </c>
      <c r="F21" s="219">
        <v>0</v>
      </c>
      <c r="G21" s="219">
        <v>0</v>
      </c>
      <c r="H21" s="219">
        <v>0</v>
      </c>
      <c r="I21" s="219">
        <v>0</v>
      </c>
      <c r="J21" s="311">
        <v>0</v>
      </c>
    </row>
    <row r="22" spans="2:10" outlineLevel="1" collapsed="1" x14ac:dyDescent="0.35">
      <c r="B22" s="503"/>
      <c r="C22" s="490"/>
      <c r="D22" s="236" t="s">
        <v>205</v>
      </c>
      <c r="E22" s="219">
        <f t="shared" ref="E22:J22" si="2">SUM(E23:E26)</f>
        <v>0</v>
      </c>
      <c r="F22" s="219">
        <f t="shared" si="2"/>
        <v>0</v>
      </c>
      <c r="G22" s="219">
        <f t="shared" si="2"/>
        <v>0</v>
      </c>
      <c r="H22" s="219">
        <f t="shared" si="2"/>
        <v>0</v>
      </c>
      <c r="I22" s="219">
        <f t="shared" si="2"/>
        <v>0</v>
      </c>
      <c r="J22" s="311">
        <f t="shared" si="2"/>
        <v>0</v>
      </c>
    </row>
    <row r="23" spans="2:10" ht="14.5" hidden="1" customHeight="1" outlineLevel="2" x14ac:dyDescent="0.35">
      <c r="B23" s="503"/>
      <c r="C23" s="490"/>
      <c r="D23" s="242" t="s">
        <v>9</v>
      </c>
      <c r="E23" s="219">
        <v>0</v>
      </c>
      <c r="F23" s="219">
        <v>0</v>
      </c>
      <c r="G23" s="219">
        <v>0</v>
      </c>
      <c r="H23" s="219">
        <v>0</v>
      </c>
      <c r="I23" s="219">
        <v>0</v>
      </c>
      <c r="J23" s="311">
        <v>0</v>
      </c>
    </row>
    <row r="24" spans="2:10" ht="14.5" hidden="1" customHeight="1" outlineLevel="2" x14ac:dyDescent="0.35">
      <c r="B24" s="503"/>
      <c r="C24" s="490"/>
      <c r="D24" s="242" t="s">
        <v>7</v>
      </c>
      <c r="E24" s="219">
        <v>0</v>
      </c>
      <c r="F24" s="219">
        <v>0</v>
      </c>
      <c r="G24" s="219">
        <v>0</v>
      </c>
      <c r="H24" s="219">
        <v>0</v>
      </c>
      <c r="I24" s="219">
        <v>0</v>
      </c>
      <c r="J24" s="311">
        <v>0</v>
      </c>
    </row>
    <row r="25" spans="2:10" ht="14.5" hidden="1" customHeight="1" outlineLevel="2" x14ac:dyDescent="0.35">
      <c r="B25" s="503"/>
      <c r="C25" s="490"/>
      <c r="D25" s="242" t="s">
        <v>13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311">
        <v>0</v>
      </c>
    </row>
    <row r="26" spans="2:10" ht="14.5" hidden="1" customHeight="1" outlineLevel="2" x14ac:dyDescent="0.35">
      <c r="B26" s="503"/>
      <c r="C26" s="490"/>
      <c r="D26" s="242" t="s">
        <v>11</v>
      </c>
      <c r="E26" s="219">
        <v>0</v>
      </c>
      <c r="F26" s="219">
        <v>0</v>
      </c>
      <c r="G26" s="219">
        <v>0</v>
      </c>
      <c r="H26" s="219">
        <v>0</v>
      </c>
      <c r="I26" s="219">
        <v>0</v>
      </c>
      <c r="J26" s="311">
        <v>0</v>
      </c>
    </row>
    <row r="27" spans="2:10" outlineLevel="1" collapsed="1" x14ac:dyDescent="0.35">
      <c r="B27" s="503"/>
      <c r="C27" s="490"/>
      <c r="D27" s="236" t="s">
        <v>5</v>
      </c>
      <c r="E27" s="219">
        <v>0</v>
      </c>
      <c r="F27" s="219">
        <v>0</v>
      </c>
      <c r="G27" s="219">
        <v>0</v>
      </c>
      <c r="H27" s="219">
        <v>0</v>
      </c>
      <c r="I27" s="219">
        <v>0</v>
      </c>
      <c r="J27" s="311">
        <v>0</v>
      </c>
    </row>
    <row r="28" spans="2:10" outlineLevel="1" x14ac:dyDescent="0.35">
      <c r="B28" s="503"/>
      <c r="C28" s="490"/>
      <c r="D28" s="236" t="s">
        <v>6</v>
      </c>
      <c r="E28" s="219">
        <v>0</v>
      </c>
      <c r="F28" s="219">
        <v>0</v>
      </c>
      <c r="G28" s="219">
        <v>0</v>
      </c>
      <c r="H28" s="219">
        <v>0</v>
      </c>
      <c r="I28" s="219">
        <v>0</v>
      </c>
      <c r="J28" s="311">
        <v>0</v>
      </c>
    </row>
    <row r="29" spans="2:10" outlineLevel="1" x14ac:dyDescent="0.35">
      <c r="B29" s="503"/>
      <c r="C29" s="490"/>
      <c r="D29" s="236" t="s">
        <v>163</v>
      </c>
      <c r="E29" s="219">
        <f t="shared" ref="E29:J29" si="3">SUM(E30:E32)</f>
        <v>0</v>
      </c>
      <c r="F29" s="219">
        <f t="shared" si="3"/>
        <v>0</v>
      </c>
      <c r="G29" s="219">
        <f t="shared" si="3"/>
        <v>0</v>
      </c>
      <c r="H29" s="219">
        <f t="shared" si="3"/>
        <v>0</v>
      </c>
      <c r="I29" s="219">
        <f t="shared" si="3"/>
        <v>0</v>
      </c>
      <c r="J29" s="311">
        <f t="shared" si="3"/>
        <v>0</v>
      </c>
    </row>
    <row r="30" spans="2:10" ht="14.5" hidden="1" customHeight="1" outlineLevel="2" x14ac:dyDescent="0.35">
      <c r="B30" s="503"/>
      <c r="C30" s="490"/>
      <c r="D30" s="242" t="s">
        <v>161</v>
      </c>
      <c r="E30" s="219">
        <v>0</v>
      </c>
      <c r="F30" s="219">
        <v>0</v>
      </c>
      <c r="G30" s="219">
        <v>0</v>
      </c>
      <c r="H30" s="219">
        <v>0</v>
      </c>
      <c r="I30" s="219">
        <v>0</v>
      </c>
      <c r="J30" s="311">
        <v>0</v>
      </c>
    </row>
    <row r="31" spans="2:10" ht="14.5" hidden="1" customHeight="1" outlineLevel="2" x14ac:dyDescent="0.35">
      <c r="B31" s="503"/>
      <c r="C31" s="490"/>
      <c r="D31" s="242" t="s">
        <v>162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  <c r="J31" s="311">
        <v>0</v>
      </c>
    </row>
    <row r="32" spans="2:10" ht="14.5" hidden="1" customHeight="1" outlineLevel="2" x14ac:dyDescent="0.35">
      <c r="B32" s="503"/>
      <c r="C32" s="490"/>
      <c r="D32" s="242" t="s">
        <v>160</v>
      </c>
      <c r="E32" s="219">
        <v>0</v>
      </c>
      <c r="F32" s="219">
        <v>0</v>
      </c>
      <c r="G32" s="219">
        <v>0</v>
      </c>
      <c r="H32" s="219">
        <v>0</v>
      </c>
      <c r="I32" s="219">
        <v>0</v>
      </c>
      <c r="J32" s="311">
        <v>0</v>
      </c>
    </row>
    <row r="33" spans="2:10" outlineLevel="1" collapsed="1" x14ac:dyDescent="0.35">
      <c r="B33" s="503"/>
      <c r="C33" s="490"/>
      <c r="D33" s="272" t="s">
        <v>204</v>
      </c>
      <c r="E33" s="219">
        <v>0</v>
      </c>
      <c r="F33" s="219">
        <v>0</v>
      </c>
      <c r="G33" s="219">
        <v>0</v>
      </c>
      <c r="H33" s="219">
        <v>0</v>
      </c>
      <c r="I33" s="219">
        <v>0</v>
      </c>
      <c r="J33" s="311">
        <v>0</v>
      </c>
    </row>
    <row r="34" spans="2:10" outlineLevel="1" x14ac:dyDescent="0.35">
      <c r="B34" s="503"/>
      <c r="C34" s="490"/>
      <c r="D34" s="263" t="s">
        <v>23</v>
      </c>
      <c r="E34" s="219">
        <f t="shared" ref="E34:J34" si="4">SUM(E35:E39)</f>
        <v>2</v>
      </c>
      <c r="F34" s="219">
        <f t="shared" si="4"/>
        <v>2</v>
      </c>
      <c r="G34" s="219">
        <f t="shared" si="4"/>
        <v>3577400.75</v>
      </c>
      <c r="H34" s="219">
        <f t="shared" si="4"/>
        <v>795523.58000000007</v>
      </c>
      <c r="I34" s="219">
        <f t="shared" si="4"/>
        <v>134439.29999999999</v>
      </c>
      <c r="J34" s="311">
        <f t="shared" si="4"/>
        <v>661084.28</v>
      </c>
    </row>
    <row r="35" spans="2:10" hidden="1" outlineLevel="2" x14ac:dyDescent="0.35">
      <c r="B35" s="503"/>
      <c r="C35" s="490"/>
      <c r="D35" s="242" t="s">
        <v>22</v>
      </c>
      <c r="E35" s="219">
        <v>1</v>
      </c>
      <c r="F35" s="219">
        <v>1</v>
      </c>
      <c r="G35" s="219">
        <v>2482942</v>
      </c>
      <c r="H35" s="219">
        <v>248294.2</v>
      </c>
      <c r="I35" s="219">
        <v>134439.29999999999</v>
      </c>
      <c r="J35" s="311">
        <v>113854.9</v>
      </c>
    </row>
    <row r="36" spans="2:10" hidden="1" outlineLevel="2" x14ac:dyDescent="0.35">
      <c r="B36" s="503"/>
      <c r="C36" s="490"/>
      <c r="D36" s="242" t="s">
        <v>21</v>
      </c>
      <c r="E36" s="219">
        <v>0</v>
      </c>
      <c r="F36" s="219">
        <v>0</v>
      </c>
      <c r="G36" s="219">
        <v>0</v>
      </c>
      <c r="H36" s="219">
        <v>0</v>
      </c>
      <c r="I36" s="219">
        <v>0</v>
      </c>
      <c r="J36" s="311">
        <v>0</v>
      </c>
    </row>
    <row r="37" spans="2:10" hidden="1" outlineLevel="2" x14ac:dyDescent="0.35">
      <c r="B37" s="503"/>
      <c r="C37" s="490"/>
      <c r="D37" s="242" t="s">
        <v>20</v>
      </c>
      <c r="E37" s="219">
        <v>1</v>
      </c>
      <c r="F37" s="219">
        <v>1</v>
      </c>
      <c r="G37" s="219">
        <v>1094458.75</v>
      </c>
      <c r="H37" s="219">
        <v>547229.38</v>
      </c>
      <c r="I37" s="219">
        <v>0</v>
      </c>
      <c r="J37" s="311">
        <v>547229.38</v>
      </c>
    </row>
    <row r="38" spans="2:10" hidden="1" outlineLevel="2" x14ac:dyDescent="0.35">
      <c r="B38" s="503"/>
      <c r="C38" s="490"/>
      <c r="D38" s="242" t="s">
        <v>19</v>
      </c>
      <c r="E38" s="219">
        <v>0</v>
      </c>
      <c r="F38" s="219">
        <v>0</v>
      </c>
      <c r="G38" s="219">
        <v>0</v>
      </c>
      <c r="H38" s="219">
        <v>0</v>
      </c>
      <c r="I38" s="219">
        <v>0</v>
      </c>
      <c r="J38" s="311">
        <v>0</v>
      </c>
    </row>
    <row r="39" spans="2:10" hidden="1" outlineLevel="2" x14ac:dyDescent="0.35">
      <c r="B39" s="503"/>
      <c r="C39" s="490"/>
      <c r="D39" s="242" t="s">
        <v>18</v>
      </c>
      <c r="E39" s="219">
        <v>0</v>
      </c>
      <c r="F39" s="219">
        <v>0</v>
      </c>
      <c r="G39" s="219">
        <v>0</v>
      </c>
      <c r="H39" s="219">
        <v>0</v>
      </c>
      <c r="I39" s="219">
        <v>0</v>
      </c>
      <c r="J39" s="311">
        <v>0</v>
      </c>
    </row>
    <row r="40" spans="2:10" outlineLevel="1" collapsed="1" x14ac:dyDescent="0.35">
      <c r="B40" s="503"/>
      <c r="C40" s="490"/>
      <c r="D40" s="263" t="s">
        <v>17</v>
      </c>
      <c r="E40" s="219">
        <v>0</v>
      </c>
      <c r="F40" s="219">
        <v>0</v>
      </c>
      <c r="G40" s="219">
        <v>0</v>
      </c>
      <c r="H40" s="219">
        <v>0</v>
      </c>
      <c r="I40" s="219">
        <v>0</v>
      </c>
      <c r="J40" s="311">
        <v>0</v>
      </c>
    </row>
    <row r="41" spans="2:10" x14ac:dyDescent="0.35">
      <c r="B41" s="504"/>
      <c r="C41" s="490"/>
      <c r="D41" s="439" t="s">
        <v>259</v>
      </c>
      <c r="E41" s="438">
        <f t="shared" ref="E41:J41" si="5">SUM(E8,E15:E16,E27:E29,E22,E33:E34,E40)</f>
        <v>5</v>
      </c>
      <c r="F41" s="438">
        <f t="shared" si="5"/>
        <v>5</v>
      </c>
      <c r="G41" s="438">
        <f t="shared" si="5"/>
        <v>8896345.879999999</v>
      </c>
      <c r="H41" s="438">
        <f t="shared" si="5"/>
        <v>4686378.3100000005</v>
      </c>
      <c r="I41" s="437">
        <f t="shared" si="5"/>
        <v>2766599.3</v>
      </c>
      <c r="J41" s="448">
        <f t="shared" si="5"/>
        <v>1919779.01</v>
      </c>
    </row>
    <row r="42" spans="2:10" outlineLevel="1" x14ac:dyDescent="0.35">
      <c r="B42" s="486" t="s">
        <v>258</v>
      </c>
      <c r="C42" s="489" t="s">
        <v>257</v>
      </c>
      <c r="D42" s="305"/>
      <c r="E42" s="219"/>
      <c r="F42" s="219"/>
      <c r="G42" s="219"/>
      <c r="H42" s="219"/>
      <c r="I42" s="219"/>
      <c r="J42" s="449"/>
    </row>
    <row r="43" spans="2:10" outlineLevel="1" x14ac:dyDescent="0.35">
      <c r="B43" s="487"/>
      <c r="C43" s="490"/>
      <c r="D43" s="236" t="s">
        <v>203</v>
      </c>
      <c r="E43" s="219">
        <f t="shared" ref="E43:J43" si="6">SUM(E44:E47)</f>
        <v>0</v>
      </c>
      <c r="F43" s="219">
        <f t="shared" si="6"/>
        <v>0</v>
      </c>
      <c r="G43" s="219">
        <f t="shared" si="6"/>
        <v>0</v>
      </c>
      <c r="H43" s="219">
        <f t="shared" si="6"/>
        <v>0</v>
      </c>
      <c r="I43" s="219">
        <f t="shared" si="6"/>
        <v>0</v>
      </c>
      <c r="J43" s="311">
        <f t="shared" si="6"/>
        <v>0</v>
      </c>
    </row>
    <row r="44" spans="2:10" hidden="1" outlineLevel="2" x14ac:dyDescent="0.35">
      <c r="B44" s="487"/>
      <c r="C44" s="490"/>
      <c r="D44" s="262" t="s">
        <v>202</v>
      </c>
      <c r="E44" s="219">
        <v>0</v>
      </c>
      <c r="F44" s="219">
        <v>0</v>
      </c>
      <c r="G44" s="219">
        <v>0</v>
      </c>
      <c r="H44" s="219">
        <v>0</v>
      </c>
      <c r="I44" s="219">
        <v>0</v>
      </c>
      <c r="J44" s="311">
        <v>0</v>
      </c>
    </row>
    <row r="45" spans="2:10" hidden="1" outlineLevel="2" x14ac:dyDescent="0.35">
      <c r="B45" s="487"/>
      <c r="C45" s="490"/>
      <c r="D45" s="242" t="s">
        <v>201</v>
      </c>
      <c r="E45" s="219">
        <v>0</v>
      </c>
      <c r="F45" s="219">
        <v>0</v>
      </c>
      <c r="G45" s="219">
        <v>0</v>
      </c>
      <c r="H45" s="219">
        <v>0</v>
      </c>
      <c r="I45" s="219">
        <v>0</v>
      </c>
      <c r="J45" s="311">
        <v>0</v>
      </c>
    </row>
    <row r="46" spans="2:10" hidden="1" outlineLevel="2" x14ac:dyDescent="0.35">
      <c r="B46" s="487"/>
      <c r="C46" s="490"/>
      <c r="D46" s="242" t="s">
        <v>200</v>
      </c>
      <c r="E46" s="219">
        <v>0</v>
      </c>
      <c r="F46" s="219">
        <v>0</v>
      </c>
      <c r="G46" s="219">
        <v>0</v>
      </c>
      <c r="H46" s="219">
        <v>0</v>
      </c>
      <c r="I46" s="219">
        <v>0</v>
      </c>
      <c r="J46" s="311">
        <v>0</v>
      </c>
    </row>
    <row r="47" spans="2:10" hidden="1" outlineLevel="2" x14ac:dyDescent="0.35">
      <c r="B47" s="487"/>
      <c r="C47" s="490"/>
      <c r="D47" s="242" t="s">
        <v>199</v>
      </c>
      <c r="E47" s="219">
        <v>0</v>
      </c>
      <c r="F47" s="219">
        <v>0</v>
      </c>
      <c r="G47" s="219">
        <v>0</v>
      </c>
      <c r="H47" s="219">
        <v>0</v>
      </c>
      <c r="I47" s="219">
        <v>0</v>
      </c>
      <c r="J47" s="311">
        <v>0</v>
      </c>
    </row>
    <row r="48" spans="2:10" outlineLevel="1" collapsed="1" x14ac:dyDescent="0.35">
      <c r="B48" s="487"/>
      <c r="C48" s="490"/>
      <c r="D48" s="263" t="s">
        <v>198</v>
      </c>
      <c r="E48" s="219">
        <v>1</v>
      </c>
      <c r="F48" s="219">
        <v>1</v>
      </c>
      <c r="G48" s="219">
        <v>1568541</v>
      </c>
      <c r="H48" s="219">
        <v>156854.1</v>
      </c>
      <c r="I48" s="219">
        <v>155269.35999999999</v>
      </c>
      <c r="J48" s="311">
        <v>1584.74</v>
      </c>
    </row>
    <row r="49" spans="2:10" outlineLevel="1" x14ac:dyDescent="0.35">
      <c r="B49" s="487"/>
      <c r="C49" s="490"/>
      <c r="D49" s="236" t="s">
        <v>189</v>
      </c>
      <c r="E49" s="219">
        <v>2</v>
      </c>
      <c r="F49" s="219">
        <v>2</v>
      </c>
      <c r="G49" s="219">
        <v>4019827.3</v>
      </c>
      <c r="H49" s="219">
        <v>803965.46</v>
      </c>
      <c r="I49" s="219">
        <v>613301.49</v>
      </c>
      <c r="J49" s="311">
        <v>190663.97</v>
      </c>
    </row>
    <row r="50" spans="2:10" outlineLevel="1" x14ac:dyDescent="0.35">
      <c r="B50" s="487"/>
      <c r="C50" s="490"/>
      <c r="D50" s="263" t="s">
        <v>179</v>
      </c>
      <c r="E50" s="219">
        <v>3</v>
      </c>
      <c r="F50" s="219">
        <v>2</v>
      </c>
      <c r="G50" s="219">
        <v>29151212.07</v>
      </c>
      <c r="H50" s="219">
        <v>5830242.4199999999</v>
      </c>
      <c r="I50" s="219">
        <v>4242355.8199999994</v>
      </c>
      <c r="J50" s="311">
        <v>1587886.6</v>
      </c>
    </row>
    <row r="51" spans="2:10" outlineLevel="1" x14ac:dyDescent="0.35">
      <c r="B51" s="487"/>
      <c r="C51" s="490"/>
      <c r="D51" s="263" t="s">
        <v>188</v>
      </c>
      <c r="E51" s="219">
        <f t="shared" ref="E51:J51" si="7">SUM(E52:E55)</f>
        <v>0</v>
      </c>
      <c r="F51" s="219">
        <f t="shared" si="7"/>
        <v>0</v>
      </c>
      <c r="G51" s="219">
        <f t="shared" si="7"/>
        <v>0</v>
      </c>
      <c r="H51" s="219">
        <f t="shared" si="7"/>
        <v>0</v>
      </c>
      <c r="I51" s="219">
        <f t="shared" si="7"/>
        <v>0</v>
      </c>
      <c r="J51" s="311">
        <f t="shared" si="7"/>
        <v>0</v>
      </c>
    </row>
    <row r="52" spans="2:10" hidden="1" outlineLevel="2" x14ac:dyDescent="0.35">
      <c r="B52" s="487"/>
      <c r="C52" s="490"/>
      <c r="D52" s="242" t="s">
        <v>186</v>
      </c>
      <c r="E52" s="219">
        <v>0</v>
      </c>
      <c r="F52" s="219">
        <v>0</v>
      </c>
      <c r="G52" s="219">
        <v>0</v>
      </c>
      <c r="H52" s="219">
        <v>0</v>
      </c>
      <c r="I52" s="219">
        <v>0</v>
      </c>
      <c r="J52" s="311">
        <v>0</v>
      </c>
    </row>
    <row r="53" spans="2:10" hidden="1" outlineLevel="2" x14ac:dyDescent="0.35">
      <c r="B53" s="487"/>
      <c r="C53" s="490"/>
      <c r="D53" s="242" t="s">
        <v>184</v>
      </c>
      <c r="E53" s="219">
        <v>0</v>
      </c>
      <c r="F53" s="219">
        <v>0</v>
      </c>
      <c r="G53" s="219">
        <v>0</v>
      </c>
      <c r="H53" s="219">
        <v>0</v>
      </c>
      <c r="I53" s="219">
        <v>0</v>
      </c>
      <c r="J53" s="311">
        <v>0</v>
      </c>
    </row>
    <row r="54" spans="2:10" hidden="1" outlineLevel="2" x14ac:dyDescent="0.35">
      <c r="B54" s="487"/>
      <c r="C54" s="490"/>
      <c r="D54" s="262" t="s">
        <v>182</v>
      </c>
      <c r="E54" s="219">
        <v>0</v>
      </c>
      <c r="F54" s="219">
        <v>0</v>
      </c>
      <c r="G54" s="219">
        <v>0</v>
      </c>
      <c r="H54" s="219">
        <v>0</v>
      </c>
      <c r="I54" s="219">
        <v>0</v>
      </c>
      <c r="J54" s="311">
        <v>0</v>
      </c>
    </row>
    <row r="55" spans="2:10" hidden="1" outlineLevel="2" x14ac:dyDescent="0.35">
      <c r="B55" s="487"/>
      <c r="C55" s="490"/>
      <c r="D55" s="262" t="s">
        <v>180</v>
      </c>
      <c r="E55" s="219">
        <v>0</v>
      </c>
      <c r="F55" s="219">
        <v>0</v>
      </c>
      <c r="G55" s="219">
        <v>0</v>
      </c>
      <c r="H55" s="219">
        <v>0</v>
      </c>
      <c r="I55" s="219">
        <v>0</v>
      </c>
      <c r="J55" s="311">
        <v>0</v>
      </c>
    </row>
    <row r="56" spans="2:10" outlineLevel="1" collapsed="1" x14ac:dyDescent="0.35">
      <c r="B56" s="487"/>
      <c r="C56" s="490"/>
      <c r="D56" s="246" t="s">
        <v>170</v>
      </c>
      <c r="E56" s="219">
        <f t="shared" ref="E56:J56" si="8">SUM(E57:E62)</f>
        <v>24</v>
      </c>
      <c r="F56" s="219">
        <f t="shared" si="8"/>
        <v>24</v>
      </c>
      <c r="G56" s="219">
        <f t="shared" si="8"/>
        <v>46897007.199999988</v>
      </c>
      <c r="H56" s="219">
        <f t="shared" si="8"/>
        <v>13752620.130000001</v>
      </c>
      <c r="I56" s="219">
        <f t="shared" si="8"/>
        <v>10176898.76</v>
      </c>
      <c r="J56" s="311">
        <f t="shared" si="8"/>
        <v>3575721.37</v>
      </c>
    </row>
    <row r="57" spans="2:10" hidden="1" outlineLevel="2" x14ac:dyDescent="0.35">
      <c r="B57" s="487"/>
      <c r="C57" s="490"/>
      <c r="D57" s="242" t="s">
        <v>169</v>
      </c>
      <c r="E57" s="219">
        <v>5</v>
      </c>
      <c r="F57" s="219">
        <v>5</v>
      </c>
      <c r="G57" s="219">
        <v>13757607.989999998</v>
      </c>
      <c r="H57" s="219">
        <v>5751217.4399999995</v>
      </c>
      <c r="I57" s="219">
        <v>4914521.09</v>
      </c>
      <c r="J57" s="311">
        <v>836696.35000000009</v>
      </c>
    </row>
    <row r="58" spans="2:10" hidden="1" outlineLevel="2" x14ac:dyDescent="0.35">
      <c r="B58" s="487"/>
      <c r="C58" s="490"/>
      <c r="D58" s="242" t="s">
        <v>168</v>
      </c>
      <c r="E58" s="219">
        <v>4</v>
      </c>
      <c r="F58" s="219">
        <v>4</v>
      </c>
      <c r="G58" s="219">
        <v>6311794.5999999996</v>
      </c>
      <c r="H58" s="219">
        <v>1262358.92</v>
      </c>
      <c r="I58" s="219">
        <v>652680.59000000008</v>
      </c>
      <c r="J58" s="311">
        <v>609678.32999999996</v>
      </c>
    </row>
    <row r="59" spans="2:10" hidden="1" outlineLevel="2" x14ac:dyDescent="0.35">
      <c r="B59" s="487"/>
      <c r="C59" s="490"/>
      <c r="D59" s="242" t="s">
        <v>167</v>
      </c>
      <c r="E59" s="219">
        <v>4</v>
      </c>
      <c r="F59" s="219">
        <v>4</v>
      </c>
      <c r="G59" s="219">
        <v>6747869.9500000002</v>
      </c>
      <c r="H59" s="219">
        <v>1349573.99</v>
      </c>
      <c r="I59" s="219">
        <v>810544.65000000014</v>
      </c>
      <c r="J59" s="311">
        <v>539029.34</v>
      </c>
    </row>
    <row r="60" spans="2:10" hidden="1" outlineLevel="2" x14ac:dyDescent="0.35">
      <c r="B60" s="487"/>
      <c r="C60" s="490"/>
      <c r="D60" s="242" t="s">
        <v>166</v>
      </c>
      <c r="E60" s="219">
        <v>6</v>
      </c>
      <c r="F60" s="219">
        <v>6</v>
      </c>
      <c r="G60" s="219">
        <v>10592096</v>
      </c>
      <c r="H60" s="219">
        <v>2118419.2000000002</v>
      </c>
      <c r="I60" s="219">
        <v>1085556.46</v>
      </c>
      <c r="J60" s="311">
        <v>1032862.74</v>
      </c>
    </row>
    <row r="61" spans="2:10" hidden="1" outlineLevel="2" x14ac:dyDescent="0.35">
      <c r="B61" s="487"/>
      <c r="C61" s="490"/>
      <c r="D61" s="261" t="s">
        <v>165</v>
      </c>
      <c r="E61" s="219">
        <v>2</v>
      </c>
      <c r="F61" s="219">
        <v>2</v>
      </c>
      <c r="G61" s="219">
        <v>3012782.3600000003</v>
      </c>
      <c r="H61" s="219">
        <v>1976079.32</v>
      </c>
      <c r="I61" s="219">
        <v>1894694.6400000001</v>
      </c>
      <c r="J61" s="311">
        <v>81384.679999999993</v>
      </c>
    </row>
    <row r="62" spans="2:10" hidden="1" outlineLevel="2" x14ac:dyDescent="0.35">
      <c r="B62" s="487"/>
      <c r="C62" s="490"/>
      <c r="D62" s="261" t="s">
        <v>164</v>
      </c>
      <c r="E62" s="219">
        <v>3</v>
      </c>
      <c r="F62" s="219">
        <v>3</v>
      </c>
      <c r="G62" s="219">
        <v>6474856.2999999998</v>
      </c>
      <c r="H62" s="219">
        <v>1294971.26</v>
      </c>
      <c r="I62" s="219">
        <v>818901.33</v>
      </c>
      <c r="J62" s="311">
        <v>476069.93</v>
      </c>
    </row>
    <row r="63" spans="2:10" outlineLevel="1" collapsed="1" x14ac:dyDescent="0.35">
      <c r="B63" s="487"/>
      <c r="C63" s="490"/>
      <c r="D63" s="246" t="s">
        <v>256</v>
      </c>
      <c r="E63" s="219">
        <f t="shared" ref="E63:J63" si="9">SUM(E64:E66)</f>
        <v>3</v>
      </c>
      <c r="F63" s="219">
        <f t="shared" si="9"/>
        <v>3</v>
      </c>
      <c r="G63" s="219">
        <f t="shared" si="9"/>
        <v>4237437.93</v>
      </c>
      <c r="H63" s="219">
        <f t="shared" si="9"/>
        <v>1261871.8500000001</v>
      </c>
      <c r="I63" s="219">
        <f t="shared" si="9"/>
        <v>1173992.8799999999</v>
      </c>
      <c r="J63" s="311">
        <f t="shared" si="9"/>
        <v>87878.97</v>
      </c>
    </row>
    <row r="64" spans="2:10" hidden="1" outlineLevel="2" x14ac:dyDescent="0.35">
      <c r="B64" s="487"/>
      <c r="C64" s="490"/>
      <c r="D64" s="260" t="s">
        <v>196</v>
      </c>
      <c r="E64" s="219">
        <v>2</v>
      </c>
      <c r="F64" s="219">
        <v>2</v>
      </c>
      <c r="G64" s="219">
        <v>2561181.83</v>
      </c>
      <c r="H64" s="219">
        <v>256118.19</v>
      </c>
      <c r="I64" s="219">
        <v>183664.88</v>
      </c>
      <c r="J64" s="311">
        <v>72453.31</v>
      </c>
    </row>
    <row r="65" spans="2:10" hidden="1" outlineLevel="2" x14ac:dyDescent="0.35">
      <c r="B65" s="487"/>
      <c r="C65" s="490"/>
      <c r="D65" s="260" t="s">
        <v>195</v>
      </c>
      <c r="E65" s="219">
        <v>1</v>
      </c>
      <c r="F65" s="219">
        <v>1</v>
      </c>
      <c r="G65" s="219">
        <v>1676256.1</v>
      </c>
      <c r="H65" s="219">
        <v>1005753.66</v>
      </c>
      <c r="I65" s="219">
        <v>990328</v>
      </c>
      <c r="J65" s="311">
        <v>15425.66</v>
      </c>
    </row>
    <row r="66" spans="2:10" hidden="1" outlineLevel="2" x14ac:dyDescent="0.35">
      <c r="B66" s="487"/>
      <c r="C66" s="490"/>
      <c r="D66" s="260" t="s">
        <v>194</v>
      </c>
      <c r="E66" s="219">
        <v>0</v>
      </c>
      <c r="F66" s="219">
        <v>0</v>
      </c>
      <c r="G66" s="219">
        <v>0</v>
      </c>
      <c r="H66" s="219">
        <v>0</v>
      </c>
      <c r="I66" s="219">
        <v>0</v>
      </c>
      <c r="J66" s="311">
        <v>0</v>
      </c>
    </row>
    <row r="67" spans="2:10" outlineLevel="1" collapsed="1" x14ac:dyDescent="0.35">
      <c r="B67" s="487"/>
      <c r="C67" s="490"/>
      <c r="D67" s="246" t="s">
        <v>178</v>
      </c>
      <c r="E67" s="219">
        <f t="shared" ref="E67:J67" si="10">SUM(E68:E74)</f>
        <v>19</v>
      </c>
      <c r="F67" s="219">
        <f t="shared" si="10"/>
        <v>18</v>
      </c>
      <c r="G67" s="219">
        <f t="shared" si="10"/>
        <v>45653370.259999998</v>
      </c>
      <c r="H67" s="219">
        <f t="shared" si="10"/>
        <v>12365024.970000003</v>
      </c>
      <c r="I67" s="219">
        <f t="shared" si="10"/>
        <v>9580351.5999999996</v>
      </c>
      <c r="J67" s="311">
        <f t="shared" si="10"/>
        <v>2784673.37</v>
      </c>
    </row>
    <row r="68" spans="2:10" hidden="1" outlineLevel="2" x14ac:dyDescent="0.35">
      <c r="B68" s="487"/>
      <c r="C68" s="490"/>
      <c r="D68" s="260" t="s">
        <v>177</v>
      </c>
      <c r="E68" s="219">
        <v>2</v>
      </c>
      <c r="F68" s="219">
        <v>2</v>
      </c>
      <c r="G68" s="219">
        <v>7283433.1299999999</v>
      </c>
      <c r="H68" s="219">
        <v>3853436.0700000003</v>
      </c>
      <c r="I68" s="219">
        <v>3355225.51</v>
      </c>
      <c r="J68" s="311">
        <v>498210.56</v>
      </c>
    </row>
    <row r="69" spans="2:10" hidden="1" outlineLevel="2" x14ac:dyDescent="0.35">
      <c r="B69" s="487"/>
      <c r="C69" s="490"/>
      <c r="D69" s="260" t="s">
        <v>176</v>
      </c>
      <c r="E69" s="219">
        <v>3</v>
      </c>
      <c r="F69" s="219">
        <v>3</v>
      </c>
      <c r="G69" s="219">
        <v>5285130.25</v>
      </c>
      <c r="H69" s="219">
        <v>920980.66</v>
      </c>
      <c r="I69" s="219">
        <v>678631.23</v>
      </c>
      <c r="J69" s="311">
        <v>242349.43</v>
      </c>
    </row>
    <row r="70" spans="2:10" hidden="1" outlineLevel="2" x14ac:dyDescent="0.35">
      <c r="B70" s="487"/>
      <c r="C70" s="490"/>
      <c r="D70" s="260" t="s">
        <v>175</v>
      </c>
      <c r="E70" s="219">
        <v>3</v>
      </c>
      <c r="F70" s="219">
        <v>3</v>
      </c>
      <c r="G70" s="219">
        <v>9567130.1999999993</v>
      </c>
      <c r="H70" s="219">
        <v>1673550.04</v>
      </c>
      <c r="I70" s="219">
        <v>1242542.31</v>
      </c>
      <c r="J70" s="311">
        <v>431007.73</v>
      </c>
    </row>
    <row r="71" spans="2:10" hidden="1" outlineLevel="2" x14ac:dyDescent="0.35">
      <c r="B71" s="487"/>
      <c r="C71" s="490"/>
      <c r="D71" s="260" t="s">
        <v>174</v>
      </c>
      <c r="E71" s="219">
        <v>5</v>
      </c>
      <c r="F71" s="219">
        <v>4</v>
      </c>
      <c r="G71" s="219">
        <v>8932012.7799999993</v>
      </c>
      <c r="H71" s="219">
        <v>2999925.42</v>
      </c>
      <c r="I71" s="219">
        <v>2237955.23</v>
      </c>
      <c r="J71" s="311">
        <v>761970.19</v>
      </c>
    </row>
    <row r="72" spans="2:10" hidden="1" outlineLevel="2" x14ac:dyDescent="0.35">
      <c r="B72" s="487"/>
      <c r="C72" s="490"/>
      <c r="D72" s="260" t="s">
        <v>173</v>
      </c>
      <c r="E72" s="219">
        <v>6</v>
      </c>
      <c r="F72" s="219">
        <v>6</v>
      </c>
      <c r="G72" s="219">
        <v>14585663.9</v>
      </c>
      <c r="H72" s="219">
        <v>2917132.7800000003</v>
      </c>
      <c r="I72" s="219">
        <v>2065997.32</v>
      </c>
      <c r="J72" s="311">
        <v>851135.46000000008</v>
      </c>
    </row>
    <row r="73" spans="2:10" hidden="1" outlineLevel="2" x14ac:dyDescent="0.35">
      <c r="B73" s="487"/>
      <c r="C73" s="490"/>
      <c r="D73" s="260" t="s">
        <v>172</v>
      </c>
      <c r="E73" s="219">
        <v>0</v>
      </c>
      <c r="F73" s="219">
        <v>0</v>
      </c>
      <c r="G73" s="219">
        <v>0</v>
      </c>
      <c r="H73" s="219">
        <v>0</v>
      </c>
      <c r="I73" s="219">
        <v>0</v>
      </c>
      <c r="J73" s="311">
        <v>0</v>
      </c>
    </row>
    <row r="74" spans="2:10" hidden="1" outlineLevel="2" x14ac:dyDescent="0.35">
      <c r="B74" s="487"/>
      <c r="C74" s="490"/>
      <c r="D74" s="260" t="s">
        <v>171</v>
      </c>
      <c r="E74" s="219">
        <v>0</v>
      </c>
      <c r="F74" s="219">
        <v>0</v>
      </c>
      <c r="G74" s="219">
        <v>0</v>
      </c>
      <c r="H74" s="219">
        <v>0</v>
      </c>
      <c r="I74" s="219">
        <v>0</v>
      </c>
      <c r="J74" s="311">
        <v>0</v>
      </c>
    </row>
    <row r="75" spans="2:10" x14ac:dyDescent="0.35">
      <c r="B75" s="488"/>
      <c r="C75" s="491"/>
      <c r="D75" s="439" t="s">
        <v>255</v>
      </c>
      <c r="E75" s="438">
        <f t="shared" ref="E75:J75" si="11">SUM(E43,E48:E51,E56,E63,E67)</f>
        <v>52</v>
      </c>
      <c r="F75" s="438">
        <f t="shared" si="11"/>
        <v>50</v>
      </c>
      <c r="G75" s="438">
        <f t="shared" si="11"/>
        <v>131527395.75999999</v>
      </c>
      <c r="H75" s="438">
        <f t="shared" si="11"/>
        <v>34170578.930000007</v>
      </c>
      <c r="I75" s="437">
        <f t="shared" si="11"/>
        <v>25942169.909999996</v>
      </c>
      <c r="J75" s="448">
        <f t="shared" si="11"/>
        <v>8228409.0199999996</v>
      </c>
    </row>
    <row r="76" spans="2:10" outlineLevel="1" x14ac:dyDescent="0.35">
      <c r="B76" s="486" t="s">
        <v>254</v>
      </c>
      <c r="C76" s="489" t="s">
        <v>253</v>
      </c>
      <c r="D76" s="267"/>
      <c r="E76" s="219"/>
      <c r="F76" s="219"/>
      <c r="G76" s="219"/>
      <c r="H76" s="219"/>
      <c r="I76" s="219"/>
      <c r="J76" s="449"/>
    </row>
    <row r="77" spans="2:10" outlineLevel="1" x14ac:dyDescent="0.35">
      <c r="B77" s="487"/>
      <c r="C77" s="490"/>
      <c r="D77" s="251" t="s">
        <v>252</v>
      </c>
      <c r="E77" s="219">
        <f t="shared" ref="E77:J77" si="12">SUM(E78:E80)</f>
        <v>5</v>
      </c>
      <c r="F77" s="219">
        <f t="shared" si="12"/>
        <v>5</v>
      </c>
      <c r="G77" s="219">
        <f t="shared" si="12"/>
        <v>72003509.460000008</v>
      </c>
      <c r="H77" s="219">
        <f t="shared" si="12"/>
        <v>30274936.260000002</v>
      </c>
      <c r="I77" s="219">
        <f t="shared" si="12"/>
        <v>29626084.530000001</v>
      </c>
      <c r="J77" s="311">
        <f t="shared" si="12"/>
        <v>648851.72999999986</v>
      </c>
    </row>
    <row r="78" spans="2:10" hidden="1" outlineLevel="2" x14ac:dyDescent="0.35">
      <c r="B78" s="487"/>
      <c r="C78" s="490"/>
      <c r="D78" s="250" t="s">
        <v>192</v>
      </c>
      <c r="E78" s="219">
        <v>4</v>
      </c>
      <c r="F78" s="219">
        <v>4</v>
      </c>
      <c r="G78" s="219">
        <v>52160716.5</v>
      </c>
      <c r="H78" s="219">
        <v>10432143.300000001</v>
      </c>
      <c r="I78" s="219">
        <v>9785839.3900000006</v>
      </c>
      <c r="J78" s="311">
        <v>646303.90999999992</v>
      </c>
    </row>
    <row r="79" spans="2:10" hidden="1" outlineLevel="2" x14ac:dyDescent="0.35">
      <c r="B79" s="487"/>
      <c r="C79" s="490"/>
      <c r="D79" s="250" t="s">
        <v>191</v>
      </c>
      <c r="E79" s="219">
        <v>0</v>
      </c>
      <c r="F79" s="219">
        <v>0</v>
      </c>
      <c r="G79" s="219">
        <v>0</v>
      </c>
      <c r="H79" s="219">
        <v>0</v>
      </c>
      <c r="I79" s="219">
        <v>0</v>
      </c>
      <c r="J79" s="311">
        <v>0</v>
      </c>
    </row>
    <row r="80" spans="2:10" hidden="1" outlineLevel="2" x14ac:dyDescent="0.35">
      <c r="B80" s="487"/>
      <c r="C80" s="490"/>
      <c r="D80" s="250" t="s">
        <v>190</v>
      </c>
      <c r="E80" s="219">
        <v>1</v>
      </c>
      <c r="F80" s="219">
        <v>1</v>
      </c>
      <c r="G80" s="219">
        <v>19842792.960000001</v>
      </c>
      <c r="H80" s="219">
        <v>19842792.960000001</v>
      </c>
      <c r="I80" s="219">
        <v>19840245.140000001</v>
      </c>
      <c r="J80" s="311">
        <v>2547.8200000000002</v>
      </c>
    </row>
    <row r="81" spans="2:10" outlineLevel="1" collapsed="1" x14ac:dyDescent="0.35">
      <c r="B81" s="487"/>
      <c r="C81" s="490"/>
      <c r="D81" s="251" t="s">
        <v>158</v>
      </c>
      <c r="E81" s="219">
        <f t="shared" ref="E81:J81" si="13">SUM(E82:E89)</f>
        <v>8</v>
      </c>
      <c r="F81" s="219">
        <f t="shared" si="13"/>
        <v>7</v>
      </c>
      <c r="G81" s="219">
        <f t="shared" si="13"/>
        <v>8466574.4499999993</v>
      </c>
      <c r="H81" s="219">
        <f t="shared" si="13"/>
        <v>1693314.8900000001</v>
      </c>
      <c r="I81" s="219">
        <f t="shared" si="13"/>
        <v>962626.83</v>
      </c>
      <c r="J81" s="311">
        <f t="shared" si="13"/>
        <v>730688.06</v>
      </c>
    </row>
    <row r="82" spans="2:10" hidden="1" outlineLevel="2" x14ac:dyDescent="0.35">
      <c r="B82" s="487"/>
      <c r="C82" s="490"/>
      <c r="D82" s="250" t="s">
        <v>157</v>
      </c>
      <c r="E82" s="219">
        <v>2</v>
      </c>
      <c r="F82" s="219">
        <v>2</v>
      </c>
      <c r="G82" s="219">
        <v>2109458.2000000002</v>
      </c>
      <c r="H82" s="219">
        <v>421891.64</v>
      </c>
      <c r="I82" s="219">
        <v>212386.38</v>
      </c>
      <c r="J82" s="311">
        <v>209505.26</v>
      </c>
    </row>
    <row r="83" spans="2:10" hidden="1" outlineLevel="2" x14ac:dyDescent="0.35">
      <c r="B83" s="487"/>
      <c r="C83" s="490"/>
      <c r="D83" s="250" t="s">
        <v>156</v>
      </c>
      <c r="E83" s="219">
        <v>1</v>
      </c>
      <c r="F83" s="219">
        <v>1</v>
      </c>
      <c r="G83" s="219">
        <v>1014750</v>
      </c>
      <c r="H83" s="219">
        <v>202950</v>
      </c>
      <c r="I83" s="219">
        <v>201327</v>
      </c>
      <c r="J83" s="311">
        <v>1623</v>
      </c>
    </row>
    <row r="84" spans="2:10" hidden="1" outlineLevel="2" x14ac:dyDescent="0.35">
      <c r="B84" s="487"/>
      <c r="C84" s="490"/>
      <c r="D84" s="250" t="s">
        <v>155</v>
      </c>
      <c r="E84" s="219">
        <v>0</v>
      </c>
      <c r="F84" s="219">
        <v>0</v>
      </c>
      <c r="G84" s="219">
        <v>0</v>
      </c>
      <c r="H84" s="219">
        <v>0</v>
      </c>
      <c r="I84" s="219">
        <v>0</v>
      </c>
      <c r="J84" s="311">
        <v>0</v>
      </c>
    </row>
    <row r="85" spans="2:10" hidden="1" outlineLevel="2" x14ac:dyDescent="0.35">
      <c r="B85" s="487"/>
      <c r="C85" s="490"/>
      <c r="D85" s="250" t="s">
        <v>154</v>
      </c>
      <c r="E85" s="219">
        <v>0</v>
      </c>
      <c r="F85" s="219">
        <v>0</v>
      </c>
      <c r="G85" s="219">
        <v>0</v>
      </c>
      <c r="H85" s="219">
        <v>0</v>
      </c>
      <c r="I85" s="219">
        <v>0</v>
      </c>
      <c r="J85" s="311">
        <v>0</v>
      </c>
    </row>
    <row r="86" spans="2:10" hidden="1" outlineLevel="2" x14ac:dyDescent="0.35">
      <c r="B86" s="487"/>
      <c r="C86" s="490"/>
      <c r="D86" s="250" t="s">
        <v>153</v>
      </c>
      <c r="E86" s="219">
        <v>5</v>
      </c>
      <c r="F86" s="219">
        <v>4</v>
      </c>
      <c r="G86" s="219">
        <v>5342366.25</v>
      </c>
      <c r="H86" s="219">
        <v>1068473.25</v>
      </c>
      <c r="I86" s="219">
        <v>548913.44999999995</v>
      </c>
      <c r="J86" s="311">
        <v>519559.80000000005</v>
      </c>
    </row>
    <row r="87" spans="2:10" hidden="1" outlineLevel="2" x14ac:dyDescent="0.35">
      <c r="B87" s="487"/>
      <c r="C87" s="490"/>
      <c r="D87" s="250" t="s">
        <v>152</v>
      </c>
      <c r="E87" s="219">
        <v>0</v>
      </c>
      <c r="F87" s="219">
        <v>0</v>
      </c>
      <c r="G87" s="219">
        <v>0</v>
      </c>
      <c r="H87" s="219">
        <v>0</v>
      </c>
      <c r="I87" s="219">
        <v>0</v>
      </c>
      <c r="J87" s="311">
        <v>0</v>
      </c>
    </row>
    <row r="88" spans="2:10" hidden="1" outlineLevel="2" x14ac:dyDescent="0.35">
      <c r="B88" s="487"/>
      <c r="C88" s="490"/>
      <c r="D88" s="250" t="s">
        <v>151</v>
      </c>
      <c r="E88" s="219">
        <v>0</v>
      </c>
      <c r="F88" s="219">
        <v>0</v>
      </c>
      <c r="G88" s="219">
        <v>0</v>
      </c>
      <c r="H88" s="219">
        <v>0</v>
      </c>
      <c r="I88" s="219">
        <v>0</v>
      </c>
      <c r="J88" s="311">
        <v>0</v>
      </c>
    </row>
    <row r="89" spans="2:10" hidden="1" outlineLevel="2" x14ac:dyDescent="0.35">
      <c r="B89" s="487"/>
      <c r="C89" s="490"/>
      <c r="D89" s="250" t="s">
        <v>150</v>
      </c>
      <c r="E89" s="219">
        <v>0</v>
      </c>
      <c r="F89" s="219">
        <v>0</v>
      </c>
      <c r="G89" s="219">
        <v>0</v>
      </c>
      <c r="H89" s="219">
        <v>0</v>
      </c>
      <c r="I89" s="219">
        <v>0</v>
      </c>
      <c r="J89" s="311">
        <v>0</v>
      </c>
    </row>
    <row r="90" spans="2:10" outlineLevel="1" collapsed="1" x14ac:dyDescent="0.35">
      <c r="B90" s="487"/>
      <c r="C90" s="490"/>
      <c r="D90" s="251" t="s">
        <v>149</v>
      </c>
      <c r="E90" s="219">
        <f t="shared" ref="E90:J90" si="14">SUM(E91:E93)</f>
        <v>8</v>
      </c>
      <c r="F90" s="219">
        <f t="shared" si="14"/>
        <v>8</v>
      </c>
      <c r="G90" s="219">
        <f t="shared" si="14"/>
        <v>26430177.699999999</v>
      </c>
      <c r="H90" s="219">
        <f t="shared" si="14"/>
        <v>4491866.74</v>
      </c>
      <c r="I90" s="219">
        <f t="shared" si="14"/>
        <v>2906387.3200000003</v>
      </c>
      <c r="J90" s="311">
        <f t="shared" si="14"/>
        <v>1585479.42</v>
      </c>
    </row>
    <row r="91" spans="2:10" hidden="1" outlineLevel="2" x14ac:dyDescent="0.35">
      <c r="B91" s="487"/>
      <c r="C91" s="490"/>
      <c r="D91" s="250" t="s">
        <v>148</v>
      </c>
      <c r="E91" s="219">
        <v>3</v>
      </c>
      <c r="F91" s="219">
        <v>3</v>
      </c>
      <c r="G91" s="219">
        <v>6484502.7999999998</v>
      </c>
      <c r="H91" s="219">
        <v>1296900.56</v>
      </c>
      <c r="I91" s="219">
        <v>1185744.75</v>
      </c>
      <c r="J91" s="311">
        <v>111155.81000000001</v>
      </c>
    </row>
    <row r="92" spans="2:10" hidden="1" outlineLevel="2" x14ac:dyDescent="0.35">
      <c r="B92" s="487"/>
      <c r="C92" s="490"/>
      <c r="D92" s="250" t="s">
        <v>147</v>
      </c>
      <c r="E92" s="219">
        <v>0</v>
      </c>
      <c r="F92" s="219">
        <v>0</v>
      </c>
      <c r="G92" s="219">
        <v>0</v>
      </c>
      <c r="H92" s="219">
        <v>0</v>
      </c>
      <c r="I92" s="219">
        <v>0</v>
      </c>
      <c r="J92" s="311">
        <v>0</v>
      </c>
    </row>
    <row r="93" spans="2:10" hidden="1" outlineLevel="2" x14ac:dyDescent="0.35">
      <c r="B93" s="487"/>
      <c r="C93" s="490"/>
      <c r="D93" s="250" t="s">
        <v>146</v>
      </c>
      <c r="E93" s="219">
        <v>5</v>
      </c>
      <c r="F93" s="219">
        <v>5</v>
      </c>
      <c r="G93" s="219">
        <v>19945674.899999999</v>
      </c>
      <c r="H93" s="219">
        <v>3194966.18</v>
      </c>
      <c r="I93" s="219">
        <v>1720642.57</v>
      </c>
      <c r="J93" s="311">
        <v>1474323.6099999999</v>
      </c>
    </row>
    <row r="94" spans="2:10" outlineLevel="1" collapsed="1" x14ac:dyDescent="0.35">
      <c r="B94" s="487"/>
      <c r="C94" s="490"/>
      <c r="D94" s="246" t="s">
        <v>133</v>
      </c>
      <c r="E94" s="219">
        <v>3</v>
      </c>
      <c r="F94" s="219">
        <v>3</v>
      </c>
      <c r="G94" s="219">
        <v>11436146.850000001</v>
      </c>
      <c r="H94" s="219">
        <v>2287229.37</v>
      </c>
      <c r="I94" s="219">
        <v>1988892.5</v>
      </c>
      <c r="J94" s="311">
        <v>298336.87</v>
      </c>
    </row>
    <row r="95" spans="2:10" outlineLevel="1" x14ac:dyDescent="0.35">
      <c r="B95" s="487"/>
      <c r="C95" s="490"/>
      <c r="D95" s="236" t="s">
        <v>140</v>
      </c>
      <c r="E95" s="219">
        <v>2</v>
      </c>
      <c r="F95" s="219">
        <v>2</v>
      </c>
      <c r="G95" s="219">
        <v>19441520</v>
      </c>
      <c r="H95" s="219">
        <v>2737409.5999999996</v>
      </c>
      <c r="I95" s="219">
        <v>1939602</v>
      </c>
      <c r="J95" s="311">
        <v>797807.6</v>
      </c>
    </row>
    <row r="96" spans="2:10" outlineLevel="1" x14ac:dyDescent="0.35">
      <c r="B96" s="487"/>
      <c r="C96" s="490"/>
      <c r="D96" s="236" t="s">
        <v>139</v>
      </c>
      <c r="E96" s="219">
        <v>0</v>
      </c>
      <c r="F96" s="219">
        <v>0</v>
      </c>
      <c r="G96" s="219">
        <v>0</v>
      </c>
      <c r="H96" s="219">
        <v>0</v>
      </c>
      <c r="I96" s="219">
        <v>0</v>
      </c>
      <c r="J96" s="311">
        <v>0</v>
      </c>
    </row>
    <row r="97" spans="2:10" outlineLevel="1" x14ac:dyDescent="0.35">
      <c r="B97" s="487"/>
      <c r="C97" s="490"/>
      <c r="D97" s="236" t="s">
        <v>138</v>
      </c>
      <c r="E97" s="219">
        <f t="shared" ref="E97:J97" si="15">SUM(E98:E101)</f>
        <v>4</v>
      </c>
      <c r="F97" s="219">
        <f t="shared" si="15"/>
        <v>4</v>
      </c>
      <c r="G97" s="219">
        <f t="shared" si="15"/>
        <v>4597847.2</v>
      </c>
      <c r="H97" s="219">
        <f t="shared" si="15"/>
        <v>919569.44</v>
      </c>
      <c r="I97" s="219">
        <f t="shared" si="15"/>
        <v>760090.37</v>
      </c>
      <c r="J97" s="311">
        <f t="shared" si="15"/>
        <v>159479.07</v>
      </c>
    </row>
    <row r="98" spans="2:10" hidden="1" outlineLevel="2" x14ac:dyDescent="0.35">
      <c r="B98" s="487"/>
      <c r="C98" s="490"/>
      <c r="D98" s="242" t="s">
        <v>137</v>
      </c>
      <c r="E98" s="219">
        <v>1</v>
      </c>
      <c r="F98" s="219">
        <v>1</v>
      </c>
      <c r="G98" s="219">
        <v>1138535.1000000001</v>
      </c>
      <c r="H98" s="219">
        <v>227707.02</v>
      </c>
      <c r="I98" s="219">
        <v>204927</v>
      </c>
      <c r="J98" s="311">
        <v>22780.02</v>
      </c>
    </row>
    <row r="99" spans="2:10" hidden="1" outlineLevel="2" x14ac:dyDescent="0.35">
      <c r="B99" s="487"/>
      <c r="C99" s="490"/>
      <c r="D99" s="242" t="s">
        <v>136</v>
      </c>
      <c r="E99" s="219">
        <v>0</v>
      </c>
      <c r="F99" s="219">
        <v>0</v>
      </c>
      <c r="G99" s="219">
        <v>0</v>
      </c>
      <c r="H99" s="219">
        <v>0</v>
      </c>
      <c r="I99" s="219">
        <v>0</v>
      </c>
      <c r="J99" s="311">
        <v>0</v>
      </c>
    </row>
    <row r="100" spans="2:10" hidden="1" outlineLevel="2" x14ac:dyDescent="0.35">
      <c r="B100" s="487"/>
      <c r="C100" s="490"/>
      <c r="D100" s="242" t="s">
        <v>135</v>
      </c>
      <c r="E100" s="219">
        <v>1</v>
      </c>
      <c r="F100" s="219">
        <v>1</v>
      </c>
      <c r="G100" s="219">
        <v>1096824.95</v>
      </c>
      <c r="H100" s="219">
        <v>219364.99</v>
      </c>
      <c r="I100" s="219">
        <v>204848.85</v>
      </c>
      <c r="J100" s="311">
        <v>14516.14</v>
      </c>
    </row>
    <row r="101" spans="2:10" hidden="1" outlineLevel="2" x14ac:dyDescent="0.35">
      <c r="B101" s="487"/>
      <c r="C101" s="490"/>
      <c r="D101" s="242" t="s">
        <v>134</v>
      </c>
      <c r="E101" s="219">
        <v>2</v>
      </c>
      <c r="F101" s="219">
        <v>2</v>
      </c>
      <c r="G101" s="219">
        <v>2362487.1500000004</v>
      </c>
      <c r="H101" s="219">
        <v>472497.43</v>
      </c>
      <c r="I101" s="219">
        <v>350314.52</v>
      </c>
      <c r="J101" s="311">
        <v>122182.90999999999</v>
      </c>
    </row>
    <row r="102" spans="2:10" outlineLevel="1" collapsed="1" x14ac:dyDescent="0.35">
      <c r="B102" s="487"/>
      <c r="C102" s="490"/>
      <c r="D102" s="236" t="s">
        <v>132</v>
      </c>
      <c r="E102" s="219">
        <f t="shared" ref="E102:J102" si="16">SUM(E103:E106)</f>
        <v>17</v>
      </c>
      <c r="F102" s="219">
        <f t="shared" si="16"/>
        <v>17</v>
      </c>
      <c r="G102" s="219">
        <f t="shared" si="16"/>
        <v>40718433.450000003</v>
      </c>
      <c r="H102" s="219">
        <f t="shared" si="16"/>
        <v>8143686.6899999995</v>
      </c>
      <c r="I102" s="219">
        <f t="shared" si="16"/>
        <v>7428686</v>
      </c>
      <c r="J102" s="311">
        <f t="shared" si="16"/>
        <v>715000.69000000018</v>
      </c>
    </row>
    <row r="103" spans="2:10" hidden="1" outlineLevel="2" x14ac:dyDescent="0.35">
      <c r="B103" s="487"/>
      <c r="C103" s="490"/>
      <c r="D103" s="241" t="s">
        <v>131</v>
      </c>
      <c r="E103" s="219">
        <v>2</v>
      </c>
      <c r="F103" s="219">
        <v>2</v>
      </c>
      <c r="G103" s="219">
        <v>3493881.6</v>
      </c>
      <c r="H103" s="219">
        <v>698776.32000000007</v>
      </c>
      <c r="I103" s="219">
        <v>688550.15999999992</v>
      </c>
      <c r="J103" s="311">
        <v>10226.16</v>
      </c>
    </row>
    <row r="104" spans="2:10" hidden="1" outlineLevel="2" x14ac:dyDescent="0.35">
      <c r="B104" s="487"/>
      <c r="C104" s="490"/>
      <c r="D104" s="241" t="s">
        <v>130</v>
      </c>
      <c r="E104" s="219">
        <v>2</v>
      </c>
      <c r="F104" s="219">
        <v>2</v>
      </c>
      <c r="G104" s="219">
        <v>6989416.7999999998</v>
      </c>
      <c r="H104" s="219">
        <v>1397883.3599999999</v>
      </c>
      <c r="I104" s="219">
        <v>1372262.73</v>
      </c>
      <c r="J104" s="311">
        <v>25620.63</v>
      </c>
    </row>
    <row r="105" spans="2:10" hidden="1" outlineLevel="2" x14ac:dyDescent="0.35">
      <c r="B105" s="487"/>
      <c r="C105" s="490"/>
      <c r="D105" s="241" t="s">
        <v>129</v>
      </c>
      <c r="E105" s="219">
        <v>13</v>
      </c>
      <c r="F105" s="219">
        <v>13</v>
      </c>
      <c r="G105" s="219">
        <v>30235135.050000001</v>
      </c>
      <c r="H105" s="219">
        <v>6047027.0099999998</v>
      </c>
      <c r="I105" s="219">
        <v>5367873.1100000003</v>
      </c>
      <c r="J105" s="311">
        <v>679153.90000000014</v>
      </c>
    </row>
    <row r="106" spans="2:10" hidden="1" outlineLevel="2" x14ac:dyDescent="0.35">
      <c r="B106" s="487"/>
      <c r="C106" s="490"/>
      <c r="D106" s="241" t="s">
        <v>128</v>
      </c>
      <c r="E106" s="219">
        <v>0</v>
      </c>
      <c r="F106" s="219">
        <v>0</v>
      </c>
      <c r="G106" s="219">
        <v>0</v>
      </c>
      <c r="H106" s="219">
        <v>0</v>
      </c>
      <c r="I106" s="219">
        <v>0</v>
      </c>
      <c r="J106" s="311">
        <v>0</v>
      </c>
    </row>
    <row r="107" spans="2:10" outlineLevel="1" collapsed="1" x14ac:dyDescent="0.35">
      <c r="B107" s="487"/>
      <c r="C107" s="490"/>
      <c r="D107" s="236" t="s">
        <v>41</v>
      </c>
      <c r="E107" s="219">
        <v>2</v>
      </c>
      <c r="F107" s="219">
        <v>2</v>
      </c>
      <c r="G107" s="219">
        <v>5966329.75</v>
      </c>
      <c r="H107" s="219">
        <v>1193265.95</v>
      </c>
      <c r="I107" s="219">
        <v>842700.35</v>
      </c>
      <c r="J107" s="311">
        <v>350565.6</v>
      </c>
    </row>
    <row r="108" spans="2:10" x14ac:dyDescent="0.35">
      <c r="B108" s="488"/>
      <c r="C108" s="491"/>
      <c r="D108" s="439" t="s">
        <v>251</v>
      </c>
      <c r="E108" s="438">
        <f t="shared" ref="E108:J108" si="17">SUM(E102,E107,E97,E96,E94,E90,E81,E77,E95)</f>
        <v>49</v>
      </c>
      <c r="F108" s="438">
        <f t="shared" si="17"/>
        <v>48</v>
      </c>
      <c r="G108" s="438">
        <f t="shared" si="17"/>
        <v>189060538.86000001</v>
      </c>
      <c r="H108" s="438">
        <f t="shared" si="17"/>
        <v>51741278.940000005</v>
      </c>
      <c r="I108" s="437">
        <f t="shared" si="17"/>
        <v>46455069.899999999</v>
      </c>
      <c r="J108" s="448">
        <f t="shared" si="17"/>
        <v>5286209.0399999991</v>
      </c>
    </row>
    <row r="109" spans="2:10" outlineLevel="1" x14ac:dyDescent="0.35">
      <c r="B109" s="487" t="s">
        <v>250</v>
      </c>
      <c r="C109" s="490" t="s">
        <v>249</v>
      </c>
      <c r="D109" s="236" t="s">
        <v>123</v>
      </c>
      <c r="E109" s="219">
        <v>3</v>
      </c>
      <c r="F109" s="219">
        <v>3</v>
      </c>
      <c r="G109" s="219">
        <v>8525259.4499999993</v>
      </c>
      <c r="H109" s="219">
        <v>1705051.8900000001</v>
      </c>
      <c r="I109" s="219">
        <v>1690987.9100000001</v>
      </c>
      <c r="J109" s="311">
        <v>14063.98</v>
      </c>
    </row>
    <row r="110" spans="2:10" outlineLevel="1" x14ac:dyDescent="0.35">
      <c r="B110" s="487"/>
      <c r="C110" s="490"/>
      <c r="D110" s="236" t="s">
        <v>122</v>
      </c>
      <c r="E110" s="219">
        <v>3</v>
      </c>
      <c r="F110" s="219">
        <v>3</v>
      </c>
      <c r="G110" s="219">
        <v>6039003.25</v>
      </c>
      <c r="H110" s="219">
        <v>987905.1</v>
      </c>
      <c r="I110" s="219">
        <v>729226.31</v>
      </c>
      <c r="J110" s="311">
        <v>258678.79</v>
      </c>
    </row>
    <row r="111" spans="2:10" outlineLevel="1" x14ac:dyDescent="0.35">
      <c r="B111" s="487"/>
      <c r="C111" s="490"/>
      <c r="D111" s="236" t="s">
        <v>48</v>
      </c>
      <c r="E111" s="219">
        <v>3</v>
      </c>
      <c r="F111" s="219">
        <v>2</v>
      </c>
      <c r="G111" s="219">
        <v>5279888.4399999995</v>
      </c>
      <c r="H111" s="219">
        <v>1055977.6800000002</v>
      </c>
      <c r="I111" s="219">
        <v>591599.1</v>
      </c>
      <c r="J111" s="311">
        <v>464378.57999999996</v>
      </c>
    </row>
    <row r="112" spans="2:10" outlineLevel="1" x14ac:dyDescent="0.35">
      <c r="B112" s="487"/>
      <c r="C112" s="490"/>
      <c r="D112" s="236" t="s">
        <v>47</v>
      </c>
      <c r="E112" s="219">
        <v>0</v>
      </c>
      <c r="F112" s="219">
        <v>0</v>
      </c>
      <c r="G112" s="219">
        <v>0</v>
      </c>
      <c r="H112" s="219">
        <v>0</v>
      </c>
      <c r="I112" s="219">
        <v>0</v>
      </c>
      <c r="J112" s="311">
        <v>0</v>
      </c>
    </row>
    <row r="113" spans="2:10" outlineLevel="1" x14ac:dyDescent="0.35">
      <c r="B113" s="487"/>
      <c r="C113" s="490"/>
      <c r="D113" s="236" t="s">
        <v>40</v>
      </c>
      <c r="E113" s="219">
        <v>0</v>
      </c>
      <c r="F113" s="219">
        <v>0</v>
      </c>
      <c r="G113" s="219">
        <v>0</v>
      </c>
      <c r="H113" s="219">
        <v>0</v>
      </c>
      <c r="I113" s="219">
        <v>0</v>
      </c>
      <c r="J113" s="311">
        <v>0</v>
      </c>
    </row>
    <row r="114" spans="2:10" outlineLevel="1" x14ac:dyDescent="0.35">
      <c r="B114" s="487"/>
      <c r="C114" s="490"/>
      <c r="D114" s="236" t="s">
        <v>39</v>
      </c>
      <c r="E114" s="219">
        <v>0</v>
      </c>
      <c r="F114" s="219">
        <v>0</v>
      </c>
      <c r="G114" s="219">
        <v>0</v>
      </c>
      <c r="H114" s="219">
        <v>0</v>
      </c>
      <c r="I114" s="219">
        <v>0</v>
      </c>
      <c r="J114" s="311">
        <v>0</v>
      </c>
    </row>
    <row r="115" spans="2:10" outlineLevel="1" x14ac:dyDescent="0.35">
      <c r="B115" s="487"/>
      <c r="C115" s="490"/>
      <c r="D115" s="236" t="s">
        <v>38</v>
      </c>
      <c r="E115" s="219">
        <v>0</v>
      </c>
      <c r="F115" s="219">
        <v>0</v>
      </c>
      <c r="G115" s="219">
        <v>0</v>
      </c>
      <c r="H115" s="219">
        <v>0</v>
      </c>
      <c r="I115" s="219">
        <v>0</v>
      </c>
      <c r="J115" s="311">
        <v>0</v>
      </c>
    </row>
    <row r="116" spans="2:10" x14ac:dyDescent="0.35">
      <c r="B116" s="488"/>
      <c r="C116" s="491"/>
      <c r="D116" s="439" t="s">
        <v>248</v>
      </c>
      <c r="E116" s="438">
        <f t="shared" ref="E116:J116" si="18">SUM(E109:E115)</f>
        <v>9</v>
      </c>
      <c r="F116" s="438">
        <f t="shared" si="18"/>
        <v>8</v>
      </c>
      <c r="G116" s="438">
        <f t="shared" si="18"/>
        <v>19844151.140000001</v>
      </c>
      <c r="H116" s="438">
        <f t="shared" si="18"/>
        <v>3748934.6700000004</v>
      </c>
      <c r="I116" s="437">
        <f t="shared" si="18"/>
        <v>3011813.3200000003</v>
      </c>
      <c r="J116" s="448">
        <f t="shared" si="18"/>
        <v>737121.35</v>
      </c>
    </row>
    <row r="117" spans="2:10" outlineLevel="1" x14ac:dyDescent="0.35">
      <c r="B117" s="487" t="s">
        <v>247</v>
      </c>
      <c r="C117" s="490" t="s">
        <v>246</v>
      </c>
      <c r="D117" s="236" t="s">
        <v>36</v>
      </c>
      <c r="E117" s="219">
        <v>0</v>
      </c>
      <c r="F117" s="219">
        <v>0</v>
      </c>
      <c r="G117" s="219">
        <v>0</v>
      </c>
      <c r="H117" s="219">
        <v>0</v>
      </c>
      <c r="I117" s="219">
        <v>0</v>
      </c>
      <c r="J117" s="311">
        <v>0</v>
      </c>
    </row>
    <row r="118" spans="2:10" outlineLevel="1" x14ac:dyDescent="0.35">
      <c r="B118" s="487"/>
      <c r="C118" s="490"/>
      <c r="D118" s="236" t="s">
        <v>35</v>
      </c>
      <c r="E118" s="219">
        <v>0</v>
      </c>
      <c r="F118" s="219">
        <v>0</v>
      </c>
      <c r="G118" s="219">
        <v>0</v>
      </c>
      <c r="H118" s="219">
        <v>0</v>
      </c>
      <c r="I118" s="219">
        <v>0</v>
      </c>
      <c r="J118" s="311">
        <v>0</v>
      </c>
    </row>
    <row r="119" spans="2:10" outlineLevel="1" x14ac:dyDescent="0.35">
      <c r="B119" s="487"/>
      <c r="C119" s="490"/>
      <c r="D119" s="236" t="s">
        <v>34</v>
      </c>
      <c r="E119" s="219">
        <v>0</v>
      </c>
      <c r="F119" s="219">
        <v>0</v>
      </c>
      <c r="G119" s="219">
        <v>0</v>
      </c>
      <c r="H119" s="219">
        <v>0</v>
      </c>
      <c r="I119" s="219">
        <v>0</v>
      </c>
      <c r="J119" s="311">
        <v>0</v>
      </c>
    </row>
    <row r="120" spans="2:10" outlineLevel="1" x14ac:dyDescent="0.35">
      <c r="B120" s="487"/>
      <c r="C120" s="490"/>
      <c r="D120" s="236" t="s">
        <v>33</v>
      </c>
      <c r="E120" s="219">
        <v>0</v>
      </c>
      <c r="F120" s="219">
        <v>0</v>
      </c>
      <c r="G120" s="219">
        <v>0</v>
      </c>
      <c r="H120" s="219">
        <v>0</v>
      </c>
      <c r="I120" s="219">
        <v>0</v>
      </c>
      <c r="J120" s="311">
        <v>0</v>
      </c>
    </row>
    <row r="121" spans="2:10" x14ac:dyDescent="0.35">
      <c r="B121" s="488"/>
      <c r="C121" s="491"/>
      <c r="D121" s="439" t="s">
        <v>245</v>
      </c>
      <c r="E121" s="438">
        <f t="shared" ref="E121:J121" si="19">SUM(E117:E120)</f>
        <v>0</v>
      </c>
      <c r="F121" s="438">
        <f t="shared" si="19"/>
        <v>0</v>
      </c>
      <c r="G121" s="438">
        <f t="shared" si="19"/>
        <v>0</v>
      </c>
      <c r="H121" s="438">
        <f t="shared" si="19"/>
        <v>0</v>
      </c>
      <c r="I121" s="437">
        <f t="shared" si="19"/>
        <v>0</v>
      </c>
      <c r="J121" s="448">
        <f t="shared" si="19"/>
        <v>0</v>
      </c>
    </row>
    <row r="122" spans="2:10" outlineLevel="1" x14ac:dyDescent="0.35">
      <c r="B122" s="486" t="s">
        <v>144</v>
      </c>
      <c r="C122" s="589" t="s">
        <v>244</v>
      </c>
      <c r="D122" s="231"/>
      <c r="E122" s="227"/>
      <c r="F122" s="227"/>
      <c r="G122" s="227"/>
      <c r="H122" s="230"/>
      <c r="I122" s="229"/>
      <c r="J122" s="312"/>
    </row>
    <row r="123" spans="2:10" outlineLevel="1" x14ac:dyDescent="0.35">
      <c r="B123" s="487"/>
      <c r="C123" s="590"/>
      <c r="D123" s="225" t="s">
        <v>145</v>
      </c>
      <c r="E123" s="219">
        <f t="shared" ref="E123:J123" si="20">SUM(E124:E127)</f>
        <v>0</v>
      </c>
      <c r="F123" s="219">
        <f t="shared" si="20"/>
        <v>0</v>
      </c>
      <c r="G123" s="219">
        <f t="shared" si="20"/>
        <v>0</v>
      </c>
      <c r="H123" s="219">
        <f t="shared" si="20"/>
        <v>0</v>
      </c>
      <c r="I123" s="219">
        <f t="shared" si="20"/>
        <v>0</v>
      </c>
      <c r="J123" s="311">
        <f t="shared" si="20"/>
        <v>0</v>
      </c>
    </row>
    <row r="124" spans="2:10" hidden="1" outlineLevel="2" x14ac:dyDescent="0.35">
      <c r="B124" s="487"/>
      <c r="C124" s="590"/>
      <c r="D124" s="222" t="s">
        <v>144</v>
      </c>
      <c r="E124" s="219">
        <v>0</v>
      </c>
      <c r="F124" s="219">
        <v>0</v>
      </c>
      <c r="G124" s="219">
        <v>0</v>
      </c>
      <c r="H124" s="219">
        <v>0</v>
      </c>
      <c r="I124" s="219">
        <v>0</v>
      </c>
      <c r="J124" s="311">
        <v>0</v>
      </c>
    </row>
    <row r="125" spans="2:10" hidden="1" outlineLevel="2" x14ac:dyDescent="0.35">
      <c r="B125" s="487"/>
      <c r="C125" s="590"/>
      <c r="D125" s="223" t="s">
        <v>143</v>
      </c>
      <c r="E125" s="219">
        <v>0</v>
      </c>
      <c r="F125" s="219">
        <v>0</v>
      </c>
      <c r="G125" s="219">
        <v>0</v>
      </c>
      <c r="H125" s="219">
        <v>0</v>
      </c>
      <c r="I125" s="219">
        <v>0</v>
      </c>
      <c r="J125" s="311">
        <v>0</v>
      </c>
    </row>
    <row r="126" spans="2:10" hidden="1" outlineLevel="2" x14ac:dyDescent="0.35">
      <c r="B126" s="487"/>
      <c r="C126" s="590"/>
      <c r="D126" s="223" t="s">
        <v>142</v>
      </c>
      <c r="E126" s="219">
        <v>0</v>
      </c>
      <c r="F126" s="219">
        <v>0</v>
      </c>
      <c r="G126" s="219">
        <v>0</v>
      </c>
      <c r="H126" s="219">
        <v>0</v>
      </c>
      <c r="I126" s="219">
        <v>0</v>
      </c>
      <c r="J126" s="311">
        <v>0</v>
      </c>
    </row>
    <row r="127" spans="2:10" hidden="1" outlineLevel="2" x14ac:dyDescent="0.35">
      <c r="B127" s="487"/>
      <c r="C127" s="590"/>
      <c r="D127" s="223" t="s">
        <v>141</v>
      </c>
      <c r="E127" s="219">
        <v>0</v>
      </c>
      <c r="F127" s="219">
        <v>0</v>
      </c>
      <c r="G127" s="219">
        <v>0</v>
      </c>
      <c r="H127" s="219">
        <v>0</v>
      </c>
      <c r="I127" s="219">
        <v>0</v>
      </c>
      <c r="J127" s="311">
        <v>0</v>
      </c>
    </row>
    <row r="128" spans="2:10" outlineLevel="1" collapsed="1" x14ac:dyDescent="0.35">
      <c r="B128" s="487"/>
      <c r="C128" s="590"/>
      <c r="D128" s="221" t="s">
        <v>121</v>
      </c>
      <c r="E128" s="219">
        <f t="shared" ref="E128:J128" si="21">SUM(E129:E162)</f>
        <v>6</v>
      </c>
      <c r="F128" s="219">
        <f t="shared" si="21"/>
        <v>6</v>
      </c>
      <c r="G128" s="219">
        <f t="shared" si="21"/>
        <v>10540156.650000002</v>
      </c>
      <c r="H128" s="219">
        <f t="shared" si="21"/>
        <v>1800714.45</v>
      </c>
      <c r="I128" s="219">
        <f t="shared" si="21"/>
        <v>1054053.21</v>
      </c>
      <c r="J128" s="311">
        <f t="shared" si="21"/>
        <v>746661.24</v>
      </c>
    </row>
    <row r="129" spans="2:10" hidden="1" outlineLevel="2" x14ac:dyDescent="0.35">
      <c r="B129" s="487"/>
      <c r="C129" s="590"/>
      <c r="D129" s="224" t="s">
        <v>119</v>
      </c>
      <c r="E129" s="219">
        <v>1</v>
      </c>
      <c r="F129" s="219">
        <v>1</v>
      </c>
      <c r="G129" s="219">
        <v>1959624</v>
      </c>
      <c r="H129" s="219">
        <v>195962.4</v>
      </c>
      <c r="I129" s="219">
        <v>0</v>
      </c>
      <c r="J129" s="311">
        <v>195962.4</v>
      </c>
    </row>
    <row r="130" spans="2:10" hidden="1" outlineLevel="2" x14ac:dyDescent="0.35">
      <c r="B130" s="487"/>
      <c r="C130" s="590"/>
      <c r="D130" s="223" t="s">
        <v>118</v>
      </c>
      <c r="E130" s="219">
        <v>1</v>
      </c>
      <c r="F130" s="219">
        <v>1</v>
      </c>
      <c r="G130" s="219">
        <v>1113544.79</v>
      </c>
      <c r="H130" s="219">
        <v>111354.48</v>
      </c>
      <c r="I130" s="219">
        <v>22271</v>
      </c>
      <c r="J130" s="311">
        <v>89083.48</v>
      </c>
    </row>
    <row r="131" spans="2:10" hidden="1" outlineLevel="2" x14ac:dyDescent="0.35">
      <c r="B131" s="487"/>
      <c r="C131" s="590"/>
      <c r="D131" s="223" t="s">
        <v>117</v>
      </c>
      <c r="E131" s="219">
        <v>0</v>
      </c>
      <c r="F131" s="219">
        <v>0</v>
      </c>
      <c r="G131" s="219">
        <v>0</v>
      </c>
      <c r="H131" s="219">
        <v>0</v>
      </c>
      <c r="I131" s="219">
        <v>0</v>
      </c>
      <c r="J131" s="311">
        <v>0</v>
      </c>
    </row>
    <row r="132" spans="2:10" hidden="1" outlineLevel="2" x14ac:dyDescent="0.35">
      <c r="B132" s="487"/>
      <c r="C132" s="590"/>
      <c r="D132" s="223" t="s">
        <v>116</v>
      </c>
      <c r="E132" s="219">
        <v>0</v>
      </c>
      <c r="F132" s="219">
        <v>0</v>
      </c>
      <c r="G132" s="219">
        <v>0</v>
      </c>
      <c r="H132" s="219">
        <v>0</v>
      </c>
      <c r="I132" s="219">
        <v>0</v>
      </c>
      <c r="J132" s="311">
        <v>0</v>
      </c>
    </row>
    <row r="133" spans="2:10" hidden="1" outlineLevel="2" collapsed="1" x14ac:dyDescent="0.35">
      <c r="B133" s="487"/>
      <c r="C133" s="590"/>
      <c r="D133" s="445" t="s">
        <v>114</v>
      </c>
      <c r="E133" s="219">
        <v>0</v>
      </c>
      <c r="F133" s="219">
        <v>0</v>
      </c>
      <c r="G133" s="219">
        <v>0</v>
      </c>
      <c r="H133" s="219">
        <v>0</v>
      </c>
      <c r="I133" s="219">
        <v>0</v>
      </c>
      <c r="J133" s="311">
        <v>0</v>
      </c>
    </row>
    <row r="134" spans="2:10" hidden="1" outlineLevel="2" x14ac:dyDescent="0.35">
      <c r="B134" s="487"/>
      <c r="C134" s="590"/>
      <c r="D134" s="223" t="s">
        <v>113</v>
      </c>
      <c r="E134" s="219">
        <v>0</v>
      </c>
      <c r="F134" s="219">
        <v>0</v>
      </c>
      <c r="G134" s="219">
        <v>0</v>
      </c>
      <c r="H134" s="219">
        <v>0</v>
      </c>
      <c r="I134" s="219">
        <v>0</v>
      </c>
      <c r="J134" s="311">
        <v>0</v>
      </c>
    </row>
    <row r="135" spans="2:10" hidden="1" outlineLevel="2" x14ac:dyDescent="0.35">
      <c r="B135" s="487"/>
      <c r="C135" s="590"/>
      <c r="D135" s="223" t="s">
        <v>112</v>
      </c>
      <c r="E135" s="219">
        <v>0</v>
      </c>
      <c r="F135" s="219">
        <v>0</v>
      </c>
      <c r="G135" s="219">
        <v>0</v>
      </c>
      <c r="H135" s="219">
        <v>0</v>
      </c>
      <c r="I135" s="219">
        <v>0</v>
      </c>
      <c r="J135" s="311">
        <v>0</v>
      </c>
    </row>
    <row r="136" spans="2:10" hidden="1" outlineLevel="2" x14ac:dyDescent="0.35">
      <c r="B136" s="487"/>
      <c r="C136" s="590"/>
      <c r="D136" s="223" t="s">
        <v>111</v>
      </c>
      <c r="E136" s="219">
        <v>0</v>
      </c>
      <c r="F136" s="219">
        <v>0</v>
      </c>
      <c r="G136" s="219">
        <v>0</v>
      </c>
      <c r="H136" s="219">
        <v>0</v>
      </c>
      <c r="I136" s="219">
        <v>0</v>
      </c>
      <c r="J136" s="311">
        <v>0</v>
      </c>
    </row>
    <row r="137" spans="2:10" hidden="1" outlineLevel="2" collapsed="1" x14ac:dyDescent="0.35">
      <c r="B137" s="487"/>
      <c r="C137" s="590"/>
      <c r="D137" s="445" t="s">
        <v>109</v>
      </c>
      <c r="E137" s="219">
        <v>0</v>
      </c>
      <c r="F137" s="219">
        <v>0</v>
      </c>
      <c r="G137" s="219">
        <v>0</v>
      </c>
      <c r="H137" s="219">
        <v>0</v>
      </c>
      <c r="I137" s="219">
        <v>0</v>
      </c>
      <c r="J137" s="311">
        <v>0</v>
      </c>
    </row>
    <row r="138" spans="2:10" hidden="1" outlineLevel="2" x14ac:dyDescent="0.35">
      <c r="B138" s="487"/>
      <c r="C138" s="590"/>
      <c r="D138" s="222" t="s">
        <v>108</v>
      </c>
      <c r="E138" s="219">
        <v>0</v>
      </c>
      <c r="F138" s="219">
        <v>0</v>
      </c>
      <c r="G138" s="219">
        <v>0</v>
      </c>
      <c r="H138" s="219">
        <v>0</v>
      </c>
      <c r="I138" s="219">
        <v>0</v>
      </c>
      <c r="J138" s="311">
        <v>0</v>
      </c>
    </row>
    <row r="139" spans="2:10" hidden="1" outlineLevel="2" x14ac:dyDescent="0.35">
      <c r="B139" s="487"/>
      <c r="C139" s="590"/>
      <c r="D139" s="222" t="s">
        <v>107</v>
      </c>
      <c r="E139" s="219">
        <v>0</v>
      </c>
      <c r="F139" s="219">
        <v>0</v>
      </c>
      <c r="G139" s="219">
        <v>0</v>
      </c>
      <c r="H139" s="219">
        <v>0</v>
      </c>
      <c r="I139" s="219">
        <v>0</v>
      </c>
      <c r="J139" s="311">
        <v>0</v>
      </c>
    </row>
    <row r="140" spans="2:10" hidden="1" outlineLevel="2" x14ac:dyDescent="0.35">
      <c r="B140" s="487"/>
      <c r="C140" s="590"/>
      <c r="D140" s="222" t="s">
        <v>106</v>
      </c>
      <c r="E140" s="219">
        <v>0</v>
      </c>
      <c r="F140" s="219">
        <v>0</v>
      </c>
      <c r="G140" s="219">
        <v>0</v>
      </c>
      <c r="H140" s="219">
        <v>0</v>
      </c>
      <c r="I140" s="219">
        <v>0</v>
      </c>
      <c r="J140" s="311">
        <v>0</v>
      </c>
    </row>
    <row r="141" spans="2:10" hidden="1" outlineLevel="2" collapsed="1" x14ac:dyDescent="0.35">
      <c r="B141" s="487"/>
      <c r="C141" s="590"/>
      <c r="D141" s="446" t="s">
        <v>104</v>
      </c>
      <c r="E141" s="219">
        <v>1</v>
      </c>
      <c r="F141" s="219">
        <v>1</v>
      </c>
      <c r="G141" s="219">
        <v>2419502.11</v>
      </c>
      <c r="H141" s="219">
        <v>483900.42</v>
      </c>
      <c r="I141" s="219">
        <v>481950.21</v>
      </c>
      <c r="J141" s="311">
        <v>1950.21</v>
      </c>
    </row>
    <row r="142" spans="2:10" hidden="1" outlineLevel="2" x14ac:dyDescent="0.35">
      <c r="B142" s="487"/>
      <c r="C142" s="590"/>
      <c r="D142" s="222" t="s">
        <v>103</v>
      </c>
      <c r="E142" s="219">
        <v>1</v>
      </c>
      <c r="F142" s="219">
        <v>1</v>
      </c>
      <c r="G142" s="219">
        <v>1213167.3600000001</v>
      </c>
      <c r="H142" s="219">
        <v>242633.47</v>
      </c>
      <c r="I142" s="219">
        <v>121400</v>
      </c>
      <c r="J142" s="311">
        <v>121233.47</v>
      </c>
    </row>
    <row r="143" spans="2:10" hidden="1" outlineLevel="2" x14ac:dyDescent="0.35">
      <c r="B143" s="487"/>
      <c r="C143" s="590"/>
      <c r="D143" s="222" t="s">
        <v>102</v>
      </c>
      <c r="E143" s="219">
        <v>0</v>
      </c>
      <c r="F143" s="219">
        <v>0</v>
      </c>
      <c r="G143" s="219">
        <v>0</v>
      </c>
      <c r="H143" s="219">
        <v>0</v>
      </c>
      <c r="I143" s="219">
        <v>0</v>
      </c>
      <c r="J143" s="311">
        <v>0</v>
      </c>
    </row>
    <row r="144" spans="2:10" hidden="1" outlineLevel="2" x14ac:dyDescent="0.35">
      <c r="B144" s="487"/>
      <c r="C144" s="590"/>
      <c r="D144" s="222" t="s">
        <v>101</v>
      </c>
      <c r="E144" s="219">
        <v>0</v>
      </c>
      <c r="F144" s="219">
        <v>0</v>
      </c>
      <c r="G144" s="219">
        <v>0</v>
      </c>
      <c r="H144" s="219">
        <v>0</v>
      </c>
      <c r="I144" s="219">
        <v>0</v>
      </c>
      <c r="J144" s="311">
        <v>0</v>
      </c>
    </row>
    <row r="145" spans="2:10" hidden="1" outlineLevel="2" collapsed="1" x14ac:dyDescent="0.35">
      <c r="B145" s="487"/>
      <c r="C145" s="590"/>
      <c r="D145" s="446" t="s">
        <v>99</v>
      </c>
      <c r="E145" s="219">
        <v>0</v>
      </c>
      <c r="F145" s="219">
        <v>0</v>
      </c>
      <c r="G145" s="219">
        <v>0</v>
      </c>
      <c r="H145" s="219">
        <v>0</v>
      </c>
      <c r="I145" s="219">
        <v>0</v>
      </c>
      <c r="J145" s="311">
        <v>0</v>
      </c>
    </row>
    <row r="146" spans="2:10" hidden="1" outlineLevel="2" x14ac:dyDescent="0.35">
      <c r="B146" s="487"/>
      <c r="C146" s="590"/>
      <c r="D146" s="223" t="s">
        <v>98</v>
      </c>
      <c r="E146" s="219">
        <v>0</v>
      </c>
      <c r="F146" s="219">
        <v>0</v>
      </c>
      <c r="G146" s="219">
        <v>0</v>
      </c>
      <c r="H146" s="219">
        <v>0</v>
      </c>
      <c r="I146" s="219">
        <v>0</v>
      </c>
      <c r="J146" s="311">
        <v>0</v>
      </c>
    </row>
    <row r="147" spans="2:10" hidden="1" outlineLevel="2" x14ac:dyDescent="0.35">
      <c r="B147" s="487"/>
      <c r="C147" s="590"/>
      <c r="D147" s="223" t="s">
        <v>97</v>
      </c>
      <c r="E147" s="219">
        <v>0</v>
      </c>
      <c r="F147" s="219">
        <v>0</v>
      </c>
      <c r="G147" s="219">
        <v>0</v>
      </c>
      <c r="H147" s="219">
        <v>0</v>
      </c>
      <c r="I147" s="219">
        <v>0</v>
      </c>
      <c r="J147" s="311">
        <v>0</v>
      </c>
    </row>
    <row r="148" spans="2:10" hidden="1" outlineLevel="2" x14ac:dyDescent="0.35">
      <c r="B148" s="487"/>
      <c r="C148" s="590"/>
      <c r="D148" s="223" t="s">
        <v>96</v>
      </c>
      <c r="E148" s="219">
        <v>0</v>
      </c>
      <c r="F148" s="219">
        <v>0</v>
      </c>
      <c r="G148" s="219">
        <v>0</v>
      </c>
      <c r="H148" s="219">
        <v>0</v>
      </c>
      <c r="I148" s="219">
        <v>0</v>
      </c>
      <c r="J148" s="311">
        <v>0</v>
      </c>
    </row>
    <row r="149" spans="2:10" hidden="1" outlineLevel="2" collapsed="1" x14ac:dyDescent="0.35">
      <c r="B149" s="487"/>
      <c r="C149" s="590"/>
      <c r="D149" s="445" t="s">
        <v>94</v>
      </c>
      <c r="E149" s="219">
        <v>0</v>
      </c>
      <c r="F149" s="219">
        <v>0</v>
      </c>
      <c r="G149" s="219">
        <v>0</v>
      </c>
      <c r="H149" s="219">
        <v>0</v>
      </c>
      <c r="I149" s="219">
        <v>0</v>
      </c>
      <c r="J149" s="311">
        <v>0</v>
      </c>
    </row>
    <row r="150" spans="2:10" hidden="1" outlineLevel="2" x14ac:dyDescent="0.35">
      <c r="B150" s="487"/>
      <c r="C150" s="590"/>
      <c r="D150" s="223" t="s">
        <v>93</v>
      </c>
      <c r="E150" s="219">
        <v>0</v>
      </c>
      <c r="F150" s="219">
        <v>0</v>
      </c>
      <c r="G150" s="219">
        <v>0</v>
      </c>
      <c r="H150" s="219">
        <v>0</v>
      </c>
      <c r="I150" s="219">
        <v>0</v>
      </c>
      <c r="J150" s="311">
        <v>0</v>
      </c>
    </row>
    <row r="151" spans="2:10" hidden="1" outlineLevel="2" x14ac:dyDescent="0.35">
      <c r="B151" s="487"/>
      <c r="C151" s="590"/>
      <c r="D151" s="223" t="s">
        <v>92</v>
      </c>
      <c r="E151" s="219">
        <v>0</v>
      </c>
      <c r="F151" s="219">
        <v>0</v>
      </c>
      <c r="G151" s="219">
        <v>0</v>
      </c>
      <c r="H151" s="219">
        <v>0</v>
      </c>
      <c r="I151" s="219">
        <v>0</v>
      </c>
      <c r="J151" s="311">
        <v>0</v>
      </c>
    </row>
    <row r="152" spans="2:10" hidden="1" outlineLevel="2" x14ac:dyDescent="0.35">
      <c r="B152" s="487"/>
      <c r="C152" s="590"/>
      <c r="D152" s="223" t="s">
        <v>91</v>
      </c>
      <c r="E152" s="219">
        <v>1</v>
      </c>
      <c r="F152" s="219">
        <v>1</v>
      </c>
      <c r="G152" s="219">
        <v>2309735</v>
      </c>
      <c r="H152" s="219">
        <v>461947</v>
      </c>
      <c r="I152" s="219">
        <v>230974</v>
      </c>
      <c r="J152" s="311">
        <v>230973</v>
      </c>
    </row>
    <row r="153" spans="2:10" hidden="1" outlineLevel="2" collapsed="1" x14ac:dyDescent="0.35">
      <c r="B153" s="487"/>
      <c r="C153" s="590"/>
      <c r="D153" s="445" t="s">
        <v>89</v>
      </c>
      <c r="E153" s="219">
        <v>0</v>
      </c>
      <c r="F153" s="219">
        <v>0</v>
      </c>
      <c r="G153" s="219">
        <v>0</v>
      </c>
      <c r="H153" s="219">
        <v>0</v>
      </c>
      <c r="I153" s="219">
        <v>0</v>
      </c>
      <c r="J153" s="311">
        <v>0</v>
      </c>
    </row>
    <row r="154" spans="2:10" hidden="1" outlineLevel="2" x14ac:dyDescent="0.35">
      <c r="B154" s="487"/>
      <c r="C154" s="590"/>
      <c r="D154" s="223" t="s">
        <v>88</v>
      </c>
      <c r="E154" s="219">
        <v>0</v>
      </c>
      <c r="F154" s="219">
        <v>0</v>
      </c>
      <c r="G154" s="219">
        <v>0</v>
      </c>
      <c r="H154" s="219">
        <v>0</v>
      </c>
      <c r="I154" s="219">
        <v>0</v>
      </c>
      <c r="J154" s="311">
        <v>0</v>
      </c>
    </row>
    <row r="155" spans="2:10" hidden="1" outlineLevel="2" x14ac:dyDescent="0.35">
      <c r="B155" s="487"/>
      <c r="C155" s="590"/>
      <c r="D155" s="223" t="s">
        <v>87</v>
      </c>
      <c r="E155" s="219">
        <v>0</v>
      </c>
      <c r="F155" s="219">
        <v>0</v>
      </c>
      <c r="G155" s="219">
        <v>0</v>
      </c>
      <c r="H155" s="219">
        <v>0</v>
      </c>
      <c r="I155" s="219">
        <v>0</v>
      </c>
      <c r="J155" s="311">
        <v>0</v>
      </c>
    </row>
    <row r="156" spans="2:10" hidden="1" outlineLevel="2" x14ac:dyDescent="0.35">
      <c r="B156" s="487"/>
      <c r="C156" s="590"/>
      <c r="D156" s="223" t="s">
        <v>86</v>
      </c>
      <c r="E156" s="219">
        <v>0</v>
      </c>
      <c r="F156" s="219">
        <v>0</v>
      </c>
      <c r="G156" s="219">
        <v>0</v>
      </c>
      <c r="H156" s="219">
        <v>0</v>
      </c>
      <c r="I156" s="219">
        <v>0</v>
      </c>
      <c r="J156" s="311">
        <v>0</v>
      </c>
    </row>
    <row r="157" spans="2:10" hidden="1" outlineLevel="2" collapsed="1" x14ac:dyDescent="0.35">
      <c r="B157" s="487"/>
      <c r="C157" s="590"/>
      <c r="D157" s="445" t="s">
        <v>84</v>
      </c>
      <c r="E157" s="219">
        <v>1</v>
      </c>
      <c r="F157" s="219">
        <v>1</v>
      </c>
      <c r="G157" s="219">
        <v>1524583.39</v>
      </c>
      <c r="H157" s="219">
        <v>304916.68</v>
      </c>
      <c r="I157" s="219">
        <v>197458</v>
      </c>
      <c r="J157" s="311">
        <v>107458.68</v>
      </c>
    </row>
    <row r="158" spans="2:10" hidden="1" outlineLevel="2" x14ac:dyDescent="0.35">
      <c r="B158" s="487"/>
      <c r="C158" s="590"/>
      <c r="D158" s="223" t="s">
        <v>83</v>
      </c>
      <c r="E158" s="219">
        <v>0</v>
      </c>
      <c r="F158" s="219">
        <v>0</v>
      </c>
      <c r="G158" s="219">
        <v>0</v>
      </c>
      <c r="H158" s="219">
        <v>0</v>
      </c>
      <c r="I158" s="219">
        <v>0</v>
      </c>
      <c r="J158" s="311">
        <v>0</v>
      </c>
    </row>
    <row r="159" spans="2:10" hidden="1" outlineLevel="2" x14ac:dyDescent="0.35">
      <c r="B159" s="487"/>
      <c r="C159" s="590"/>
      <c r="D159" s="223" t="s">
        <v>82</v>
      </c>
      <c r="E159" s="219">
        <v>0</v>
      </c>
      <c r="F159" s="219">
        <v>0</v>
      </c>
      <c r="G159" s="219">
        <v>0</v>
      </c>
      <c r="H159" s="219">
        <v>0</v>
      </c>
      <c r="I159" s="219">
        <v>0</v>
      </c>
      <c r="J159" s="311">
        <v>0</v>
      </c>
    </row>
    <row r="160" spans="2:10" hidden="1" outlineLevel="2" x14ac:dyDescent="0.35">
      <c r="B160" s="487"/>
      <c r="C160" s="590"/>
      <c r="D160" s="223" t="s">
        <v>81</v>
      </c>
      <c r="E160" s="219">
        <v>0</v>
      </c>
      <c r="F160" s="219">
        <v>0</v>
      </c>
      <c r="G160" s="219">
        <v>0</v>
      </c>
      <c r="H160" s="219">
        <v>0</v>
      </c>
      <c r="I160" s="219">
        <v>0</v>
      </c>
      <c r="J160" s="311">
        <v>0</v>
      </c>
    </row>
    <row r="161" spans="2:10" hidden="1" outlineLevel="2" x14ac:dyDescent="0.35">
      <c r="B161" s="487"/>
      <c r="C161" s="590"/>
      <c r="D161" s="223" t="s">
        <v>79</v>
      </c>
      <c r="E161" s="219">
        <v>0</v>
      </c>
      <c r="F161" s="219">
        <v>0</v>
      </c>
      <c r="G161" s="219">
        <v>0</v>
      </c>
      <c r="H161" s="219">
        <v>0</v>
      </c>
      <c r="I161" s="219">
        <v>0</v>
      </c>
      <c r="J161" s="311">
        <v>0</v>
      </c>
    </row>
    <row r="162" spans="2:10" hidden="1" outlineLevel="2" x14ac:dyDescent="0.35">
      <c r="B162" s="487"/>
      <c r="C162" s="590"/>
      <c r="D162" s="223" t="s">
        <v>78</v>
      </c>
      <c r="E162" s="219">
        <v>0</v>
      </c>
      <c r="F162" s="219">
        <v>0</v>
      </c>
      <c r="G162" s="219">
        <v>0</v>
      </c>
      <c r="H162" s="219">
        <v>0</v>
      </c>
      <c r="I162" s="219">
        <v>0</v>
      </c>
      <c r="J162" s="311">
        <v>0</v>
      </c>
    </row>
    <row r="163" spans="2:10" outlineLevel="1" collapsed="1" x14ac:dyDescent="0.35">
      <c r="B163" s="487"/>
      <c r="C163" s="590"/>
      <c r="D163" s="221" t="s">
        <v>77</v>
      </c>
      <c r="E163" s="219">
        <f t="shared" ref="E163:J163" si="22">SUM(E164:E185)</f>
        <v>3</v>
      </c>
      <c r="F163" s="219">
        <f t="shared" si="22"/>
        <v>3</v>
      </c>
      <c r="G163" s="219">
        <f t="shared" si="22"/>
        <v>6283665.8399999999</v>
      </c>
      <c r="H163" s="219">
        <f t="shared" si="22"/>
        <v>1256733.17</v>
      </c>
      <c r="I163" s="219">
        <f t="shared" si="22"/>
        <v>983749.23</v>
      </c>
      <c r="J163" s="311">
        <f t="shared" si="22"/>
        <v>272983.94</v>
      </c>
    </row>
    <row r="164" spans="2:10" hidden="1" outlineLevel="2" x14ac:dyDescent="0.35">
      <c r="B164" s="487"/>
      <c r="C164" s="590"/>
      <c r="D164" s="222" t="s">
        <v>75</v>
      </c>
      <c r="E164" s="219">
        <v>0</v>
      </c>
      <c r="F164" s="219">
        <v>0</v>
      </c>
      <c r="G164" s="219">
        <v>0</v>
      </c>
      <c r="H164" s="219">
        <v>0</v>
      </c>
      <c r="I164" s="219">
        <v>0</v>
      </c>
      <c r="J164" s="311">
        <v>0</v>
      </c>
    </row>
    <row r="165" spans="2:10" hidden="1" outlineLevel="2" x14ac:dyDescent="0.35">
      <c r="B165" s="487"/>
      <c r="C165" s="590"/>
      <c r="D165" s="222" t="s">
        <v>74</v>
      </c>
      <c r="E165" s="219">
        <v>1</v>
      </c>
      <c r="F165" s="219">
        <v>1</v>
      </c>
      <c r="G165" s="219">
        <v>1286018.1499999999</v>
      </c>
      <c r="H165" s="219">
        <v>257203.63</v>
      </c>
      <c r="I165" s="219">
        <v>255600</v>
      </c>
      <c r="J165" s="311">
        <v>1603.63</v>
      </c>
    </row>
    <row r="166" spans="2:10" hidden="1" outlineLevel="2" x14ac:dyDescent="0.35">
      <c r="B166" s="487"/>
      <c r="C166" s="590"/>
      <c r="D166" s="222" t="s">
        <v>73</v>
      </c>
      <c r="E166" s="219">
        <v>0</v>
      </c>
      <c r="F166" s="219">
        <v>0</v>
      </c>
      <c r="G166" s="219">
        <v>0</v>
      </c>
      <c r="H166" s="219">
        <v>0</v>
      </c>
      <c r="I166" s="219">
        <v>0</v>
      </c>
      <c r="J166" s="311">
        <v>0</v>
      </c>
    </row>
    <row r="167" spans="2:10" hidden="1" outlineLevel="2" x14ac:dyDescent="0.35">
      <c r="B167" s="487"/>
      <c r="C167" s="590"/>
      <c r="D167" s="222" t="s">
        <v>72</v>
      </c>
      <c r="E167" s="219">
        <v>0</v>
      </c>
      <c r="F167" s="219">
        <v>0</v>
      </c>
      <c r="G167" s="219">
        <v>0</v>
      </c>
      <c r="H167" s="219">
        <v>0</v>
      </c>
      <c r="I167" s="219">
        <v>0</v>
      </c>
      <c r="J167" s="311">
        <v>0</v>
      </c>
    </row>
    <row r="168" spans="2:10" hidden="1" outlineLevel="2" x14ac:dyDescent="0.35">
      <c r="B168" s="487"/>
      <c r="C168" s="590"/>
      <c r="D168" s="222" t="s">
        <v>70</v>
      </c>
      <c r="E168" s="219">
        <v>0</v>
      </c>
      <c r="F168" s="219">
        <v>0</v>
      </c>
      <c r="G168" s="219">
        <v>0</v>
      </c>
      <c r="H168" s="219">
        <v>0</v>
      </c>
      <c r="I168" s="219">
        <v>0</v>
      </c>
      <c r="J168" s="311">
        <v>0</v>
      </c>
    </row>
    <row r="169" spans="2:10" hidden="1" outlineLevel="2" x14ac:dyDescent="0.35">
      <c r="B169" s="487"/>
      <c r="C169" s="590"/>
      <c r="D169" s="222" t="s">
        <v>69</v>
      </c>
      <c r="E169" s="219">
        <v>0</v>
      </c>
      <c r="F169" s="219">
        <v>0</v>
      </c>
      <c r="G169" s="219">
        <v>0</v>
      </c>
      <c r="H169" s="219">
        <v>0</v>
      </c>
      <c r="I169" s="219">
        <v>0</v>
      </c>
      <c r="J169" s="311">
        <v>0</v>
      </c>
    </row>
    <row r="170" spans="2:10" hidden="1" outlineLevel="2" x14ac:dyDescent="0.35">
      <c r="B170" s="487"/>
      <c r="C170" s="590"/>
      <c r="D170" s="222" t="s">
        <v>68</v>
      </c>
      <c r="E170" s="219">
        <v>0</v>
      </c>
      <c r="F170" s="219">
        <v>0</v>
      </c>
      <c r="G170" s="219">
        <v>0</v>
      </c>
      <c r="H170" s="219">
        <v>0</v>
      </c>
      <c r="I170" s="219">
        <v>0</v>
      </c>
      <c r="J170" s="311">
        <v>0</v>
      </c>
    </row>
    <row r="171" spans="2:10" hidden="1" outlineLevel="2" x14ac:dyDescent="0.35">
      <c r="B171" s="487"/>
      <c r="C171" s="590"/>
      <c r="D171" s="222" t="s">
        <v>67</v>
      </c>
      <c r="E171" s="219">
        <v>0</v>
      </c>
      <c r="F171" s="219">
        <v>0</v>
      </c>
      <c r="G171" s="219">
        <v>0</v>
      </c>
      <c r="H171" s="219">
        <v>0</v>
      </c>
      <c r="I171" s="219">
        <v>0</v>
      </c>
      <c r="J171" s="311">
        <v>0</v>
      </c>
    </row>
    <row r="172" spans="2:10" hidden="1" outlineLevel="2" x14ac:dyDescent="0.35">
      <c r="B172" s="487"/>
      <c r="C172" s="590"/>
      <c r="D172" s="222" t="s">
        <v>65</v>
      </c>
      <c r="E172" s="219">
        <v>0</v>
      </c>
      <c r="F172" s="219">
        <v>0</v>
      </c>
      <c r="G172" s="219">
        <v>0</v>
      </c>
      <c r="H172" s="219">
        <v>0</v>
      </c>
      <c r="I172" s="219">
        <v>0</v>
      </c>
      <c r="J172" s="311">
        <v>0</v>
      </c>
    </row>
    <row r="173" spans="2:10" hidden="1" outlineLevel="2" x14ac:dyDescent="0.35">
      <c r="B173" s="487"/>
      <c r="C173" s="590"/>
      <c r="D173" s="222" t="s">
        <v>64</v>
      </c>
      <c r="E173" s="219">
        <v>1</v>
      </c>
      <c r="F173" s="219">
        <v>1</v>
      </c>
      <c r="G173" s="219">
        <v>2142863.06</v>
      </c>
      <c r="H173" s="219">
        <v>428572.61</v>
      </c>
      <c r="I173" s="219">
        <v>214288</v>
      </c>
      <c r="J173" s="311">
        <v>214284.61</v>
      </c>
    </row>
    <row r="174" spans="2:10" hidden="1" outlineLevel="2" x14ac:dyDescent="0.35">
      <c r="B174" s="487"/>
      <c r="C174" s="590"/>
      <c r="D174" s="222" t="s">
        <v>63</v>
      </c>
      <c r="E174" s="219">
        <v>0</v>
      </c>
      <c r="F174" s="219">
        <v>0</v>
      </c>
      <c r="G174" s="219">
        <v>0</v>
      </c>
      <c r="H174" s="219">
        <v>0</v>
      </c>
      <c r="I174" s="219">
        <v>0</v>
      </c>
      <c r="J174" s="311">
        <v>0</v>
      </c>
    </row>
    <row r="175" spans="2:10" hidden="1" outlineLevel="2" x14ac:dyDescent="0.35">
      <c r="B175" s="487"/>
      <c r="C175" s="590"/>
      <c r="D175" s="222" t="s">
        <v>62</v>
      </c>
      <c r="E175" s="219">
        <v>0</v>
      </c>
      <c r="F175" s="219">
        <v>0</v>
      </c>
      <c r="G175" s="219">
        <v>0</v>
      </c>
      <c r="H175" s="219">
        <v>0</v>
      </c>
      <c r="I175" s="219">
        <v>0</v>
      </c>
      <c r="J175" s="311">
        <v>0</v>
      </c>
    </row>
    <row r="176" spans="2:10" hidden="1" outlineLevel="2" x14ac:dyDescent="0.35">
      <c r="B176" s="487"/>
      <c r="C176" s="590"/>
      <c r="D176" s="222" t="s">
        <v>60</v>
      </c>
      <c r="E176" s="219">
        <v>1</v>
      </c>
      <c r="F176" s="219">
        <v>1</v>
      </c>
      <c r="G176" s="219">
        <v>2854784.63</v>
      </c>
      <c r="H176" s="219">
        <v>570956.93000000005</v>
      </c>
      <c r="I176" s="219">
        <v>513861.23</v>
      </c>
      <c r="J176" s="311">
        <v>57095.7</v>
      </c>
    </row>
    <row r="177" spans="2:11" hidden="1" outlineLevel="2" x14ac:dyDescent="0.35">
      <c r="B177" s="487"/>
      <c r="C177" s="590"/>
      <c r="D177" s="222" t="s">
        <v>59</v>
      </c>
      <c r="E177" s="219">
        <v>0</v>
      </c>
      <c r="F177" s="219">
        <v>0</v>
      </c>
      <c r="G177" s="219">
        <v>0</v>
      </c>
      <c r="H177" s="219">
        <v>0</v>
      </c>
      <c r="I177" s="219">
        <v>0</v>
      </c>
      <c r="J177" s="311">
        <v>0</v>
      </c>
    </row>
    <row r="178" spans="2:11" hidden="1" outlineLevel="2" x14ac:dyDescent="0.35">
      <c r="B178" s="487"/>
      <c r="C178" s="590"/>
      <c r="D178" s="222" t="s">
        <v>58</v>
      </c>
      <c r="E178" s="219">
        <v>0</v>
      </c>
      <c r="F178" s="219">
        <v>0</v>
      </c>
      <c r="G178" s="219">
        <v>0</v>
      </c>
      <c r="H178" s="219">
        <v>0</v>
      </c>
      <c r="I178" s="219">
        <v>0</v>
      </c>
      <c r="J178" s="311">
        <v>0</v>
      </c>
    </row>
    <row r="179" spans="2:11" hidden="1" outlineLevel="2" x14ac:dyDescent="0.35">
      <c r="B179" s="487"/>
      <c r="C179" s="590"/>
      <c r="D179" s="222" t="s">
        <v>57</v>
      </c>
      <c r="E179" s="219">
        <v>0</v>
      </c>
      <c r="F179" s="219">
        <v>0</v>
      </c>
      <c r="G179" s="219">
        <v>0</v>
      </c>
      <c r="H179" s="219">
        <v>0</v>
      </c>
      <c r="I179" s="219">
        <v>0</v>
      </c>
      <c r="J179" s="311">
        <v>0</v>
      </c>
    </row>
    <row r="180" spans="2:11" hidden="1" outlineLevel="2" x14ac:dyDescent="0.35">
      <c r="B180" s="487"/>
      <c r="C180" s="590"/>
      <c r="D180" s="222" t="s">
        <v>55</v>
      </c>
      <c r="E180" s="219">
        <v>0</v>
      </c>
      <c r="F180" s="219">
        <v>0</v>
      </c>
      <c r="G180" s="219">
        <v>0</v>
      </c>
      <c r="H180" s="219">
        <v>0</v>
      </c>
      <c r="I180" s="219">
        <v>0</v>
      </c>
      <c r="J180" s="311">
        <v>0</v>
      </c>
    </row>
    <row r="181" spans="2:11" hidden="1" outlineLevel="2" x14ac:dyDescent="0.35">
      <c r="B181" s="487"/>
      <c r="C181" s="590"/>
      <c r="D181" s="222" t="s">
        <v>54</v>
      </c>
      <c r="E181" s="219">
        <v>0</v>
      </c>
      <c r="F181" s="219">
        <v>0</v>
      </c>
      <c r="G181" s="219">
        <v>0</v>
      </c>
      <c r="H181" s="219">
        <v>0</v>
      </c>
      <c r="I181" s="219">
        <v>0</v>
      </c>
      <c r="J181" s="311">
        <v>0</v>
      </c>
    </row>
    <row r="182" spans="2:11" hidden="1" outlineLevel="2" x14ac:dyDescent="0.35">
      <c r="B182" s="487"/>
      <c r="C182" s="590"/>
      <c r="D182" s="222" t="s">
        <v>53</v>
      </c>
      <c r="E182" s="219">
        <v>0</v>
      </c>
      <c r="F182" s="219">
        <v>0</v>
      </c>
      <c r="G182" s="219">
        <v>0</v>
      </c>
      <c r="H182" s="219">
        <v>0</v>
      </c>
      <c r="I182" s="219">
        <v>0</v>
      </c>
      <c r="J182" s="311">
        <v>0</v>
      </c>
    </row>
    <row r="183" spans="2:11" hidden="1" outlineLevel="2" x14ac:dyDescent="0.35">
      <c r="B183" s="487"/>
      <c r="C183" s="590"/>
      <c r="D183" s="222" t="s">
        <v>52</v>
      </c>
      <c r="E183" s="219">
        <v>0</v>
      </c>
      <c r="F183" s="219">
        <v>0</v>
      </c>
      <c r="G183" s="219">
        <v>0</v>
      </c>
      <c r="H183" s="219">
        <v>0</v>
      </c>
      <c r="I183" s="219">
        <v>0</v>
      </c>
      <c r="J183" s="311">
        <v>0</v>
      </c>
    </row>
    <row r="184" spans="2:11" hidden="1" outlineLevel="2" x14ac:dyDescent="0.35">
      <c r="B184" s="487"/>
      <c r="C184" s="590"/>
      <c r="D184" s="222" t="s">
        <v>50</v>
      </c>
      <c r="E184" s="219">
        <v>0</v>
      </c>
      <c r="F184" s="219">
        <v>0</v>
      </c>
      <c r="G184" s="219">
        <v>0</v>
      </c>
      <c r="H184" s="219">
        <v>0</v>
      </c>
      <c r="I184" s="219">
        <v>0</v>
      </c>
      <c r="J184" s="311">
        <v>0</v>
      </c>
    </row>
    <row r="185" spans="2:11" hidden="1" outlineLevel="2" x14ac:dyDescent="0.35">
      <c r="B185" s="487"/>
      <c r="C185" s="590"/>
      <c r="D185" s="222" t="s">
        <v>49</v>
      </c>
      <c r="E185" s="219">
        <v>0</v>
      </c>
      <c r="F185" s="219">
        <v>0</v>
      </c>
      <c r="G185" s="219">
        <v>0</v>
      </c>
      <c r="H185" s="219">
        <v>0</v>
      </c>
      <c r="I185" s="219">
        <v>0</v>
      </c>
      <c r="J185" s="311">
        <v>0</v>
      </c>
    </row>
    <row r="186" spans="2:11" x14ac:dyDescent="0.35">
      <c r="B186" s="487"/>
      <c r="C186" s="590"/>
      <c r="D186" s="439" t="s">
        <v>243</v>
      </c>
      <c r="E186" s="438">
        <f t="shared" ref="E186:J186" si="23">SUM(E163,E128,E123)</f>
        <v>9</v>
      </c>
      <c r="F186" s="438">
        <f t="shared" si="23"/>
        <v>9</v>
      </c>
      <c r="G186" s="438">
        <f t="shared" si="23"/>
        <v>16823822.490000002</v>
      </c>
      <c r="H186" s="438">
        <f t="shared" si="23"/>
        <v>3057447.62</v>
      </c>
      <c r="I186" s="437">
        <f t="shared" si="23"/>
        <v>2037802.44</v>
      </c>
      <c r="J186" s="448">
        <f t="shared" si="23"/>
        <v>1019645.1799999999</v>
      </c>
    </row>
    <row r="187" spans="2:11" outlineLevel="1" x14ac:dyDescent="0.35">
      <c r="B187" s="487" t="s">
        <v>242</v>
      </c>
      <c r="C187" s="590" t="s">
        <v>241</v>
      </c>
      <c r="D187" s="221" t="s">
        <v>240</v>
      </c>
      <c r="E187" s="219">
        <f t="shared" ref="E187:J187" si="24">SUM(E188:E190)</f>
        <v>5</v>
      </c>
      <c r="F187" s="219">
        <f t="shared" si="24"/>
        <v>3</v>
      </c>
      <c r="G187" s="219">
        <f t="shared" si="24"/>
        <v>7501059.5</v>
      </c>
      <c r="H187" s="219">
        <f t="shared" si="24"/>
        <v>1500211.9000000001</v>
      </c>
      <c r="I187" s="219">
        <f t="shared" si="24"/>
        <v>1169962.81</v>
      </c>
      <c r="J187" s="311">
        <f t="shared" si="24"/>
        <v>330249.09000000003</v>
      </c>
    </row>
    <row r="188" spans="2:11" ht="15" hidden="1" customHeight="1" outlineLevel="2" x14ac:dyDescent="0.35">
      <c r="B188" s="487"/>
      <c r="C188" s="590"/>
      <c r="D188" s="222" t="s">
        <v>126</v>
      </c>
      <c r="E188" s="219">
        <v>0</v>
      </c>
      <c r="F188" s="219">
        <v>0</v>
      </c>
      <c r="G188" s="219">
        <v>0</v>
      </c>
      <c r="H188" s="219">
        <v>0</v>
      </c>
      <c r="I188" s="219">
        <v>0</v>
      </c>
      <c r="J188" s="311">
        <v>0</v>
      </c>
    </row>
    <row r="189" spans="2:11" ht="15" hidden="1" customHeight="1" outlineLevel="2" x14ac:dyDescent="0.35">
      <c r="B189" s="487"/>
      <c r="C189" s="590"/>
      <c r="D189" s="222" t="s">
        <v>125</v>
      </c>
      <c r="E189" s="219">
        <v>3</v>
      </c>
      <c r="F189" s="219">
        <v>1</v>
      </c>
      <c r="G189" s="219">
        <v>4543667.6900000004</v>
      </c>
      <c r="H189" s="219">
        <v>908733.54</v>
      </c>
      <c r="I189" s="219">
        <v>898621.35000000009</v>
      </c>
      <c r="J189" s="311">
        <v>10112.19</v>
      </c>
    </row>
    <row r="190" spans="2:11" ht="15" hidden="1" customHeight="1" outlineLevel="2" x14ac:dyDescent="0.35">
      <c r="B190" s="487"/>
      <c r="C190" s="590"/>
      <c r="D190" s="222" t="s">
        <v>124</v>
      </c>
      <c r="E190" s="219">
        <v>2</v>
      </c>
      <c r="F190" s="219">
        <v>2</v>
      </c>
      <c r="G190" s="219">
        <v>2957391.81</v>
      </c>
      <c r="H190" s="219">
        <v>591478.3600000001</v>
      </c>
      <c r="I190" s="219">
        <v>271341.46000000002</v>
      </c>
      <c r="J190" s="311">
        <v>320136.90000000002</v>
      </c>
    </row>
    <row r="191" spans="2:11" outlineLevel="1" collapsed="1" x14ac:dyDescent="0.35">
      <c r="B191" s="487"/>
      <c r="C191" s="590"/>
      <c r="D191" s="221" t="s">
        <v>46</v>
      </c>
      <c r="E191" s="219">
        <f t="shared" ref="E191:J191" si="25">SUM(E192:E195)</f>
        <v>0</v>
      </c>
      <c r="F191" s="219">
        <f t="shared" si="25"/>
        <v>0</v>
      </c>
      <c r="G191" s="219">
        <f t="shared" si="25"/>
        <v>0</v>
      </c>
      <c r="H191" s="219">
        <f t="shared" si="25"/>
        <v>0</v>
      </c>
      <c r="I191" s="219">
        <f t="shared" si="25"/>
        <v>0</v>
      </c>
      <c r="J191" s="311">
        <f t="shared" si="25"/>
        <v>0</v>
      </c>
    </row>
    <row r="192" spans="2:11" ht="15" hidden="1" customHeight="1" outlineLevel="2" x14ac:dyDescent="0.35">
      <c r="B192" s="487"/>
      <c r="C192" s="590"/>
      <c r="D192" s="222" t="s">
        <v>45</v>
      </c>
      <c r="E192" s="219">
        <v>0</v>
      </c>
      <c r="F192" s="219">
        <v>0</v>
      </c>
      <c r="G192" s="219">
        <v>0</v>
      </c>
      <c r="H192" s="219">
        <v>0</v>
      </c>
      <c r="I192" s="219">
        <v>0</v>
      </c>
      <c r="J192" s="311">
        <v>0</v>
      </c>
      <c r="K192" s="453"/>
    </row>
    <row r="193" spans="2:11" ht="15" hidden="1" customHeight="1" outlineLevel="2" x14ac:dyDescent="0.35">
      <c r="B193" s="487"/>
      <c r="C193" s="590"/>
      <c r="D193" s="222" t="s">
        <v>44</v>
      </c>
      <c r="E193" s="219">
        <v>0</v>
      </c>
      <c r="F193" s="219">
        <v>0</v>
      </c>
      <c r="G193" s="219">
        <v>0</v>
      </c>
      <c r="H193" s="219">
        <v>0</v>
      </c>
      <c r="I193" s="219">
        <v>0</v>
      </c>
      <c r="J193" s="311">
        <v>0</v>
      </c>
      <c r="K193" s="453"/>
    </row>
    <row r="194" spans="2:11" ht="15" hidden="1" customHeight="1" outlineLevel="2" x14ac:dyDescent="0.35">
      <c r="B194" s="487"/>
      <c r="C194" s="590"/>
      <c r="D194" s="222" t="s">
        <v>43</v>
      </c>
      <c r="E194" s="219">
        <v>0</v>
      </c>
      <c r="F194" s="219">
        <v>0</v>
      </c>
      <c r="G194" s="219">
        <v>0</v>
      </c>
      <c r="H194" s="219">
        <v>0</v>
      </c>
      <c r="I194" s="219">
        <v>0</v>
      </c>
      <c r="J194" s="311">
        <v>0</v>
      </c>
      <c r="K194" s="453"/>
    </row>
    <row r="195" spans="2:11" ht="15" hidden="1" customHeight="1" outlineLevel="2" x14ac:dyDescent="0.35">
      <c r="B195" s="487"/>
      <c r="C195" s="590"/>
      <c r="D195" s="222" t="s">
        <v>42</v>
      </c>
      <c r="E195" s="219">
        <v>0</v>
      </c>
      <c r="F195" s="219">
        <v>0</v>
      </c>
      <c r="G195" s="219">
        <v>0</v>
      </c>
      <c r="H195" s="219">
        <v>0</v>
      </c>
      <c r="I195" s="219">
        <v>0</v>
      </c>
      <c r="J195" s="311">
        <v>0</v>
      </c>
      <c r="K195" s="453"/>
    </row>
    <row r="196" spans="2:11" x14ac:dyDescent="0.35">
      <c r="B196" s="591"/>
      <c r="C196" s="592"/>
      <c r="D196" s="439" t="s">
        <v>239</v>
      </c>
      <c r="E196" s="438">
        <f t="shared" ref="E196:J196" si="26">SUM(E191,E187)</f>
        <v>5</v>
      </c>
      <c r="F196" s="438">
        <f t="shared" si="26"/>
        <v>3</v>
      </c>
      <c r="G196" s="438">
        <f t="shared" si="26"/>
        <v>7501059.5</v>
      </c>
      <c r="H196" s="438">
        <f t="shared" si="26"/>
        <v>1500211.9000000001</v>
      </c>
      <c r="I196" s="437">
        <f t="shared" si="26"/>
        <v>1169962.81</v>
      </c>
      <c r="J196" s="448">
        <f t="shared" si="26"/>
        <v>330249.09000000003</v>
      </c>
    </row>
    <row r="197" spans="2:11" outlineLevel="1" x14ac:dyDescent="0.35">
      <c r="B197" s="487" t="s">
        <v>238</v>
      </c>
      <c r="C197" s="590" t="s">
        <v>237</v>
      </c>
      <c r="D197" s="221" t="s">
        <v>32</v>
      </c>
      <c r="E197" s="219">
        <f t="shared" ref="E197:J197" si="27">SUM(E198:E200)</f>
        <v>0</v>
      </c>
      <c r="F197" s="219">
        <f t="shared" si="27"/>
        <v>0</v>
      </c>
      <c r="G197" s="219">
        <f t="shared" si="27"/>
        <v>0</v>
      </c>
      <c r="H197" s="219">
        <f t="shared" si="27"/>
        <v>0</v>
      </c>
      <c r="I197" s="219">
        <f t="shared" si="27"/>
        <v>0</v>
      </c>
      <c r="J197" s="311">
        <f t="shared" si="27"/>
        <v>0</v>
      </c>
    </row>
    <row r="198" spans="2:11" ht="15" hidden="1" customHeight="1" outlineLevel="2" x14ac:dyDescent="0.35">
      <c r="B198" s="487"/>
      <c r="C198" s="590"/>
      <c r="D198" s="222" t="s">
        <v>31</v>
      </c>
      <c r="E198" s="219">
        <v>0</v>
      </c>
      <c r="F198" s="219">
        <v>0</v>
      </c>
      <c r="G198" s="219">
        <v>0</v>
      </c>
      <c r="H198" s="219">
        <v>0</v>
      </c>
      <c r="I198" s="219">
        <v>0</v>
      </c>
      <c r="J198" s="311">
        <v>0</v>
      </c>
    </row>
    <row r="199" spans="2:11" ht="15" hidden="1" customHeight="1" outlineLevel="2" x14ac:dyDescent="0.35">
      <c r="B199" s="487"/>
      <c r="C199" s="590"/>
      <c r="D199" s="222" t="s">
        <v>30</v>
      </c>
      <c r="E199" s="219">
        <v>0</v>
      </c>
      <c r="F199" s="219">
        <v>0</v>
      </c>
      <c r="G199" s="219">
        <v>0</v>
      </c>
      <c r="H199" s="219">
        <v>0</v>
      </c>
      <c r="I199" s="219">
        <v>0</v>
      </c>
      <c r="J199" s="311">
        <v>0</v>
      </c>
    </row>
    <row r="200" spans="2:11" ht="15" hidden="1" customHeight="1" outlineLevel="2" x14ac:dyDescent="0.35">
      <c r="B200" s="487"/>
      <c r="C200" s="590"/>
      <c r="D200" s="222" t="s">
        <v>29</v>
      </c>
      <c r="E200" s="219">
        <v>0</v>
      </c>
      <c r="F200" s="219">
        <v>0</v>
      </c>
      <c r="G200" s="219">
        <v>0</v>
      </c>
      <c r="H200" s="219">
        <v>0</v>
      </c>
      <c r="I200" s="219">
        <v>0</v>
      </c>
      <c r="J200" s="311">
        <v>0</v>
      </c>
    </row>
    <row r="201" spans="2:11" outlineLevel="1" collapsed="1" x14ac:dyDescent="0.35">
      <c r="B201" s="487"/>
      <c r="C201" s="590"/>
      <c r="D201" s="221" t="s">
        <v>28</v>
      </c>
      <c r="E201" s="219">
        <v>0</v>
      </c>
      <c r="F201" s="219">
        <v>0</v>
      </c>
      <c r="G201" s="219">
        <v>0</v>
      </c>
      <c r="H201" s="219">
        <v>0</v>
      </c>
      <c r="I201" s="219">
        <v>0</v>
      </c>
      <c r="J201" s="311">
        <v>0</v>
      </c>
    </row>
    <row r="202" spans="2:11" outlineLevel="1" x14ac:dyDescent="0.35">
      <c r="B202" s="487"/>
      <c r="C202" s="590"/>
      <c r="D202" s="221" t="s">
        <v>27</v>
      </c>
      <c r="E202" s="219">
        <v>0</v>
      </c>
      <c r="F202" s="219">
        <v>0</v>
      </c>
      <c r="G202" s="219">
        <v>0</v>
      </c>
      <c r="H202" s="219">
        <v>0</v>
      </c>
      <c r="I202" s="219">
        <v>0</v>
      </c>
      <c r="J202" s="311">
        <v>0</v>
      </c>
    </row>
    <row r="203" spans="2:11" x14ac:dyDescent="0.35">
      <c r="B203" s="591"/>
      <c r="C203" s="592"/>
      <c r="D203" s="439" t="s">
        <v>236</v>
      </c>
      <c r="E203" s="438">
        <f t="shared" ref="E203:J203" si="28">SUM(E202,E201,E197)</f>
        <v>0</v>
      </c>
      <c r="F203" s="438">
        <f t="shared" si="28"/>
        <v>0</v>
      </c>
      <c r="G203" s="438">
        <f t="shared" si="28"/>
        <v>0</v>
      </c>
      <c r="H203" s="438">
        <f t="shared" si="28"/>
        <v>0</v>
      </c>
      <c r="I203" s="437">
        <f t="shared" si="28"/>
        <v>0</v>
      </c>
      <c r="J203" s="448">
        <f t="shared" si="28"/>
        <v>0</v>
      </c>
    </row>
    <row r="204" spans="2:11" ht="15" thickBot="1" x14ac:dyDescent="0.4">
      <c r="B204" s="583" t="s">
        <v>235</v>
      </c>
      <c r="C204" s="584"/>
      <c r="D204" s="410" t="s">
        <v>15</v>
      </c>
      <c r="E204" s="434">
        <f t="shared" ref="E204:J204" si="29">SUM(E203,E186,E121,E108,E75,E41,E116,E196)</f>
        <v>129</v>
      </c>
      <c r="F204" s="434">
        <f t="shared" si="29"/>
        <v>123</v>
      </c>
      <c r="G204" s="434">
        <f t="shared" si="29"/>
        <v>373653313.63</v>
      </c>
      <c r="H204" s="434">
        <f t="shared" si="29"/>
        <v>98904830.37000002</v>
      </c>
      <c r="I204" s="434">
        <f t="shared" si="29"/>
        <v>81383417.680000007</v>
      </c>
      <c r="J204" s="447">
        <f t="shared" si="29"/>
        <v>17521412.689999998</v>
      </c>
    </row>
    <row r="205" spans="2:11" x14ac:dyDescent="0.35">
      <c r="E205" s="197"/>
      <c r="F205" s="197"/>
      <c r="G205" s="197"/>
      <c r="H205" s="197"/>
      <c r="I205" s="197"/>
      <c r="J205" s="452"/>
    </row>
    <row r="206" spans="2:11" x14ac:dyDescent="0.35">
      <c r="J206" s="290">
        <f>'Overdue-Booking'!N204</f>
        <v>17521412.689999998</v>
      </c>
    </row>
  </sheetData>
  <mergeCells count="24">
    <mergeCell ref="B197:B203"/>
    <mergeCell ref="C197:C203"/>
    <mergeCell ref="B204:C204"/>
    <mergeCell ref="B109:B116"/>
    <mergeCell ref="C109:C116"/>
    <mergeCell ref="B117:B121"/>
    <mergeCell ref="C117:C121"/>
    <mergeCell ref="B122:B186"/>
    <mergeCell ref="B76:B108"/>
    <mergeCell ref="C76:C108"/>
    <mergeCell ref="B5:C6"/>
    <mergeCell ref="D5:D6"/>
    <mergeCell ref="B187:B196"/>
    <mergeCell ref="C187:C196"/>
    <mergeCell ref="I5:I6"/>
    <mergeCell ref="B7:B41"/>
    <mergeCell ref="C7:C41"/>
    <mergeCell ref="B42:B75"/>
    <mergeCell ref="C42:C75"/>
    <mergeCell ref="E5:E6"/>
    <mergeCell ref="F5:F6"/>
    <mergeCell ref="G5:G6"/>
    <mergeCell ref="H5:H6"/>
    <mergeCell ref="C122:C186"/>
  </mergeCells>
  <pageMargins left="0.70866141732283472" right="0.70866141732283472" top="0.74803149606299213" bottom="0.74803149606299213" header="0.31496062992125984" footer="0.31496062992125984"/>
  <pageSetup paperSize="8" scale="80" orientation="landscape" r:id="rId1"/>
  <headerFooter alignWithMargins="0">
    <oddHeader>&amp;LSOBHA LLC&amp;C&amp;"Tahoma,Regular"&amp;14
BOOKING OVERDUE AGEING_ Age calc. from booking date_180+ Days&amp;R&amp;D</oddHeader>
    <oddFooter>&amp;LCOLLECTIONS&amp;R&amp;P/&amp;N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28</vt:i4>
      </vt:variant>
    </vt:vector>
  </HeadingPairs>
  <TitlesOfParts>
    <vt:vector size="56" baseType="lpstr">
      <vt:lpstr>consolidated tracker</vt:lpstr>
      <vt:lpstr>consolidated - Offplan</vt:lpstr>
      <vt:lpstr>Sobha - consolidated tracker </vt:lpstr>
      <vt:lpstr>Sobha - consolidated - Offplan</vt:lpstr>
      <vt:lpstr>Siniya - consolidated tracker</vt:lpstr>
      <vt:lpstr>Down town UAQ</vt:lpstr>
      <vt:lpstr>Sobha AUH</vt:lpstr>
      <vt:lpstr>Overdue-1</vt:lpstr>
      <vt:lpstr>A1</vt:lpstr>
      <vt:lpstr>A2</vt:lpstr>
      <vt:lpstr>A3</vt:lpstr>
      <vt:lpstr>A4</vt:lpstr>
      <vt:lpstr>A5</vt:lpstr>
      <vt:lpstr>A6</vt:lpstr>
      <vt:lpstr>Overdue-2</vt:lpstr>
      <vt:lpstr>B1</vt:lpstr>
      <vt:lpstr>B2</vt:lpstr>
      <vt:lpstr>B3</vt:lpstr>
      <vt:lpstr>B4</vt:lpstr>
      <vt:lpstr>B5</vt:lpstr>
      <vt:lpstr>B6</vt:lpstr>
      <vt:lpstr>Overdue-Booking</vt:lpstr>
      <vt:lpstr>C1</vt:lpstr>
      <vt:lpstr>C2</vt:lpstr>
      <vt:lpstr>C3</vt:lpstr>
      <vt:lpstr>C4</vt:lpstr>
      <vt:lpstr>C5</vt:lpstr>
      <vt:lpstr>C6</vt:lpstr>
      <vt:lpstr>'A1'!Print_Area</vt:lpstr>
      <vt:lpstr>'A2'!Print_Area</vt:lpstr>
      <vt:lpstr>'A3'!Print_Area</vt:lpstr>
      <vt:lpstr>'A4'!Print_Area</vt:lpstr>
      <vt:lpstr>'A5'!Print_Area</vt:lpstr>
      <vt:lpstr>'A6'!Print_Area</vt:lpstr>
      <vt:lpstr>'B1'!Print_Area</vt:lpstr>
      <vt:lpstr>'B2'!Print_Area</vt:lpstr>
      <vt:lpstr>'B3'!Print_Area</vt:lpstr>
      <vt:lpstr>'B4'!Print_Area</vt:lpstr>
      <vt:lpstr>'B5'!Print_Area</vt:lpstr>
      <vt:lpstr>'B6'!Print_Area</vt:lpstr>
      <vt:lpstr>'C1'!Print_Area</vt:lpstr>
      <vt:lpstr>'C2'!Print_Area</vt:lpstr>
      <vt:lpstr>'C3'!Print_Area</vt:lpstr>
      <vt:lpstr>'C4'!Print_Area</vt:lpstr>
      <vt:lpstr>'C5'!Print_Area</vt:lpstr>
      <vt:lpstr>'C6'!Print_Area</vt:lpstr>
      <vt:lpstr>'consolidated - Offplan'!Print_Area</vt:lpstr>
      <vt:lpstr>'consolidated tracker'!Print_Area</vt:lpstr>
      <vt:lpstr>'Down town UAQ'!Print_Area</vt:lpstr>
      <vt:lpstr>'Overdue-1'!Print_Area</vt:lpstr>
      <vt:lpstr>'Overdue-2'!Print_Area</vt:lpstr>
      <vt:lpstr>'Overdue-Booking'!Print_Area</vt:lpstr>
      <vt:lpstr>'Siniya - consolidated tracker'!Print_Area</vt:lpstr>
      <vt:lpstr>'Sobha - consolidated - Offplan'!Print_Area</vt:lpstr>
      <vt:lpstr>'Sobha - consolidated tracker '!Print_Area</vt:lpstr>
      <vt:lpstr>'Sobha AUH'!Print_Area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Reddy Bokkala</dc:creator>
  <cp:lastModifiedBy>Priyanuj Deka</cp:lastModifiedBy>
  <dcterms:created xsi:type="dcterms:W3CDTF">2026-05-05T10:04:58Z</dcterms:created>
  <dcterms:modified xsi:type="dcterms:W3CDTF">2026-05-08T13:16:50Z</dcterms:modified>
</cp:coreProperties>
</file>