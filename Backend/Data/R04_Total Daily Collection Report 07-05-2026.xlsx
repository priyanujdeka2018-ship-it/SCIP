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bha-my.sharepoint.com/personal/rajesh_sharma_sobharealty_com/Documents/Rajesh_OneDrive/Daily/Daily EOD Report/202605/"/>
    </mc:Choice>
  </mc:AlternateContent>
  <xr:revisionPtr revIDLastSave="0" documentId="8_{419C24C7-210E-4299-B270-9289FE0EAF94}" xr6:coauthVersionLast="47" xr6:coauthVersionMax="47" xr10:uidLastSave="{00000000-0000-0000-0000-000000000000}"/>
  <bookViews>
    <workbookView xWindow="-108" yWindow="-108" windowWidth="23256" windowHeight="12456" xr2:uid="{C1313C6F-808B-4DA6-A5A0-BD5E5FDCD658}"/>
  </bookViews>
  <sheets>
    <sheet name="daily" sheetId="1" r:id="rId1"/>
    <sheet name="month_target" sheetId="2" r:id="rId2"/>
    <sheet name="2025 PROJECTWISE" sheetId="3" r:id="rId3"/>
  </sheets>
  <definedNames>
    <definedName name="_xlnm._FilterDatabase" localSheetId="0" hidden="1">daily!#REF!</definedName>
    <definedName name="_xlcn.WorksheetConnection_Sheet19A1E16961" hidden="1">#REF!</definedName>
    <definedName name="Ak">#REF!</definedName>
    <definedName name="NOB">#REF!</definedName>
    <definedName name="_xlnm.Print_Area" localSheetId="2">'2025 PROJECTWISE'!$A$110:$N$157</definedName>
    <definedName name="_xlnm.Print_Area" localSheetId="0">daily!$B$2:$F$47</definedName>
    <definedName name="_xlnm.Print_Area" localSheetId="1">month_target!$B$2:$S$40</definedName>
    <definedName name="Source">#REF!</definedName>
    <definedName name="SRCE">#REF!</definedName>
    <definedName name="Style">#REF!</definedName>
    <definedName name="TOS">#REF!</definedName>
    <definedName name="Type">#REF!</definedName>
    <definedName name="VLOOKUP">#REF!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60" i="3" l="1"/>
  <c r="M160" i="3"/>
  <c r="L160" i="3"/>
  <c r="K160" i="3"/>
  <c r="J160" i="3"/>
  <c r="I160" i="3"/>
  <c r="H160" i="3"/>
  <c r="G160" i="3"/>
  <c r="F160" i="3"/>
  <c r="E160" i="3"/>
  <c r="D160" i="3"/>
  <c r="C160" i="3"/>
  <c r="B160" i="3"/>
  <c r="N159" i="3"/>
  <c r="N158" i="3"/>
  <c r="N157" i="3"/>
  <c r="N154" i="3"/>
  <c r="N153" i="3"/>
  <c r="N152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N147" i="3"/>
  <c r="N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N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N139" i="3"/>
  <c r="N138" i="3"/>
  <c r="N137" i="3"/>
  <c r="N136" i="3"/>
  <c r="N135" i="3"/>
  <c r="N134" i="3"/>
  <c r="N133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N130" i="3"/>
  <c r="N129" i="3"/>
  <c r="N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N126" i="3"/>
  <c r="N125" i="3"/>
  <c r="N124" i="3"/>
  <c r="N123" i="3"/>
  <c r="N122" i="3"/>
  <c r="N121" i="3"/>
  <c r="N120" i="3"/>
  <c r="N119" i="3"/>
  <c r="N118" i="3"/>
  <c r="N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N115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D111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N54" i="3"/>
  <c r="N53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B4" i="3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P52" i="2"/>
  <c r="O52" i="2"/>
  <c r="N52" i="2"/>
  <c r="M52" i="2"/>
  <c r="L52" i="2"/>
  <c r="P48" i="2"/>
  <c r="O48" i="2"/>
  <c r="N48" i="2"/>
  <c r="M48" i="2"/>
  <c r="L4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S37" i="2"/>
  <c r="O37" i="2"/>
  <c r="K37" i="2"/>
  <c r="J37" i="2"/>
  <c r="F37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S34" i="2"/>
  <c r="O34" i="2"/>
  <c r="K34" i="2"/>
  <c r="J34" i="2"/>
  <c r="F34" i="2"/>
  <c r="S33" i="2"/>
  <c r="O33" i="2"/>
  <c r="K33" i="2"/>
  <c r="J33" i="2"/>
  <c r="F33" i="2"/>
  <c r="S32" i="2"/>
  <c r="O32" i="2"/>
  <c r="K32" i="2"/>
  <c r="J32" i="2"/>
  <c r="F32" i="2"/>
  <c r="S31" i="2"/>
  <c r="O31" i="2"/>
  <c r="K31" i="2"/>
  <c r="J31" i="2"/>
  <c r="F31" i="2"/>
  <c r="S27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S24" i="2"/>
  <c r="O24" i="2"/>
  <c r="K24" i="2"/>
  <c r="J24" i="2"/>
  <c r="F24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D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5" i="2"/>
  <c r="O15" i="2"/>
  <c r="K15" i="2"/>
  <c r="J15" i="2"/>
  <c r="H15" i="2"/>
  <c r="F15" i="2"/>
  <c r="S14" i="2"/>
  <c r="O14" i="2"/>
  <c r="K14" i="2"/>
  <c r="J14" i="2"/>
  <c r="H14" i="2"/>
  <c r="F14" i="2"/>
  <c r="S13" i="2"/>
  <c r="O13" i="2"/>
  <c r="K13" i="2"/>
  <c r="J13" i="2"/>
  <c r="F13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S8" i="2"/>
  <c r="O8" i="2"/>
  <c r="K8" i="2"/>
  <c r="J8" i="2"/>
  <c r="H8" i="2"/>
  <c r="F8" i="2"/>
  <c r="S7" i="2"/>
  <c r="O7" i="2"/>
  <c r="K7" i="2"/>
  <c r="J7" i="2"/>
  <c r="H7" i="2"/>
  <c r="F7" i="2"/>
  <c r="S6" i="2"/>
  <c r="O6" i="2"/>
  <c r="K6" i="2"/>
  <c r="J6" i="2"/>
  <c r="F6" i="2"/>
  <c r="S3" i="2"/>
  <c r="E47" i="1"/>
  <c r="D47" i="1"/>
  <c r="C47" i="1"/>
  <c r="E46" i="1"/>
  <c r="D46" i="1"/>
  <c r="C46" i="1"/>
  <c r="E45" i="1"/>
  <c r="D45" i="1"/>
  <c r="C45" i="1"/>
  <c r="E44" i="1"/>
  <c r="D44" i="1"/>
  <c r="C44" i="1"/>
  <c r="AF40" i="1"/>
  <c r="AE40" i="1"/>
  <c r="F40" i="1"/>
  <c r="E40" i="1"/>
  <c r="D40" i="1"/>
  <c r="C40" i="1"/>
  <c r="D39" i="1"/>
  <c r="AK38" i="1"/>
  <c r="AJ38" i="1"/>
  <c r="D38" i="1"/>
  <c r="AK37" i="1"/>
  <c r="AJ37" i="1"/>
  <c r="L37" i="1"/>
  <c r="K37" i="1"/>
  <c r="D37" i="1"/>
  <c r="AK36" i="1"/>
  <c r="AJ36" i="1"/>
  <c r="L36" i="1"/>
  <c r="K36" i="1"/>
  <c r="D36" i="1"/>
  <c r="AK35" i="1"/>
  <c r="AJ35" i="1"/>
  <c r="L35" i="1"/>
  <c r="K35" i="1"/>
  <c r="D35" i="1"/>
  <c r="AK34" i="1"/>
  <c r="AJ34" i="1"/>
  <c r="L34" i="1"/>
  <c r="K34" i="1"/>
  <c r="D34" i="1"/>
  <c r="AK33" i="1"/>
  <c r="AJ33" i="1"/>
  <c r="L33" i="1"/>
  <c r="K33" i="1"/>
  <c r="D33" i="1"/>
  <c r="AK32" i="1"/>
  <c r="AJ32" i="1"/>
  <c r="L32" i="1"/>
  <c r="K32" i="1"/>
  <c r="D32" i="1"/>
  <c r="AK31" i="1"/>
  <c r="AJ31" i="1"/>
  <c r="L31" i="1"/>
  <c r="K31" i="1"/>
  <c r="D31" i="1"/>
  <c r="AK30" i="1"/>
  <c r="AJ30" i="1"/>
  <c r="L30" i="1"/>
  <c r="K30" i="1"/>
  <c r="D30" i="1"/>
  <c r="AK29" i="1"/>
  <c r="AJ29" i="1"/>
  <c r="L29" i="1"/>
  <c r="K29" i="1"/>
  <c r="D29" i="1"/>
  <c r="AK28" i="1"/>
  <c r="AJ28" i="1"/>
  <c r="L28" i="1"/>
  <c r="K28" i="1"/>
  <c r="D28" i="1"/>
  <c r="AK27" i="1"/>
  <c r="AJ27" i="1"/>
  <c r="D27" i="1"/>
  <c r="AK26" i="1"/>
  <c r="AJ26" i="1"/>
  <c r="D26" i="1"/>
  <c r="AK25" i="1"/>
  <c r="AJ25" i="1"/>
  <c r="V25" i="1"/>
  <c r="L25" i="1"/>
  <c r="K25" i="1"/>
  <c r="D25" i="1"/>
  <c r="AK24" i="1"/>
  <c r="AJ24" i="1"/>
  <c r="L24" i="1"/>
  <c r="K24" i="1"/>
  <c r="D24" i="1"/>
  <c r="AK23" i="1"/>
  <c r="AJ23" i="1"/>
  <c r="L23" i="1"/>
  <c r="K23" i="1"/>
  <c r="D23" i="1"/>
  <c r="AK22" i="1"/>
  <c r="AJ22" i="1"/>
  <c r="L22" i="1"/>
  <c r="K22" i="1"/>
  <c r="G22" i="1"/>
  <c r="D22" i="1"/>
  <c r="AK21" i="1"/>
  <c r="AJ21" i="1"/>
  <c r="L21" i="1"/>
  <c r="K21" i="1"/>
  <c r="G21" i="1"/>
  <c r="D21" i="1"/>
  <c r="AK20" i="1"/>
  <c r="AJ20" i="1"/>
  <c r="L20" i="1"/>
  <c r="K20" i="1"/>
  <c r="D20" i="1"/>
  <c r="AK19" i="1"/>
  <c r="AJ19" i="1"/>
  <c r="L19" i="1"/>
  <c r="K19" i="1"/>
  <c r="D19" i="1"/>
  <c r="AK18" i="1"/>
  <c r="AJ18" i="1"/>
  <c r="L18" i="1"/>
  <c r="K18" i="1"/>
  <c r="D18" i="1"/>
  <c r="AK17" i="1"/>
  <c r="AJ17" i="1"/>
  <c r="D17" i="1"/>
  <c r="AK16" i="1"/>
  <c r="AJ16" i="1"/>
  <c r="D16" i="1"/>
  <c r="AK15" i="1"/>
  <c r="AJ15" i="1"/>
  <c r="D15" i="1"/>
  <c r="AK14" i="1"/>
  <c r="AJ14" i="1"/>
  <c r="D14" i="1"/>
  <c r="AK13" i="1"/>
  <c r="AJ13" i="1"/>
  <c r="D13" i="1"/>
  <c r="AK12" i="1"/>
  <c r="AJ12" i="1"/>
  <c r="D12" i="1"/>
  <c r="AK11" i="1"/>
  <c r="AJ11" i="1"/>
  <c r="D11" i="1"/>
  <c r="AK10" i="1"/>
  <c r="AJ10" i="1"/>
  <c r="AE10" i="1"/>
  <c r="D10" i="1"/>
  <c r="AK9" i="1"/>
  <c r="AJ9" i="1"/>
  <c r="D9" i="1"/>
  <c r="E6" i="1"/>
  <c r="E5" i="1"/>
  <c r="D5" i="1"/>
  <c r="C5" i="1"/>
  <c r="B2" i="1"/>
</calcChain>
</file>

<file path=xl/sharedStrings.xml><?xml version="1.0" encoding="utf-8"?>
<sst xmlns="http://schemas.openxmlformats.org/spreadsheetml/2006/main" count="313" uniqueCount="154">
  <si>
    <t>As on</t>
  </si>
  <si>
    <t>"=MAX(gcdump!X:X)"</t>
  </si>
  <si>
    <t>Collection Due</t>
  </si>
  <si>
    <t>New sales</t>
  </si>
  <si>
    <t>Total</t>
  </si>
  <si>
    <t>Target</t>
  </si>
  <si>
    <t>MTD Pro-rata Target</t>
  </si>
  <si>
    <t>Sno.</t>
  </si>
  <si>
    <t>Day &amp; Date</t>
  </si>
  <si>
    <t>DLD/Oqood</t>
  </si>
  <si>
    <t>k</t>
  </si>
  <si>
    <t>Total MTD</t>
  </si>
  <si>
    <t>YTD Collection</t>
  </si>
  <si>
    <t>Particulars</t>
  </si>
  <si>
    <t>YTD Collection Opening for the Month</t>
  </si>
  <si>
    <t>Collection for the Month</t>
  </si>
  <si>
    <t>YTD Pro-rata target</t>
  </si>
  <si>
    <t>Total YTD Collection</t>
  </si>
  <si>
    <t>MONTHLY COLLECTIONS SNAPSHOT 2026</t>
  </si>
  <si>
    <t>Collections from dues</t>
  </si>
  <si>
    <t>Jan</t>
  </si>
  <si>
    <t>Feb</t>
  </si>
  <si>
    <t>Mar</t>
  </si>
  <si>
    <t>Q1</t>
  </si>
  <si>
    <t>Apr</t>
  </si>
  <si>
    <t>May</t>
  </si>
  <si>
    <t>Jun</t>
  </si>
  <si>
    <t>Q2</t>
  </si>
  <si>
    <t>H1</t>
  </si>
  <si>
    <t>July</t>
  </si>
  <si>
    <t>Aug</t>
  </si>
  <si>
    <t>Sept</t>
  </si>
  <si>
    <t>Q3</t>
  </si>
  <si>
    <t>Oct</t>
  </si>
  <si>
    <t>Nov</t>
  </si>
  <si>
    <t>Dec</t>
  </si>
  <si>
    <t>MTD Target</t>
  </si>
  <si>
    <t>MTD Collections</t>
  </si>
  <si>
    <t>Achieved %</t>
  </si>
  <si>
    <t>Collections from new sales</t>
  </si>
  <si>
    <t>Total collections</t>
  </si>
  <si>
    <t>Account_2</t>
  </si>
  <si>
    <t>Account_1</t>
  </si>
  <si>
    <t>Siniya &amp; Downtown Total Collections</t>
  </si>
  <si>
    <t>March</t>
  </si>
  <si>
    <t>Dues Target</t>
  </si>
  <si>
    <t>Dues Collections</t>
  </si>
  <si>
    <t>New Sales Target</t>
  </si>
  <si>
    <t>New Sales Collections</t>
  </si>
  <si>
    <t>Total Siniya Target</t>
  </si>
  <si>
    <t>Total Collections</t>
  </si>
  <si>
    <t>*Note:- Q1 months have been adjusted against actual collection figures. The values are subject to reconciliation based on clearing of unidentifieds.</t>
  </si>
  <si>
    <t xml:space="preserve">    </t>
  </si>
  <si>
    <t>Project</t>
  </si>
  <si>
    <t>January</t>
  </si>
  <si>
    <t>February</t>
  </si>
  <si>
    <t>April</t>
  </si>
  <si>
    <t>June</t>
  </si>
  <si>
    <t>Sep</t>
  </si>
  <si>
    <t>Collected till date</t>
  </si>
  <si>
    <t>Greens-Phase I</t>
  </si>
  <si>
    <t>Greens-Phase II</t>
  </si>
  <si>
    <t>Greens-Phase III</t>
  </si>
  <si>
    <t>Creek Vistas</t>
  </si>
  <si>
    <t>One Park Avenue</t>
  </si>
  <si>
    <t>Creek Vistas Reserve</t>
  </si>
  <si>
    <t>Townhouses</t>
  </si>
  <si>
    <t>Villas-Phase I</t>
  </si>
  <si>
    <t>Villas-Phase II</t>
  </si>
  <si>
    <t>Villas - Phase III</t>
  </si>
  <si>
    <t>Villas - Phase IV</t>
  </si>
  <si>
    <t>Waves</t>
  </si>
  <si>
    <t>Waves Grande</t>
  </si>
  <si>
    <t>The S</t>
  </si>
  <si>
    <t>The Crest</t>
  </si>
  <si>
    <t>CV Grande</t>
  </si>
  <si>
    <t>Crest Grande</t>
  </si>
  <si>
    <t>Creek Vista Heights</t>
  </si>
  <si>
    <t>Waves Opulence</t>
  </si>
  <si>
    <t>Sobha One</t>
  </si>
  <si>
    <t>Sea Haven</t>
  </si>
  <si>
    <t>Hartland II Villas</t>
  </si>
  <si>
    <t>JLT verde</t>
  </si>
  <si>
    <t>Sobha Reserve Villas</t>
  </si>
  <si>
    <t>Sobha Orbis</t>
  </si>
  <si>
    <t>Skyscape Avenue</t>
  </si>
  <si>
    <t>Skyscape Aura</t>
  </si>
  <si>
    <t>Skyscape Altius</t>
  </si>
  <si>
    <t>310 Riverside Crescent</t>
  </si>
  <si>
    <t>350 Riverside Crescent</t>
  </si>
  <si>
    <t>360 Riverside Crescent</t>
  </si>
  <si>
    <t>340 Riverside Crescent</t>
  </si>
  <si>
    <t>330 Riverside Crescent</t>
  </si>
  <si>
    <t>320 Riverside Crescent</t>
  </si>
  <si>
    <t>Elwood Villas</t>
  </si>
  <si>
    <t>Sobha Solis</t>
  </si>
  <si>
    <t>Skyvue Solair</t>
  </si>
  <si>
    <t>Siniya Island</t>
  </si>
  <si>
    <t>Siniya Island-Villas Phase II</t>
  </si>
  <si>
    <t>Selene Beach Residences</t>
  </si>
  <si>
    <t>Delphine Beach Residences</t>
  </si>
  <si>
    <t>Coraline Beach Residences</t>
  </si>
  <si>
    <t>Aquamarine Beach Residences</t>
  </si>
  <si>
    <t>Florine Beach Residences</t>
  </si>
  <si>
    <t>Coastline Beach Residences</t>
  </si>
  <si>
    <t>Total (excl. plots)</t>
  </si>
  <si>
    <t>Tranquility Plots</t>
  </si>
  <si>
    <t>Hartland extension</t>
  </si>
  <si>
    <t>The Horizon</t>
  </si>
  <si>
    <t>The Eden</t>
  </si>
  <si>
    <t>The Serene</t>
  </si>
  <si>
    <t>The Pinnacle</t>
  </si>
  <si>
    <t>The Tranquil</t>
  </si>
  <si>
    <t>The Mirage</t>
  </si>
  <si>
    <t>Sobha Central Mall</t>
  </si>
  <si>
    <t>The Greens</t>
  </si>
  <si>
    <t>The Brooks</t>
  </si>
  <si>
    <t>The Grove</t>
  </si>
  <si>
    <t>The Willows</t>
  </si>
  <si>
    <t>Siniya Island-Villas Phase IV</t>
  </si>
  <si>
    <t>Starline Beach Residences</t>
  </si>
  <si>
    <t>Pristine Beach Residences</t>
  </si>
  <si>
    <t>Bayside Marina Residences</t>
  </si>
  <si>
    <t>Pierside Marina Residences</t>
  </si>
  <si>
    <t>Yachtside Marina Residences</t>
  </si>
  <si>
    <t>Bayfront Marina Residences</t>
  </si>
  <si>
    <t>Canalside Marina Residences</t>
  </si>
  <si>
    <t>Pearlside Marina Residences</t>
  </si>
  <si>
    <t xml:space="preserve">Total collections in 2026 as per salesforce collection report dated : </t>
  </si>
  <si>
    <t>Greens</t>
  </si>
  <si>
    <t>CV &amp; CVR</t>
  </si>
  <si>
    <t>Hartland 1 Villas &amp; Townhouses</t>
  </si>
  <si>
    <t>Hartland II Villas &amp; Mansion</t>
  </si>
  <si>
    <t>Riverside Crescent</t>
  </si>
  <si>
    <t>Skyscape</t>
  </si>
  <si>
    <t>The Element at Sobha One</t>
  </si>
  <si>
    <t>Skyvue Spectra</t>
  </si>
  <si>
    <t>Skyvue Stellar</t>
  </si>
  <si>
    <t>Skyvue Altier</t>
  </si>
  <si>
    <t>Sobha Central</t>
  </si>
  <si>
    <t>Sobha Skyparks</t>
  </si>
  <si>
    <t>Sobha Sanctuary</t>
  </si>
  <si>
    <t>Siniya Island-Villas &amp; Mansion</t>
  </si>
  <si>
    <t>Siniya Beach Residences</t>
  </si>
  <si>
    <t>Siniya Marina Residences</t>
  </si>
  <si>
    <t>Sobha Aquamont</t>
  </si>
  <si>
    <t>Sobha Aquacrest</t>
  </si>
  <si>
    <t>Hartland 1 plots</t>
  </si>
  <si>
    <t>Unregistered project</t>
  </si>
  <si>
    <t>DLD/registration amount</t>
  </si>
  <si>
    <t>Total collections as per Daily collections report (AR)</t>
  </si>
  <si>
    <t>DLD/registration amount collections as per Daily collections report (AR)</t>
  </si>
  <si>
    <t>AR Tracker Rows -2261</t>
  </si>
  <si>
    <t>As per SF report on 07-May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</si>
</sst>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[$-409]d\-mmm;@"/>
    <numFmt numFmtId="168" formatCode="[$-10000]dddd\,\ mmmm\ d\,\ yyyy;@"/>
    <numFmt numFmtId="169" formatCode="_-* #,##0_-;\-* #,##0_-;_-* &quot;-&quot;??_-;_-@_-"/>
    <numFmt numFmtId="170" formatCode="[$-409]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Tahoma"/>
      <family val="2"/>
    </font>
    <font>
      <sz val="10"/>
      <color theme="1"/>
      <name val="Calibri"/>
      <family val="2"/>
      <scheme val="minor"/>
    </font>
    <font>
      <sz val="10.5"/>
      <color theme="1"/>
      <name val="Tahoma"/>
      <family val="2"/>
    </font>
    <font>
      <b/>
      <sz val="10.5"/>
      <color theme="0"/>
      <name val="Tahoma"/>
      <family val="2"/>
    </font>
    <font>
      <sz val="10.5"/>
      <color theme="0"/>
      <name val="Tahoma"/>
      <family val="2"/>
    </font>
    <font>
      <b/>
      <sz val="11"/>
      <color rgb="FFFFFF00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rgb="FFFF0000"/>
      <name val="Tahoma"/>
      <family val="2"/>
    </font>
    <font>
      <b/>
      <sz val="14"/>
      <color theme="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Tahoma"/>
      <family val="2"/>
    </font>
    <font>
      <sz val="13"/>
      <color theme="1"/>
      <name val="Tahoma"/>
      <family val="2"/>
    </font>
    <font>
      <b/>
      <sz val="13"/>
      <color theme="0"/>
      <name val="Tahoma"/>
      <family val="2"/>
    </font>
    <font>
      <i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theme="0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F0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9D2DD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3F5FB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CFDFE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rgb="FFC9D2DD"/>
      </bottom>
      <diagonal/>
    </border>
    <border>
      <left/>
      <right style="hair">
        <color indexed="64"/>
      </right>
      <top style="hair">
        <color indexed="64"/>
      </top>
      <bottom style="thin">
        <color rgb="FFC9D2DD"/>
      </bottom>
      <diagonal/>
    </border>
    <border>
      <left style="medium">
        <color indexed="64"/>
      </left>
      <right/>
      <top style="thin">
        <color rgb="FFC9D2DD"/>
      </top>
      <bottom style="thin">
        <color rgb="FFC9D2DD"/>
      </bottom>
      <diagonal/>
    </border>
    <border>
      <left/>
      <right style="hair">
        <color indexed="64"/>
      </right>
      <top style="thin">
        <color rgb="FFC9D2DD"/>
      </top>
      <bottom style="thin">
        <color rgb="FFC9D2DD"/>
      </bottom>
      <diagonal/>
    </border>
    <border>
      <left style="medium">
        <color indexed="64"/>
      </left>
      <right/>
      <top style="thin">
        <color rgb="FFC9D2DD"/>
      </top>
      <bottom style="thin">
        <color indexed="64"/>
      </bottom>
      <diagonal/>
    </border>
    <border>
      <left/>
      <right style="hair">
        <color indexed="64"/>
      </right>
      <top style="thin">
        <color rgb="FFC9D2DD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7">
    <xf numFmtId="0" fontId="0" fillId="0" borderId="0" xfId="0"/>
    <xf numFmtId="0" fontId="2" fillId="0" borderId="0" xfId="0" applyFont="1" applyAlignment="1">
      <alignment horizontal="center" vertical="center"/>
    </xf>
    <xf numFmtId="165" fontId="0" fillId="0" borderId="0" xfId="2" applyNumberFormat="1" applyFon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165" fontId="3" fillId="0" borderId="0" xfId="2" applyNumberFormat="1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left" vertical="center" wrapText="1"/>
    </xf>
    <xf numFmtId="22" fontId="0" fillId="0" borderId="0" xfId="0" applyNumberFormat="1"/>
    <xf numFmtId="0" fontId="0" fillId="0" borderId="4" xfId="0" applyBorder="1"/>
    <xf numFmtId="165" fontId="4" fillId="0" borderId="0" xfId="2" applyNumberFormat="1" applyFont="1" applyBorder="1" applyAlignment="1">
      <alignment horizontal="right" vertical="center"/>
    </xf>
    <xf numFmtId="166" fontId="4" fillId="0" borderId="5" xfId="0" applyNumberFormat="1" applyFont="1" applyBorder="1" applyAlignment="1">
      <alignment horizontal="left" vertical="center" wrapText="1"/>
    </xf>
    <xf numFmtId="166" fontId="4" fillId="0" borderId="0" xfId="0" applyNumberFormat="1" applyFont="1" applyAlignment="1">
      <alignment horizontal="left" vertical="center"/>
    </xf>
    <xf numFmtId="0" fontId="3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5" fontId="5" fillId="5" borderId="11" xfId="2" applyNumberFormat="1" applyFont="1" applyFill="1" applyBorder="1"/>
    <xf numFmtId="165" fontId="6" fillId="5" borderId="12" xfId="2" applyNumberFormat="1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5" fontId="2" fillId="6" borderId="13" xfId="2" applyNumberFormat="1" applyFont="1" applyFill="1" applyBorder="1"/>
    <xf numFmtId="165" fontId="2" fillId="6" borderId="14" xfId="2" applyNumberFormat="1" applyFont="1" applyFill="1" applyBorder="1"/>
    <xf numFmtId="165" fontId="0" fillId="0" borderId="0" xfId="0" applyNumberFormat="1"/>
    <xf numFmtId="0" fontId="0" fillId="0" borderId="4" xfId="0" applyBorder="1" applyAlignment="1">
      <alignment horizontal="center" vertical="center"/>
    </xf>
    <xf numFmtId="167" fontId="4" fillId="0" borderId="15" xfId="2" applyNumberFormat="1" applyFont="1" applyBorder="1" applyAlignment="1">
      <alignment horizontal="center" vertical="center"/>
    </xf>
    <xf numFmtId="165" fontId="4" fillId="0" borderId="16" xfId="2" applyNumberFormat="1" applyFont="1" applyBorder="1"/>
    <xf numFmtId="165" fontId="4" fillId="7" borderId="16" xfId="2" applyNumberFormat="1" applyFont="1" applyFill="1" applyBorder="1"/>
    <xf numFmtId="165" fontId="4" fillId="0" borderId="17" xfId="2" applyNumberFormat="1" applyFont="1" applyBorder="1"/>
    <xf numFmtId="1" fontId="2" fillId="3" borderId="18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65" fontId="3" fillId="0" borderId="0" xfId="0" applyNumberFormat="1" applyFont="1"/>
    <xf numFmtId="0" fontId="7" fillId="8" borderId="0" xfId="0" applyFont="1" applyFill="1" applyAlignment="1">
      <alignment horizontal="left"/>
    </xf>
    <xf numFmtId="1" fontId="8" fillId="0" borderId="20" xfId="2" applyNumberFormat="1" applyFont="1" applyBorder="1"/>
    <xf numFmtId="168" fontId="8" fillId="0" borderId="15" xfId="2" applyNumberFormat="1" applyFont="1" applyBorder="1"/>
    <xf numFmtId="165" fontId="8" fillId="0" borderId="16" xfId="2" applyNumberFormat="1" applyFont="1" applyBorder="1"/>
    <xf numFmtId="165" fontId="8" fillId="7" borderId="16" xfId="2" applyNumberFormat="1" applyFont="1" applyFill="1" applyBorder="1"/>
    <xf numFmtId="165" fontId="8" fillId="0" borderId="17" xfId="2" applyNumberFormat="1" applyFont="1" applyBorder="1"/>
    <xf numFmtId="14" fontId="3" fillId="0" borderId="0" xfId="0" applyNumberFormat="1" applyFont="1"/>
    <xf numFmtId="165" fontId="8" fillId="0" borderId="21" xfId="2" applyNumberFormat="1" applyFont="1" applyBorder="1"/>
    <xf numFmtId="165" fontId="3" fillId="0" borderId="22" xfId="2" applyNumberFormat="1" applyFont="1" applyBorder="1"/>
    <xf numFmtId="165" fontId="8" fillId="0" borderId="23" xfId="2" applyNumberFormat="1" applyFont="1" applyBorder="1"/>
    <xf numFmtId="1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2" applyNumberFormat="1" applyFont="1" applyBorder="1"/>
    <xf numFmtId="1" fontId="8" fillId="0" borderId="24" xfId="2" applyNumberFormat="1" applyFont="1" applyBorder="1"/>
    <xf numFmtId="168" fontId="8" fillId="0" borderId="25" xfId="2" applyNumberFormat="1" applyFont="1" applyBorder="1"/>
    <xf numFmtId="165" fontId="9" fillId="9" borderId="26" xfId="2" applyNumberFormat="1" applyFont="1" applyFill="1" applyBorder="1" applyAlignment="1">
      <alignment horizontal="center" vertical="center"/>
    </xf>
    <xf numFmtId="165" fontId="9" fillId="9" borderId="22" xfId="2" applyNumberFormat="1" applyFont="1" applyFill="1" applyBorder="1" applyAlignment="1">
      <alignment horizontal="center" vertical="center"/>
    </xf>
    <xf numFmtId="165" fontId="9" fillId="9" borderId="27" xfId="2" applyNumberFormat="1" applyFont="1" applyFill="1" applyBorder="1" applyAlignment="1">
      <alignment horizontal="center" vertical="center"/>
    </xf>
    <xf numFmtId="165" fontId="9" fillId="9" borderId="28" xfId="2" applyNumberFormat="1" applyFont="1" applyFill="1" applyBorder="1" applyAlignment="1">
      <alignment horizontal="center" vertical="center"/>
    </xf>
    <xf numFmtId="165" fontId="9" fillId="9" borderId="29" xfId="2" applyNumberFormat="1" applyFont="1" applyFill="1" applyBorder="1" applyAlignment="1">
      <alignment horizontal="center" vertical="center"/>
    </xf>
    <xf numFmtId="165" fontId="9" fillId="9" borderId="30" xfId="2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165" fontId="2" fillId="9" borderId="26" xfId="2" applyNumberFormat="1" applyFont="1" applyFill="1" applyBorder="1" applyAlignment="1">
      <alignment horizontal="center"/>
    </xf>
    <xf numFmtId="165" fontId="2" fillId="9" borderId="22" xfId="2" applyNumberFormat="1" applyFont="1" applyFill="1" applyBorder="1" applyAlignment="1">
      <alignment horizontal="center"/>
    </xf>
    <xf numFmtId="165" fontId="2" fillId="9" borderId="34" xfId="2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65" fontId="2" fillId="9" borderId="35" xfId="2" applyNumberFormat="1" applyFont="1" applyFill="1" applyBorder="1" applyAlignment="1">
      <alignment horizontal="center" vertical="center"/>
    </xf>
    <xf numFmtId="167" fontId="4" fillId="0" borderId="36" xfId="2" applyNumberFormat="1" applyFont="1" applyBorder="1" applyAlignment="1">
      <alignment horizontal="center"/>
    </xf>
    <xf numFmtId="167" fontId="4" fillId="0" borderId="37" xfId="2" applyNumberFormat="1" applyFont="1" applyBorder="1" applyAlignment="1">
      <alignment horizontal="center"/>
    </xf>
    <xf numFmtId="165" fontId="10" fillId="0" borderId="0" xfId="0" applyNumberFormat="1" applyFont="1"/>
    <xf numFmtId="167" fontId="4" fillId="0" borderId="38" xfId="2" applyNumberFormat="1" applyFont="1" applyBorder="1" applyAlignment="1">
      <alignment horizontal="center"/>
    </xf>
    <xf numFmtId="167" fontId="4" fillId="0" borderId="39" xfId="2" applyNumberFormat="1" applyFont="1" applyBorder="1" applyAlignment="1">
      <alignment horizontal="center"/>
    </xf>
    <xf numFmtId="165" fontId="10" fillId="0" borderId="0" xfId="2" applyNumberFormat="1" applyFont="1"/>
    <xf numFmtId="167" fontId="2" fillId="0" borderId="40" xfId="2" applyNumberFormat="1" applyFont="1" applyBorder="1" applyAlignment="1">
      <alignment horizontal="center"/>
    </xf>
    <xf numFmtId="167" fontId="2" fillId="0" borderId="41" xfId="2" applyNumberFormat="1" applyFont="1" applyBorder="1" applyAlignment="1">
      <alignment horizontal="center"/>
    </xf>
    <xf numFmtId="165" fontId="2" fillId="0" borderId="16" xfId="2" applyNumberFormat="1" applyFont="1" applyBorder="1"/>
    <xf numFmtId="165" fontId="2" fillId="7" borderId="16" xfId="2" applyNumberFormat="1" applyFont="1" applyFill="1" applyBorder="1"/>
    <xf numFmtId="165" fontId="2" fillId="9" borderId="42" xfId="2" applyNumberFormat="1" applyFont="1" applyFill="1" applyBorder="1" applyAlignment="1">
      <alignment horizontal="center"/>
    </xf>
    <xf numFmtId="165" fontId="2" fillId="9" borderId="43" xfId="2" applyNumberFormat="1" applyFont="1" applyFill="1" applyBorder="1" applyAlignment="1">
      <alignment horizontal="center"/>
    </xf>
    <xf numFmtId="165" fontId="2" fillId="9" borderId="44" xfId="2" applyNumberFormat="1" applyFont="1" applyFill="1" applyBorder="1"/>
    <xf numFmtId="165" fontId="2" fillId="9" borderId="45" xfId="2" applyNumberFormat="1" applyFont="1" applyFill="1" applyBorder="1" applyAlignment="1">
      <alignment horizontal="center" vertical="center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1" fillId="10" borderId="0" xfId="0" applyFont="1" applyFill="1" applyAlignment="1">
      <alignment horizontal="center" vertical="center"/>
    </xf>
    <xf numFmtId="0" fontId="12" fillId="0" borderId="0" xfId="0" applyFont="1"/>
    <xf numFmtId="169" fontId="12" fillId="0" borderId="0" xfId="0" applyNumberFormat="1" applyFont="1"/>
    <xf numFmtId="14" fontId="12" fillId="0" borderId="0" xfId="0" applyNumberFormat="1" applyFont="1"/>
    <xf numFmtId="166" fontId="12" fillId="0" borderId="0" xfId="0" applyNumberFormat="1" applyFont="1"/>
    <xf numFmtId="0" fontId="13" fillId="0" borderId="22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9" fontId="13" fillId="0" borderId="47" xfId="2" applyNumberFormat="1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11" borderId="48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169" fontId="13" fillId="0" borderId="48" xfId="2" applyNumberFormat="1" applyFont="1" applyBorder="1" applyAlignment="1">
      <alignment horizontal="center" vertical="center"/>
    </xf>
    <xf numFmtId="169" fontId="13" fillId="0" borderId="49" xfId="2" applyNumberFormat="1" applyFont="1" applyBorder="1" applyAlignment="1">
      <alignment horizontal="left" vertical="center" indent="1"/>
    </xf>
    <xf numFmtId="0" fontId="13" fillId="0" borderId="50" xfId="0" applyFont="1" applyBorder="1" applyAlignment="1">
      <alignment vertical="center"/>
    </xf>
    <xf numFmtId="169" fontId="13" fillId="0" borderId="51" xfId="2" applyNumberFormat="1" applyFont="1" applyBorder="1" applyAlignment="1">
      <alignment vertical="center"/>
    </xf>
    <xf numFmtId="169" fontId="13" fillId="11" borderId="51" xfId="2" applyNumberFormat="1" applyFont="1" applyFill="1" applyBorder="1" applyAlignment="1">
      <alignment vertical="center"/>
    </xf>
    <xf numFmtId="169" fontId="13" fillId="0" borderId="52" xfId="2" applyNumberFormat="1" applyFont="1" applyBorder="1" applyAlignment="1">
      <alignment horizontal="left" vertical="center" indent="1"/>
    </xf>
    <xf numFmtId="0" fontId="14" fillId="0" borderId="50" xfId="0" applyFont="1" applyBorder="1"/>
    <xf numFmtId="169" fontId="14" fillId="0" borderId="53" xfId="2" applyNumberFormat="1" applyFont="1" applyBorder="1" applyAlignment="1">
      <alignment horizontal="right"/>
    </xf>
    <xf numFmtId="169" fontId="14" fillId="11" borderId="53" xfId="2" applyNumberFormat="1" applyFont="1" applyFill="1" applyBorder="1" applyAlignment="1">
      <alignment horizontal="right"/>
    </xf>
    <xf numFmtId="169" fontId="13" fillId="0" borderId="52" xfId="2" applyNumberFormat="1" applyFont="1" applyBorder="1" applyAlignment="1">
      <alignment horizontal="left"/>
    </xf>
    <xf numFmtId="169" fontId="14" fillId="0" borderId="53" xfId="2" applyNumberFormat="1" applyFont="1" applyBorder="1" applyAlignment="1"/>
    <xf numFmtId="169" fontId="14" fillId="11" borderId="53" xfId="2" applyNumberFormat="1" applyFont="1" applyFill="1" applyBorder="1" applyAlignment="1"/>
    <xf numFmtId="0" fontId="14" fillId="0" borderId="54" xfId="0" applyFont="1" applyBorder="1"/>
    <xf numFmtId="9" fontId="14" fillId="0" borderId="11" xfId="1" applyFont="1" applyBorder="1" applyAlignment="1"/>
    <xf numFmtId="9" fontId="14" fillId="11" borderId="11" xfId="1" applyFont="1" applyFill="1" applyBorder="1" applyAlignment="1"/>
    <xf numFmtId="9" fontId="13" fillId="0" borderId="55" xfId="1" applyFont="1" applyBorder="1" applyAlignment="1">
      <alignment horizontal="right"/>
    </xf>
    <xf numFmtId="169" fontId="12" fillId="0" borderId="0" xfId="2" applyNumberFormat="1" applyFont="1"/>
    <xf numFmtId="0" fontId="12" fillId="0" borderId="0" xfId="0" applyFont="1" applyAlignment="1">
      <alignment horizontal="left" vertical="center" indent="1"/>
    </xf>
    <xf numFmtId="169" fontId="13" fillId="0" borderId="56" xfId="2" applyNumberFormat="1" applyFont="1" applyBorder="1" applyAlignment="1">
      <alignment horizontal="left" vertical="center" indent="1"/>
    </xf>
    <xf numFmtId="169" fontId="0" fillId="0" borderId="0" xfId="0" applyNumberFormat="1"/>
    <xf numFmtId="0" fontId="13" fillId="12" borderId="22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/>
    </xf>
    <xf numFmtId="169" fontId="13" fillId="13" borderId="10" xfId="2" applyNumberFormat="1" applyFont="1" applyFill="1" applyBorder="1" applyAlignment="1">
      <alignment horizontal="center" vertical="center"/>
    </xf>
    <xf numFmtId="0" fontId="13" fillId="13" borderId="47" xfId="0" applyFont="1" applyFill="1" applyBorder="1" applyAlignment="1">
      <alignment horizontal="center" vertical="center"/>
    </xf>
    <xf numFmtId="169" fontId="13" fillId="13" borderId="47" xfId="2" applyNumberFormat="1" applyFont="1" applyFill="1" applyBorder="1" applyAlignment="1">
      <alignment horizontal="center" vertical="center"/>
    </xf>
    <xf numFmtId="169" fontId="13" fillId="13" borderId="56" xfId="2" applyNumberFormat="1" applyFont="1" applyFill="1" applyBorder="1" applyAlignment="1">
      <alignment horizontal="left" vertical="center" indent="1"/>
    </xf>
    <xf numFmtId="0" fontId="13" fillId="14" borderId="50" xfId="0" applyFont="1" applyFill="1" applyBorder="1" applyAlignment="1">
      <alignment vertical="center"/>
    </xf>
    <xf numFmtId="169" fontId="13" fillId="14" borderId="52" xfId="2" applyNumberFormat="1" applyFont="1" applyFill="1" applyBorder="1" applyAlignment="1">
      <alignment horizontal="left" vertical="center" indent="1"/>
    </xf>
    <xf numFmtId="0" fontId="14" fillId="14" borderId="50" xfId="0" applyFont="1" applyFill="1" applyBorder="1"/>
    <xf numFmtId="169" fontId="14" fillId="11" borderId="51" xfId="2" applyNumberFormat="1" applyFont="1" applyFill="1" applyBorder="1" applyAlignment="1">
      <alignment horizontal="right"/>
    </xf>
    <xf numFmtId="169" fontId="13" fillId="14" borderId="52" xfId="2" applyNumberFormat="1" applyFont="1" applyFill="1" applyBorder="1" applyAlignment="1">
      <alignment horizontal="left"/>
    </xf>
    <xf numFmtId="9" fontId="14" fillId="15" borderId="53" xfId="1" applyFont="1" applyFill="1" applyBorder="1" applyAlignment="1">
      <alignment horizontal="right"/>
    </xf>
    <xf numFmtId="9" fontId="14" fillId="16" borderId="51" xfId="1" applyFont="1" applyFill="1" applyBorder="1" applyAlignment="1">
      <alignment horizontal="right"/>
    </xf>
    <xf numFmtId="9" fontId="13" fillId="14" borderId="52" xfId="1" applyFont="1" applyFill="1" applyBorder="1" applyAlignment="1">
      <alignment horizontal="right"/>
    </xf>
    <xf numFmtId="0" fontId="14" fillId="14" borderId="54" xfId="0" applyFont="1" applyFill="1" applyBorder="1"/>
    <xf numFmtId="165" fontId="13" fillId="0" borderId="57" xfId="2" applyNumberFormat="1" applyFont="1" applyBorder="1" applyAlignment="1"/>
    <xf numFmtId="165" fontId="13" fillId="11" borderId="11" xfId="2" applyNumberFormat="1" applyFont="1" applyFill="1" applyBorder="1" applyAlignment="1"/>
    <xf numFmtId="165" fontId="13" fillId="14" borderId="55" xfId="2" applyNumberFormat="1" applyFont="1" applyFill="1" applyBorder="1" applyAlignment="1">
      <alignment horizontal="left"/>
    </xf>
    <xf numFmtId="0" fontId="14" fillId="14" borderId="58" xfId="0" applyFont="1" applyFill="1" applyBorder="1" applyAlignment="1">
      <alignment horizontal="center" vertical="center"/>
    </xf>
    <xf numFmtId="0" fontId="14" fillId="14" borderId="59" xfId="0" applyFont="1" applyFill="1" applyBorder="1" applyAlignment="1">
      <alignment horizontal="center" vertical="center"/>
    </xf>
    <xf numFmtId="0" fontId="14" fillId="14" borderId="27" xfId="0" applyFont="1" applyFill="1" applyBorder="1" applyAlignment="1">
      <alignment horizontal="center" vertical="center"/>
    </xf>
    <xf numFmtId="165" fontId="15" fillId="17" borderId="55" xfId="2" applyNumberFormat="1" applyFont="1" applyFill="1" applyBorder="1" applyAlignment="1">
      <alignment horizontal="left" vertical="center" indent="1"/>
    </xf>
    <xf numFmtId="0" fontId="13" fillId="18" borderId="22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69" fontId="13" fillId="0" borderId="8" xfId="2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9" fontId="13" fillId="14" borderId="51" xfId="2" applyNumberFormat="1" applyFont="1" applyFill="1" applyBorder="1" applyAlignment="1">
      <alignment horizontal="left" vertical="center" indent="1"/>
    </xf>
    <xf numFmtId="0" fontId="14" fillId="14" borderId="50" xfId="0" applyFont="1" applyFill="1" applyBorder="1" applyAlignment="1">
      <alignment vertical="center"/>
    </xf>
    <xf numFmtId="169" fontId="14" fillId="7" borderId="53" xfId="2" applyNumberFormat="1" applyFont="1" applyFill="1" applyBorder="1" applyAlignment="1">
      <alignment horizontal="right" vertical="center"/>
    </xf>
    <xf numFmtId="169" fontId="14" fillId="7" borderId="51" xfId="2" applyNumberFormat="1" applyFont="1" applyFill="1" applyBorder="1" applyAlignment="1">
      <alignment horizontal="right" vertical="center"/>
    </xf>
    <xf numFmtId="169" fontId="14" fillId="11" borderId="51" xfId="2" applyNumberFormat="1" applyFont="1" applyFill="1" applyBorder="1" applyAlignment="1">
      <alignment horizontal="right" vertical="center"/>
    </xf>
    <xf numFmtId="169" fontId="13" fillId="11" borderId="53" xfId="2" applyNumberFormat="1" applyFont="1" applyFill="1" applyBorder="1" applyAlignment="1">
      <alignment vertical="center"/>
    </xf>
    <xf numFmtId="169" fontId="14" fillId="7" borderId="53" xfId="2" applyNumberFormat="1" applyFont="1" applyFill="1" applyBorder="1" applyAlignment="1">
      <alignment vertical="center"/>
    </xf>
    <xf numFmtId="169" fontId="14" fillId="7" borderId="51" xfId="2" applyNumberFormat="1" applyFont="1" applyFill="1" applyBorder="1" applyAlignment="1">
      <alignment vertical="center"/>
    </xf>
    <xf numFmtId="169" fontId="14" fillId="11" borderId="51" xfId="2" applyNumberFormat="1" applyFont="1" applyFill="1" applyBorder="1" applyAlignment="1">
      <alignment vertical="center"/>
    </xf>
    <xf numFmtId="169" fontId="14" fillId="19" borderId="53" xfId="2" applyNumberFormat="1" applyFont="1" applyFill="1" applyBorder="1" applyAlignment="1"/>
    <xf numFmtId="169" fontId="14" fillId="19" borderId="51" xfId="2" applyNumberFormat="1" applyFont="1" applyFill="1" applyBorder="1" applyAlignment="1"/>
    <xf numFmtId="169" fontId="14" fillId="11" borderId="51" xfId="2" applyNumberFormat="1" applyFont="1" applyFill="1" applyBorder="1" applyAlignment="1"/>
    <xf numFmtId="169" fontId="13" fillId="11" borderId="51" xfId="2" applyNumberFormat="1" applyFont="1" applyFill="1" applyBorder="1" applyAlignment="1"/>
    <xf numFmtId="169" fontId="13" fillId="11" borderId="53" xfId="2" applyNumberFormat="1" applyFont="1" applyFill="1" applyBorder="1" applyAlignment="1"/>
    <xf numFmtId="0" fontId="16" fillId="0" borderId="0" xfId="0" applyFont="1"/>
    <xf numFmtId="15" fontId="0" fillId="0" borderId="0" xfId="0" applyNumberFormat="1"/>
    <xf numFmtId="165" fontId="0" fillId="0" borderId="0" xfId="2" applyNumberFormat="1" applyFont="1" applyBorder="1"/>
    <xf numFmtId="15" fontId="3" fillId="0" borderId="0" xfId="0" applyNumberFormat="1" applyFont="1"/>
    <xf numFmtId="0" fontId="17" fillId="0" borderId="0" xfId="0" applyFont="1" applyAlignment="1">
      <alignment horizontal="left" vertical="center" indent="1"/>
    </xf>
    <xf numFmtId="169" fontId="17" fillId="0" borderId="0" xfId="0" applyNumberFormat="1" applyFont="1" applyAlignment="1">
      <alignment horizontal="left" vertical="center" indent="1"/>
    </xf>
    <xf numFmtId="169" fontId="17" fillId="20" borderId="0" xfId="0" applyNumberFormat="1" applyFont="1" applyFill="1" applyAlignment="1">
      <alignment horizontal="left" vertical="center" indent="1"/>
    </xf>
    <xf numFmtId="0" fontId="9" fillId="0" borderId="22" xfId="0" applyFont="1" applyBorder="1" applyAlignment="1">
      <alignment horizontal="center"/>
    </xf>
    <xf numFmtId="0" fontId="9" fillId="0" borderId="0" xfId="0" applyFont="1"/>
    <xf numFmtId="170" fontId="17" fillId="21" borderId="60" xfId="0" applyNumberFormat="1" applyFont="1" applyFill="1" applyBorder="1" applyAlignment="1">
      <alignment horizontal="center" vertical="center" wrapText="1"/>
    </xf>
    <xf numFmtId="170" fontId="17" fillId="21" borderId="61" xfId="0" applyNumberFormat="1" applyFont="1" applyFill="1" applyBorder="1" applyAlignment="1">
      <alignment horizontal="center" vertical="center" wrapText="1"/>
    </xf>
    <xf numFmtId="170" fontId="17" fillId="21" borderId="62" xfId="0" applyNumberFormat="1" applyFont="1" applyFill="1" applyBorder="1" applyAlignment="1">
      <alignment horizontal="center" vertical="center" wrapText="1"/>
    </xf>
    <xf numFmtId="170" fontId="17" fillId="22" borderId="63" xfId="0" applyNumberFormat="1" applyFont="1" applyFill="1" applyBorder="1" applyAlignment="1">
      <alignment horizontal="center" vertical="center" wrapText="1"/>
    </xf>
    <xf numFmtId="170" fontId="17" fillId="21" borderId="64" xfId="0" applyNumberFormat="1" applyFont="1" applyFill="1" applyBorder="1" applyAlignment="1">
      <alignment horizontal="center" vertical="center" wrapText="1"/>
    </xf>
    <xf numFmtId="170" fontId="17" fillId="21" borderId="65" xfId="0" applyNumberFormat="1" applyFont="1" applyFill="1" applyBorder="1" applyAlignment="1">
      <alignment horizontal="center" vertical="center" wrapText="1"/>
    </xf>
    <xf numFmtId="170" fontId="17" fillId="21" borderId="66" xfId="0" applyNumberFormat="1" applyFont="1" applyFill="1" applyBorder="1" applyAlignment="1">
      <alignment horizontal="center" vertical="center" wrapText="1"/>
    </xf>
    <xf numFmtId="170" fontId="17" fillId="21" borderId="66" xfId="0" applyNumberFormat="1" applyFont="1" applyFill="1" applyBorder="1" applyAlignment="1">
      <alignment horizontal="center" vertical="center" wrapText="1"/>
    </xf>
    <xf numFmtId="170" fontId="17" fillId="22" borderId="67" xfId="0" applyNumberFormat="1" applyFont="1" applyFill="1" applyBorder="1" applyAlignment="1">
      <alignment horizontal="center" vertical="center" wrapText="1"/>
    </xf>
    <xf numFmtId="0" fontId="18" fillId="23" borderId="68" xfId="0" applyFont="1" applyFill="1" applyBorder="1" applyAlignment="1">
      <alignment horizontal="left" vertical="center" indent="1"/>
    </xf>
    <xf numFmtId="169" fontId="18" fillId="23" borderId="51" xfId="3" applyNumberFormat="1" applyFont="1" applyFill="1" applyBorder="1" applyAlignment="1">
      <alignment horizontal="right" vertical="center"/>
    </xf>
    <xf numFmtId="169" fontId="18" fillId="24" borderId="69" xfId="3" applyNumberFormat="1" applyFont="1" applyFill="1" applyBorder="1" applyAlignment="1">
      <alignment horizontal="right" vertical="center"/>
    </xf>
    <xf numFmtId="0" fontId="18" fillId="0" borderId="68" xfId="0" applyFont="1" applyBorder="1" applyAlignment="1">
      <alignment horizontal="left" vertical="center" indent="1"/>
    </xf>
    <xf numFmtId="0" fontId="18" fillId="23" borderId="0" xfId="0" applyFont="1" applyFill="1" applyAlignment="1">
      <alignment horizontal="left" vertical="center" indent="1"/>
    </xf>
    <xf numFmtId="0" fontId="17" fillId="0" borderId="68" xfId="0" applyFont="1" applyBorder="1" applyAlignment="1">
      <alignment horizontal="left" vertical="center" indent="1"/>
    </xf>
    <xf numFmtId="0" fontId="17" fillId="23" borderId="68" xfId="0" applyFont="1" applyFill="1" applyBorder="1" applyAlignment="1">
      <alignment horizontal="left" vertical="center" indent="1"/>
    </xf>
    <xf numFmtId="169" fontId="18" fillId="23" borderId="13" xfId="3" applyNumberFormat="1" applyFont="1" applyFill="1" applyBorder="1" applyAlignment="1">
      <alignment horizontal="right" vertical="center"/>
    </xf>
    <xf numFmtId="0" fontId="17" fillId="0" borderId="70" xfId="0" applyFont="1" applyBorder="1" applyAlignment="1">
      <alignment horizontal="left" vertical="center" indent="1"/>
    </xf>
    <xf numFmtId="169" fontId="17" fillId="23" borderId="22" xfId="3" applyNumberFormat="1" applyFont="1" applyFill="1" applyBorder="1" applyAlignment="1">
      <alignment horizontal="right" vertical="center"/>
    </xf>
    <xf numFmtId="169" fontId="17" fillId="20" borderId="71" xfId="0" applyNumberFormat="1" applyFont="1" applyFill="1" applyBorder="1" applyAlignment="1">
      <alignment horizontal="left" vertical="center" indent="1"/>
    </xf>
    <xf numFmtId="169" fontId="17" fillId="23" borderId="0" xfId="3" applyNumberFormat="1" applyFont="1" applyFill="1" applyBorder="1" applyAlignment="1">
      <alignment horizontal="right" vertical="center"/>
    </xf>
    <xf numFmtId="170" fontId="19" fillId="25" borderId="72" xfId="0" applyNumberFormat="1" applyFont="1" applyFill="1" applyBorder="1" applyAlignment="1">
      <alignment horizontal="center" vertical="center" wrapText="1"/>
    </xf>
    <xf numFmtId="170" fontId="19" fillId="25" borderId="61" xfId="0" applyNumberFormat="1" applyFont="1" applyFill="1" applyBorder="1" applyAlignment="1">
      <alignment horizontal="center" vertical="center" wrapText="1"/>
    </xf>
    <xf numFmtId="170" fontId="19" fillId="25" borderId="62" xfId="0" applyNumberFormat="1" applyFont="1" applyFill="1" applyBorder="1" applyAlignment="1">
      <alignment horizontal="center" vertical="center" wrapText="1"/>
    </xf>
    <xf numFmtId="170" fontId="19" fillId="25" borderId="63" xfId="0" applyNumberFormat="1" applyFont="1" applyFill="1" applyBorder="1" applyAlignment="1">
      <alignment horizontal="center" vertical="center" wrapText="1"/>
    </xf>
    <xf numFmtId="169" fontId="18" fillId="26" borderId="69" xfId="3" applyNumberFormat="1" applyFont="1" applyFill="1" applyBorder="1" applyAlignment="1">
      <alignment horizontal="right" vertical="center"/>
    </xf>
    <xf numFmtId="165" fontId="8" fillId="0" borderId="53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left"/>
    </xf>
    <xf numFmtId="169" fontId="18" fillId="0" borderId="51" xfId="3" applyNumberFormat="1" applyFont="1" applyFill="1" applyBorder="1" applyAlignment="1">
      <alignment horizontal="right" vertical="center"/>
    </xf>
    <xf numFmtId="169" fontId="18" fillId="24" borderId="65" xfId="3" applyNumberFormat="1" applyFont="1" applyFill="1" applyBorder="1" applyAlignment="1">
      <alignment horizontal="right" vertical="center"/>
    </xf>
    <xf numFmtId="0" fontId="17" fillId="23" borderId="73" xfId="0" applyFont="1" applyFill="1" applyBorder="1" applyAlignment="1">
      <alignment horizontal="left" vertical="center" indent="1"/>
    </xf>
    <xf numFmtId="169" fontId="17" fillId="23" borderId="51" xfId="3" applyNumberFormat="1" applyFont="1" applyFill="1" applyBorder="1" applyAlignment="1">
      <alignment horizontal="right" vertical="center"/>
    </xf>
    <xf numFmtId="169" fontId="17" fillId="24" borderId="52" xfId="3" applyNumberFormat="1" applyFont="1" applyFill="1" applyBorder="1" applyAlignment="1">
      <alignment horizontal="right" vertical="center"/>
    </xf>
    <xf numFmtId="0" fontId="17" fillId="6" borderId="70" xfId="0" applyFont="1" applyFill="1" applyBorder="1" applyAlignment="1">
      <alignment horizontal="left" vertical="center" indent="1"/>
    </xf>
    <xf numFmtId="169" fontId="17" fillId="6" borderId="74" xfId="0" applyNumberFormat="1" applyFont="1" applyFill="1" applyBorder="1" applyAlignment="1">
      <alignment horizontal="left" vertical="center" indent="1"/>
    </xf>
    <xf numFmtId="0" fontId="17" fillId="6" borderId="75" xfId="0" applyFont="1" applyFill="1" applyBorder="1" applyAlignment="1">
      <alignment horizontal="left" vertical="center" indent="1"/>
    </xf>
    <xf numFmtId="169" fontId="17" fillId="6" borderId="46" xfId="0" applyNumberFormat="1" applyFont="1" applyFill="1" applyBorder="1" applyAlignment="1">
      <alignment horizontal="left" vertical="center" indent="1"/>
    </xf>
    <xf numFmtId="169" fontId="17" fillId="20" borderId="76" xfId="0" applyNumberFormat="1" applyFont="1" applyFill="1" applyBorder="1" applyAlignment="1">
      <alignment horizontal="left" vertical="center" indent="1"/>
    </xf>
    <xf numFmtId="169" fontId="3" fillId="0" borderId="0" xfId="0" applyNumberFormat="1" applyFont="1"/>
    <xf numFmtId="0" fontId="17" fillId="20" borderId="22" xfId="0" applyFont="1" applyFill="1" applyBorder="1" applyAlignment="1">
      <alignment horizontal="left" vertical="center" indent="1"/>
    </xf>
    <xf numFmtId="169" fontId="17" fillId="27" borderId="22" xfId="0" applyNumberFormat="1" applyFont="1" applyFill="1" applyBorder="1" applyAlignment="1">
      <alignment horizontal="left" vertical="center" indent="1"/>
    </xf>
    <xf numFmtId="169" fontId="17" fillId="28" borderId="22" xfId="0" applyNumberFormat="1" applyFont="1" applyFill="1" applyBorder="1" applyAlignment="1">
      <alignment horizontal="left" vertical="center" indent="1"/>
    </xf>
    <xf numFmtId="0" fontId="17" fillId="20" borderId="0" xfId="0" applyFont="1" applyFill="1" applyAlignment="1">
      <alignment horizontal="left" vertical="center" indent="1"/>
    </xf>
    <xf numFmtId="169" fontId="17" fillId="6" borderId="0" xfId="0" applyNumberFormat="1" applyFont="1" applyFill="1" applyAlignment="1">
      <alignment horizontal="left" vertical="center" indent="1"/>
    </xf>
    <xf numFmtId="14" fontId="8" fillId="0" borderId="0" xfId="0" applyNumberFormat="1" applyFont="1" applyAlignment="1">
      <alignment horizontal="left" indent="6"/>
    </xf>
    <xf numFmtId="0" fontId="17" fillId="6" borderId="77" xfId="0" applyFont="1" applyFill="1" applyBorder="1" applyAlignment="1">
      <alignment horizontal="center" vertical="center"/>
    </xf>
    <xf numFmtId="0" fontId="17" fillId="6" borderId="59" xfId="0" applyFont="1" applyFill="1" applyBorder="1" applyAlignment="1">
      <alignment horizontal="center" vertical="center"/>
    </xf>
    <xf numFmtId="0" fontId="17" fillId="6" borderId="78" xfId="0" applyFont="1" applyFill="1" applyBorder="1" applyAlignment="1">
      <alignment horizontal="center" vertical="center"/>
    </xf>
    <xf numFmtId="0" fontId="17" fillId="20" borderId="58" xfId="0" applyFont="1" applyFill="1" applyBorder="1" applyAlignment="1">
      <alignment horizontal="center" vertical="center"/>
    </xf>
    <xf numFmtId="0" fontId="17" fillId="20" borderId="59" xfId="0" applyFont="1" applyFill="1" applyBorder="1" applyAlignment="1">
      <alignment horizontal="center" vertical="center"/>
    </xf>
    <xf numFmtId="0" fontId="17" fillId="20" borderId="78" xfId="0" applyFont="1" applyFill="1" applyBorder="1" applyAlignment="1">
      <alignment horizontal="center" vertical="center"/>
    </xf>
  </cellXfs>
  <cellStyles count="4">
    <cellStyle name="Comma 3 25" xfId="2" xr:uid="{4ADE6255-F266-4519-87E7-1E631E2D1FDC}"/>
    <cellStyle name="Comma 58 5" xfId="3" xr:uid="{0E48751E-B004-401F-A45C-7CFDEAD17810}"/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688A-C03C-49D0-B1F0-3851E5DAE0E4}">
  <sheetPr>
    <tabColor rgb="FFFF0000"/>
    <pageSetUpPr fitToPage="1"/>
  </sheetPr>
  <dimension ref="A1:AL173"/>
  <sheetViews>
    <sheetView tabSelected="1" view="pageBreakPreview" topLeftCell="B2" zoomScale="70" zoomScaleNormal="70" zoomScaleSheetLayoutView="70" workbookViewId="0">
      <selection activeCell="AI41" sqref="AI41"/>
    </sheetView>
  </sheetViews>
  <sheetFormatPr defaultRowHeight="14.4" x14ac:dyDescent="0.3"/>
  <cols>
    <col min="1" max="1" width="6.5546875" hidden="1" customWidth="1"/>
    <col min="2" max="2" width="36.44140625" customWidth="1"/>
    <col min="3" max="3" width="22.5546875" customWidth="1"/>
    <col min="4" max="4" width="29" customWidth="1"/>
    <col min="5" max="5" width="26.44140625" customWidth="1"/>
    <col min="6" max="6" width="14.33203125" bestFit="1" customWidth="1"/>
    <col min="7" max="7" width="15" bestFit="1" customWidth="1"/>
    <col min="8" max="8" width="14.5546875" hidden="1" customWidth="1"/>
    <col min="9" max="9" width="12.5546875" style="2" hidden="1" customWidth="1"/>
    <col min="10" max="10" width="12.44140625" style="2" hidden="1" customWidth="1"/>
    <col min="11" max="11" width="13.44140625" style="2" hidden="1" customWidth="1"/>
    <col min="12" max="12" width="11.44140625" style="2" hidden="1" customWidth="1"/>
    <col min="13" max="13" width="20.44140625" hidden="1" customWidth="1"/>
    <col min="14" max="14" width="11" hidden="1" customWidth="1"/>
    <col min="15" max="15" width="8.5546875" hidden="1" customWidth="1"/>
    <col min="16" max="16" width="13.5546875" hidden="1" customWidth="1"/>
    <col min="17" max="18" width="8.5546875" hidden="1" customWidth="1"/>
    <col min="19" max="19" width="11.5546875" hidden="1" customWidth="1"/>
    <col min="20" max="20" width="12.44140625" hidden="1" customWidth="1"/>
    <col min="21" max="30" width="8.5546875" hidden="1" customWidth="1"/>
    <col min="31" max="31" width="18.5546875" customWidth="1"/>
    <col min="32" max="32" width="14.33203125" bestFit="1" customWidth="1"/>
    <col min="33" max="33" width="11" bestFit="1" customWidth="1"/>
    <col min="34" max="35" width="15.5546875" style="51" bestFit="1" customWidth="1"/>
    <col min="36" max="37" width="11.5546875" bestFit="1" customWidth="1"/>
    <col min="38" max="38" width="11" bestFit="1" customWidth="1"/>
    <col min="39" max="39" width="12.44140625" bestFit="1" customWidth="1"/>
  </cols>
  <sheetData>
    <row r="1" spans="1:38" ht="15" hidden="1" thickBot="1" x14ac:dyDescent="0.35">
      <c r="B1" s="1"/>
      <c r="C1" s="1"/>
      <c r="D1" s="1"/>
      <c r="E1" s="1"/>
      <c r="F1" s="1"/>
      <c r="P1" s="3"/>
      <c r="T1" s="4"/>
      <c r="W1" s="3"/>
      <c r="AH1" s="5"/>
      <c r="AI1" s="5"/>
    </row>
    <row r="2" spans="1:38" x14ac:dyDescent="0.3">
      <c r="A2" s="6"/>
      <c r="B2" s="7" t="str">
        <f ca="1">UPPER(_xlfn.CONCAT(TEXT(F3,"MMMM YYYY "),"COLLECTION SUMMARY"))</f>
        <v>MAY 2026 COLLECTION SUMMARY</v>
      </c>
      <c r="C2" s="7"/>
      <c r="D2" s="7"/>
      <c r="E2" s="7"/>
      <c r="F2" s="8"/>
      <c r="G2" s="9"/>
      <c r="H2" s="10"/>
      <c r="AH2" s="5"/>
      <c r="AI2" s="5"/>
    </row>
    <row r="3" spans="1:38" x14ac:dyDescent="0.3">
      <c r="A3" s="11"/>
      <c r="E3" s="12" t="s">
        <v>0</v>
      </c>
      <c r="F3" s="13">
        <v>46149</v>
      </c>
      <c r="G3" s="14" t="s">
        <v>1</v>
      </c>
      <c r="Y3" s="15"/>
      <c r="AH3" s="5"/>
      <c r="AI3" s="5"/>
    </row>
    <row r="4" spans="1:38" x14ac:dyDescent="0.3">
      <c r="A4" s="16"/>
      <c r="B4" s="17"/>
      <c r="C4" s="18" t="s">
        <v>2</v>
      </c>
      <c r="D4" s="18" t="s">
        <v>3</v>
      </c>
      <c r="E4" s="19" t="s">
        <v>4</v>
      </c>
      <c r="F4" s="20"/>
      <c r="T4" s="3"/>
      <c r="Y4" s="15"/>
      <c r="AH4" s="5"/>
      <c r="AI4" s="5"/>
    </row>
    <row r="5" spans="1:38" x14ac:dyDescent="0.3">
      <c r="A5" s="21" t="s">
        <v>5</v>
      </c>
      <c r="B5" s="22"/>
      <c r="C5" s="23">
        <f ca="1">_xlfn.XLOOKUP(TEXT($F$3,"MMM"),month_target!$5:$5,month_target!$6:$6,0,0)</f>
        <v>860429189.90999985</v>
      </c>
      <c r="D5" s="23">
        <f ca="1">_xlfn.XLOOKUP(TEXT($F$3,"MMM"),month_target!$12:$12,month_target!$13:$13,0,0)</f>
        <v>563625000</v>
      </c>
      <c r="E5" s="23">
        <f ca="1">SUM(C5:D5)</f>
        <v>1424054189.9099998</v>
      </c>
      <c r="F5" s="24"/>
      <c r="Y5" s="15"/>
      <c r="AH5" s="5"/>
      <c r="AI5" s="5"/>
    </row>
    <row r="6" spans="1:38" x14ac:dyDescent="0.3">
      <c r="A6" s="25" t="s">
        <v>6</v>
      </c>
      <c r="B6" s="26"/>
      <c r="C6" s="27">
        <v>253067408.79705879</v>
      </c>
      <c r="D6" s="27">
        <v>165772058.82352942</v>
      </c>
      <c r="E6" s="27">
        <f ca="1">SUM(C6:D6)</f>
        <v>418839467.62058818</v>
      </c>
      <c r="F6" s="28"/>
      <c r="Y6" s="15"/>
      <c r="AH6" s="5"/>
      <c r="AI6" s="5"/>
      <c r="AL6" s="29"/>
    </row>
    <row r="7" spans="1:38" hidden="1" x14ac:dyDescent="0.3">
      <c r="A7" s="30"/>
      <c r="B7" s="31"/>
      <c r="C7" s="32"/>
      <c r="D7" s="32"/>
      <c r="E7" s="33"/>
      <c r="F7" s="34"/>
      <c r="Y7" s="15"/>
      <c r="AH7" s="5"/>
      <c r="AI7" s="5"/>
    </row>
    <row r="8" spans="1:38" x14ac:dyDescent="0.3">
      <c r="A8" s="35" t="s">
        <v>7</v>
      </c>
      <c r="B8" s="36" t="s">
        <v>8</v>
      </c>
      <c r="C8" s="18" t="s">
        <v>2</v>
      </c>
      <c r="D8" s="18" t="s">
        <v>3</v>
      </c>
      <c r="E8" s="18" t="s">
        <v>4</v>
      </c>
      <c r="F8" s="20" t="s">
        <v>9</v>
      </c>
      <c r="G8" s="37"/>
      <c r="Y8" s="15"/>
      <c r="AE8" s="38" t="s">
        <v>152</v>
      </c>
      <c r="AH8" s="5"/>
      <c r="AI8" s="5"/>
    </row>
    <row r="9" spans="1:38" s="15" customFormat="1" x14ac:dyDescent="0.3">
      <c r="A9" s="39">
        <v>1</v>
      </c>
      <c r="B9" s="40">
        <v>46143</v>
      </c>
      <c r="C9" s="41">
        <v>53938555.040000007</v>
      </c>
      <c r="D9" s="41">
        <f t="shared" ref="D9:D39" ca="1" si="0">E9-C9</f>
        <v>1465167.2899999991</v>
      </c>
      <c r="E9" s="42">
        <v>55403722.330000006</v>
      </c>
      <c r="F9" s="43">
        <v>1213745.4099999999</v>
      </c>
      <c r="G9" s="37"/>
      <c r="H9" s="37"/>
      <c r="I9" s="41"/>
      <c r="J9" s="41"/>
      <c r="K9" s="5"/>
      <c r="L9" s="5"/>
      <c r="M9" s="44"/>
      <c r="W9"/>
      <c r="AF9" s="45">
        <v>518637.46</v>
      </c>
      <c r="AH9" s="5"/>
      <c r="AI9" s="5"/>
      <c r="AJ9" s="5">
        <f t="shared" ref="AJ9:AK24" ca="1" si="1">C9-AH9</f>
        <v>53938555.040000007</v>
      </c>
      <c r="AK9" s="5">
        <f t="shared" ca="1" si="1"/>
        <v>1465167.2899999991</v>
      </c>
    </row>
    <row r="10" spans="1:38" s="15" customFormat="1" hidden="1" x14ac:dyDescent="0.3">
      <c r="A10" s="39">
        <v>2</v>
      </c>
      <c r="B10" s="40">
        <v>46144</v>
      </c>
      <c r="C10" s="41">
        <v>0</v>
      </c>
      <c r="D10" s="41">
        <f t="shared" ca="1" si="0"/>
        <v>0</v>
      </c>
      <c r="E10" s="42">
        <v>0</v>
      </c>
      <c r="F10" s="43">
        <v>715605.9099999998</v>
      </c>
      <c r="G10" s="37"/>
      <c r="H10" s="37"/>
      <c r="I10" s="41"/>
      <c r="J10" s="41"/>
      <c r="K10" s="5"/>
      <c r="L10" s="5"/>
      <c r="M10" s="44"/>
      <c r="W10"/>
      <c r="AE10" s="5">
        <f ca="1">_xlfn.XLOOKUP(daily!$F3,B:B,D:D)-AE11</f>
        <v>73321</v>
      </c>
      <c r="AF10" s="45">
        <v>303910.96999999997</v>
      </c>
      <c r="AH10" s="5">
        <v>25259161.389999993</v>
      </c>
      <c r="AI10" s="5">
        <v>1183126</v>
      </c>
      <c r="AJ10" s="5">
        <f t="shared" ca="1" si="1"/>
        <v>-25259161.389999993</v>
      </c>
      <c r="AK10" s="5">
        <f t="shared" ca="1" si="1"/>
        <v>-1183126</v>
      </c>
    </row>
    <row r="11" spans="1:38" s="15" customFormat="1" hidden="1" x14ac:dyDescent="0.3">
      <c r="A11" s="39">
        <v>3</v>
      </c>
      <c r="B11" s="40">
        <v>46145</v>
      </c>
      <c r="C11" s="41">
        <v>0</v>
      </c>
      <c r="D11" s="41">
        <f t="shared" ca="1" si="0"/>
        <v>0</v>
      </c>
      <c r="E11" s="42">
        <v>0</v>
      </c>
      <c r="F11" s="43">
        <v>0</v>
      </c>
      <c r="G11" s="37"/>
      <c r="H11" s="37"/>
      <c r="I11" s="41"/>
      <c r="J11" s="41"/>
      <c r="K11" s="5"/>
      <c r="L11" s="5"/>
      <c r="M11" s="44"/>
      <c r="N11" s="37"/>
      <c r="S11" s="45"/>
      <c r="W11"/>
      <c r="AE11" s="46">
        <v>1772621.1499999985</v>
      </c>
      <c r="AF11" s="45">
        <v>0</v>
      </c>
      <c r="AH11" s="5">
        <v>39474331.660000011</v>
      </c>
      <c r="AI11" s="5">
        <v>1778245</v>
      </c>
      <c r="AJ11" s="5">
        <f t="shared" ca="1" si="1"/>
        <v>-39474331.660000011</v>
      </c>
      <c r="AK11" s="5">
        <f t="shared" ca="1" si="1"/>
        <v>-1778245</v>
      </c>
    </row>
    <row r="12" spans="1:38" s="15" customFormat="1" x14ac:dyDescent="0.3">
      <c r="A12" s="39">
        <v>4</v>
      </c>
      <c r="B12" s="40">
        <v>46146</v>
      </c>
      <c r="C12" s="41">
        <v>63640346.859999999</v>
      </c>
      <c r="D12" s="41">
        <f t="shared" ca="1" si="0"/>
        <v>10452007.650000006</v>
      </c>
      <c r="E12" s="42">
        <v>74092354.510000005</v>
      </c>
      <c r="F12" s="43">
        <v>1330933.7200000002</v>
      </c>
      <c r="G12" s="37"/>
      <c r="H12" s="37"/>
      <c r="I12" s="41"/>
      <c r="J12" s="41"/>
      <c r="K12" s="5"/>
      <c r="L12" s="5"/>
      <c r="M12" s="44"/>
      <c r="W12"/>
      <c r="AF12" s="45">
        <v>587342.5</v>
      </c>
      <c r="AH12" s="5">
        <v>41314431.110000022</v>
      </c>
      <c r="AI12" s="5">
        <v>1804177</v>
      </c>
      <c r="AJ12" s="5">
        <f t="shared" ca="1" si="1"/>
        <v>22325915.749999978</v>
      </c>
      <c r="AK12" s="5">
        <f t="shared" ca="1" si="1"/>
        <v>8647830.650000006</v>
      </c>
    </row>
    <row r="13" spans="1:38" s="15" customFormat="1" x14ac:dyDescent="0.3">
      <c r="A13" s="39">
        <v>5</v>
      </c>
      <c r="B13" s="40">
        <v>46147</v>
      </c>
      <c r="C13" s="41">
        <v>56488255.760000013</v>
      </c>
      <c r="D13" s="41">
        <f t="shared" ca="1" si="0"/>
        <v>19203093.20000001</v>
      </c>
      <c r="E13" s="42">
        <v>75691348.960000023</v>
      </c>
      <c r="F13" s="43">
        <v>503367.4</v>
      </c>
      <c r="G13" s="37"/>
      <c r="H13" s="37"/>
      <c r="I13" s="41"/>
      <c r="J13" s="41"/>
      <c r="K13" s="5"/>
      <c r="L13" s="5"/>
      <c r="M13" s="44"/>
      <c r="W13"/>
      <c r="AF13" s="45">
        <v>194042</v>
      </c>
      <c r="AH13" s="5"/>
      <c r="AI13" s="5"/>
      <c r="AJ13" s="5">
        <f t="shared" ca="1" si="1"/>
        <v>56488255.760000013</v>
      </c>
      <c r="AK13" s="5">
        <f t="shared" ca="1" si="1"/>
        <v>19203093.20000001</v>
      </c>
    </row>
    <row r="14" spans="1:38" s="15" customFormat="1" ht="15" customHeight="1" x14ac:dyDescent="0.3">
      <c r="A14" s="39"/>
      <c r="B14" s="40">
        <v>46148</v>
      </c>
      <c r="C14" s="41">
        <v>54618538.889999993</v>
      </c>
      <c r="D14" s="41">
        <f t="shared" ca="1" si="0"/>
        <v>12493234.990000002</v>
      </c>
      <c r="E14" s="42">
        <v>67111773.879999995</v>
      </c>
      <c r="F14" s="43">
        <v>698181.3</v>
      </c>
      <c r="G14" s="37"/>
      <c r="H14" s="37"/>
      <c r="I14" s="41"/>
      <c r="J14" s="41"/>
      <c r="K14" s="5"/>
      <c r="L14" s="5"/>
      <c r="M14" s="44"/>
      <c r="W14"/>
      <c r="AE14" s="5"/>
      <c r="AF14" s="45">
        <v>350651</v>
      </c>
      <c r="AH14" s="5"/>
      <c r="AI14" s="5"/>
      <c r="AJ14" s="5">
        <f t="shared" ca="1" si="1"/>
        <v>54618538.889999993</v>
      </c>
      <c r="AK14" s="5">
        <f t="shared" ca="1" si="1"/>
        <v>12493234.990000002</v>
      </c>
    </row>
    <row r="15" spans="1:38" s="15" customFormat="1" x14ac:dyDescent="0.3">
      <c r="A15" s="39"/>
      <c r="B15" s="40">
        <v>46149</v>
      </c>
      <c r="C15" s="41">
        <v>56771371.469999984</v>
      </c>
      <c r="D15" s="41">
        <f t="shared" ca="1" si="0"/>
        <v>1845942.1499999985</v>
      </c>
      <c r="E15" s="42">
        <v>58617313.619999982</v>
      </c>
      <c r="F15" s="43">
        <v>311975.90000000002</v>
      </c>
      <c r="G15" s="37"/>
      <c r="H15" s="37"/>
      <c r="I15" s="41"/>
      <c r="J15" s="41"/>
      <c r="K15" s="5"/>
      <c r="L15" s="5"/>
      <c r="M15" s="44"/>
      <c r="W15"/>
      <c r="AE15" s="5"/>
      <c r="AF15" s="45">
        <v>368901.5</v>
      </c>
      <c r="AH15" s="5"/>
      <c r="AI15" s="5"/>
      <c r="AJ15" s="5">
        <f t="shared" ca="1" si="1"/>
        <v>56771371.469999984</v>
      </c>
      <c r="AK15" s="5">
        <f t="shared" ca="1" si="1"/>
        <v>1845942.1499999985</v>
      </c>
    </row>
    <row r="16" spans="1:38" s="15" customFormat="1" ht="13.8" x14ac:dyDescent="0.3">
      <c r="A16" s="39">
        <v>6</v>
      </c>
      <c r="B16" s="40">
        <v>46150</v>
      </c>
      <c r="C16" s="41">
        <v>0</v>
      </c>
      <c r="D16" s="41">
        <f t="shared" ca="1" si="0"/>
        <v>0</v>
      </c>
      <c r="E16" s="42">
        <v>0</v>
      </c>
      <c r="F16" s="43">
        <v>0</v>
      </c>
      <c r="G16" s="37"/>
      <c r="H16" s="37"/>
      <c r="I16" s="41"/>
      <c r="J16" s="41"/>
      <c r="K16" s="5"/>
      <c r="L16" s="5"/>
      <c r="M16" s="44"/>
      <c r="AF16" s="45">
        <v>0</v>
      </c>
      <c r="AH16" s="5"/>
      <c r="AI16" s="5"/>
      <c r="AJ16" s="5">
        <f t="shared" ca="1" si="1"/>
        <v>0</v>
      </c>
      <c r="AK16" s="5">
        <f t="shared" ca="1" si="1"/>
        <v>0</v>
      </c>
    </row>
    <row r="17" spans="1:38" s="15" customFormat="1" ht="13.8" hidden="1" x14ac:dyDescent="0.3">
      <c r="A17" s="39">
        <v>7</v>
      </c>
      <c r="B17" s="40">
        <v>46151</v>
      </c>
      <c r="C17" s="41">
        <v>0</v>
      </c>
      <c r="D17" s="41">
        <f t="shared" ca="1" si="0"/>
        <v>0</v>
      </c>
      <c r="E17" s="42">
        <v>0</v>
      </c>
      <c r="F17" s="43">
        <v>0</v>
      </c>
      <c r="G17" s="37"/>
      <c r="H17" s="5"/>
      <c r="I17" s="41"/>
      <c r="J17" s="41"/>
      <c r="K17" s="5"/>
      <c r="L17" s="5"/>
      <c r="M17" s="44"/>
      <c r="AF17" s="45">
        <v>0</v>
      </c>
      <c r="AH17" s="5"/>
      <c r="AI17" s="5"/>
      <c r="AJ17" s="5">
        <f t="shared" ca="1" si="1"/>
        <v>0</v>
      </c>
      <c r="AK17" s="5">
        <f t="shared" ca="1" si="1"/>
        <v>0</v>
      </c>
    </row>
    <row r="18" spans="1:38" s="15" customFormat="1" ht="13.8" hidden="1" x14ac:dyDescent="0.3">
      <c r="A18" s="39">
        <v>8</v>
      </c>
      <c r="B18" s="40">
        <v>46152</v>
      </c>
      <c r="C18" s="41">
        <v>0</v>
      </c>
      <c r="D18" s="41">
        <f t="shared" ca="1" si="0"/>
        <v>0</v>
      </c>
      <c r="E18" s="42">
        <v>0</v>
      </c>
      <c r="F18" s="43">
        <v>0</v>
      </c>
      <c r="G18" s="37"/>
      <c r="H18" s="5"/>
      <c r="I18" s="41">
        <v>0</v>
      </c>
      <c r="J18" s="41">
        <v>0</v>
      </c>
      <c r="K18" s="5">
        <f t="shared" ref="K18:K25" ca="1" si="2">C18-I18</f>
        <v>0</v>
      </c>
      <c r="L18" s="5">
        <f t="shared" ref="L18:L25" ca="1" si="3">J18-D18</f>
        <v>0</v>
      </c>
      <c r="M18" s="44">
        <v>45056</v>
      </c>
      <c r="AF18" s="45">
        <v>0</v>
      </c>
      <c r="AH18" s="5"/>
      <c r="AI18" s="5"/>
      <c r="AJ18" s="5">
        <f t="shared" ca="1" si="1"/>
        <v>0</v>
      </c>
      <c r="AK18" s="5">
        <f t="shared" ca="1" si="1"/>
        <v>0</v>
      </c>
    </row>
    <row r="19" spans="1:38" s="15" customFormat="1" ht="13.8" x14ac:dyDescent="0.3">
      <c r="A19" s="39">
        <v>9</v>
      </c>
      <c r="B19" s="40">
        <v>46153</v>
      </c>
      <c r="C19" s="41">
        <v>0</v>
      </c>
      <c r="D19" s="41">
        <f t="shared" ca="1" si="0"/>
        <v>0</v>
      </c>
      <c r="E19" s="42">
        <v>0</v>
      </c>
      <c r="F19" s="43">
        <v>0</v>
      </c>
      <c r="G19" s="37"/>
      <c r="H19" s="5"/>
      <c r="I19" s="41">
        <v>0</v>
      </c>
      <c r="J19" s="41">
        <v>0</v>
      </c>
      <c r="K19" s="5">
        <f t="shared" ca="1" si="2"/>
        <v>0</v>
      </c>
      <c r="L19" s="5">
        <f t="shared" ca="1" si="3"/>
        <v>0</v>
      </c>
      <c r="M19" s="44">
        <v>45057</v>
      </c>
      <c r="T19" s="44"/>
      <c r="AF19" s="45">
        <v>0</v>
      </c>
      <c r="AH19" s="5"/>
      <c r="AI19" s="5"/>
      <c r="AJ19" s="5">
        <f t="shared" ca="1" si="1"/>
        <v>0</v>
      </c>
      <c r="AK19" s="5">
        <f t="shared" ca="1" si="1"/>
        <v>0</v>
      </c>
    </row>
    <row r="20" spans="1:38" s="15" customFormat="1" ht="13.8" x14ac:dyDescent="0.3">
      <c r="A20" s="39">
        <v>10</v>
      </c>
      <c r="B20" s="40">
        <v>46154</v>
      </c>
      <c r="C20" s="41">
        <v>0</v>
      </c>
      <c r="D20" s="41">
        <f t="shared" ca="1" si="0"/>
        <v>0</v>
      </c>
      <c r="E20" s="42">
        <v>0</v>
      </c>
      <c r="F20" s="43">
        <v>0</v>
      </c>
      <c r="G20" s="37"/>
      <c r="H20" s="5"/>
      <c r="I20" s="41">
        <v>19090565.399999999</v>
      </c>
      <c r="J20" s="41">
        <v>26755176.399999999</v>
      </c>
      <c r="K20" s="5">
        <f t="shared" ca="1" si="2"/>
        <v>-19090565.399999999</v>
      </c>
      <c r="L20" s="5">
        <f t="shared" ca="1" si="3"/>
        <v>26755176.399999999</v>
      </c>
      <c r="M20" s="44">
        <v>45058</v>
      </c>
      <c r="AE20" s="5"/>
      <c r="AF20" s="45">
        <v>0</v>
      </c>
      <c r="AH20" s="5"/>
      <c r="AI20" s="5"/>
      <c r="AJ20" s="5">
        <f t="shared" ca="1" si="1"/>
        <v>0</v>
      </c>
      <c r="AK20" s="5">
        <f t="shared" ca="1" si="1"/>
        <v>0</v>
      </c>
    </row>
    <row r="21" spans="1:38" s="15" customFormat="1" ht="14.1" customHeight="1" x14ac:dyDescent="0.3">
      <c r="A21" s="39"/>
      <c r="B21" s="40">
        <v>46155</v>
      </c>
      <c r="C21" s="41">
        <v>0</v>
      </c>
      <c r="D21" s="41">
        <f t="shared" ca="1" si="0"/>
        <v>0</v>
      </c>
      <c r="E21" s="42">
        <v>0</v>
      </c>
      <c r="F21" s="43">
        <v>0</v>
      </c>
      <c r="G21" s="37">
        <f ca="1">C21+$AE$10</f>
        <v>73321</v>
      </c>
      <c r="H21" s="5"/>
      <c r="I21" s="41">
        <v>0</v>
      </c>
      <c r="J21" s="41">
        <v>0</v>
      </c>
      <c r="K21" s="5">
        <f t="shared" ca="1" si="2"/>
        <v>0</v>
      </c>
      <c r="L21" s="5">
        <f t="shared" ca="1" si="3"/>
        <v>0</v>
      </c>
      <c r="M21" s="44">
        <v>45059</v>
      </c>
      <c r="AE21" s="37"/>
      <c r="AF21" s="45">
        <v>0</v>
      </c>
      <c r="AH21" s="5"/>
      <c r="AI21" s="5"/>
      <c r="AJ21" s="5">
        <f t="shared" ca="1" si="1"/>
        <v>0</v>
      </c>
      <c r="AK21" s="5">
        <f t="shared" ca="1" si="1"/>
        <v>0</v>
      </c>
      <c r="AL21" s="37"/>
    </row>
    <row r="22" spans="1:38" s="15" customFormat="1" ht="13.8" x14ac:dyDescent="0.3">
      <c r="A22" s="39"/>
      <c r="B22" s="40">
        <v>46156</v>
      </c>
      <c r="C22" s="41">
        <v>0</v>
      </c>
      <c r="D22" s="41">
        <f t="shared" ca="1" si="0"/>
        <v>0</v>
      </c>
      <c r="E22" s="42">
        <v>0</v>
      </c>
      <c r="F22" s="43">
        <v>0</v>
      </c>
      <c r="G22" s="37">
        <f ca="1">C22+$AE$10</f>
        <v>73321</v>
      </c>
      <c r="I22" s="41">
        <v>0</v>
      </c>
      <c r="J22" s="41">
        <v>0</v>
      </c>
      <c r="K22" s="5">
        <f t="shared" ca="1" si="2"/>
        <v>0</v>
      </c>
      <c r="L22" s="5">
        <f t="shared" ca="1" si="3"/>
        <v>0</v>
      </c>
      <c r="M22" s="44">
        <v>45060</v>
      </c>
      <c r="AF22" s="45">
        <v>0</v>
      </c>
      <c r="AH22" s="5"/>
      <c r="AI22" s="5"/>
      <c r="AJ22" s="5">
        <f t="shared" ca="1" si="1"/>
        <v>0</v>
      </c>
      <c r="AK22" s="5">
        <f t="shared" ca="1" si="1"/>
        <v>0</v>
      </c>
    </row>
    <row r="23" spans="1:38" s="15" customFormat="1" ht="13.8" x14ac:dyDescent="0.3">
      <c r="A23" s="39">
        <v>11</v>
      </c>
      <c r="B23" s="40">
        <v>46157</v>
      </c>
      <c r="C23" s="41">
        <v>0</v>
      </c>
      <c r="D23" s="41">
        <f t="shared" ca="1" si="0"/>
        <v>0</v>
      </c>
      <c r="E23" s="42">
        <v>0</v>
      </c>
      <c r="F23" s="43">
        <v>0</v>
      </c>
      <c r="I23" s="41">
        <v>0</v>
      </c>
      <c r="J23" s="41">
        <v>0</v>
      </c>
      <c r="K23" s="5">
        <f t="shared" ca="1" si="2"/>
        <v>0</v>
      </c>
      <c r="L23" s="5">
        <f t="shared" ca="1" si="3"/>
        <v>0</v>
      </c>
      <c r="M23" s="44">
        <v>45061</v>
      </c>
      <c r="AE23" s="5"/>
      <c r="AF23" s="45">
        <v>0</v>
      </c>
      <c r="AH23" s="5"/>
      <c r="AI23" s="5"/>
      <c r="AJ23" s="5">
        <f t="shared" ca="1" si="1"/>
        <v>0</v>
      </c>
      <c r="AK23" s="5">
        <f t="shared" ca="1" si="1"/>
        <v>0</v>
      </c>
    </row>
    <row r="24" spans="1:38" s="15" customFormat="1" ht="13.8" hidden="1" x14ac:dyDescent="0.3">
      <c r="A24" s="39">
        <v>12</v>
      </c>
      <c r="B24" s="40">
        <v>46158</v>
      </c>
      <c r="C24" s="41">
        <v>0</v>
      </c>
      <c r="D24" s="41">
        <f t="shared" ca="1" si="0"/>
        <v>0</v>
      </c>
      <c r="E24" s="42">
        <v>0</v>
      </c>
      <c r="F24" s="43">
        <v>0</v>
      </c>
      <c r="G24" s="37"/>
      <c r="I24" s="41">
        <v>0</v>
      </c>
      <c r="J24" s="41">
        <v>0</v>
      </c>
      <c r="K24" s="5">
        <f t="shared" ca="1" si="2"/>
        <v>0</v>
      </c>
      <c r="L24" s="5">
        <f t="shared" ca="1" si="3"/>
        <v>0</v>
      </c>
      <c r="M24" s="44">
        <v>45062</v>
      </c>
      <c r="AF24" s="45">
        <v>0</v>
      </c>
      <c r="AH24" s="5"/>
      <c r="AI24" s="5"/>
      <c r="AJ24" s="5">
        <f t="shared" ca="1" si="1"/>
        <v>0</v>
      </c>
      <c r="AK24" s="5">
        <f t="shared" ca="1" si="1"/>
        <v>0</v>
      </c>
    </row>
    <row r="25" spans="1:38" s="15" customFormat="1" ht="13.8" hidden="1" x14ac:dyDescent="0.3">
      <c r="A25" s="39">
        <v>13</v>
      </c>
      <c r="B25" s="40">
        <v>46159</v>
      </c>
      <c r="C25" s="41">
        <v>0</v>
      </c>
      <c r="D25" s="41">
        <f t="shared" ca="1" si="0"/>
        <v>0</v>
      </c>
      <c r="E25" s="42">
        <v>0</v>
      </c>
      <c r="F25" s="43">
        <v>0</v>
      </c>
      <c r="G25" s="37"/>
      <c r="I25" s="41">
        <v>0</v>
      </c>
      <c r="J25" s="41">
        <v>0</v>
      </c>
      <c r="K25" s="5">
        <f t="shared" ca="1" si="2"/>
        <v>0</v>
      </c>
      <c r="L25" s="5">
        <f t="shared" ca="1" si="3"/>
        <v>0</v>
      </c>
      <c r="M25" s="44">
        <v>45063</v>
      </c>
      <c r="V25" s="15">
        <f ca="1">SUM(V23,V17)</f>
        <v>0</v>
      </c>
      <c r="AF25" s="47">
        <v>0</v>
      </c>
      <c r="AG25" s="48"/>
      <c r="AH25" s="5"/>
      <c r="AI25" s="5"/>
      <c r="AJ25" s="5">
        <f t="shared" ref="AJ25:AK51" ca="1" si="4">C25-AH25</f>
        <v>0</v>
      </c>
      <c r="AK25" s="5">
        <f t="shared" ca="1" si="4"/>
        <v>0</v>
      </c>
    </row>
    <row r="26" spans="1:38" s="15" customFormat="1" ht="13.8" x14ac:dyDescent="0.3">
      <c r="A26" s="39">
        <v>14</v>
      </c>
      <c r="B26" s="40">
        <v>46160</v>
      </c>
      <c r="C26" s="41">
        <v>0</v>
      </c>
      <c r="D26" s="41">
        <f t="shared" ca="1" si="0"/>
        <v>0</v>
      </c>
      <c r="E26" s="42">
        <v>0</v>
      </c>
      <c r="F26" s="43">
        <v>0</v>
      </c>
      <c r="G26" s="37"/>
      <c r="I26" s="41"/>
      <c r="J26" s="41"/>
      <c r="K26" s="5"/>
      <c r="L26" s="5"/>
      <c r="M26" s="44"/>
      <c r="AE26" s="5"/>
      <c r="AF26" s="45">
        <v>0</v>
      </c>
      <c r="AG26" s="48"/>
      <c r="AH26" s="5"/>
      <c r="AI26" s="5"/>
      <c r="AJ26" s="5">
        <f t="shared" ca="1" si="4"/>
        <v>0</v>
      </c>
      <c r="AK26" s="5">
        <f t="shared" ca="1" si="4"/>
        <v>0</v>
      </c>
    </row>
    <row r="27" spans="1:38" s="15" customFormat="1" ht="13.8" x14ac:dyDescent="0.3">
      <c r="A27" s="39">
        <v>15</v>
      </c>
      <c r="B27" s="40">
        <v>46161</v>
      </c>
      <c r="C27" s="41">
        <v>0</v>
      </c>
      <c r="D27" s="41">
        <f t="shared" ca="1" si="0"/>
        <v>0</v>
      </c>
      <c r="E27" s="42">
        <v>0</v>
      </c>
      <c r="F27" s="43">
        <v>0</v>
      </c>
      <c r="G27" s="37"/>
      <c r="I27" s="41"/>
      <c r="J27" s="41"/>
      <c r="K27" s="5"/>
      <c r="L27" s="5"/>
      <c r="M27" s="44"/>
      <c r="AE27" s="5"/>
      <c r="AF27" s="45">
        <v>0</v>
      </c>
      <c r="AG27" s="48"/>
      <c r="AH27" s="5"/>
      <c r="AI27" s="5"/>
      <c r="AJ27" s="5">
        <f t="shared" ca="1" si="4"/>
        <v>0</v>
      </c>
      <c r="AK27" s="5">
        <f t="shared" ca="1" si="4"/>
        <v>0</v>
      </c>
    </row>
    <row r="28" spans="1:38" s="15" customFormat="1" ht="13.8" x14ac:dyDescent="0.3">
      <c r="A28" s="39"/>
      <c r="B28" s="40">
        <v>46162</v>
      </c>
      <c r="C28" s="41">
        <v>0</v>
      </c>
      <c r="D28" s="41">
        <f t="shared" ca="1" si="0"/>
        <v>0</v>
      </c>
      <c r="E28" s="42">
        <v>0</v>
      </c>
      <c r="F28" s="43">
        <v>0</v>
      </c>
      <c r="G28" s="37"/>
      <c r="I28" s="41">
        <v>0</v>
      </c>
      <c r="J28" s="41">
        <v>0</v>
      </c>
      <c r="K28" s="5">
        <f t="shared" ref="K28:K37" ca="1" si="5">C28-I28</f>
        <v>0</v>
      </c>
      <c r="L28" s="5">
        <f t="shared" ref="L28:L37" ca="1" si="6">J28-D28</f>
        <v>0</v>
      </c>
      <c r="M28" s="44">
        <v>45066</v>
      </c>
      <c r="AE28" s="5"/>
      <c r="AF28" s="45">
        <v>0</v>
      </c>
      <c r="AG28" s="48"/>
      <c r="AH28" s="5"/>
      <c r="AI28" s="5"/>
      <c r="AJ28" s="5">
        <f t="shared" ca="1" si="4"/>
        <v>0</v>
      </c>
      <c r="AK28" s="5">
        <f t="shared" ca="1" si="4"/>
        <v>0</v>
      </c>
    </row>
    <row r="29" spans="1:38" s="15" customFormat="1" ht="13.8" x14ac:dyDescent="0.3">
      <c r="A29" s="39"/>
      <c r="B29" s="40">
        <v>46163</v>
      </c>
      <c r="C29" s="41">
        <v>0</v>
      </c>
      <c r="D29" s="41">
        <f t="shared" ca="1" si="0"/>
        <v>0</v>
      </c>
      <c r="E29" s="42">
        <v>0</v>
      </c>
      <c r="F29" s="43">
        <v>0</v>
      </c>
      <c r="G29" s="37"/>
      <c r="I29" s="41">
        <v>0</v>
      </c>
      <c r="J29" s="41">
        <v>0</v>
      </c>
      <c r="K29" s="5">
        <f t="shared" ca="1" si="5"/>
        <v>0</v>
      </c>
      <c r="L29" s="5">
        <f t="shared" ca="1" si="6"/>
        <v>0</v>
      </c>
      <c r="M29" s="44">
        <v>45067</v>
      </c>
      <c r="AE29" s="49"/>
      <c r="AF29" s="45">
        <v>0</v>
      </c>
      <c r="AG29" s="48"/>
      <c r="AH29" s="5"/>
      <c r="AI29" s="5"/>
      <c r="AJ29" s="5">
        <f t="shared" ca="1" si="4"/>
        <v>0</v>
      </c>
      <c r="AK29" s="5">
        <f t="shared" ca="1" si="4"/>
        <v>0</v>
      </c>
    </row>
    <row r="30" spans="1:38" s="15" customFormat="1" ht="13.8" x14ac:dyDescent="0.3">
      <c r="A30" s="39">
        <v>16</v>
      </c>
      <c r="B30" s="40">
        <v>46164</v>
      </c>
      <c r="C30" s="41">
        <v>0</v>
      </c>
      <c r="D30" s="41">
        <f t="shared" ca="1" si="0"/>
        <v>0</v>
      </c>
      <c r="E30" s="42">
        <v>0</v>
      </c>
      <c r="F30" s="43">
        <v>0</v>
      </c>
      <c r="G30" s="37"/>
      <c r="I30" s="41">
        <v>0</v>
      </c>
      <c r="J30" s="41">
        <v>0</v>
      </c>
      <c r="K30" s="5">
        <f t="shared" ca="1" si="5"/>
        <v>0</v>
      </c>
      <c r="L30" s="5">
        <f t="shared" ca="1" si="6"/>
        <v>0</v>
      </c>
      <c r="M30" s="44">
        <v>45068</v>
      </c>
      <c r="AE30" s="50"/>
      <c r="AF30" s="45">
        <v>0</v>
      </c>
      <c r="AG30" s="48"/>
      <c r="AH30" s="5"/>
      <c r="AI30" s="5"/>
      <c r="AJ30" s="5">
        <f t="shared" ca="1" si="4"/>
        <v>0</v>
      </c>
      <c r="AK30" s="5">
        <f t="shared" ca="1" si="4"/>
        <v>0</v>
      </c>
    </row>
    <row r="31" spans="1:38" s="15" customFormat="1" ht="13.8" hidden="1" x14ac:dyDescent="0.3">
      <c r="A31" s="39">
        <v>17</v>
      </c>
      <c r="B31" s="40">
        <v>46165</v>
      </c>
      <c r="C31" s="41">
        <v>0</v>
      </c>
      <c r="D31" s="41">
        <f t="shared" ca="1" si="0"/>
        <v>0</v>
      </c>
      <c r="E31" s="42">
        <v>0</v>
      </c>
      <c r="F31" s="43">
        <v>0</v>
      </c>
      <c r="G31" s="37"/>
      <c r="I31" s="41">
        <v>0</v>
      </c>
      <c r="J31" s="41">
        <v>0</v>
      </c>
      <c r="K31" s="5">
        <f t="shared" ca="1" si="5"/>
        <v>0</v>
      </c>
      <c r="L31" s="5">
        <f t="shared" ca="1" si="6"/>
        <v>0</v>
      </c>
      <c r="M31" s="44">
        <v>45069</v>
      </c>
      <c r="AF31" s="47">
        <v>0</v>
      </c>
      <c r="AG31" s="48"/>
      <c r="AH31" s="5"/>
      <c r="AI31" s="5"/>
      <c r="AJ31" s="5">
        <f t="shared" ca="1" si="4"/>
        <v>0</v>
      </c>
      <c r="AK31" s="5">
        <f t="shared" ca="1" si="4"/>
        <v>0</v>
      </c>
    </row>
    <row r="32" spans="1:38" s="15" customFormat="1" ht="13.8" hidden="1" x14ac:dyDescent="0.3">
      <c r="A32" s="39">
        <v>18</v>
      </c>
      <c r="B32" s="40">
        <v>46166</v>
      </c>
      <c r="C32" s="41">
        <v>0</v>
      </c>
      <c r="D32" s="41">
        <f t="shared" ca="1" si="0"/>
        <v>0</v>
      </c>
      <c r="E32" s="42">
        <v>0</v>
      </c>
      <c r="F32" s="43">
        <v>0</v>
      </c>
      <c r="G32" s="37"/>
      <c r="I32" s="41">
        <v>0</v>
      </c>
      <c r="J32" s="41">
        <v>0</v>
      </c>
      <c r="K32" s="5">
        <f t="shared" ca="1" si="5"/>
        <v>0</v>
      </c>
      <c r="L32" s="5">
        <f t="shared" ca="1" si="6"/>
        <v>0</v>
      </c>
      <c r="M32" s="44">
        <v>45070</v>
      </c>
      <c r="AE32" s="37"/>
      <c r="AF32" s="47">
        <v>0</v>
      </c>
      <c r="AG32" s="48"/>
      <c r="AH32" s="5"/>
      <c r="AI32" s="5"/>
      <c r="AJ32" s="5">
        <f t="shared" ca="1" si="4"/>
        <v>0</v>
      </c>
      <c r="AK32" s="5">
        <f t="shared" ca="1" si="4"/>
        <v>0</v>
      </c>
    </row>
    <row r="33" spans="1:37" s="15" customFormat="1" ht="13.8" x14ac:dyDescent="0.3">
      <c r="A33" s="39">
        <v>19</v>
      </c>
      <c r="B33" s="40">
        <v>46167</v>
      </c>
      <c r="C33" s="41">
        <v>0</v>
      </c>
      <c r="D33" s="41">
        <f t="shared" ca="1" si="0"/>
        <v>0</v>
      </c>
      <c r="E33" s="42">
        <v>0</v>
      </c>
      <c r="F33" s="43">
        <v>0</v>
      </c>
      <c r="G33" s="37"/>
      <c r="H33" s="5"/>
      <c r="I33" s="41">
        <v>0</v>
      </c>
      <c r="J33" s="41">
        <v>0</v>
      </c>
      <c r="K33" s="5">
        <f t="shared" ca="1" si="5"/>
        <v>0</v>
      </c>
      <c r="L33" s="5">
        <f t="shared" ca="1" si="6"/>
        <v>0</v>
      </c>
      <c r="M33" s="44">
        <v>45071</v>
      </c>
      <c r="AE33" s="5"/>
      <c r="AF33" s="47">
        <v>0</v>
      </c>
      <c r="AG33" s="48"/>
      <c r="AH33" s="5"/>
      <c r="AI33" s="5"/>
      <c r="AJ33" s="5">
        <f t="shared" ca="1" si="4"/>
        <v>0</v>
      </c>
      <c r="AK33" s="5">
        <f t="shared" ca="1" si="4"/>
        <v>0</v>
      </c>
    </row>
    <row r="34" spans="1:37" s="15" customFormat="1" ht="13.8" hidden="1" x14ac:dyDescent="0.3">
      <c r="A34" s="39">
        <v>20</v>
      </c>
      <c r="B34" s="40">
        <v>46168</v>
      </c>
      <c r="C34" s="41">
        <v>0</v>
      </c>
      <c r="D34" s="41">
        <f t="shared" ca="1" si="0"/>
        <v>0</v>
      </c>
      <c r="E34" s="42">
        <v>0</v>
      </c>
      <c r="F34" s="43">
        <v>0</v>
      </c>
      <c r="G34" s="37"/>
      <c r="I34" s="41">
        <v>0</v>
      </c>
      <c r="J34" s="41">
        <v>0</v>
      </c>
      <c r="K34" s="5">
        <f t="shared" ca="1" si="5"/>
        <v>0</v>
      </c>
      <c r="L34" s="5">
        <f t="shared" ca="1" si="6"/>
        <v>0</v>
      </c>
      <c r="M34" s="44">
        <v>45072</v>
      </c>
      <c r="AE34" s="5"/>
      <c r="AF34" s="45">
        <v>0</v>
      </c>
      <c r="AH34" s="5"/>
      <c r="AI34" s="5"/>
      <c r="AJ34" s="5">
        <f t="shared" ca="1" si="4"/>
        <v>0</v>
      </c>
      <c r="AK34" s="5">
        <f t="shared" ca="1" si="4"/>
        <v>0</v>
      </c>
    </row>
    <row r="35" spans="1:37" s="15" customFormat="1" ht="13.8" hidden="1" x14ac:dyDescent="0.3">
      <c r="A35" s="39"/>
      <c r="B35" s="40">
        <v>46169</v>
      </c>
      <c r="C35" s="41">
        <v>0</v>
      </c>
      <c r="D35" s="41">
        <f t="shared" ca="1" si="0"/>
        <v>0</v>
      </c>
      <c r="E35" s="42">
        <v>0</v>
      </c>
      <c r="F35" s="43">
        <v>0</v>
      </c>
      <c r="G35" s="37"/>
      <c r="I35" s="5">
        <v>0</v>
      </c>
      <c r="J35" s="5">
        <v>0</v>
      </c>
      <c r="K35" s="5">
        <f t="shared" ca="1" si="5"/>
        <v>0</v>
      </c>
      <c r="L35" s="5">
        <f t="shared" ca="1" si="6"/>
        <v>0</v>
      </c>
      <c r="M35" s="44">
        <v>45071</v>
      </c>
      <c r="AE35" s="51"/>
      <c r="AF35" s="45">
        <v>0</v>
      </c>
      <c r="AH35" s="5"/>
      <c r="AI35" s="5"/>
      <c r="AJ35" s="5">
        <f t="shared" ca="1" si="4"/>
        <v>0</v>
      </c>
      <c r="AK35" s="5">
        <f t="shared" ca="1" si="4"/>
        <v>0</v>
      </c>
    </row>
    <row r="36" spans="1:37" s="15" customFormat="1" ht="13.8" hidden="1" x14ac:dyDescent="0.3">
      <c r="A36" s="39"/>
      <c r="B36" s="40">
        <v>46170</v>
      </c>
      <c r="C36" s="41">
        <v>0</v>
      </c>
      <c r="D36" s="41">
        <f t="shared" ca="1" si="0"/>
        <v>0</v>
      </c>
      <c r="E36" s="42">
        <v>0</v>
      </c>
      <c r="F36" s="43">
        <v>0</v>
      </c>
      <c r="G36" s="37"/>
      <c r="H36" s="5"/>
      <c r="I36" s="5">
        <v>0</v>
      </c>
      <c r="J36" s="5" t="s">
        <v>10</v>
      </c>
      <c r="K36" s="5">
        <f t="shared" ca="1" si="5"/>
        <v>0</v>
      </c>
      <c r="L36" s="5" t="e">
        <f t="shared" ca="1" si="6"/>
        <v>#VALUE!</v>
      </c>
      <c r="M36" s="44">
        <v>45071</v>
      </c>
      <c r="AE36" s="51"/>
      <c r="AF36" s="45">
        <v>0</v>
      </c>
      <c r="AH36" s="5"/>
      <c r="AI36" s="5"/>
      <c r="AJ36" s="5">
        <f t="shared" ca="1" si="4"/>
        <v>0</v>
      </c>
      <c r="AK36" s="5">
        <f t="shared" ca="1" si="4"/>
        <v>0</v>
      </c>
    </row>
    <row r="37" spans="1:37" s="15" customFormat="1" ht="13.8" hidden="1" x14ac:dyDescent="0.3">
      <c r="A37" s="39">
        <v>21</v>
      </c>
      <c r="B37" s="40">
        <v>46171</v>
      </c>
      <c r="C37" s="41">
        <v>0</v>
      </c>
      <c r="D37" s="41">
        <f t="shared" ca="1" si="0"/>
        <v>0</v>
      </c>
      <c r="E37" s="42">
        <v>0</v>
      </c>
      <c r="F37" s="43">
        <v>0</v>
      </c>
      <c r="G37" s="37"/>
      <c r="I37" s="5">
        <v>18395700.949999999</v>
      </c>
      <c r="J37" s="5">
        <v>13990864</v>
      </c>
      <c r="K37" s="5">
        <f t="shared" ca="1" si="5"/>
        <v>-18395700.949999999</v>
      </c>
      <c r="L37" s="5">
        <f t="shared" ca="1" si="6"/>
        <v>13990864</v>
      </c>
      <c r="M37" s="44">
        <v>45075</v>
      </c>
      <c r="AE37" s="5"/>
      <c r="AF37" s="45">
        <v>0</v>
      </c>
      <c r="AH37" s="5"/>
      <c r="AI37" s="5"/>
      <c r="AJ37" s="5">
        <f t="shared" ca="1" si="4"/>
        <v>0</v>
      </c>
      <c r="AK37" s="5">
        <f t="shared" ca="1" si="4"/>
        <v>0</v>
      </c>
    </row>
    <row r="38" spans="1:37" s="15" customFormat="1" ht="13.8" hidden="1" x14ac:dyDescent="0.3">
      <c r="A38" s="39">
        <v>22</v>
      </c>
      <c r="B38" s="40">
        <v>46172</v>
      </c>
      <c r="C38" s="41">
        <v>0</v>
      </c>
      <c r="D38" s="41">
        <f t="shared" ca="1" si="0"/>
        <v>0</v>
      </c>
      <c r="E38" s="42">
        <v>0</v>
      </c>
      <c r="F38" s="43">
        <v>0</v>
      </c>
      <c r="G38" s="37"/>
      <c r="I38" s="5">
        <v>17773941</v>
      </c>
      <c r="J38" s="5">
        <v>873706</v>
      </c>
      <c r="K38" s="5"/>
      <c r="L38" s="5"/>
      <c r="AE38" s="5"/>
      <c r="AF38" s="45">
        <v>0</v>
      </c>
      <c r="AH38" s="5"/>
      <c r="AI38" s="5"/>
      <c r="AJ38" s="5">
        <f t="shared" ca="1" si="4"/>
        <v>0</v>
      </c>
      <c r="AK38" s="5">
        <f t="shared" ca="1" si="4"/>
        <v>0</v>
      </c>
    </row>
    <row r="39" spans="1:37" s="15" customFormat="1" ht="13.8" hidden="1" x14ac:dyDescent="0.3">
      <c r="A39" s="52">
        <v>23</v>
      </c>
      <c r="B39" s="53">
        <v>46173</v>
      </c>
      <c r="C39" s="41">
        <v>0</v>
      </c>
      <c r="D39" s="41">
        <f t="shared" ca="1" si="0"/>
        <v>0</v>
      </c>
      <c r="E39" s="42">
        <v>0</v>
      </c>
      <c r="F39" s="43">
        <v>0</v>
      </c>
      <c r="G39" s="37"/>
      <c r="H39" s="37"/>
      <c r="I39" s="5"/>
      <c r="J39" s="5"/>
      <c r="K39" s="5"/>
      <c r="L39" s="5"/>
      <c r="AE39" s="5"/>
      <c r="AF39" s="45">
        <v>0</v>
      </c>
      <c r="AH39" s="5"/>
      <c r="AI39" s="5"/>
      <c r="AJ39" s="5"/>
      <c r="AK39" s="5"/>
    </row>
    <row r="40" spans="1:37" s="15" customFormat="1" x14ac:dyDescent="0.3">
      <c r="A40" s="54" t="s">
        <v>11</v>
      </c>
      <c r="B40" s="55"/>
      <c r="C40" s="56">
        <f ca="1">SUM(C9:C39)</f>
        <v>285457068.01999998</v>
      </c>
      <c r="D40" s="56">
        <f ca="1">SUM(D9:D39)</f>
        <v>45459445.280000016</v>
      </c>
      <c r="E40" s="57">
        <f ca="1">SUM(E9:E39)</f>
        <v>330916513.30000001</v>
      </c>
      <c r="F40" s="58">
        <f ca="1">SUM(F9:F39)</f>
        <v>4773809.6400000006</v>
      </c>
      <c r="G40" s="2"/>
      <c r="H40" s="37"/>
      <c r="I40" s="5"/>
      <c r="J40" s="5"/>
      <c r="K40" s="5"/>
      <c r="L40" s="5"/>
      <c r="P40" s="5"/>
      <c r="AE40" s="29">
        <f ca="1">E40-G40</f>
        <v>330916513.30000001</v>
      </c>
      <c r="AF40" s="59">
        <f ca="1">SUM(AF9:AF39)</f>
        <v>2323485.4299999997</v>
      </c>
      <c r="AH40" s="5"/>
      <c r="AI40" s="5"/>
      <c r="AJ40" s="5"/>
      <c r="AK40" s="5"/>
    </row>
    <row r="41" spans="1:37" ht="10.35" customHeight="1" x14ac:dyDescent="0.3">
      <c r="A41" s="60"/>
      <c r="B41" s="61"/>
      <c r="C41" s="61"/>
      <c r="D41" s="61"/>
      <c r="E41" s="61"/>
      <c r="F41" s="62"/>
      <c r="AH41" s="5"/>
      <c r="AI41" s="5"/>
    </row>
    <row r="42" spans="1:37" ht="14.1" customHeight="1" x14ac:dyDescent="0.3">
      <c r="A42" s="63" t="s">
        <v>12</v>
      </c>
      <c r="B42" s="64"/>
      <c r="C42" s="64"/>
      <c r="D42" s="64"/>
      <c r="E42" s="64"/>
      <c r="F42" s="65"/>
      <c r="G42" s="29"/>
      <c r="AE42" s="29"/>
      <c r="AH42" s="5"/>
      <c r="AI42" s="5"/>
    </row>
    <row r="43" spans="1:37" x14ac:dyDescent="0.3">
      <c r="A43" s="16" t="s">
        <v>13</v>
      </c>
      <c r="B43" s="17"/>
      <c r="C43" s="66" t="s">
        <v>2</v>
      </c>
      <c r="D43" s="66" t="s">
        <v>3</v>
      </c>
      <c r="E43" s="66" t="s">
        <v>4</v>
      </c>
      <c r="F43" s="67"/>
      <c r="G43" s="37"/>
      <c r="AE43" s="29"/>
      <c r="AF43" s="29"/>
    </row>
    <row r="44" spans="1:37" ht="15.6" x14ac:dyDescent="0.3">
      <c r="A44" s="68" t="s">
        <v>14</v>
      </c>
      <c r="B44" s="69"/>
      <c r="C44" s="32">
        <f ca="1">C47-C45</f>
        <v>3998258107.9702287</v>
      </c>
      <c r="D44" s="32">
        <f ca="1">D47-D45</f>
        <v>692844003.16537392</v>
      </c>
      <c r="E44" s="33">
        <f ca="1">D44+C44</f>
        <v>4691102111.135603</v>
      </c>
      <c r="F44" s="67"/>
      <c r="G44" s="29"/>
      <c r="AE44" s="70"/>
      <c r="AF44" s="29"/>
    </row>
    <row r="45" spans="1:37" ht="15.6" x14ac:dyDescent="0.3">
      <c r="A45" s="71" t="s">
        <v>15</v>
      </c>
      <c r="B45" s="72"/>
      <c r="C45" s="32">
        <f ca="1">C40</f>
        <v>285457068.01999998</v>
      </c>
      <c r="D45" s="32">
        <f ca="1">D40</f>
        <v>45459445.280000016</v>
      </c>
      <c r="E45" s="33">
        <f ca="1">D45+C45</f>
        <v>330916513.30000001</v>
      </c>
      <c r="F45" s="67"/>
      <c r="G45" s="29"/>
      <c r="AE45" s="73"/>
      <c r="AF45" s="29"/>
    </row>
    <row r="46" spans="1:37" x14ac:dyDescent="0.3">
      <c r="A46" s="74" t="s">
        <v>16</v>
      </c>
      <c r="B46" s="75"/>
      <c r="C46" s="76">
        <f ca="1">month_target!S7</f>
        <v>3882775704.6470585</v>
      </c>
      <c r="D46" s="76">
        <f ca="1">month_target!S14</f>
        <v>2251184558.8235292</v>
      </c>
      <c r="E46" s="77">
        <f ca="1">D46+C46</f>
        <v>6133960263.4705877</v>
      </c>
      <c r="F46" s="67"/>
      <c r="AE46" s="29"/>
      <c r="AF46" s="29"/>
      <c r="AG46" s="29"/>
    </row>
    <row r="47" spans="1:37" ht="15" thickBot="1" x14ac:dyDescent="0.35">
      <c r="A47" s="78" t="s">
        <v>17</v>
      </c>
      <c r="B47" s="79"/>
      <c r="C47" s="80">
        <f ca="1">month_target!S8</f>
        <v>4283715175.9902287</v>
      </c>
      <c r="D47" s="80">
        <f ca="1">month_target!S15</f>
        <v>738303448.44537389</v>
      </c>
      <c r="E47" s="80">
        <f ca="1">D47+C47</f>
        <v>5022018624.4356022</v>
      </c>
      <c r="F47" s="81"/>
      <c r="AE47" s="29"/>
    </row>
    <row r="48" spans="1:37" x14ac:dyDescent="0.3">
      <c r="AE48" s="29"/>
      <c r="AI48" s="2"/>
      <c r="AJ48" s="82"/>
    </row>
    <row r="49" spans="6:33" x14ac:dyDescent="0.3">
      <c r="G49" s="29"/>
      <c r="AE49" s="29"/>
      <c r="AF49" s="29"/>
    </row>
    <row r="50" spans="6:33" x14ac:dyDescent="0.3">
      <c r="F50" s="29"/>
      <c r="AE50" s="29"/>
    </row>
    <row r="51" spans="6:33" x14ac:dyDescent="0.3">
      <c r="F51" s="82"/>
    </row>
    <row r="52" spans="6:33" x14ac:dyDescent="0.3">
      <c r="G52" s="29"/>
      <c r="AF52" s="29"/>
    </row>
    <row r="53" spans="6:33" x14ac:dyDescent="0.3">
      <c r="AE53" s="29"/>
      <c r="AF53" s="83"/>
      <c r="AG53" s="84"/>
    </row>
    <row r="55" spans="6:33" hidden="1" x14ac:dyDescent="0.3"/>
    <row r="172" spans="12:12" hidden="1" x14ac:dyDescent="0.3"/>
    <row r="173" spans="12:12" x14ac:dyDescent="0.3">
      <c r="L173" s="2">
        <v>0</v>
      </c>
    </row>
  </sheetData>
  <mergeCells count="14">
    <mergeCell ref="A41:F41"/>
    <mergeCell ref="A42:F42"/>
    <mergeCell ref="A43:B43"/>
    <mergeCell ref="F43:F47"/>
    <mergeCell ref="A44:B44"/>
    <mergeCell ref="A45:B45"/>
    <mergeCell ref="A46:B46"/>
    <mergeCell ref="A47:B47"/>
    <mergeCell ref="B1:F1"/>
    <mergeCell ref="B2:F2"/>
    <mergeCell ref="A4:B4"/>
    <mergeCell ref="A5:B5"/>
    <mergeCell ref="A6:B6"/>
    <mergeCell ref="A40:B40"/>
  </mergeCells>
  <conditionalFormatting sqref="AE8">
    <cfRule type="containsText" dxfId="2" priority="1" operator="containsText" text="Add rows in Tarcker">
      <formula>NOT(ISERROR(SEARCH("Add rows in Tarcker",AE8)))</formula>
    </cfRule>
    <cfRule type="duplicateValues" dxfId="1" priority="2"/>
    <cfRule type="duplicateValues" dxfId="0" priority="3"/>
  </conditionalFormatting>
  <pageMargins left="0.70866141732283461" right="0.70866141732283461" top="0.55118110236220474" bottom="0.55118110236220474" header="0.31496062992125984" footer="0.31496062992125984"/>
  <pageSetup paperSize="9" orientation="landscape" r:id="rId1"/>
  <headerFooter alignWithMargins="0">
    <oddHeader>&amp;LSOBHA LLC&amp;R&amp;D</oddHeader>
    <oddFooter>&amp;LCOLLECTIONS&amp;R&amp;P/&amp;N</oddFooter>
  </headerFooter>
  <colBreaks count="4" manualBreakCount="4">
    <brk id="9" max="1048575" man="1"/>
    <brk id="16" max="1048575" man="1"/>
    <brk id="19" max="1048575" man="1"/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1E8D-E6E5-4125-A52C-12A2DE6B5B86}">
  <sheetPr>
    <tabColor rgb="FF00B050"/>
    <pageSetUpPr fitToPage="1"/>
  </sheetPr>
  <dimension ref="B2:AI180"/>
  <sheetViews>
    <sheetView view="pageBreakPreview" topLeftCell="A15" zoomScale="70" zoomScaleNormal="46" zoomScaleSheetLayoutView="70" zoomScalePageLayoutView="70" workbookViewId="0">
      <selection activeCell="AF46" sqref="AF46"/>
    </sheetView>
  </sheetViews>
  <sheetFormatPr defaultRowHeight="14.4" outlineLevelCol="7" x14ac:dyDescent="0.3"/>
  <cols>
    <col min="2" max="2" width="25" bestFit="1" customWidth="1"/>
    <col min="3" max="3" width="22.44140625" bestFit="1" customWidth="1"/>
    <col min="4" max="4" width="21.6640625" bestFit="1" customWidth="1"/>
    <col min="5" max="5" width="22.44140625" bestFit="1" customWidth="1"/>
    <col min="6" max="6" width="21.6640625" bestFit="1" customWidth="1"/>
    <col min="7" max="7" width="21.6640625" customWidth="1"/>
    <col min="8" max="8" width="22.44140625" bestFit="1" customWidth="1"/>
    <col min="9" max="9" width="21.6640625" customWidth="1"/>
    <col min="10" max="10" width="21.6640625" customWidth="1" collapsed="1"/>
    <col min="11" max="11" width="23.6640625" bestFit="1" customWidth="1"/>
    <col min="12" max="14" width="21.6640625" customWidth="1" outlineLevel="1"/>
    <col min="15" max="15" width="21.6640625" customWidth="1" outlineLevel="1" collapsed="1"/>
    <col min="16" max="18" width="21.6640625" customWidth="1" outlineLevel="7"/>
    <col min="19" max="19" width="25.33203125" bestFit="1" customWidth="1"/>
    <col min="20" max="20" width="15" bestFit="1" customWidth="1"/>
    <col min="21" max="21" width="13.44140625" bestFit="1" customWidth="1"/>
    <col min="22" max="22" width="15" bestFit="1" customWidth="1"/>
    <col min="32" max="32" width="2.44140625" bestFit="1" customWidth="1"/>
    <col min="34" max="35" width="14.44140625" bestFit="1" customWidth="1"/>
  </cols>
  <sheetData>
    <row r="2" spans="2:35" ht="25.35" customHeight="1" x14ac:dyDescent="0.3">
      <c r="B2" s="85" t="s">
        <v>18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</row>
    <row r="3" spans="2:35" ht="17.399999999999999" x14ac:dyDescent="0.35">
      <c r="B3" s="86"/>
      <c r="C3" s="86"/>
      <c r="D3" s="87"/>
      <c r="E3" s="86"/>
      <c r="F3" s="88"/>
      <c r="G3" s="86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9">
        <f ca="1">daily!F3</f>
        <v>46149</v>
      </c>
    </row>
    <row r="4" spans="2:35" ht="35.1" customHeight="1" x14ac:dyDescent="0.3">
      <c r="B4" s="90" t="s">
        <v>19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</row>
    <row r="5" spans="2:35" ht="35.1" customHeight="1" x14ac:dyDescent="0.3">
      <c r="B5" s="91">
        <v>2026</v>
      </c>
      <c r="C5" s="92" t="s">
        <v>20</v>
      </c>
      <c r="D5" s="93" t="s">
        <v>21</v>
      </c>
      <c r="E5" s="94" t="s">
        <v>22</v>
      </c>
      <c r="F5" s="95" t="s">
        <v>23</v>
      </c>
      <c r="G5" s="96" t="s">
        <v>24</v>
      </c>
      <c r="H5" s="97" t="s">
        <v>25</v>
      </c>
      <c r="I5" s="97" t="s">
        <v>26</v>
      </c>
      <c r="J5" s="95" t="s">
        <v>27</v>
      </c>
      <c r="K5" s="95" t="s">
        <v>28</v>
      </c>
      <c r="L5" s="97" t="s">
        <v>29</v>
      </c>
      <c r="M5" s="97" t="s">
        <v>30</v>
      </c>
      <c r="N5" s="97" t="s">
        <v>31</v>
      </c>
      <c r="O5" s="95" t="s">
        <v>32</v>
      </c>
      <c r="P5" s="97" t="s">
        <v>33</v>
      </c>
      <c r="Q5" s="97" t="s">
        <v>34</v>
      </c>
      <c r="R5" s="97" t="s">
        <v>35</v>
      </c>
      <c r="S5" s="98" t="s">
        <v>4</v>
      </c>
    </row>
    <row r="6" spans="2:35" ht="35.1" customHeight="1" x14ac:dyDescent="0.3">
      <c r="B6" s="99" t="s">
        <v>5</v>
      </c>
      <c r="C6" s="100">
        <v>909094219.13000011</v>
      </c>
      <c r="D6" s="100">
        <v>905056572.88999987</v>
      </c>
      <c r="E6" s="100">
        <v>872172199.26000011</v>
      </c>
      <c r="F6" s="101">
        <f ca="1">SUM(C6:E6)</f>
        <v>2686322991.2800002</v>
      </c>
      <c r="G6" s="100">
        <v>943385304.56999993</v>
      </c>
      <c r="H6" s="100">
        <v>860429189.90999985</v>
      </c>
      <c r="I6" s="100">
        <v>957709677.28000128</v>
      </c>
      <c r="J6" s="101">
        <f ca="1">SUM(G6:I6)</f>
        <v>2761524171.7600012</v>
      </c>
      <c r="K6" s="101">
        <f ca="1">SUM(J6,F6)</f>
        <v>5447847163.0400009</v>
      </c>
      <c r="L6" s="100">
        <v>1001245102.8800002</v>
      </c>
      <c r="M6" s="100">
        <v>1012912995.35</v>
      </c>
      <c r="N6" s="100">
        <v>1160536968.1300001</v>
      </c>
      <c r="O6" s="101">
        <f ca="1">SUM(L6:N6)</f>
        <v>3174695066.3600006</v>
      </c>
      <c r="P6" s="100">
        <v>1101788657.8099997</v>
      </c>
      <c r="Q6" s="100">
        <v>1008740562.1799999</v>
      </c>
      <c r="R6" s="100">
        <v>798368554.16999996</v>
      </c>
      <c r="S6" s="102">
        <f ca="1">SUM(K6,O6:R6)</f>
        <v>11531440003.560001</v>
      </c>
    </row>
    <row r="7" spans="2:35" ht="35.1" customHeight="1" x14ac:dyDescent="0.3">
      <c r="B7" s="103" t="s">
        <v>36</v>
      </c>
      <c r="C7" s="104">
        <v>909094219.13000011</v>
      </c>
      <c r="D7" s="104">
        <v>905056572.88999975</v>
      </c>
      <c r="E7" s="104">
        <v>872172199.25999999</v>
      </c>
      <c r="F7" s="105">
        <f ca="1">SUM(C7:E7)</f>
        <v>2686322991.2799997</v>
      </c>
      <c r="G7" s="104">
        <v>943385304.56999981</v>
      </c>
      <c r="H7" s="104">
        <f ca="1">daily!$C$6</f>
        <v>253067408.79705879</v>
      </c>
      <c r="I7" s="104">
        <v>0</v>
      </c>
      <c r="J7" s="105">
        <f ca="1">SUM(G7:I7)</f>
        <v>1196452713.3670585</v>
      </c>
      <c r="K7" s="105">
        <f ca="1">F7+J7</f>
        <v>3882775704.6470585</v>
      </c>
      <c r="L7" s="104">
        <v>0</v>
      </c>
      <c r="M7" s="104">
        <v>0</v>
      </c>
      <c r="N7" s="104">
        <v>0</v>
      </c>
      <c r="O7" s="105">
        <f ca="1">SUM(L7:N7)</f>
        <v>0</v>
      </c>
      <c r="P7" s="104">
        <v>0</v>
      </c>
      <c r="Q7" s="104">
        <v>0</v>
      </c>
      <c r="R7" s="104">
        <v>0</v>
      </c>
      <c r="S7" s="106">
        <f ca="1">SUM(K7,O7:R7)</f>
        <v>3882775704.6470585</v>
      </c>
    </row>
    <row r="8" spans="2:35" ht="35.1" customHeight="1" x14ac:dyDescent="0.3">
      <c r="B8" s="103" t="s">
        <v>37</v>
      </c>
      <c r="C8" s="107">
        <v>1102817686.8119595</v>
      </c>
      <c r="D8" s="107">
        <v>1006708233.8002317</v>
      </c>
      <c r="E8" s="107">
        <v>824417124.18287873</v>
      </c>
      <c r="F8" s="108">
        <f ca="1">SUM(C8:E8)</f>
        <v>2933943044.7950697</v>
      </c>
      <c r="G8" s="107">
        <v>1064315063.1751589</v>
      </c>
      <c r="H8" s="107">
        <f ca="1">daily!$C$40</f>
        <v>285457068.01999998</v>
      </c>
      <c r="I8" s="107">
        <v>0</v>
      </c>
      <c r="J8" s="108">
        <f ca="1">SUM(G8:I8)</f>
        <v>1349772131.195159</v>
      </c>
      <c r="K8" s="105">
        <f ca="1">F8+J8</f>
        <v>4283715175.9902287</v>
      </c>
      <c r="L8" s="107">
        <v>0</v>
      </c>
      <c r="M8" s="107">
        <v>0</v>
      </c>
      <c r="N8" s="107">
        <v>0</v>
      </c>
      <c r="O8" s="108">
        <f ca="1">SUM(L8:N8)</f>
        <v>0</v>
      </c>
      <c r="P8" s="107">
        <v>0</v>
      </c>
      <c r="Q8" s="107">
        <v>0</v>
      </c>
      <c r="R8" s="107">
        <v>0</v>
      </c>
      <c r="S8" s="106">
        <f ca="1">SUM(K8,O8:R8)</f>
        <v>4283715175.9902287</v>
      </c>
    </row>
    <row r="9" spans="2:35" ht="35.1" customHeight="1" x14ac:dyDescent="0.3">
      <c r="B9" s="109" t="s">
        <v>38</v>
      </c>
      <c r="C9" s="110">
        <f t="shared" ref="C9:J9" ca="1" si="0">IFERROR(C8/C7,0)</f>
        <v>1.2130950385619568</v>
      </c>
      <c r="D9" s="110">
        <f t="shared" ca="1" si="0"/>
        <v>1.1123152562559055</v>
      </c>
      <c r="E9" s="110">
        <f t="shared" ca="1" si="0"/>
        <v>0.94524581829409449</v>
      </c>
      <c r="F9" s="111">
        <f t="shared" ca="1" si="0"/>
        <v>1.0921780643351013</v>
      </c>
      <c r="G9" s="110">
        <f t="shared" ca="1" si="0"/>
        <v>1.1281870281626651</v>
      </c>
      <c r="H9" s="110">
        <f t="shared" ca="1" si="0"/>
        <v>1.1279882675406665</v>
      </c>
      <c r="I9" s="110">
        <f t="shared" ca="1" si="0"/>
        <v>0</v>
      </c>
      <c r="J9" s="111">
        <f t="shared" ca="1" si="0"/>
        <v>1.1281449873573597</v>
      </c>
      <c r="K9" s="111">
        <f ca="1">K8/K7</f>
        <v>1.1032610436042727</v>
      </c>
      <c r="L9" s="110">
        <f t="shared" ref="L9:R9" ca="1" si="1">IFERROR(L8/L7,0)</f>
        <v>0</v>
      </c>
      <c r="M9" s="110">
        <f t="shared" ca="1" si="1"/>
        <v>0</v>
      </c>
      <c r="N9" s="110">
        <f t="shared" ca="1" si="1"/>
        <v>0</v>
      </c>
      <c r="O9" s="111">
        <f t="shared" ca="1" si="1"/>
        <v>0</v>
      </c>
      <c r="P9" s="110">
        <f t="shared" ca="1" si="1"/>
        <v>0</v>
      </c>
      <c r="Q9" s="110">
        <f t="shared" ca="1" si="1"/>
        <v>0</v>
      </c>
      <c r="R9" s="110">
        <f t="shared" ca="1" si="1"/>
        <v>0</v>
      </c>
      <c r="S9" s="112">
        <f ca="1">S8/S7</f>
        <v>1.1032610436042727</v>
      </c>
    </row>
    <row r="10" spans="2:35" ht="35.1" customHeight="1" x14ac:dyDescent="0.35">
      <c r="B10" s="86"/>
      <c r="C10" s="86"/>
      <c r="D10" s="113"/>
      <c r="E10" s="86"/>
      <c r="F10" s="86"/>
      <c r="G10" s="86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4"/>
    </row>
    <row r="11" spans="2:35" ht="35.1" customHeight="1" x14ac:dyDescent="0.3">
      <c r="B11" s="90" t="s">
        <v>39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</row>
    <row r="12" spans="2:35" ht="35.1" customHeight="1" x14ac:dyDescent="0.3">
      <c r="B12" s="91">
        <v>2026</v>
      </c>
      <c r="C12" s="92" t="s">
        <v>20</v>
      </c>
      <c r="D12" s="93" t="s">
        <v>21</v>
      </c>
      <c r="E12" s="94" t="s">
        <v>22</v>
      </c>
      <c r="F12" s="95" t="s">
        <v>23</v>
      </c>
      <c r="G12" s="94" t="s">
        <v>24</v>
      </c>
      <c r="H12" s="93" t="s">
        <v>25</v>
      </c>
      <c r="I12" s="93" t="s">
        <v>26</v>
      </c>
      <c r="J12" s="95" t="s">
        <v>27</v>
      </c>
      <c r="K12" s="95" t="s">
        <v>28</v>
      </c>
      <c r="L12" s="94" t="s">
        <v>29</v>
      </c>
      <c r="M12" s="97" t="s">
        <v>30</v>
      </c>
      <c r="N12" s="97" t="s">
        <v>31</v>
      </c>
      <c r="O12" s="95" t="s">
        <v>32</v>
      </c>
      <c r="P12" s="97" t="s">
        <v>33</v>
      </c>
      <c r="Q12" s="97" t="s">
        <v>34</v>
      </c>
      <c r="R12" s="97" t="s">
        <v>35</v>
      </c>
      <c r="S12" s="115" t="s">
        <v>4</v>
      </c>
      <c r="AH12" t="s">
        <v>20</v>
      </c>
      <c r="AI12" t="s">
        <v>21</v>
      </c>
    </row>
    <row r="13" spans="2:35" ht="35.1" customHeight="1" x14ac:dyDescent="0.3">
      <c r="B13" s="99" t="s">
        <v>5</v>
      </c>
      <c r="C13" s="100">
        <v>507262500</v>
      </c>
      <c r="D13" s="100">
        <v>507262500</v>
      </c>
      <c r="E13" s="100">
        <v>507262500</v>
      </c>
      <c r="F13" s="101">
        <f ca="1">SUM(C13:E13)</f>
        <v>1521787500</v>
      </c>
      <c r="G13" s="100">
        <v>563625000</v>
      </c>
      <c r="H13" s="100">
        <v>563625000</v>
      </c>
      <c r="I13" s="100">
        <v>563625000</v>
      </c>
      <c r="J13" s="101">
        <f ca="1">SUM(G13:I13)</f>
        <v>1690875000</v>
      </c>
      <c r="K13" s="101">
        <f ca="1">SUM(J13,F13)</f>
        <v>3212662500</v>
      </c>
      <c r="L13" s="100">
        <v>563625000</v>
      </c>
      <c r="M13" s="100">
        <v>563625000</v>
      </c>
      <c r="N13" s="100">
        <v>563625000</v>
      </c>
      <c r="O13" s="101">
        <f ca="1">SUM(L13:N13)</f>
        <v>1690875000</v>
      </c>
      <c r="P13" s="100">
        <v>619987500</v>
      </c>
      <c r="Q13" s="100">
        <v>619987500</v>
      </c>
      <c r="R13" s="100">
        <v>619987500</v>
      </c>
      <c r="S13" s="102">
        <f ca="1">SUM(K13,O13:R13)</f>
        <v>6763500000</v>
      </c>
    </row>
    <row r="14" spans="2:35" ht="35.1" customHeight="1" x14ac:dyDescent="0.3">
      <c r="B14" s="103" t="s">
        <v>36</v>
      </c>
      <c r="C14" s="104">
        <v>507262500</v>
      </c>
      <c r="D14" s="104">
        <v>507262500</v>
      </c>
      <c r="E14" s="104">
        <v>507262500</v>
      </c>
      <c r="F14" s="105">
        <f ca="1">SUM(C14:E14)</f>
        <v>1521787500</v>
      </c>
      <c r="G14" s="104">
        <v>563625000</v>
      </c>
      <c r="H14" s="104">
        <f ca="1">daily!$D$6</f>
        <v>165772058.82352942</v>
      </c>
      <c r="I14" s="104">
        <v>0</v>
      </c>
      <c r="J14" s="105">
        <f ca="1">SUM(G14:I14)</f>
        <v>729397058.82352948</v>
      </c>
      <c r="K14" s="105">
        <f ca="1">F14+J14</f>
        <v>2251184558.8235292</v>
      </c>
      <c r="L14" s="104">
        <v>0</v>
      </c>
      <c r="M14" s="104">
        <v>0</v>
      </c>
      <c r="N14" s="104">
        <v>0</v>
      </c>
      <c r="O14" s="105">
        <f ca="1">SUM(L14:N14)</f>
        <v>0</v>
      </c>
      <c r="P14" s="104">
        <v>0</v>
      </c>
      <c r="Q14" s="104">
        <v>0</v>
      </c>
      <c r="R14" s="104">
        <v>0</v>
      </c>
      <c r="S14" s="106">
        <f ca="1">SUM(K14,O14:R14)</f>
        <v>2251184558.8235292</v>
      </c>
    </row>
    <row r="15" spans="2:35" ht="35.1" customHeight="1" x14ac:dyDescent="0.3">
      <c r="B15" s="103" t="s">
        <v>37</v>
      </c>
      <c r="C15" s="107">
        <v>235485528.5541192</v>
      </c>
      <c r="D15" s="107">
        <v>255880377.54101282</v>
      </c>
      <c r="E15" s="107">
        <v>76359584.842583895</v>
      </c>
      <c r="F15" s="108">
        <f ca="1">SUM(C15:E15)</f>
        <v>567725490.93771589</v>
      </c>
      <c r="G15" s="107">
        <v>125118512.22765796</v>
      </c>
      <c r="H15" s="107">
        <f ca="1">daily!$D$40</f>
        <v>45459445.280000016</v>
      </c>
      <c r="I15" s="107">
        <v>0</v>
      </c>
      <c r="J15" s="108">
        <f ca="1">SUM(G15:I15)</f>
        <v>170577957.50765797</v>
      </c>
      <c r="K15" s="105">
        <f ca="1">F15+J15</f>
        <v>738303448.44537389</v>
      </c>
      <c r="L15" s="107">
        <v>0</v>
      </c>
      <c r="M15" s="107">
        <v>0</v>
      </c>
      <c r="N15" s="107">
        <v>0</v>
      </c>
      <c r="O15" s="108">
        <f ca="1">SUM(L15:N15)</f>
        <v>0</v>
      </c>
      <c r="P15" s="107">
        <v>0</v>
      </c>
      <c r="Q15" s="107">
        <v>0</v>
      </c>
      <c r="R15" s="107">
        <v>0</v>
      </c>
      <c r="S15" s="106">
        <f ca="1">SUM(K15,O15:R15)</f>
        <v>738303448.44537389</v>
      </c>
      <c r="T15" s="116"/>
    </row>
    <row r="16" spans="2:35" ht="35.1" customHeight="1" x14ac:dyDescent="0.3">
      <c r="B16" s="109" t="s">
        <v>38</v>
      </c>
      <c r="C16" s="110">
        <f ca="1">C15/C14</f>
        <v>0.46422814332642209</v>
      </c>
      <c r="D16" s="110">
        <f ca="1">IFERROR(D15/D14,0)</f>
        <v>0.50443385336194346</v>
      </c>
      <c r="E16" s="110">
        <f ca="1">IFERROR(E15/E14,0)</f>
        <v>0.15053268247225823</v>
      </c>
      <c r="F16" s="111">
        <f ca="1">F15/F14</f>
        <v>0.37306489305354124</v>
      </c>
      <c r="G16" s="110">
        <f ca="1">IFERROR(G15/G14,0)</f>
        <v>0.22198893276142465</v>
      </c>
      <c r="H16" s="110">
        <f ca="1">IFERROR(H15/H14,0)</f>
        <v>0.27422863420181864</v>
      </c>
      <c r="I16" s="110">
        <f ca="1">IFERROR(I15/I14,0)</f>
        <v>0</v>
      </c>
      <c r="J16" s="111">
        <f ca="1">IFERROR(J15/J14,0)</f>
        <v>0.23386159217969599</v>
      </c>
      <c r="K16" s="111">
        <f ca="1">K15/K14</f>
        <v>0.32796220352151484</v>
      </c>
      <c r="L16" s="110">
        <f t="shared" ref="L16:R16" ca="1" si="2">IFERROR(L15/L14,0)</f>
        <v>0</v>
      </c>
      <c r="M16" s="110">
        <f t="shared" ca="1" si="2"/>
        <v>0</v>
      </c>
      <c r="N16" s="110">
        <f t="shared" ca="1" si="2"/>
        <v>0</v>
      </c>
      <c r="O16" s="111">
        <f t="shared" ca="1" si="2"/>
        <v>0</v>
      </c>
      <c r="P16" s="110">
        <f t="shared" ca="1" si="2"/>
        <v>0</v>
      </c>
      <c r="Q16" s="110">
        <f t="shared" ca="1" si="2"/>
        <v>0</v>
      </c>
      <c r="R16" s="110">
        <f t="shared" ca="1" si="2"/>
        <v>0</v>
      </c>
      <c r="S16" s="112">
        <f ca="1">S15/S14</f>
        <v>0.32796220352151484</v>
      </c>
    </row>
    <row r="17" spans="2:19" ht="35.1" customHeight="1" x14ac:dyDescent="0.35">
      <c r="B17" s="86"/>
      <c r="C17" s="86"/>
      <c r="D17" s="113">
        <f ca="1">E17-C17</f>
        <v>0</v>
      </c>
      <c r="E17" s="86"/>
      <c r="F17" s="86"/>
      <c r="G17" s="86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4"/>
    </row>
    <row r="18" spans="2:19" ht="35.1" customHeight="1" x14ac:dyDescent="0.3">
      <c r="B18" s="117" t="s">
        <v>40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</row>
    <row r="19" spans="2:19" ht="35.1" customHeight="1" x14ac:dyDescent="0.3">
      <c r="B19" s="91">
        <v>2026</v>
      </c>
      <c r="C19" s="118" t="s">
        <v>20</v>
      </c>
      <c r="D19" s="119" t="s">
        <v>21</v>
      </c>
      <c r="E19" s="120" t="s">
        <v>22</v>
      </c>
      <c r="F19" s="120" t="s">
        <v>23</v>
      </c>
      <c r="G19" s="120" t="s">
        <v>24</v>
      </c>
      <c r="H19" s="121" t="s">
        <v>25</v>
      </c>
      <c r="I19" s="121" t="s">
        <v>26</v>
      </c>
      <c r="J19" s="121" t="s">
        <v>27</v>
      </c>
      <c r="K19" s="121" t="s">
        <v>28</v>
      </c>
      <c r="L19" s="121" t="s">
        <v>29</v>
      </c>
      <c r="M19" s="121" t="s">
        <v>30</v>
      </c>
      <c r="N19" s="121" t="s">
        <v>31</v>
      </c>
      <c r="O19" s="121" t="s">
        <v>32</v>
      </c>
      <c r="P19" s="121" t="s">
        <v>33</v>
      </c>
      <c r="Q19" s="121" t="s">
        <v>34</v>
      </c>
      <c r="R19" s="121" t="s">
        <v>35</v>
      </c>
      <c r="S19" s="122" t="s">
        <v>4</v>
      </c>
    </row>
    <row r="20" spans="2:19" ht="35.1" customHeight="1" x14ac:dyDescent="0.3">
      <c r="B20" s="123" t="s">
        <v>5</v>
      </c>
      <c r="C20" s="100">
        <f t="shared" ref="C20:R20" ca="1" si="3">C13+C6</f>
        <v>1416356719.1300001</v>
      </c>
      <c r="D20" s="100">
        <f t="shared" ca="1" si="3"/>
        <v>1412319072.8899999</v>
      </c>
      <c r="E20" s="100">
        <f t="shared" ca="1" si="3"/>
        <v>1379434699.2600002</v>
      </c>
      <c r="F20" s="100">
        <f t="shared" ca="1" si="3"/>
        <v>4208110491.2800002</v>
      </c>
      <c r="G20" s="100">
        <f t="shared" ca="1" si="3"/>
        <v>1507010304.5699999</v>
      </c>
      <c r="H20" s="100">
        <f t="shared" ca="1" si="3"/>
        <v>1424054189.9099998</v>
      </c>
      <c r="I20" s="100">
        <f t="shared" ca="1" si="3"/>
        <v>1521334677.2800012</v>
      </c>
      <c r="J20" s="100">
        <f t="shared" ca="1" si="3"/>
        <v>4452399171.7600012</v>
      </c>
      <c r="K20" s="100">
        <f t="shared" ca="1" si="3"/>
        <v>8660509663.0400009</v>
      </c>
      <c r="L20" s="100">
        <f t="shared" ca="1" si="3"/>
        <v>1564870102.8800001</v>
      </c>
      <c r="M20" s="100">
        <f t="shared" ca="1" si="3"/>
        <v>1576537995.3499999</v>
      </c>
      <c r="N20" s="100">
        <f t="shared" ca="1" si="3"/>
        <v>1724161968.1300001</v>
      </c>
      <c r="O20" s="100">
        <f t="shared" ca="1" si="3"/>
        <v>4865570066.3600006</v>
      </c>
      <c r="P20" s="100">
        <f t="shared" ca="1" si="3"/>
        <v>1721776157.8099997</v>
      </c>
      <c r="Q20" s="100">
        <f t="shared" ca="1" si="3"/>
        <v>1628728062.1799998</v>
      </c>
      <c r="R20" s="100">
        <f t="shared" ca="1" si="3"/>
        <v>1418356054.1700001</v>
      </c>
      <c r="S20" s="124">
        <f ca="1">SUM(K20,O20:R20)</f>
        <v>18294940003.560001</v>
      </c>
    </row>
    <row r="21" spans="2:19" ht="35.1" customHeight="1" x14ac:dyDescent="0.3">
      <c r="B21" s="125" t="s">
        <v>36</v>
      </c>
      <c r="C21" s="104">
        <f ca="1">C7+C14</f>
        <v>1416356719.1300001</v>
      </c>
      <c r="D21" s="104">
        <f ca="1">SUM(D14,D7)</f>
        <v>1412319072.8899999</v>
      </c>
      <c r="E21" s="104">
        <f ca="1">SUM(E14,E7)</f>
        <v>1379434699.26</v>
      </c>
      <c r="F21" s="126">
        <f ca="1">SUM(C21:E21)</f>
        <v>4208110491.2799997</v>
      </c>
      <c r="G21" s="104">
        <f t="shared" ref="G21:I22" ca="1" si="4">SUM(G14,G7)</f>
        <v>1507010304.5699997</v>
      </c>
      <c r="H21" s="104">
        <f t="shared" ca="1" si="4"/>
        <v>418839467.62058818</v>
      </c>
      <c r="I21" s="104">
        <f t="shared" ca="1" si="4"/>
        <v>0</v>
      </c>
      <c r="J21" s="126">
        <f ca="1">SUM(G21:I21)</f>
        <v>1925849772.190588</v>
      </c>
      <c r="K21" s="105">
        <f ca="1">F21+J21</f>
        <v>6133960263.4705877</v>
      </c>
      <c r="L21" s="104">
        <f t="shared" ref="L21:N22" ca="1" si="5">SUM(L14,L7)</f>
        <v>0</v>
      </c>
      <c r="M21" s="104">
        <f t="shared" ca="1" si="5"/>
        <v>0</v>
      </c>
      <c r="N21" s="104">
        <f t="shared" ca="1" si="5"/>
        <v>0</v>
      </c>
      <c r="O21" s="105">
        <f ca="1">SUM(L21:N21)</f>
        <v>0</v>
      </c>
      <c r="P21" s="104">
        <f t="shared" ref="P21:R22" ca="1" si="6">SUM(P14,P7)</f>
        <v>0</v>
      </c>
      <c r="Q21" s="104">
        <f t="shared" ca="1" si="6"/>
        <v>0</v>
      </c>
      <c r="R21" s="104">
        <f t="shared" ca="1" si="6"/>
        <v>0</v>
      </c>
      <c r="S21" s="127">
        <f ca="1">SUM(K21,O21:R21)</f>
        <v>6133960263.4705877</v>
      </c>
    </row>
    <row r="22" spans="2:19" ht="35.1" customHeight="1" x14ac:dyDescent="0.3">
      <c r="B22" s="125" t="s">
        <v>37</v>
      </c>
      <c r="C22" s="104">
        <f ca="1">C8+C15</f>
        <v>1338303215.3660786</v>
      </c>
      <c r="D22" s="104">
        <f ca="1">SUM(D15,D8)</f>
        <v>1262588611.3412445</v>
      </c>
      <c r="E22" s="104">
        <f ca="1">SUM(E15,E8)</f>
        <v>900776709.02546263</v>
      </c>
      <c r="F22" s="126">
        <f ca="1">SUM(C22:E22)</f>
        <v>3501668535.7327857</v>
      </c>
      <c r="G22" s="104">
        <f t="shared" ca="1" si="4"/>
        <v>1189433575.4028168</v>
      </c>
      <c r="H22" s="104">
        <f t="shared" ca="1" si="4"/>
        <v>330916513.30000001</v>
      </c>
      <c r="I22" s="104">
        <f t="shared" ca="1" si="4"/>
        <v>0</v>
      </c>
      <c r="J22" s="126">
        <f ca="1">SUM(G22:I22)</f>
        <v>1520350088.7028167</v>
      </c>
      <c r="K22" s="105">
        <f ca="1">F22+J22</f>
        <v>5022018624.4356022</v>
      </c>
      <c r="L22" s="104">
        <f t="shared" ca="1" si="5"/>
        <v>0</v>
      </c>
      <c r="M22" s="104">
        <f t="shared" ca="1" si="5"/>
        <v>0</v>
      </c>
      <c r="N22" s="104">
        <f t="shared" ca="1" si="5"/>
        <v>0</v>
      </c>
      <c r="O22" s="105">
        <f ca="1">SUM(L22:N22)</f>
        <v>0</v>
      </c>
      <c r="P22" s="104">
        <f t="shared" ca="1" si="6"/>
        <v>0</v>
      </c>
      <c r="Q22" s="104">
        <f t="shared" ca="1" si="6"/>
        <v>0</v>
      </c>
      <c r="R22" s="104">
        <f t="shared" ca="1" si="6"/>
        <v>0</v>
      </c>
      <c r="S22" s="127">
        <f ca="1">SUM(K22,O22:R22)</f>
        <v>5022018624.4356022</v>
      </c>
    </row>
    <row r="23" spans="2:19" ht="35.1" customHeight="1" x14ac:dyDescent="0.3">
      <c r="B23" s="125" t="s">
        <v>38</v>
      </c>
      <c r="C23" s="128">
        <f ca="1">C22/C21</f>
        <v>0.94489135207981645</v>
      </c>
      <c r="D23" s="128">
        <f ca="1">IFERROR(D22/D21,0)</f>
        <v>0.89398255364323231</v>
      </c>
      <c r="E23" s="128">
        <f ca="1">IFERROR(E22/E21,0)</f>
        <v>0.65300424116392441</v>
      </c>
      <c r="F23" s="129">
        <f ca="1">F22/F21</f>
        <v>0.83212371514220096</v>
      </c>
      <c r="G23" s="128">
        <f ca="1">IFERROR(G22/G21,0)</f>
        <v>0.7892670486697182</v>
      </c>
      <c r="H23" s="128">
        <f ca="1">IFERROR(H22/H21,0)</f>
        <v>0.79007958629095942</v>
      </c>
      <c r="I23" s="128">
        <f ca="1">IFERROR(I22/I21,0)</f>
        <v>0</v>
      </c>
      <c r="J23" s="129">
        <f ca="1">IFERROR(J22/J21,0)</f>
        <v>0.78944376173925068</v>
      </c>
      <c r="K23" s="129">
        <f ca="1">K22/K21</f>
        <v>0.81872369704497394</v>
      </c>
      <c r="L23" s="128">
        <f t="shared" ref="L23:R23" ca="1" si="7">IFERROR(L22/L21,0)</f>
        <v>0</v>
      </c>
      <c r="M23" s="128">
        <f t="shared" ca="1" si="7"/>
        <v>0</v>
      </c>
      <c r="N23" s="128">
        <f t="shared" ca="1" si="7"/>
        <v>0</v>
      </c>
      <c r="O23" s="129">
        <f t="shared" ca="1" si="7"/>
        <v>0</v>
      </c>
      <c r="P23" s="128">
        <f t="shared" ca="1" si="7"/>
        <v>0</v>
      </c>
      <c r="Q23" s="128">
        <f t="shared" ca="1" si="7"/>
        <v>0</v>
      </c>
      <c r="R23" s="128">
        <f t="shared" ca="1" si="7"/>
        <v>0</v>
      </c>
      <c r="S23" s="130">
        <f ca="1">S22/S21</f>
        <v>0.81872369704497394</v>
      </c>
    </row>
    <row r="24" spans="2:19" ht="35.1" customHeight="1" x14ac:dyDescent="0.3">
      <c r="B24" s="125" t="s">
        <v>41</v>
      </c>
      <c r="C24" s="104">
        <v>676870273.46999943</v>
      </c>
      <c r="D24" s="104">
        <v>586013973.40999949</v>
      </c>
      <c r="E24" s="104">
        <v>487533543.38000005</v>
      </c>
      <c r="F24" s="126">
        <f ca="1">SUM(C24:E24)</f>
        <v>1750417790.259999</v>
      </c>
      <c r="G24" s="104">
        <v>440256326.80000001</v>
      </c>
      <c r="H24" s="104">
        <v>61506553.549999997</v>
      </c>
      <c r="I24" s="104">
        <v>0</v>
      </c>
      <c r="J24" s="126">
        <f ca="1">SUM(G24:I24)</f>
        <v>501762880.35000002</v>
      </c>
      <c r="K24" s="105">
        <f ca="1">F24+J24</f>
        <v>2252180670.6099992</v>
      </c>
      <c r="L24" s="104">
        <v>0</v>
      </c>
      <c r="M24" s="104">
        <v>0</v>
      </c>
      <c r="N24" s="104">
        <v>0</v>
      </c>
      <c r="O24" s="105">
        <f ca="1">SUM(L24:N24)</f>
        <v>0</v>
      </c>
      <c r="P24" s="104">
        <v>0</v>
      </c>
      <c r="Q24" s="104">
        <v>0</v>
      </c>
      <c r="R24" s="104">
        <v>0</v>
      </c>
      <c r="S24" s="127">
        <f ca="1">SUM(K24,O24:R24)</f>
        <v>2252180670.6099992</v>
      </c>
    </row>
    <row r="25" spans="2:19" ht="35.1" customHeight="1" x14ac:dyDescent="0.3">
      <c r="B25" s="125" t="s">
        <v>42</v>
      </c>
      <c r="C25" s="104">
        <f ca="1">C22-C24</f>
        <v>661432941.89607918</v>
      </c>
      <c r="D25" s="104">
        <f ca="1">D22-D24</f>
        <v>676574637.93124497</v>
      </c>
      <c r="E25" s="104">
        <f ca="1">E22-E24</f>
        <v>413243165.64546257</v>
      </c>
      <c r="F25" s="126">
        <f ca="1">SUM(C25:E25)</f>
        <v>1751250745.4727867</v>
      </c>
      <c r="G25" s="104">
        <f ca="1">G22-G24</f>
        <v>749177248.60281682</v>
      </c>
      <c r="H25" s="104">
        <f ca="1">H22-H24</f>
        <v>269409959.75</v>
      </c>
      <c r="I25" s="104">
        <f ca="1">I22-I24</f>
        <v>0</v>
      </c>
      <c r="J25" s="126">
        <f ca="1">SUM(G25:I25)</f>
        <v>1018587208.3528168</v>
      </c>
      <c r="K25" s="105">
        <f ca="1">F25+J25</f>
        <v>2769837953.8256035</v>
      </c>
      <c r="L25" s="104">
        <f ca="1">L22-L24</f>
        <v>0</v>
      </c>
      <c r="M25" s="104">
        <f ca="1">M22-M24</f>
        <v>0</v>
      </c>
      <c r="N25" s="104">
        <f ca="1">N22-N24</f>
        <v>0</v>
      </c>
      <c r="O25" s="105">
        <f ca="1">SUM(L25:N25)</f>
        <v>0</v>
      </c>
      <c r="P25" s="104">
        <f ca="1">P22-P24</f>
        <v>0</v>
      </c>
      <c r="Q25" s="104">
        <f ca="1">Q22-Q24</f>
        <v>0</v>
      </c>
      <c r="R25" s="104">
        <f ca="1">R22-R24</f>
        <v>0</v>
      </c>
      <c r="S25" s="127">
        <f ca="1">SUM(K25,O25:R25)</f>
        <v>2769837953.8256035</v>
      </c>
    </row>
    <row r="26" spans="2:19" ht="35.1" customHeight="1" x14ac:dyDescent="0.3">
      <c r="B26" s="131" t="s">
        <v>4</v>
      </c>
      <c r="C26" s="132">
        <f ca="1">C22</f>
        <v>1338303215.3660786</v>
      </c>
      <c r="D26" s="132">
        <f ca="1">D22</f>
        <v>1262588611.3412445</v>
      </c>
      <c r="E26" s="132">
        <f ca="1">E22</f>
        <v>900776709.02546263</v>
      </c>
      <c r="F26" s="133">
        <f ca="1">F22</f>
        <v>3501668535.7327857</v>
      </c>
      <c r="G26" s="132">
        <f t="shared" ref="G26:R26" ca="1" si="8">G22</f>
        <v>1189433575.4028168</v>
      </c>
      <c r="H26" s="132">
        <f t="shared" ca="1" si="8"/>
        <v>330916513.30000001</v>
      </c>
      <c r="I26" s="132">
        <f t="shared" ca="1" si="8"/>
        <v>0</v>
      </c>
      <c r="J26" s="133">
        <f t="shared" ca="1" si="8"/>
        <v>1520350088.7028167</v>
      </c>
      <c r="K26" s="133">
        <f t="shared" ca="1" si="8"/>
        <v>5022018624.4356022</v>
      </c>
      <c r="L26" s="132">
        <f t="shared" ca="1" si="8"/>
        <v>0</v>
      </c>
      <c r="M26" s="132">
        <f t="shared" ca="1" si="8"/>
        <v>0</v>
      </c>
      <c r="N26" s="132">
        <f t="shared" ca="1" si="8"/>
        <v>0</v>
      </c>
      <c r="O26" s="133">
        <f t="shared" ca="1" si="8"/>
        <v>0</v>
      </c>
      <c r="P26" s="132">
        <f t="shared" ca="1" si="8"/>
        <v>0</v>
      </c>
      <c r="Q26" s="132">
        <f t="shared" ca="1" si="8"/>
        <v>0</v>
      </c>
      <c r="R26" s="132">
        <f t="shared" ca="1" si="8"/>
        <v>0</v>
      </c>
      <c r="S26" s="134">
        <f ca="1">SUM(K26,O26:R26)</f>
        <v>5022018624.4356022</v>
      </c>
    </row>
    <row r="27" spans="2:19" ht="35.1" customHeight="1" x14ac:dyDescent="0.3">
      <c r="B27" s="135" t="s">
        <v>153</v>
      </c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7"/>
      <c r="S27" s="138">
        <f ca="1">'2025 PROJECTWISE'!N152</f>
        <v>4739035148.5599985</v>
      </c>
    </row>
    <row r="28" spans="2:19" ht="30" customHeight="1" x14ac:dyDescent="0.3"/>
    <row r="29" spans="2:19" ht="30" customHeight="1" x14ac:dyDescent="0.3">
      <c r="B29" s="139" t="s">
        <v>43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</row>
    <row r="30" spans="2:19" ht="30" customHeight="1" x14ac:dyDescent="0.3">
      <c r="B30" s="91">
        <v>2026</v>
      </c>
      <c r="C30" s="140" t="s">
        <v>20</v>
      </c>
      <c r="D30" s="141" t="s">
        <v>21</v>
      </c>
      <c r="E30" s="142" t="s">
        <v>44</v>
      </c>
      <c r="F30" s="95" t="s">
        <v>23</v>
      </c>
      <c r="G30" s="96" t="s">
        <v>24</v>
      </c>
      <c r="H30" s="97" t="s">
        <v>25</v>
      </c>
      <c r="I30" s="97" t="s">
        <v>26</v>
      </c>
      <c r="J30" s="95" t="s">
        <v>27</v>
      </c>
      <c r="K30" s="95" t="s">
        <v>28</v>
      </c>
      <c r="L30" s="97" t="s">
        <v>29</v>
      </c>
      <c r="M30" s="97" t="s">
        <v>30</v>
      </c>
      <c r="N30" s="97" t="s">
        <v>31</v>
      </c>
      <c r="O30" s="95" t="s">
        <v>32</v>
      </c>
      <c r="P30" s="97" t="s">
        <v>33</v>
      </c>
      <c r="Q30" s="97" t="s">
        <v>34</v>
      </c>
      <c r="R30" s="97" t="s">
        <v>35</v>
      </c>
      <c r="S30" s="98" t="s">
        <v>4</v>
      </c>
    </row>
    <row r="31" spans="2:19" ht="35.1" customHeight="1" x14ac:dyDescent="0.3">
      <c r="B31" s="99" t="s">
        <v>45</v>
      </c>
      <c r="C31" s="100">
        <v>153640007.16999999</v>
      </c>
      <c r="D31" s="100">
        <v>152239732.59999999</v>
      </c>
      <c r="E31" s="100">
        <v>174012970.03000003</v>
      </c>
      <c r="F31" s="143">
        <f ca="1">SUM(C31:E31)</f>
        <v>479892709.80000001</v>
      </c>
      <c r="G31" s="100">
        <v>163591464.15000001</v>
      </c>
      <c r="H31" s="100">
        <v>157546070.48000002</v>
      </c>
      <c r="I31" s="100">
        <v>159895745.16</v>
      </c>
      <c r="J31" s="143">
        <f ca="1">SUM(G31:I31)</f>
        <v>481033279.78999996</v>
      </c>
      <c r="K31" s="143">
        <f ca="1">SUM(J31,F31)</f>
        <v>960925989.58999991</v>
      </c>
      <c r="L31" s="100">
        <v>148820826.49000001</v>
      </c>
      <c r="M31" s="100">
        <v>166851818.76999998</v>
      </c>
      <c r="N31" s="100">
        <v>215297450.94000006</v>
      </c>
      <c r="O31" s="143">
        <f ca="1">SUM(L31:N31)</f>
        <v>530970096.20000005</v>
      </c>
      <c r="P31" s="100">
        <v>179149446.81999996</v>
      </c>
      <c r="Q31" s="100">
        <v>180012731.23000002</v>
      </c>
      <c r="R31" s="100">
        <v>151890813.33999997</v>
      </c>
      <c r="S31" s="124">
        <f ca="1">SUM(K31,O31:R31)</f>
        <v>2002949077.1799998</v>
      </c>
    </row>
    <row r="32" spans="2:19" ht="30" customHeight="1" x14ac:dyDescent="0.3">
      <c r="B32" s="144" t="s">
        <v>46</v>
      </c>
      <c r="C32" s="145">
        <v>178631453</v>
      </c>
      <c r="D32" s="146">
        <v>182950259.73776498</v>
      </c>
      <c r="E32" s="146">
        <v>134992668.88273644</v>
      </c>
      <c r="F32" s="147">
        <f ca="1">SUM(C32:E32)</f>
        <v>496574381.6205014</v>
      </c>
      <c r="G32" s="146">
        <v>170576761.46319431</v>
      </c>
      <c r="H32" s="146">
        <v>51482684.120000005</v>
      </c>
      <c r="I32" s="146">
        <v>0</v>
      </c>
      <c r="J32" s="147">
        <f ca="1">SUM(G32:I32)</f>
        <v>222059445.58319432</v>
      </c>
      <c r="K32" s="147">
        <f ca="1">F32+J32</f>
        <v>718633827.20369577</v>
      </c>
      <c r="L32" s="146">
        <v>0</v>
      </c>
      <c r="M32" s="146">
        <v>0</v>
      </c>
      <c r="N32" s="146">
        <v>0</v>
      </c>
      <c r="O32" s="147">
        <f ca="1">SUM(L32:N32)</f>
        <v>0</v>
      </c>
      <c r="P32" s="146">
        <v>0</v>
      </c>
      <c r="Q32" s="145">
        <v>0</v>
      </c>
      <c r="R32" s="145">
        <v>0</v>
      </c>
      <c r="S32" s="148">
        <f ca="1">SUM(K32,O32:R32)</f>
        <v>718633827.20369577</v>
      </c>
    </row>
    <row r="33" spans="2:21" ht="35.1" customHeight="1" x14ac:dyDescent="0.3">
      <c r="B33" s="99" t="s">
        <v>47</v>
      </c>
      <c r="C33" s="100">
        <v>113512500</v>
      </c>
      <c r="D33" s="100">
        <v>113512500</v>
      </c>
      <c r="E33" s="100">
        <v>113512500</v>
      </c>
      <c r="F33" s="143">
        <f ca="1">SUM(C33:E33)</f>
        <v>340537500</v>
      </c>
      <c r="G33" s="100">
        <v>126125000</v>
      </c>
      <c r="H33" s="100">
        <v>126125000</v>
      </c>
      <c r="I33" s="100">
        <v>126125000</v>
      </c>
      <c r="J33" s="143">
        <f ca="1">SUM(G33:I33)</f>
        <v>378375000</v>
      </c>
      <c r="K33" s="143">
        <f ca="1">SUM(J33,F33)</f>
        <v>718912500</v>
      </c>
      <c r="L33" s="100">
        <v>126125000</v>
      </c>
      <c r="M33" s="100">
        <v>126125000</v>
      </c>
      <c r="N33" s="100">
        <v>126125000</v>
      </c>
      <c r="O33" s="143">
        <f ca="1">SUM(L33:N33)</f>
        <v>378375000</v>
      </c>
      <c r="P33" s="100">
        <v>138737500.00000003</v>
      </c>
      <c r="Q33" s="100">
        <v>138737500.00000003</v>
      </c>
      <c r="R33" s="100">
        <v>138737500.00000003</v>
      </c>
      <c r="S33" s="124">
        <f ca="1">SUM(K33,O33:R33)</f>
        <v>1513500000</v>
      </c>
    </row>
    <row r="34" spans="2:21" ht="30" customHeight="1" x14ac:dyDescent="0.3">
      <c r="B34" s="144" t="s">
        <v>48</v>
      </c>
      <c r="C34" s="149">
        <v>37653757</v>
      </c>
      <c r="D34" s="150">
        <v>36603286.204088688</v>
      </c>
      <c r="E34" s="150">
        <v>13051023.552964514</v>
      </c>
      <c r="F34" s="151">
        <f ca="1">SUM(C34:E34)</f>
        <v>87308066.757053196</v>
      </c>
      <c r="G34" s="150">
        <v>6600608.7729657581</v>
      </c>
      <c r="H34" s="150">
        <v>1455483.5399999998</v>
      </c>
      <c r="I34" s="150">
        <v>0</v>
      </c>
      <c r="J34" s="147">
        <f ca="1">SUM(G34:I34)</f>
        <v>8056092.3129657581</v>
      </c>
      <c r="K34" s="147">
        <f ca="1">F34+J34</f>
        <v>95364159.070018947</v>
      </c>
      <c r="L34" s="150">
        <v>0</v>
      </c>
      <c r="M34" s="150">
        <v>0</v>
      </c>
      <c r="N34" s="150">
        <v>0</v>
      </c>
      <c r="O34" s="151">
        <f ca="1">SUM(L34:N34)</f>
        <v>0</v>
      </c>
      <c r="P34" s="150">
        <v>0</v>
      </c>
      <c r="Q34" s="149">
        <v>0</v>
      </c>
      <c r="R34" s="149">
        <v>0</v>
      </c>
      <c r="S34" s="148">
        <f ca="1">SUM(K34,O34:R34)</f>
        <v>95364159.070018947</v>
      </c>
    </row>
    <row r="35" spans="2:21" ht="35.1" customHeight="1" x14ac:dyDescent="0.3">
      <c r="B35" s="123" t="s">
        <v>49</v>
      </c>
      <c r="C35" s="100">
        <f ca="1">SUM(C31,C33)</f>
        <v>267152507.16999999</v>
      </c>
      <c r="D35" s="100">
        <f t="shared" ref="D35:S36" ca="1" si="9">SUM(D31,D33)</f>
        <v>265752232.59999999</v>
      </c>
      <c r="E35" s="100">
        <f t="shared" ca="1" si="9"/>
        <v>287525470.03000003</v>
      </c>
      <c r="F35" s="143">
        <f t="shared" ca="1" si="9"/>
        <v>820430209.79999995</v>
      </c>
      <c r="G35" s="100">
        <f t="shared" ca="1" si="9"/>
        <v>289716464.14999998</v>
      </c>
      <c r="H35" s="100">
        <f t="shared" ca="1" si="9"/>
        <v>283671070.48000002</v>
      </c>
      <c r="I35" s="100">
        <f t="shared" ca="1" si="9"/>
        <v>286020745.15999997</v>
      </c>
      <c r="J35" s="143">
        <f t="shared" ca="1" si="9"/>
        <v>859408279.78999996</v>
      </c>
      <c r="K35" s="143">
        <f t="shared" ca="1" si="9"/>
        <v>1679838489.5899999</v>
      </c>
      <c r="L35" s="100">
        <f t="shared" ca="1" si="9"/>
        <v>274945826.49000001</v>
      </c>
      <c r="M35" s="100">
        <f t="shared" ca="1" si="9"/>
        <v>292976818.76999998</v>
      </c>
      <c r="N35" s="100">
        <f t="shared" ca="1" si="9"/>
        <v>341422450.94000006</v>
      </c>
      <c r="O35" s="143">
        <f t="shared" ca="1" si="9"/>
        <v>909345096.20000005</v>
      </c>
      <c r="P35" s="100">
        <f t="shared" ca="1" si="9"/>
        <v>317886946.81999999</v>
      </c>
      <c r="Q35" s="100">
        <f t="shared" ca="1" si="9"/>
        <v>318750231.23000002</v>
      </c>
      <c r="R35" s="100">
        <f t="shared" ca="1" si="9"/>
        <v>290628313.34000003</v>
      </c>
      <c r="S35" s="124">
        <f t="shared" ca="1" si="9"/>
        <v>3516449077.1799998</v>
      </c>
    </row>
    <row r="36" spans="2:21" ht="30" customHeight="1" x14ac:dyDescent="0.3">
      <c r="B36" s="125" t="s">
        <v>50</v>
      </c>
      <c r="C36" s="152">
        <f ca="1">SUM(C32,C34)</f>
        <v>216285210</v>
      </c>
      <c r="D36" s="153">
        <f t="shared" ca="1" si="9"/>
        <v>219553545.94185367</v>
      </c>
      <c r="E36" s="153">
        <f t="shared" ca="1" si="9"/>
        <v>148043692.43570095</v>
      </c>
      <c r="F36" s="154">
        <f t="shared" ca="1" si="9"/>
        <v>583882448.37755466</v>
      </c>
      <c r="G36" s="153">
        <f t="shared" ca="1" si="9"/>
        <v>177177370.23616007</v>
      </c>
      <c r="H36" s="153">
        <f t="shared" ca="1" si="9"/>
        <v>52938167.660000004</v>
      </c>
      <c r="I36" s="153">
        <f t="shared" ca="1" si="9"/>
        <v>0</v>
      </c>
      <c r="J36" s="126">
        <f t="shared" ca="1" si="9"/>
        <v>230115537.89616007</v>
      </c>
      <c r="K36" s="126">
        <f t="shared" ca="1" si="9"/>
        <v>813997986.27371478</v>
      </c>
      <c r="L36" s="153">
        <f t="shared" ca="1" si="9"/>
        <v>0</v>
      </c>
      <c r="M36" s="153">
        <f t="shared" ca="1" si="9"/>
        <v>0</v>
      </c>
      <c r="N36" s="153">
        <f t="shared" ca="1" si="9"/>
        <v>0</v>
      </c>
      <c r="O36" s="155">
        <f t="shared" ca="1" si="9"/>
        <v>0</v>
      </c>
      <c r="P36" s="153">
        <f t="shared" ca="1" si="9"/>
        <v>0</v>
      </c>
      <c r="Q36" s="152">
        <f t="shared" ca="1" si="9"/>
        <v>0</v>
      </c>
      <c r="R36" s="152">
        <f t="shared" ca="1" si="9"/>
        <v>0</v>
      </c>
      <c r="S36" s="156">
        <f t="shared" ca="1" si="9"/>
        <v>813997986.27371478</v>
      </c>
    </row>
    <row r="37" spans="2:21" ht="30" customHeight="1" x14ac:dyDescent="0.3">
      <c r="B37" s="125" t="s">
        <v>41</v>
      </c>
      <c r="C37" s="104">
        <v>194746826.79999989</v>
      </c>
      <c r="D37" s="104">
        <v>190480745.18000007</v>
      </c>
      <c r="E37" s="104">
        <v>131169182.52000001</v>
      </c>
      <c r="F37" s="108">
        <f ca="1">SUM(C37:E37)</f>
        <v>516396754.5</v>
      </c>
      <c r="G37" s="104">
        <v>109605342.59</v>
      </c>
      <c r="H37" s="104">
        <v>13710968.080000002</v>
      </c>
      <c r="I37" s="104">
        <v>0</v>
      </c>
      <c r="J37" s="105">
        <f ca="1">SUM(G37:I37)</f>
        <v>123316310.67</v>
      </c>
      <c r="K37" s="105">
        <f ca="1">F37+J37</f>
        <v>639713065.16999996</v>
      </c>
      <c r="L37" s="104">
        <v>0</v>
      </c>
      <c r="M37" s="104">
        <v>0</v>
      </c>
      <c r="N37" s="104">
        <v>0</v>
      </c>
      <c r="O37" s="108">
        <f ca="1">SUM(L37:N37)</f>
        <v>0</v>
      </c>
      <c r="P37" s="104">
        <v>0</v>
      </c>
      <c r="Q37" s="104">
        <v>0</v>
      </c>
      <c r="R37" s="104">
        <v>0</v>
      </c>
      <c r="S37" s="127">
        <f ca="1">SUM(K37,O37:R37)</f>
        <v>639713065.16999996</v>
      </c>
      <c r="U37" s="116"/>
    </row>
    <row r="38" spans="2:21" ht="30" customHeight="1" x14ac:dyDescent="0.3">
      <c r="B38" s="125" t="s">
        <v>42</v>
      </c>
      <c r="C38" s="104">
        <f ca="1">C36-C37</f>
        <v>21538383.200000107</v>
      </c>
      <c r="D38" s="104">
        <f ca="1">D36-D37</f>
        <v>29072800.761853606</v>
      </c>
      <c r="E38" s="104">
        <f ca="1">E36-E37</f>
        <v>16874509.915700942</v>
      </c>
      <c r="F38" s="108">
        <f ca="1">SUM(C38:E38)</f>
        <v>67485693.877554655</v>
      </c>
      <c r="G38" s="104">
        <f ca="1">G36-G37</f>
        <v>67572027.646160066</v>
      </c>
      <c r="H38" s="104">
        <f ca="1">H36-H37</f>
        <v>39227199.579999998</v>
      </c>
      <c r="I38" s="104">
        <f ca="1">I36-I37</f>
        <v>0</v>
      </c>
      <c r="J38" s="105">
        <f ca="1">SUM(G38:I38)</f>
        <v>106799227.22616006</v>
      </c>
      <c r="K38" s="105">
        <f ca="1">F38+J38</f>
        <v>174284921.1037147</v>
      </c>
      <c r="L38" s="104">
        <f ca="1">L36-L37</f>
        <v>0</v>
      </c>
      <c r="M38" s="104">
        <f ca="1">M36-M37</f>
        <v>0</v>
      </c>
      <c r="N38" s="104">
        <f ca="1">N36-N37</f>
        <v>0</v>
      </c>
      <c r="O38" s="108">
        <f ca="1">SUM(L38:N38)</f>
        <v>0</v>
      </c>
      <c r="P38" s="104">
        <f ca="1">P36-P37</f>
        <v>0</v>
      </c>
      <c r="Q38" s="104">
        <f ca="1">Q36-Q37</f>
        <v>0</v>
      </c>
      <c r="R38" s="104">
        <f ca="1">R36-R37</f>
        <v>0</v>
      </c>
      <c r="S38" s="127">
        <f ca="1">SUM(K38,O38:R38)</f>
        <v>174284921.1037147</v>
      </c>
    </row>
    <row r="40" spans="2:21" x14ac:dyDescent="0.3">
      <c r="B40" s="157" t="s">
        <v>51</v>
      </c>
    </row>
    <row r="41" spans="2:21" x14ac:dyDescent="0.3">
      <c r="B41" s="157"/>
      <c r="C41" s="158">
        <v>46023</v>
      </c>
      <c r="D41" s="158">
        <v>46054</v>
      </c>
      <c r="E41" s="158">
        <v>46082</v>
      </c>
      <c r="G41" s="158">
        <v>46113</v>
      </c>
      <c r="H41" s="158">
        <v>46143</v>
      </c>
      <c r="I41" s="158">
        <v>46174</v>
      </c>
      <c r="J41" s="158"/>
      <c r="L41" s="158">
        <v>46204</v>
      </c>
      <c r="M41" s="158">
        <v>46235</v>
      </c>
      <c r="N41" s="158">
        <v>46266</v>
      </c>
      <c r="P41" s="158">
        <v>46296</v>
      </c>
      <c r="Q41" s="158">
        <v>46327</v>
      </c>
      <c r="R41" s="158">
        <v>46357</v>
      </c>
      <c r="S41" s="158">
        <v>46388</v>
      </c>
    </row>
    <row r="44" spans="2:2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2:21" x14ac:dyDescent="0.3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2:21" x14ac:dyDescent="0.3">
      <c r="C46" s="2">
        <v>924186233.81195951</v>
      </c>
      <c r="D46" s="2">
        <v>823757974.06246674</v>
      </c>
      <c r="E46" s="2">
        <v>689424455.30014229</v>
      </c>
      <c r="F46" s="2">
        <v>2437368663.1745687</v>
      </c>
      <c r="G46" s="2">
        <v>891303604.71196449</v>
      </c>
      <c r="H46" s="2">
        <v>232720492.90000001</v>
      </c>
      <c r="I46" s="2">
        <v>0</v>
      </c>
      <c r="J46" s="2">
        <v>1124024097.6119645</v>
      </c>
      <c r="K46" s="2">
        <v>3561392760.7865334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/>
      <c r="S46" s="2"/>
    </row>
    <row r="47" spans="2:21" x14ac:dyDescent="0.3">
      <c r="C47" s="2">
        <v>197106846.5541192</v>
      </c>
      <c r="D47" s="2">
        <v>218866830.33692414</v>
      </c>
      <c r="E47" s="2">
        <v>63257146.289619379</v>
      </c>
      <c r="F47" s="2">
        <v>479230823.18066269</v>
      </c>
      <c r="G47" s="2">
        <v>61974368.4546922</v>
      </c>
      <c r="H47" s="2">
        <v>26285911</v>
      </c>
      <c r="I47" s="2">
        <v>0</v>
      </c>
      <c r="J47" s="2">
        <v>88260279.4546922</v>
      </c>
      <c r="K47" s="2">
        <v>567491102.63535488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/>
      <c r="S47" s="2"/>
    </row>
    <row r="48" spans="2:21" x14ac:dyDescent="0.3">
      <c r="C48" s="2"/>
      <c r="D48" s="2"/>
      <c r="E48" s="2"/>
      <c r="F48" s="2"/>
      <c r="G48" s="2"/>
      <c r="H48" s="2"/>
      <c r="I48" s="2"/>
      <c r="J48" s="2"/>
      <c r="K48" s="2"/>
      <c r="L48" s="2">
        <f ca="1">SUM(L46:L47)</f>
        <v>0</v>
      </c>
      <c r="M48" s="2">
        <f ca="1">SUM(M46:M47)</f>
        <v>0</v>
      </c>
      <c r="N48" s="2">
        <f ca="1">SUM(N46:N47)</f>
        <v>0</v>
      </c>
      <c r="O48" s="2">
        <f ca="1">SUM(O46:O47)</f>
        <v>0</v>
      </c>
      <c r="P48" s="2">
        <f ca="1">SUM(P46:P47)</f>
        <v>0</v>
      </c>
      <c r="Q48" s="2"/>
      <c r="R48" s="2"/>
      <c r="S48" s="2"/>
    </row>
    <row r="49" spans="3:32" x14ac:dyDescent="0.3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3:32" x14ac:dyDescent="0.3">
      <c r="C50" s="2">
        <v>163262383</v>
      </c>
      <c r="D50" s="2">
        <v>166030737.73776498</v>
      </c>
      <c r="E50" s="2">
        <v>124081587.88273643</v>
      </c>
      <c r="F50" s="2">
        <v>453374708.6205014</v>
      </c>
      <c r="G50" s="2">
        <v>151443405.97481367</v>
      </c>
      <c r="H50" s="2">
        <v>43645977.710000001</v>
      </c>
      <c r="I50" s="2">
        <v>0</v>
      </c>
      <c r="J50" s="2">
        <v>195089383.68481368</v>
      </c>
      <c r="K50" s="2">
        <v>648464092.30531502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/>
      <c r="S50" s="2"/>
    </row>
    <row r="51" spans="3:32" x14ac:dyDescent="0.3">
      <c r="C51" s="2">
        <v>30461959</v>
      </c>
      <c r="D51" s="2">
        <v>29235904.204088688</v>
      </c>
      <c r="E51" s="2">
        <v>10705841.552964514</v>
      </c>
      <c r="F51" s="2">
        <v>70403704.757053196</v>
      </c>
      <c r="G51" s="2">
        <v>5739427.2788058817</v>
      </c>
      <c r="H51" s="2">
        <v>92.999999999068677</v>
      </c>
      <c r="I51" s="2">
        <v>0</v>
      </c>
      <c r="J51" s="2">
        <v>5739520.2788058808</v>
      </c>
      <c r="K51" s="2">
        <v>76143225.035859078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/>
      <c r="S51" s="2"/>
    </row>
    <row r="52" spans="3:32" x14ac:dyDescent="0.3">
      <c r="C52" s="2"/>
      <c r="D52" s="2"/>
      <c r="E52" s="2"/>
      <c r="F52" s="2"/>
      <c r="G52" s="2"/>
      <c r="H52" s="2"/>
      <c r="I52" s="2"/>
      <c r="J52" s="2"/>
      <c r="K52" s="2"/>
      <c r="L52" s="2">
        <f ca="1">SUM(L50:L51)</f>
        <v>0</v>
      </c>
      <c r="M52" s="2">
        <f ca="1">SUM(M50:M51)</f>
        <v>0</v>
      </c>
      <c r="N52" s="2">
        <f ca="1">SUM(N50:N51)</f>
        <v>0</v>
      </c>
      <c r="O52" s="2">
        <f ca="1">SUM(O50:O51)</f>
        <v>0</v>
      </c>
      <c r="P52" s="2">
        <f ca="1">SUM(P50:P51)</f>
        <v>0</v>
      </c>
      <c r="Q52" s="2"/>
      <c r="R52" s="2"/>
      <c r="S52" s="2"/>
    </row>
    <row r="53" spans="3:32" x14ac:dyDescent="0.3">
      <c r="C53" s="2">
        <v>15369070</v>
      </c>
      <c r="D53" s="2">
        <v>16919522</v>
      </c>
      <c r="E53" s="2">
        <v>10911081</v>
      </c>
      <c r="F53" s="2">
        <v>43199673</v>
      </c>
      <c r="G53" s="2">
        <v>19133355.488380637</v>
      </c>
      <c r="H53" s="2">
        <v>7836706.4100000001</v>
      </c>
      <c r="I53" s="2">
        <v>0</v>
      </c>
      <c r="J53" s="2">
        <v>26970061.898380637</v>
      </c>
      <c r="K53" s="2">
        <v>70169734.898380637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/>
      <c r="S53" s="2"/>
    </row>
    <row r="54" spans="3:32" x14ac:dyDescent="0.3">
      <c r="C54" s="2">
        <v>7191798</v>
      </c>
      <c r="D54" s="2">
        <v>7367382</v>
      </c>
      <c r="E54" s="2">
        <v>2345182</v>
      </c>
      <c r="F54" s="2">
        <v>16904362</v>
      </c>
      <c r="G54" s="2">
        <v>861181.4941598766</v>
      </c>
      <c r="H54" s="2">
        <v>1455390.5400000007</v>
      </c>
      <c r="I54" s="2">
        <v>0</v>
      </c>
      <c r="J54" s="2">
        <v>2316572.0341598773</v>
      </c>
      <c r="K54" s="2">
        <v>19220934.034159876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/>
      <c r="S54" s="2"/>
    </row>
    <row r="55" spans="3:32" x14ac:dyDescent="0.3"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</row>
    <row r="56" spans="3:32" x14ac:dyDescent="0.3">
      <c r="C56" s="159">
        <f ca="1">C8-C46-C50-C53</f>
        <v>0</v>
      </c>
      <c r="D56" s="159">
        <f t="shared" ref="D56:Q56" ca="1" si="10">D8-D46-D50-D53</f>
        <v>-2.9802322387695313E-8</v>
      </c>
      <c r="E56" s="159">
        <f t="shared" ca="1" si="10"/>
        <v>1.4901161193847656E-8</v>
      </c>
      <c r="F56" s="159">
        <f t="shared" ca="1" si="10"/>
        <v>-3.5762786865234375E-7</v>
      </c>
      <c r="G56" s="159">
        <f t="shared" ca="1" si="10"/>
        <v>2434697.0000000633</v>
      </c>
      <c r="H56" s="159">
        <f t="shared" ca="1" si="10"/>
        <v>1253890.9999999739</v>
      </c>
      <c r="I56" s="159">
        <f t="shared" ca="1" si="10"/>
        <v>0</v>
      </c>
      <c r="J56" s="159">
        <f t="shared" ca="1" si="10"/>
        <v>3688588.0000001788</v>
      </c>
      <c r="K56" s="159">
        <f t="shared" ca="1" si="10"/>
        <v>3688587.9999996424</v>
      </c>
      <c r="L56" s="159">
        <f t="shared" ca="1" si="10"/>
        <v>0</v>
      </c>
      <c r="M56" s="159">
        <f t="shared" ca="1" si="10"/>
        <v>0</v>
      </c>
      <c r="N56" s="159">
        <f t="shared" ca="1" si="10"/>
        <v>0</v>
      </c>
      <c r="O56" s="159">
        <f t="shared" ca="1" si="10"/>
        <v>0</v>
      </c>
      <c r="P56" s="159">
        <f t="shared" ca="1" si="10"/>
        <v>0</v>
      </c>
      <c r="Q56" s="159">
        <f t="shared" ca="1" si="10"/>
        <v>0</v>
      </c>
      <c r="R56" s="159"/>
      <c r="S56" s="159"/>
    </row>
    <row r="57" spans="3:32" x14ac:dyDescent="0.3">
      <c r="C57" s="2">
        <f ca="1">C15-C47-C51-C54</f>
        <v>724925</v>
      </c>
      <c r="D57" s="2">
        <f t="shared" ref="D57:Q57" ca="1" si="11">D15-D47-D51-D54</f>
        <v>410261</v>
      </c>
      <c r="E57" s="2">
        <f t="shared" ca="1" si="11"/>
        <v>51415.000000001863</v>
      </c>
      <c r="F57" s="2">
        <f t="shared" ca="1" si="11"/>
        <v>1186601</v>
      </c>
      <c r="G57" s="2">
        <f t="shared" ca="1" si="11"/>
        <v>56543535</v>
      </c>
      <c r="H57" s="2">
        <f t="shared" ca="1" si="11"/>
        <v>17718050.740000017</v>
      </c>
      <c r="I57" s="2">
        <f t="shared" ca="1" si="11"/>
        <v>0</v>
      </c>
      <c r="J57" s="2">
        <f t="shared" ca="1" si="11"/>
        <v>74261585.74000001</v>
      </c>
      <c r="K57" s="2">
        <f t="shared" ca="1" si="11"/>
        <v>75448186.740000069</v>
      </c>
      <c r="L57" s="2">
        <f t="shared" ca="1" si="11"/>
        <v>0</v>
      </c>
      <c r="M57" s="2">
        <f t="shared" ca="1" si="11"/>
        <v>0</v>
      </c>
      <c r="N57" s="2">
        <f t="shared" ca="1" si="11"/>
        <v>0</v>
      </c>
      <c r="O57" s="2">
        <f t="shared" ca="1" si="11"/>
        <v>0</v>
      </c>
      <c r="P57" s="2">
        <f t="shared" ca="1" si="11"/>
        <v>0</v>
      </c>
      <c r="Q57" s="2">
        <f t="shared" ca="1" si="11"/>
        <v>0</v>
      </c>
      <c r="R57" s="2"/>
      <c r="S57" s="2"/>
    </row>
    <row r="58" spans="3:32" x14ac:dyDescent="0.3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3:32" x14ac:dyDescent="0.3">
      <c r="M59" s="29"/>
      <c r="N59" s="29"/>
    </row>
    <row r="60" spans="3:32" x14ac:dyDescent="0.3">
      <c r="M60" s="29"/>
      <c r="N60" s="29"/>
      <c r="AF60" t="s">
        <v>10</v>
      </c>
    </row>
    <row r="179" spans="12:12" hidden="1" x14ac:dyDescent="0.3"/>
    <row r="180" spans="12:12" x14ac:dyDescent="0.3">
      <c r="L180">
        <v>0</v>
      </c>
    </row>
  </sheetData>
  <mergeCells count="6">
    <mergeCell ref="B2:S2"/>
    <mergeCell ref="B4:S4"/>
    <mergeCell ref="B11:S11"/>
    <mergeCell ref="B18:S18"/>
    <mergeCell ref="B27:R27"/>
    <mergeCell ref="B29:S29"/>
  </mergeCells>
  <pageMargins left="1.2086614170000001" right="0.70866141732283505" top="0.74803149606299202" bottom="0.74803149606299202" header="0.31496062992126" footer="0.31496062992126"/>
  <pageSetup paperSize="8" scale="46" orientation="landscape" r:id="rId1"/>
  <headerFooter alignWithMargins="0">
    <oddHeader>&amp;LSOBHA LLC&amp;R&amp;D</oddHeader>
    <oddFooter>&amp;LCOLLECTIONS&amp;R&amp;P/&amp;N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0C65-0517-4E3A-9FA2-F0DEC9B1438E}">
  <sheetPr>
    <tabColor rgb="FF00B0F0"/>
    <pageSetUpPr fitToPage="1"/>
  </sheetPr>
  <dimension ref="A1:AI166"/>
  <sheetViews>
    <sheetView view="pageBreakPreview" zoomScale="70" zoomScaleNormal="74" zoomScaleSheetLayoutView="70" workbookViewId="0">
      <selection activeCell="AF46" sqref="AF46"/>
    </sheetView>
  </sheetViews>
  <sheetFormatPr defaultColWidth="9.44140625" defaultRowHeight="15" customHeight="1" x14ac:dyDescent="0.3"/>
  <cols>
    <col min="1" max="1" width="30" style="15" customWidth="1"/>
    <col min="2" max="2" width="21.44140625" style="15" customWidth="1"/>
    <col min="3" max="3" width="18.44140625" style="15" bestFit="1" customWidth="1"/>
    <col min="4" max="6" width="18.5546875" style="15" bestFit="1" customWidth="1"/>
    <col min="7" max="7" width="20.44140625" style="15" customWidth="1"/>
    <col min="8" max="8" width="19.44140625" style="15" bestFit="1" customWidth="1"/>
    <col min="9" max="10" width="18.5546875" style="15" bestFit="1" customWidth="1"/>
    <col min="11" max="11" width="19.44140625" style="15" bestFit="1" customWidth="1"/>
    <col min="12" max="12" width="18.5546875" style="15" bestFit="1" customWidth="1"/>
    <col min="13" max="13" width="17.5546875" style="15" bestFit="1" customWidth="1"/>
    <col min="14" max="14" width="21.44140625" style="15" bestFit="1" customWidth="1"/>
    <col min="15" max="15" width="16.44140625" style="15" bestFit="1" customWidth="1"/>
    <col min="16" max="19" width="17.5546875" style="15" bestFit="1" customWidth="1"/>
    <col min="20" max="16384" width="9.44140625" style="15"/>
  </cols>
  <sheetData>
    <row r="1" spans="1:35" ht="15" customHeight="1" x14ac:dyDescent="0.3">
      <c r="A1" s="160" t="s">
        <v>52</v>
      </c>
      <c r="B1" s="160">
        <v>46023</v>
      </c>
      <c r="C1" s="160">
        <v>46054</v>
      </c>
      <c r="D1" s="160">
        <v>46082</v>
      </c>
      <c r="E1" s="160">
        <v>46113</v>
      </c>
      <c r="F1" s="160">
        <v>46143</v>
      </c>
      <c r="G1" s="160">
        <v>46174</v>
      </c>
      <c r="H1" s="160">
        <v>46204</v>
      </c>
      <c r="I1" s="160">
        <v>46235</v>
      </c>
      <c r="J1" s="160">
        <v>46266</v>
      </c>
      <c r="K1" s="160">
        <v>46296</v>
      </c>
      <c r="L1" s="160">
        <v>46327</v>
      </c>
      <c r="M1" s="160">
        <v>46357</v>
      </c>
      <c r="N1" s="160">
        <v>46388</v>
      </c>
    </row>
    <row r="3" spans="1:35" ht="15" hidden="1" customHeight="1" x14ac:dyDescent="0.3">
      <c r="A3" s="161"/>
      <c r="B3" s="162"/>
      <c r="C3" s="162"/>
      <c r="D3" s="162"/>
      <c r="E3" s="162"/>
      <c r="F3" s="162"/>
      <c r="H3" s="162"/>
      <c r="I3" s="162"/>
      <c r="J3" s="162"/>
      <c r="K3" s="162"/>
      <c r="L3" s="162"/>
      <c r="M3" s="162"/>
      <c r="N3" s="163"/>
    </row>
    <row r="4" spans="1:35" ht="15" hidden="1" customHeight="1" thickBot="1" x14ac:dyDescent="0.35">
      <c r="A4" s="164">
        <v>2025</v>
      </c>
      <c r="B4" s="165" t="str">
        <f ca="1">TEXT(daily!F3,"YYYY") &amp; " collections from units sold in 2024"</f>
        <v>2026 collections from units sold in 2024</v>
      </c>
    </row>
    <row r="5" spans="1:35" ht="15" hidden="1" customHeight="1" x14ac:dyDescent="0.3">
      <c r="A5" s="166" t="s">
        <v>53</v>
      </c>
      <c r="B5" s="167" t="s">
        <v>54</v>
      </c>
      <c r="C5" s="167" t="s">
        <v>55</v>
      </c>
      <c r="D5" s="167" t="s">
        <v>44</v>
      </c>
      <c r="E5" s="167" t="s">
        <v>56</v>
      </c>
      <c r="F5" s="167" t="s">
        <v>25</v>
      </c>
      <c r="G5" s="167" t="s">
        <v>57</v>
      </c>
      <c r="H5" s="167" t="s">
        <v>29</v>
      </c>
      <c r="I5" s="167" t="s">
        <v>30</v>
      </c>
      <c r="J5" s="167" t="s">
        <v>58</v>
      </c>
      <c r="K5" s="168" t="s">
        <v>33</v>
      </c>
      <c r="L5" s="168" t="s">
        <v>34</v>
      </c>
      <c r="M5" s="168" t="s">
        <v>35</v>
      </c>
      <c r="N5" s="169" t="s">
        <v>59</v>
      </c>
    </row>
    <row r="6" spans="1:35" ht="15" hidden="1" customHeight="1" x14ac:dyDescent="0.3">
      <c r="A6" s="170"/>
      <c r="B6" s="171" t="s">
        <v>40</v>
      </c>
      <c r="C6" s="172"/>
      <c r="D6" s="172"/>
      <c r="E6" s="172"/>
      <c r="F6" s="172"/>
      <c r="G6" s="172"/>
      <c r="H6" s="172"/>
      <c r="I6" s="172"/>
      <c r="J6" s="172"/>
      <c r="K6" s="173"/>
      <c r="L6" s="173"/>
      <c r="M6" s="173"/>
      <c r="N6" s="174"/>
    </row>
    <row r="7" spans="1:35" ht="15" hidden="1" customHeight="1" x14ac:dyDescent="0.3">
      <c r="A7" s="175" t="s">
        <v>60</v>
      </c>
      <c r="B7" s="176">
        <v>0</v>
      </c>
      <c r="C7" s="176">
        <v>0</v>
      </c>
      <c r="D7" s="176">
        <v>0</v>
      </c>
      <c r="E7" s="176">
        <v>0</v>
      </c>
      <c r="F7" s="176">
        <v>0</v>
      </c>
      <c r="G7" s="176">
        <v>0</v>
      </c>
      <c r="H7" s="176">
        <v>0</v>
      </c>
      <c r="I7" s="176">
        <v>0</v>
      </c>
      <c r="J7" s="176">
        <v>0</v>
      </c>
      <c r="K7" s="176">
        <v>0</v>
      </c>
      <c r="L7" s="176">
        <v>0</v>
      </c>
      <c r="M7" s="176">
        <v>0</v>
      </c>
      <c r="N7" s="177">
        <f t="shared" ref="N7:N51" ca="1" si="0">SUM(B7:M7)</f>
        <v>0</v>
      </c>
    </row>
    <row r="8" spans="1:35" ht="15" hidden="1" customHeight="1" x14ac:dyDescent="0.3">
      <c r="A8" s="178" t="s">
        <v>61</v>
      </c>
      <c r="B8" s="176">
        <v>0</v>
      </c>
      <c r="C8" s="176">
        <v>0</v>
      </c>
      <c r="D8" s="176">
        <v>0</v>
      </c>
      <c r="E8" s="176">
        <v>0</v>
      </c>
      <c r="F8" s="176">
        <v>0</v>
      </c>
      <c r="G8" s="176">
        <v>0</v>
      </c>
      <c r="H8" s="176">
        <v>0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7">
        <f t="shared" ca="1" si="0"/>
        <v>0</v>
      </c>
    </row>
    <row r="9" spans="1:35" ht="15" hidden="1" customHeight="1" x14ac:dyDescent="0.3">
      <c r="A9" s="175" t="s">
        <v>62</v>
      </c>
      <c r="B9" s="176">
        <v>0</v>
      </c>
      <c r="C9" s="176">
        <v>0</v>
      </c>
      <c r="D9" s="176">
        <v>0</v>
      </c>
      <c r="E9" s="176">
        <v>0</v>
      </c>
      <c r="F9" s="176">
        <v>0</v>
      </c>
      <c r="G9" s="176">
        <v>0</v>
      </c>
      <c r="H9" s="176">
        <v>0</v>
      </c>
      <c r="I9" s="176">
        <v>0</v>
      </c>
      <c r="J9" s="176">
        <v>0</v>
      </c>
      <c r="K9" s="176">
        <v>0</v>
      </c>
      <c r="L9" s="176">
        <v>0</v>
      </c>
      <c r="M9" s="176">
        <v>0</v>
      </c>
      <c r="N9" s="177">
        <f t="shared" ca="1" si="0"/>
        <v>0</v>
      </c>
    </row>
    <row r="10" spans="1:35" ht="15" hidden="1" customHeight="1" x14ac:dyDescent="0.3">
      <c r="A10" s="178" t="s">
        <v>63</v>
      </c>
      <c r="B10" s="176">
        <v>0</v>
      </c>
      <c r="C10" s="176">
        <v>0</v>
      </c>
      <c r="D10" s="176">
        <v>0</v>
      </c>
      <c r="E10" s="176">
        <v>0</v>
      </c>
      <c r="F10" s="176">
        <v>0</v>
      </c>
      <c r="G10" s="176">
        <v>0</v>
      </c>
      <c r="H10" s="176">
        <v>0</v>
      </c>
      <c r="I10" s="176">
        <v>0</v>
      </c>
      <c r="J10" s="176">
        <v>0</v>
      </c>
      <c r="K10" s="176">
        <v>0</v>
      </c>
      <c r="L10" s="176">
        <v>0</v>
      </c>
      <c r="M10" s="176">
        <v>0</v>
      </c>
      <c r="N10" s="177">
        <f t="shared" ca="1" si="0"/>
        <v>0</v>
      </c>
      <c r="AH10" s="15">
        <v>0</v>
      </c>
      <c r="AI10" s="15">
        <v>0</v>
      </c>
    </row>
    <row r="11" spans="1:35" ht="15" hidden="1" customHeight="1" x14ac:dyDescent="0.3">
      <c r="A11" s="175" t="s">
        <v>64</v>
      </c>
      <c r="B11" s="176">
        <v>0</v>
      </c>
      <c r="C11" s="176">
        <v>0</v>
      </c>
      <c r="D11" s="176">
        <v>0</v>
      </c>
      <c r="E11" s="176">
        <v>0</v>
      </c>
      <c r="F11" s="176">
        <v>0</v>
      </c>
      <c r="G11" s="176"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7">
        <f t="shared" ca="1" si="0"/>
        <v>0</v>
      </c>
      <c r="AH11" s="15">
        <v>0</v>
      </c>
      <c r="AI11" s="15">
        <v>0</v>
      </c>
    </row>
    <row r="12" spans="1:35" ht="15" hidden="1" customHeight="1" x14ac:dyDescent="0.3">
      <c r="A12" s="178" t="s">
        <v>65</v>
      </c>
      <c r="B12" s="176">
        <v>0</v>
      </c>
      <c r="C12" s="176">
        <v>158282</v>
      </c>
      <c r="D12" s="176">
        <v>653.12</v>
      </c>
      <c r="E12" s="176">
        <v>915.59</v>
      </c>
      <c r="F12" s="176">
        <v>0</v>
      </c>
      <c r="G12" s="176"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7">
        <f t="shared" ca="1" si="0"/>
        <v>159850.71</v>
      </c>
      <c r="AH12" s="15">
        <v>158282</v>
      </c>
      <c r="AI12" s="15">
        <v>0</v>
      </c>
    </row>
    <row r="13" spans="1:35" ht="15" hidden="1" customHeight="1" x14ac:dyDescent="0.3">
      <c r="A13" s="175" t="s">
        <v>66</v>
      </c>
      <c r="B13" s="176">
        <v>0</v>
      </c>
      <c r="C13" s="176">
        <v>0</v>
      </c>
      <c r="D13" s="176">
        <v>0</v>
      </c>
      <c r="E13" s="176">
        <v>0</v>
      </c>
      <c r="F13" s="176">
        <v>0</v>
      </c>
      <c r="G13" s="176">
        <v>0</v>
      </c>
      <c r="H13" s="176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7">
        <f t="shared" ca="1" si="0"/>
        <v>0</v>
      </c>
    </row>
    <row r="14" spans="1:35" ht="15" hidden="1" customHeight="1" x14ac:dyDescent="0.3">
      <c r="A14" s="178" t="s">
        <v>67</v>
      </c>
      <c r="B14" s="176">
        <v>0</v>
      </c>
      <c r="C14" s="176">
        <v>0</v>
      </c>
      <c r="D14" s="176">
        <v>0</v>
      </c>
      <c r="E14" s="176">
        <v>0</v>
      </c>
      <c r="F14" s="176">
        <v>0</v>
      </c>
      <c r="G14" s="176">
        <v>0</v>
      </c>
      <c r="H14" s="176">
        <v>0</v>
      </c>
      <c r="I14" s="176">
        <v>0</v>
      </c>
      <c r="J14" s="176">
        <v>0</v>
      </c>
      <c r="K14" s="176">
        <v>0</v>
      </c>
      <c r="L14" s="176">
        <v>0</v>
      </c>
      <c r="M14" s="176">
        <v>0</v>
      </c>
      <c r="N14" s="177">
        <f t="shared" ca="1" si="0"/>
        <v>0</v>
      </c>
    </row>
    <row r="15" spans="1:35" ht="15" hidden="1" customHeight="1" x14ac:dyDescent="0.3">
      <c r="A15" s="175" t="s">
        <v>68</v>
      </c>
      <c r="B15" s="176">
        <v>0</v>
      </c>
      <c r="C15" s="176">
        <v>0</v>
      </c>
      <c r="D15" s="176">
        <v>0</v>
      </c>
      <c r="E15" s="176">
        <v>0</v>
      </c>
      <c r="F15" s="176">
        <v>0</v>
      </c>
      <c r="G15" s="176"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7">
        <f t="shared" ca="1" si="0"/>
        <v>0</v>
      </c>
    </row>
    <row r="16" spans="1:35" ht="15" hidden="1" customHeight="1" x14ac:dyDescent="0.3">
      <c r="A16" s="178" t="s">
        <v>69</v>
      </c>
      <c r="B16" s="176">
        <v>0</v>
      </c>
      <c r="C16" s="176">
        <v>0</v>
      </c>
      <c r="D16" s="176">
        <v>0</v>
      </c>
      <c r="E16" s="176">
        <v>0</v>
      </c>
      <c r="F16" s="176">
        <v>0</v>
      </c>
      <c r="G16" s="176">
        <v>0</v>
      </c>
      <c r="H16" s="176">
        <v>0</v>
      </c>
      <c r="I16" s="176">
        <v>0</v>
      </c>
      <c r="J16" s="176">
        <v>0</v>
      </c>
      <c r="K16" s="176">
        <v>0</v>
      </c>
      <c r="L16" s="176">
        <v>0</v>
      </c>
      <c r="M16" s="176">
        <v>0</v>
      </c>
      <c r="N16" s="177">
        <f t="shared" ca="1" si="0"/>
        <v>0</v>
      </c>
    </row>
    <row r="17" spans="1:14" ht="15" hidden="1" customHeight="1" x14ac:dyDescent="0.3">
      <c r="A17" s="178" t="s">
        <v>70</v>
      </c>
      <c r="B17" s="176">
        <v>0</v>
      </c>
      <c r="C17" s="176">
        <v>0</v>
      </c>
      <c r="D17" s="176">
        <v>0</v>
      </c>
      <c r="E17" s="176">
        <v>0</v>
      </c>
      <c r="F17" s="176">
        <v>0</v>
      </c>
      <c r="G17" s="176"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7">
        <f t="shared" ca="1" si="0"/>
        <v>0</v>
      </c>
    </row>
    <row r="18" spans="1:14" ht="15" hidden="1" customHeight="1" x14ac:dyDescent="0.3">
      <c r="A18" s="175" t="s">
        <v>71</v>
      </c>
      <c r="B18" s="176">
        <v>0</v>
      </c>
      <c r="C18" s="176">
        <v>0</v>
      </c>
      <c r="D18" s="176">
        <v>0</v>
      </c>
      <c r="E18" s="176">
        <v>0</v>
      </c>
      <c r="F18" s="176">
        <v>0</v>
      </c>
      <c r="G18" s="176">
        <v>0</v>
      </c>
      <c r="H18" s="176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7">
        <f t="shared" ca="1" si="0"/>
        <v>0</v>
      </c>
    </row>
    <row r="19" spans="1:14" ht="15" hidden="1" customHeight="1" x14ac:dyDescent="0.3">
      <c r="A19" s="175" t="s">
        <v>72</v>
      </c>
      <c r="B19" s="176">
        <v>162139</v>
      </c>
      <c r="C19" s="176">
        <v>0</v>
      </c>
      <c r="D19" s="176">
        <v>0</v>
      </c>
      <c r="E19" s="176">
        <v>0</v>
      </c>
      <c r="F19" s="176">
        <v>0</v>
      </c>
      <c r="G19" s="176">
        <v>0</v>
      </c>
      <c r="H19" s="176">
        <v>0</v>
      </c>
      <c r="I19" s="176">
        <v>0</v>
      </c>
      <c r="J19" s="176">
        <v>0</v>
      </c>
      <c r="K19" s="176">
        <v>0</v>
      </c>
      <c r="L19" s="176">
        <v>0</v>
      </c>
      <c r="M19" s="176">
        <v>0</v>
      </c>
      <c r="N19" s="177">
        <f t="shared" ca="1" si="0"/>
        <v>162139</v>
      </c>
    </row>
    <row r="20" spans="1:14" ht="15" hidden="1" customHeight="1" x14ac:dyDescent="0.3">
      <c r="A20" s="175" t="s">
        <v>73</v>
      </c>
      <c r="B20" s="176">
        <v>0</v>
      </c>
      <c r="C20" s="176">
        <v>0</v>
      </c>
      <c r="D20" s="176">
        <v>0</v>
      </c>
      <c r="E20" s="176">
        <v>0</v>
      </c>
      <c r="F20" s="176">
        <v>0</v>
      </c>
      <c r="G20" s="176">
        <v>0</v>
      </c>
      <c r="H20" s="176">
        <v>0</v>
      </c>
      <c r="I20" s="176">
        <v>0</v>
      </c>
      <c r="J20" s="176">
        <v>0</v>
      </c>
      <c r="K20" s="176">
        <v>0</v>
      </c>
      <c r="L20" s="176">
        <v>0</v>
      </c>
      <c r="M20" s="176">
        <v>0</v>
      </c>
      <c r="N20" s="177">
        <f t="shared" ca="1" si="0"/>
        <v>0</v>
      </c>
    </row>
    <row r="21" spans="1:14" ht="15" hidden="1" customHeight="1" x14ac:dyDescent="0.3">
      <c r="A21" s="175" t="s">
        <v>74</v>
      </c>
      <c r="B21" s="176">
        <v>2089232.76</v>
      </c>
      <c r="C21" s="176">
        <v>2585045.59</v>
      </c>
      <c r="D21" s="176">
        <v>880.3</v>
      </c>
      <c r="E21" s="176">
        <v>481</v>
      </c>
      <c r="F21" s="176">
        <v>0</v>
      </c>
      <c r="G21" s="176">
        <v>0</v>
      </c>
      <c r="H21" s="176">
        <v>0</v>
      </c>
      <c r="I21" s="176">
        <v>0</v>
      </c>
      <c r="J21" s="176">
        <v>0</v>
      </c>
      <c r="K21" s="176">
        <v>0</v>
      </c>
      <c r="L21" s="176">
        <v>0</v>
      </c>
      <c r="M21" s="176">
        <v>0</v>
      </c>
      <c r="N21" s="177">
        <f t="shared" ca="1" si="0"/>
        <v>4675639.6499999994</v>
      </c>
    </row>
    <row r="22" spans="1:14" ht="15" hidden="1" customHeight="1" x14ac:dyDescent="0.3">
      <c r="A22" s="175" t="s">
        <v>75</v>
      </c>
      <c r="B22" s="176">
        <v>11222.35</v>
      </c>
      <c r="C22" s="176">
        <v>185000</v>
      </c>
      <c r="D22" s="176">
        <v>0</v>
      </c>
      <c r="E22" s="176">
        <v>0</v>
      </c>
      <c r="F22" s="176">
        <v>0</v>
      </c>
      <c r="G22" s="176">
        <v>0</v>
      </c>
      <c r="H22" s="176">
        <v>0</v>
      </c>
      <c r="I22" s="176">
        <v>0</v>
      </c>
      <c r="J22" s="176">
        <v>0</v>
      </c>
      <c r="K22" s="176">
        <v>0</v>
      </c>
      <c r="L22" s="176">
        <v>0</v>
      </c>
      <c r="M22" s="176">
        <v>0</v>
      </c>
      <c r="N22" s="177">
        <f t="shared" ca="1" si="0"/>
        <v>196222.35</v>
      </c>
    </row>
    <row r="23" spans="1:14" ht="15" hidden="1" customHeight="1" x14ac:dyDescent="0.3">
      <c r="A23" s="175" t="s">
        <v>76</v>
      </c>
      <c r="B23" s="176">
        <v>0</v>
      </c>
      <c r="C23" s="176">
        <v>34341</v>
      </c>
      <c r="D23" s="176">
        <v>18425</v>
      </c>
      <c r="E23" s="176">
        <v>1843316</v>
      </c>
      <c r="F23" s="176">
        <v>1855</v>
      </c>
      <c r="G23" s="176">
        <v>0</v>
      </c>
      <c r="H23" s="176">
        <v>0</v>
      </c>
      <c r="I23" s="176">
        <v>0</v>
      </c>
      <c r="J23" s="176">
        <v>0</v>
      </c>
      <c r="K23" s="176">
        <v>0</v>
      </c>
      <c r="L23" s="176">
        <v>0</v>
      </c>
      <c r="M23" s="176">
        <v>0</v>
      </c>
      <c r="N23" s="177">
        <f t="shared" ca="1" si="0"/>
        <v>1897937</v>
      </c>
    </row>
    <row r="24" spans="1:14" ht="15" hidden="1" customHeight="1" x14ac:dyDescent="0.3">
      <c r="A24" s="175" t="s">
        <v>77</v>
      </c>
      <c r="B24" s="176">
        <v>2315147.64</v>
      </c>
      <c r="C24" s="176">
        <v>680000</v>
      </c>
      <c r="D24" s="176">
        <v>1550000</v>
      </c>
      <c r="E24" s="176">
        <v>7886655.5500000007</v>
      </c>
      <c r="F24" s="176">
        <v>530000</v>
      </c>
      <c r="G24" s="176">
        <v>0</v>
      </c>
      <c r="H24" s="176">
        <v>0</v>
      </c>
      <c r="I24" s="176">
        <v>0</v>
      </c>
      <c r="J24" s="176">
        <v>0</v>
      </c>
      <c r="K24" s="176">
        <v>0</v>
      </c>
      <c r="L24" s="176">
        <v>0</v>
      </c>
      <c r="M24" s="176">
        <v>0</v>
      </c>
      <c r="N24" s="177">
        <f t="shared" ca="1" si="0"/>
        <v>12961803.190000001</v>
      </c>
    </row>
    <row r="25" spans="1:14" ht="15" hidden="1" customHeight="1" x14ac:dyDescent="0.3">
      <c r="A25" s="175" t="s">
        <v>78</v>
      </c>
      <c r="B25" s="176">
        <v>6674902.6299999999</v>
      </c>
      <c r="C25" s="176">
        <v>4455059</v>
      </c>
      <c r="D25" s="176">
        <v>1750299</v>
      </c>
      <c r="E25" s="176">
        <v>17502208.039999999</v>
      </c>
      <c r="F25" s="176">
        <v>323068</v>
      </c>
      <c r="G25" s="176">
        <v>0</v>
      </c>
      <c r="H25" s="176">
        <v>0</v>
      </c>
      <c r="I25" s="176">
        <v>0</v>
      </c>
      <c r="J25" s="176">
        <v>0</v>
      </c>
      <c r="K25" s="176">
        <v>0</v>
      </c>
      <c r="L25" s="176">
        <v>0</v>
      </c>
      <c r="M25" s="176">
        <v>0</v>
      </c>
      <c r="N25" s="177">
        <f t="shared" ca="1" si="0"/>
        <v>30705536.669999998</v>
      </c>
    </row>
    <row r="26" spans="1:14" ht="15" hidden="1" customHeight="1" x14ac:dyDescent="0.3">
      <c r="A26" s="175" t="s">
        <v>79</v>
      </c>
      <c r="B26" s="176">
        <v>34737435.869999997</v>
      </c>
      <c r="C26" s="176">
        <v>16404635.960000001</v>
      </c>
      <c r="D26" s="176">
        <v>8544647.7300000004</v>
      </c>
      <c r="E26" s="176">
        <v>10371618.26</v>
      </c>
      <c r="F26" s="176">
        <v>3058911.0700000003</v>
      </c>
      <c r="G26" s="176">
        <v>0</v>
      </c>
      <c r="H26" s="176">
        <v>0</v>
      </c>
      <c r="I26" s="176">
        <v>0</v>
      </c>
      <c r="J26" s="176">
        <v>0</v>
      </c>
      <c r="K26" s="176">
        <v>0</v>
      </c>
      <c r="L26" s="176">
        <v>0</v>
      </c>
      <c r="M26" s="176">
        <v>0</v>
      </c>
      <c r="N26" s="177">
        <f t="shared" ca="1" si="0"/>
        <v>73117248.890000015</v>
      </c>
    </row>
    <row r="27" spans="1:14" ht="15" hidden="1" customHeight="1" x14ac:dyDescent="0.3">
      <c r="A27" s="175" t="s">
        <v>80</v>
      </c>
      <c r="B27" s="176">
        <v>20248796.359999999</v>
      </c>
      <c r="C27" s="176">
        <v>5442187</v>
      </c>
      <c r="D27" s="176">
        <v>6362395</v>
      </c>
      <c r="E27" s="176">
        <v>12440432.67</v>
      </c>
      <c r="F27" s="176">
        <v>0</v>
      </c>
      <c r="G27" s="176">
        <v>0</v>
      </c>
      <c r="H27" s="176">
        <v>0</v>
      </c>
      <c r="I27" s="176">
        <v>0</v>
      </c>
      <c r="J27" s="176">
        <v>0</v>
      </c>
      <c r="K27" s="176">
        <v>0</v>
      </c>
      <c r="L27" s="176">
        <v>0</v>
      </c>
      <c r="M27" s="176">
        <v>0</v>
      </c>
      <c r="N27" s="177">
        <f t="shared" ca="1" si="0"/>
        <v>44493811.030000001</v>
      </c>
    </row>
    <row r="28" spans="1:14" ht="15" hidden="1" customHeight="1" x14ac:dyDescent="0.3">
      <c r="A28" s="175" t="s">
        <v>81</v>
      </c>
      <c r="B28" s="176">
        <v>26938401.370000001</v>
      </c>
      <c r="C28" s="176">
        <v>6961883</v>
      </c>
      <c r="D28" s="176">
        <v>28333719</v>
      </c>
      <c r="E28" s="176">
        <v>16494420</v>
      </c>
      <c r="F28" s="176">
        <v>2577558</v>
      </c>
      <c r="G28" s="176">
        <v>0</v>
      </c>
      <c r="H28" s="176">
        <v>0</v>
      </c>
      <c r="I28" s="176">
        <v>0</v>
      </c>
      <c r="J28" s="176">
        <v>0</v>
      </c>
      <c r="K28" s="176">
        <v>0</v>
      </c>
      <c r="L28" s="176">
        <v>0</v>
      </c>
      <c r="M28" s="176">
        <v>0</v>
      </c>
      <c r="N28" s="177">
        <f t="shared" ca="1" si="0"/>
        <v>81305981.370000005</v>
      </c>
    </row>
    <row r="29" spans="1:14" ht="15" hidden="1" customHeight="1" x14ac:dyDescent="0.3">
      <c r="A29" s="175" t="s">
        <v>82</v>
      </c>
      <c r="B29" s="176">
        <v>150900</v>
      </c>
      <c r="C29" s="176">
        <v>738934</v>
      </c>
      <c r="D29" s="176">
        <v>879226.90999999992</v>
      </c>
      <c r="E29" s="176">
        <v>228091</v>
      </c>
      <c r="F29" s="176">
        <v>0</v>
      </c>
      <c r="G29" s="176">
        <v>0</v>
      </c>
      <c r="H29" s="176">
        <v>0</v>
      </c>
      <c r="I29" s="176">
        <v>0</v>
      </c>
      <c r="J29" s="176">
        <v>0</v>
      </c>
      <c r="K29" s="176">
        <v>0</v>
      </c>
      <c r="L29" s="176">
        <v>0</v>
      </c>
      <c r="M29" s="176">
        <v>0</v>
      </c>
      <c r="N29" s="177">
        <f t="shared" ca="1" si="0"/>
        <v>1997151.91</v>
      </c>
    </row>
    <row r="30" spans="1:14" ht="15" hidden="1" customHeight="1" x14ac:dyDescent="0.3">
      <c r="A30" s="175" t="s">
        <v>83</v>
      </c>
      <c r="B30" s="176">
        <v>883749</v>
      </c>
      <c r="C30" s="176">
        <v>4350665</v>
      </c>
      <c r="D30" s="176">
        <v>1232538</v>
      </c>
      <c r="E30" s="176">
        <v>262102</v>
      </c>
      <c r="F30" s="176">
        <v>0</v>
      </c>
      <c r="G30" s="176">
        <v>0</v>
      </c>
      <c r="H30" s="176">
        <v>0</v>
      </c>
      <c r="I30" s="176">
        <v>0</v>
      </c>
      <c r="J30" s="176">
        <v>0</v>
      </c>
      <c r="K30" s="176">
        <v>0</v>
      </c>
      <c r="L30" s="176">
        <v>0</v>
      </c>
      <c r="M30" s="176">
        <v>0</v>
      </c>
      <c r="N30" s="177">
        <f t="shared" ca="1" si="0"/>
        <v>6729054</v>
      </c>
    </row>
    <row r="31" spans="1:14" ht="15" hidden="1" customHeight="1" x14ac:dyDescent="0.3">
      <c r="A31" s="175" t="s">
        <v>84</v>
      </c>
      <c r="B31" s="176">
        <v>29897219.850000005</v>
      </c>
      <c r="C31" s="176">
        <v>17308222.359999999</v>
      </c>
      <c r="D31" s="176">
        <v>14315522.240000002</v>
      </c>
      <c r="E31" s="176">
        <v>23797471.16</v>
      </c>
      <c r="F31" s="176">
        <v>1415221.49</v>
      </c>
      <c r="G31" s="176">
        <v>0</v>
      </c>
      <c r="H31" s="176">
        <v>0</v>
      </c>
      <c r="I31" s="176">
        <v>0</v>
      </c>
      <c r="J31" s="176">
        <v>0</v>
      </c>
      <c r="K31" s="176">
        <v>0</v>
      </c>
      <c r="L31" s="176">
        <v>0</v>
      </c>
      <c r="M31" s="176">
        <v>0</v>
      </c>
      <c r="N31" s="177">
        <f t="shared" ca="1" si="0"/>
        <v>86733657.100000009</v>
      </c>
    </row>
    <row r="32" spans="1:14" ht="15" hidden="1" customHeight="1" x14ac:dyDescent="0.3">
      <c r="A32" s="175" t="s">
        <v>85</v>
      </c>
      <c r="B32" s="176">
        <v>5892187.3899999997</v>
      </c>
      <c r="C32" s="176">
        <v>6964682.459999999</v>
      </c>
      <c r="D32" s="176">
        <v>3675856.63</v>
      </c>
      <c r="E32" s="176">
        <v>3073723.5799999996</v>
      </c>
      <c r="F32" s="176">
        <v>576017.17999999993</v>
      </c>
      <c r="G32" s="176">
        <v>0</v>
      </c>
      <c r="H32" s="176">
        <v>0</v>
      </c>
      <c r="I32" s="176">
        <v>0</v>
      </c>
      <c r="J32" s="176">
        <v>0</v>
      </c>
      <c r="K32" s="176">
        <v>0</v>
      </c>
      <c r="L32" s="176">
        <v>0</v>
      </c>
      <c r="M32" s="176">
        <v>0</v>
      </c>
      <c r="N32" s="177">
        <f t="shared" ca="1" si="0"/>
        <v>20182467.239999995</v>
      </c>
    </row>
    <row r="33" spans="1:14" ht="15" hidden="1" customHeight="1" x14ac:dyDescent="0.3">
      <c r="A33" s="175" t="s">
        <v>86</v>
      </c>
      <c r="B33" s="176">
        <v>12291384.620000001</v>
      </c>
      <c r="C33" s="176">
        <v>8743829.9400000013</v>
      </c>
      <c r="D33" s="176">
        <v>2578612.0499999998</v>
      </c>
      <c r="E33" s="176">
        <v>3275662.5</v>
      </c>
      <c r="F33" s="176">
        <v>252849.6</v>
      </c>
      <c r="G33" s="176">
        <v>0</v>
      </c>
      <c r="H33" s="176">
        <v>0</v>
      </c>
      <c r="I33" s="176">
        <v>0</v>
      </c>
      <c r="J33" s="176">
        <v>0</v>
      </c>
      <c r="K33" s="176">
        <v>0</v>
      </c>
      <c r="L33" s="176">
        <v>0</v>
      </c>
      <c r="M33" s="176">
        <v>0</v>
      </c>
      <c r="N33" s="177">
        <f t="shared" ca="1" si="0"/>
        <v>27142338.710000005</v>
      </c>
    </row>
    <row r="34" spans="1:14" ht="15" hidden="1" customHeight="1" x14ac:dyDescent="0.3">
      <c r="A34" s="175" t="s">
        <v>87</v>
      </c>
      <c r="B34" s="176">
        <v>12127330.549999997</v>
      </c>
      <c r="C34" s="176">
        <v>8976720.9899999984</v>
      </c>
      <c r="D34" s="176">
        <v>5781847.9800000004</v>
      </c>
      <c r="E34" s="176">
        <v>4581523.4800000004</v>
      </c>
      <c r="F34" s="176">
        <v>1207434.81</v>
      </c>
      <c r="G34" s="176">
        <v>0</v>
      </c>
      <c r="H34" s="176">
        <v>0</v>
      </c>
      <c r="I34" s="176">
        <v>0</v>
      </c>
      <c r="J34" s="176">
        <v>0</v>
      </c>
      <c r="K34" s="176">
        <v>0</v>
      </c>
      <c r="L34" s="176">
        <v>0</v>
      </c>
      <c r="M34" s="176">
        <v>0</v>
      </c>
      <c r="N34" s="177">
        <f t="shared" ca="1" si="0"/>
        <v>32674857.809999995</v>
      </c>
    </row>
    <row r="35" spans="1:14" ht="15" hidden="1" customHeight="1" x14ac:dyDescent="0.3">
      <c r="A35" s="175" t="s">
        <v>88</v>
      </c>
      <c r="B35" s="176">
        <v>3532091.0600000005</v>
      </c>
      <c r="C35" s="176">
        <v>3874886.63</v>
      </c>
      <c r="D35" s="176">
        <v>4870278.1700000009</v>
      </c>
      <c r="E35" s="176">
        <v>5979587.6699999999</v>
      </c>
      <c r="F35" s="176">
        <v>997510</v>
      </c>
      <c r="G35" s="176">
        <v>0</v>
      </c>
      <c r="H35" s="176">
        <v>0</v>
      </c>
      <c r="I35" s="176">
        <v>0</v>
      </c>
      <c r="J35" s="176">
        <v>0</v>
      </c>
      <c r="K35" s="176">
        <v>0</v>
      </c>
      <c r="L35" s="176">
        <v>0</v>
      </c>
      <c r="M35" s="176">
        <v>0</v>
      </c>
      <c r="N35" s="177">
        <f t="shared" ca="1" si="0"/>
        <v>19254353.530000001</v>
      </c>
    </row>
    <row r="36" spans="1:14" ht="15" hidden="1" customHeight="1" x14ac:dyDescent="0.3">
      <c r="A36" s="175" t="s">
        <v>89</v>
      </c>
      <c r="B36" s="176">
        <v>1422344.7399999998</v>
      </c>
      <c r="C36" s="176">
        <v>2161077.27</v>
      </c>
      <c r="D36" s="176">
        <v>511954.94999999995</v>
      </c>
      <c r="E36" s="176">
        <v>1772740.74</v>
      </c>
      <c r="F36" s="176">
        <v>165973</v>
      </c>
      <c r="G36" s="176">
        <v>0</v>
      </c>
      <c r="H36" s="176">
        <v>0</v>
      </c>
      <c r="I36" s="176">
        <v>0</v>
      </c>
      <c r="J36" s="176">
        <v>0</v>
      </c>
      <c r="K36" s="176">
        <v>0</v>
      </c>
      <c r="L36" s="176">
        <v>0</v>
      </c>
      <c r="M36" s="176">
        <v>0</v>
      </c>
      <c r="N36" s="177">
        <f t="shared" ca="1" si="0"/>
        <v>6034090.7000000002</v>
      </c>
    </row>
    <row r="37" spans="1:14" ht="15" hidden="1" customHeight="1" x14ac:dyDescent="0.3">
      <c r="A37" s="175" t="s">
        <v>90</v>
      </c>
      <c r="B37" s="176">
        <v>3040012.9299999997</v>
      </c>
      <c r="C37" s="176">
        <v>946311</v>
      </c>
      <c r="D37" s="176">
        <v>1179632.98</v>
      </c>
      <c r="E37" s="176">
        <v>3590981.22</v>
      </c>
      <c r="F37" s="176">
        <v>219653</v>
      </c>
      <c r="G37" s="176">
        <v>0</v>
      </c>
      <c r="H37" s="176">
        <v>0</v>
      </c>
      <c r="I37" s="176">
        <v>0</v>
      </c>
      <c r="J37" s="176">
        <v>0</v>
      </c>
      <c r="K37" s="176">
        <v>0</v>
      </c>
      <c r="L37" s="176">
        <v>0</v>
      </c>
      <c r="M37" s="176">
        <v>0</v>
      </c>
      <c r="N37" s="177">
        <f t="shared" ca="1" si="0"/>
        <v>8976591.1300000008</v>
      </c>
    </row>
    <row r="38" spans="1:14" ht="15" hidden="1" customHeight="1" x14ac:dyDescent="0.3">
      <c r="A38" s="175" t="s">
        <v>91</v>
      </c>
      <c r="B38" s="176">
        <v>2680436.13</v>
      </c>
      <c r="C38" s="176">
        <v>1693284.72</v>
      </c>
      <c r="D38" s="176">
        <v>3832349</v>
      </c>
      <c r="E38" s="176">
        <v>2689783.2600000002</v>
      </c>
      <c r="F38" s="176">
        <v>404676.27</v>
      </c>
      <c r="G38" s="176">
        <v>0</v>
      </c>
      <c r="H38" s="176">
        <v>0</v>
      </c>
      <c r="I38" s="176">
        <v>0</v>
      </c>
      <c r="J38" s="176">
        <v>0</v>
      </c>
      <c r="K38" s="176">
        <v>0</v>
      </c>
      <c r="L38" s="176">
        <v>0</v>
      </c>
      <c r="M38" s="176">
        <v>0</v>
      </c>
      <c r="N38" s="177">
        <f t="shared" ca="1" si="0"/>
        <v>11300529.379999999</v>
      </c>
    </row>
    <row r="39" spans="1:14" ht="15" hidden="1" customHeight="1" x14ac:dyDescent="0.3">
      <c r="A39" s="175" t="s">
        <v>92</v>
      </c>
      <c r="B39" s="176">
        <v>3351812.15</v>
      </c>
      <c r="C39" s="176">
        <v>2577804.37</v>
      </c>
      <c r="D39" s="176">
        <v>3544549.5100000002</v>
      </c>
      <c r="E39" s="176">
        <v>1554234.1</v>
      </c>
      <c r="F39" s="176">
        <v>491803</v>
      </c>
      <c r="G39" s="176">
        <v>0</v>
      </c>
      <c r="H39" s="176">
        <v>0</v>
      </c>
      <c r="I39" s="176">
        <v>0</v>
      </c>
      <c r="J39" s="176">
        <v>0</v>
      </c>
      <c r="K39" s="176">
        <v>0</v>
      </c>
      <c r="L39" s="176">
        <v>0</v>
      </c>
      <c r="M39" s="176">
        <v>0</v>
      </c>
      <c r="N39" s="177">
        <f t="shared" ca="1" si="0"/>
        <v>11520203.129999999</v>
      </c>
    </row>
    <row r="40" spans="1:14" ht="15" hidden="1" customHeight="1" x14ac:dyDescent="0.3">
      <c r="A40" s="179" t="s">
        <v>93</v>
      </c>
      <c r="B40" s="176">
        <v>5465881.9400000004</v>
      </c>
      <c r="C40" s="176">
        <v>2344897.4500000002</v>
      </c>
      <c r="D40" s="176">
        <v>2032224.52</v>
      </c>
      <c r="E40" s="176">
        <v>2893692.24</v>
      </c>
      <c r="F40" s="176">
        <v>321527</v>
      </c>
      <c r="G40" s="176">
        <v>0</v>
      </c>
      <c r="H40" s="176">
        <v>0</v>
      </c>
      <c r="I40" s="176">
        <v>0</v>
      </c>
      <c r="J40" s="176">
        <v>0</v>
      </c>
      <c r="K40" s="176">
        <v>0</v>
      </c>
      <c r="L40" s="176">
        <v>0</v>
      </c>
      <c r="M40" s="176">
        <v>0</v>
      </c>
      <c r="N40" s="177">
        <f t="shared" ca="1" si="0"/>
        <v>13058223.15</v>
      </c>
    </row>
    <row r="41" spans="1:14" ht="15" hidden="1" customHeight="1" x14ac:dyDescent="0.3">
      <c r="A41" s="175" t="s">
        <v>94</v>
      </c>
      <c r="B41" s="176">
        <v>17231247.289999999</v>
      </c>
      <c r="C41" s="176">
        <v>12842081.83</v>
      </c>
      <c r="D41" s="176">
        <v>4693763.4399999995</v>
      </c>
      <c r="E41" s="176">
        <v>7944493.7300000004</v>
      </c>
      <c r="F41" s="176">
        <v>1050000</v>
      </c>
      <c r="G41" s="176">
        <v>0</v>
      </c>
      <c r="H41" s="176">
        <v>0</v>
      </c>
      <c r="I41" s="176">
        <v>0</v>
      </c>
      <c r="J41" s="176">
        <v>0</v>
      </c>
      <c r="K41" s="176">
        <v>0</v>
      </c>
      <c r="L41" s="176">
        <v>0</v>
      </c>
      <c r="M41" s="176">
        <v>0</v>
      </c>
      <c r="N41" s="177">
        <f t="shared" ca="1" si="0"/>
        <v>43761586.289999992</v>
      </c>
    </row>
    <row r="42" spans="1:14" ht="15" hidden="1" customHeight="1" x14ac:dyDescent="0.3">
      <c r="A42" s="175" t="s">
        <v>95</v>
      </c>
      <c r="B42" s="176">
        <v>43371091.500000015</v>
      </c>
      <c r="C42" s="176">
        <v>20665894.520000003</v>
      </c>
      <c r="D42" s="176">
        <v>26582725.590000011</v>
      </c>
      <c r="E42" s="176">
        <v>17759874.710000001</v>
      </c>
      <c r="F42" s="176">
        <v>2846702.87</v>
      </c>
      <c r="G42" s="176">
        <v>0</v>
      </c>
      <c r="H42" s="176">
        <v>0</v>
      </c>
      <c r="I42" s="176">
        <v>0</v>
      </c>
      <c r="J42" s="176">
        <v>0</v>
      </c>
      <c r="K42" s="176">
        <v>0</v>
      </c>
      <c r="L42" s="176">
        <v>0</v>
      </c>
      <c r="M42" s="176">
        <v>0</v>
      </c>
      <c r="N42" s="177">
        <f t="shared" ca="1" si="0"/>
        <v>111226289.19000003</v>
      </c>
    </row>
    <row r="43" spans="1:14" ht="15" hidden="1" customHeight="1" x14ac:dyDescent="0.3">
      <c r="A43" s="175" t="s">
        <v>96</v>
      </c>
      <c r="B43" s="176">
        <v>16309968.279999999</v>
      </c>
      <c r="C43" s="176">
        <v>12508534.9</v>
      </c>
      <c r="D43" s="176">
        <v>3817437.2399999998</v>
      </c>
      <c r="E43" s="176">
        <v>5210233.1500000013</v>
      </c>
      <c r="F43" s="176">
        <v>1174955</v>
      </c>
      <c r="G43" s="176">
        <v>0</v>
      </c>
      <c r="H43" s="176">
        <v>0</v>
      </c>
      <c r="I43" s="176">
        <v>0</v>
      </c>
      <c r="J43" s="176">
        <v>0</v>
      </c>
      <c r="K43" s="176">
        <v>0</v>
      </c>
      <c r="L43" s="176">
        <v>0</v>
      </c>
      <c r="M43" s="176">
        <v>0</v>
      </c>
      <c r="N43" s="177">
        <f t="shared" ca="1" si="0"/>
        <v>39021128.57</v>
      </c>
    </row>
    <row r="44" spans="1:14" ht="15" hidden="1" customHeight="1" x14ac:dyDescent="0.3">
      <c r="A44" s="175" t="s">
        <v>97</v>
      </c>
      <c r="B44" s="176">
        <v>5556146.5999999996</v>
      </c>
      <c r="C44" s="176">
        <v>9417515.1099999994</v>
      </c>
      <c r="D44" s="176">
        <v>5375468.6499999994</v>
      </c>
      <c r="E44" s="176">
        <v>6719526.6600000001</v>
      </c>
      <c r="F44" s="176">
        <v>53025</v>
      </c>
      <c r="G44" s="176">
        <v>0</v>
      </c>
      <c r="H44" s="176">
        <v>0</v>
      </c>
      <c r="I44" s="176">
        <v>0</v>
      </c>
      <c r="J44" s="176">
        <v>0</v>
      </c>
      <c r="K44" s="176">
        <v>0</v>
      </c>
      <c r="L44" s="176">
        <v>0</v>
      </c>
      <c r="M44" s="176">
        <v>0</v>
      </c>
      <c r="N44" s="177">
        <f t="shared" ca="1" si="0"/>
        <v>27121682.02</v>
      </c>
    </row>
    <row r="45" spans="1:14" ht="15" hidden="1" customHeight="1" x14ac:dyDescent="0.3">
      <c r="A45" s="175" t="s">
        <v>98</v>
      </c>
      <c r="B45" s="176">
        <v>4519916.9499999993</v>
      </c>
      <c r="C45" s="176">
        <v>16179023.030000001</v>
      </c>
      <c r="D45" s="176">
        <v>4502454.5</v>
      </c>
      <c r="E45" s="176">
        <v>6548080.6299999999</v>
      </c>
      <c r="F45" s="176">
        <v>3936422</v>
      </c>
      <c r="G45" s="176">
        <v>0</v>
      </c>
      <c r="H45" s="176">
        <v>0</v>
      </c>
      <c r="I45" s="176">
        <v>0</v>
      </c>
      <c r="J45" s="176">
        <v>0</v>
      </c>
      <c r="K45" s="176">
        <v>0</v>
      </c>
      <c r="L45" s="176">
        <v>0</v>
      </c>
      <c r="M45" s="176">
        <v>0</v>
      </c>
      <c r="N45" s="177">
        <f t="shared" ca="1" si="0"/>
        <v>35685897.109999999</v>
      </c>
    </row>
    <row r="46" spans="1:14" ht="15" hidden="1" customHeight="1" x14ac:dyDescent="0.3">
      <c r="A46" s="175" t="s">
        <v>99</v>
      </c>
      <c r="B46" s="176">
        <v>3375177.9699999997</v>
      </c>
      <c r="C46" s="176">
        <v>3104897.0900000003</v>
      </c>
      <c r="D46" s="176">
        <v>1009472.04</v>
      </c>
      <c r="E46" s="176">
        <v>600346.06999999995</v>
      </c>
      <c r="F46" s="176">
        <v>378232.87</v>
      </c>
      <c r="G46" s="176">
        <v>0</v>
      </c>
      <c r="H46" s="176">
        <v>0</v>
      </c>
      <c r="I46" s="176">
        <v>0</v>
      </c>
      <c r="J46" s="176">
        <v>0</v>
      </c>
      <c r="K46" s="176">
        <v>0</v>
      </c>
      <c r="L46" s="176">
        <v>0</v>
      </c>
      <c r="M46" s="176">
        <v>0</v>
      </c>
      <c r="N46" s="177">
        <f t="shared" ca="1" si="0"/>
        <v>8468126.040000001</v>
      </c>
    </row>
    <row r="47" spans="1:14" ht="15" hidden="1" customHeight="1" x14ac:dyDescent="0.3">
      <c r="A47" s="175" t="s">
        <v>100</v>
      </c>
      <c r="B47" s="176">
        <v>5157995.32</v>
      </c>
      <c r="C47" s="176">
        <v>3502725.0999999996</v>
      </c>
      <c r="D47" s="176">
        <v>2010265.14</v>
      </c>
      <c r="E47" s="176">
        <v>1321981.3999999999</v>
      </c>
      <c r="F47" s="176">
        <v>1000</v>
      </c>
      <c r="G47" s="176">
        <v>0</v>
      </c>
      <c r="H47" s="176">
        <v>0</v>
      </c>
      <c r="I47" s="176">
        <v>0</v>
      </c>
      <c r="J47" s="176">
        <v>0</v>
      </c>
      <c r="K47" s="176">
        <v>0</v>
      </c>
      <c r="L47" s="176">
        <v>0</v>
      </c>
      <c r="M47" s="176">
        <v>0</v>
      </c>
      <c r="N47" s="177">
        <f t="shared" ca="1" si="0"/>
        <v>11993966.960000001</v>
      </c>
    </row>
    <row r="48" spans="1:14" ht="15" hidden="1" customHeight="1" x14ac:dyDescent="0.3">
      <c r="A48" s="175" t="s">
        <v>101</v>
      </c>
      <c r="B48" s="176">
        <v>5565037.7400000002</v>
      </c>
      <c r="C48" s="176">
        <v>5305589.37</v>
      </c>
      <c r="D48" s="176">
        <v>4169532.71</v>
      </c>
      <c r="E48" s="176">
        <v>2423422.1900000004</v>
      </c>
      <c r="F48" s="176">
        <v>753537.31</v>
      </c>
      <c r="G48" s="176">
        <v>0</v>
      </c>
      <c r="H48" s="176">
        <v>0</v>
      </c>
      <c r="I48" s="176">
        <v>0</v>
      </c>
      <c r="J48" s="176">
        <v>0</v>
      </c>
      <c r="K48" s="176">
        <v>0</v>
      </c>
      <c r="L48" s="176">
        <v>0</v>
      </c>
      <c r="M48" s="176">
        <v>0</v>
      </c>
      <c r="N48" s="177">
        <f t="shared" ca="1" si="0"/>
        <v>18217119.32</v>
      </c>
    </row>
    <row r="49" spans="1:14" ht="15" hidden="1" customHeight="1" x14ac:dyDescent="0.3">
      <c r="A49" s="175" t="s">
        <v>102</v>
      </c>
      <c r="B49" s="176">
        <v>8164773.1200000001</v>
      </c>
      <c r="C49" s="176">
        <v>7571277.0499999998</v>
      </c>
      <c r="D49" s="176">
        <v>3215557.15</v>
      </c>
      <c r="E49" s="176">
        <v>2232486.5</v>
      </c>
      <c r="F49" s="176">
        <v>371856</v>
      </c>
      <c r="G49" s="176">
        <v>0</v>
      </c>
      <c r="H49" s="176">
        <v>0</v>
      </c>
      <c r="I49" s="176">
        <v>0</v>
      </c>
      <c r="J49" s="176">
        <v>0</v>
      </c>
      <c r="K49" s="176">
        <v>0</v>
      </c>
      <c r="L49" s="176">
        <v>0</v>
      </c>
      <c r="M49" s="176">
        <v>0</v>
      </c>
      <c r="N49" s="177">
        <f t="shared" ca="1" si="0"/>
        <v>21555949.82</v>
      </c>
    </row>
    <row r="50" spans="1:14" ht="15" hidden="1" customHeight="1" x14ac:dyDescent="0.3">
      <c r="A50" s="175" t="s">
        <v>103</v>
      </c>
      <c r="B50" s="176">
        <v>10534513.970000001</v>
      </c>
      <c r="C50" s="176">
        <v>6936427.9499999993</v>
      </c>
      <c r="D50" s="176">
        <v>3844464.9899999998</v>
      </c>
      <c r="E50" s="176">
        <v>6200816.0099999998</v>
      </c>
      <c r="F50" s="176">
        <v>452921.99</v>
      </c>
      <c r="G50" s="176">
        <v>0</v>
      </c>
      <c r="H50" s="176">
        <v>0</v>
      </c>
      <c r="I50" s="176">
        <v>0</v>
      </c>
      <c r="J50" s="176">
        <v>0</v>
      </c>
      <c r="K50" s="176">
        <v>0</v>
      </c>
      <c r="L50" s="176">
        <v>0</v>
      </c>
      <c r="M50" s="176">
        <v>0</v>
      </c>
      <c r="N50" s="177">
        <f t="shared" ca="1" si="0"/>
        <v>27969144.91</v>
      </c>
    </row>
    <row r="51" spans="1:14" ht="15" hidden="1" customHeight="1" x14ac:dyDescent="0.3">
      <c r="A51" s="175" t="s">
        <v>104</v>
      </c>
      <c r="B51" s="176">
        <v>13806584.980000002</v>
      </c>
      <c r="C51" s="176">
        <v>12175448.9</v>
      </c>
      <c r="D51" s="176">
        <v>6869813.6500000004</v>
      </c>
      <c r="E51" s="176">
        <v>3716961.5</v>
      </c>
      <c r="F51" s="176">
        <v>571507.02</v>
      </c>
      <c r="G51" s="176">
        <v>0</v>
      </c>
      <c r="H51" s="176">
        <v>0</v>
      </c>
      <c r="I51" s="176">
        <v>0</v>
      </c>
      <c r="J51" s="176">
        <v>0</v>
      </c>
      <c r="K51" s="176">
        <v>0</v>
      </c>
      <c r="L51" s="176">
        <v>0</v>
      </c>
      <c r="M51" s="176">
        <v>0</v>
      </c>
      <c r="N51" s="177">
        <f t="shared" ca="1" si="0"/>
        <v>37140316.050000004</v>
      </c>
    </row>
    <row r="52" spans="1:14" ht="15" hidden="1" customHeight="1" x14ac:dyDescent="0.3">
      <c r="A52" s="180" t="s">
        <v>105</v>
      </c>
      <c r="B52" s="176">
        <f t="shared" ref="B52:N52" ca="1" si="1">SUM(B7:B50)</f>
        <v>293698497.08000004</v>
      </c>
      <c r="C52" s="176">
        <f t="shared" ca="1" si="1"/>
        <v>195621715.69000003</v>
      </c>
      <c r="D52" s="176">
        <f t="shared" ca="1" si="1"/>
        <v>150216753.54000005</v>
      </c>
      <c r="E52" s="176">
        <f t="shared" ca="1" si="1"/>
        <v>177200901.10999998</v>
      </c>
      <c r="F52" s="176">
        <f t="shared" ca="1" si="1"/>
        <v>23562710.459999997</v>
      </c>
      <c r="G52" s="176">
        <f t="shared" ca="1" si="1"/>
        <v>0</v>
      </c>
      <c r="H52" s="176">
        <f t="shared" ca="1" si="1"/>
        <v>0</v>
      </c>
      <c r="I52" s="176">
        <f t="shared" ca="1" si="1"/>
        <v>0</v>
      </c>
      <c r="J52" s="176">
        <f t="shared" ca="1" si="1"/>
        <v>0</v>
      </c>
      <c r="K52" s="176">
        <f t="shared" ca="1" si="1"/>
        <v>0</v>
      </c>
      <c r="L52" s="176">
        <f t="shared" ca="1" si="1"/>
        <v>0</v>
      </c>
      <c r="M52" s="176">
        <f t="shared" ca="1" si="1"/>
        <v>0</v>
      </c>
      <c r="N52" s="176">
        <f t="shared" ca="1" si="1"/>
        <v>840300577.88000011</v>
      </c>
    </row>
    <row r="53" spans="1:14" ht="15" hidden="1" customHeight="1" x14ac:dyDescent="0.3">
      <c r="A53" s="181" t="s">
        <v>106</v>
      </c>
      <c r="B53" s="176">
        <v>0</v>
      </c>
      <c r="C53" s="176">
        <v>0</v>
      </c>
      <c r="D53" s="176">
        <v>0</v>
      </c>
      <c r="E53" s="176">
        <v>0</v>
      </c>
      <c r="F53" s="176">
        <v>0</v>
      </c>
      <c r="G53" s="176">
        <v>0</v>
      </c>
      <c r="H53" s="176">
        <v>0</v>
      </c>
      <c r="I53" s="176">
        <v>0</v>
      </c>
      <c r="J53" s="176">
        <v>0</v>
      </c>
      <c r="K53" s="176">
        <v>0</v>
      </c>
      <c r="L53" s="176">
        <v>0</v>
      </c>
      <c r="M53" s="176">
        <v>0</v>
      </c>
      <c r="N53" s="177">
        <f ca="1">SUM(B53:M53)</f>
        <v>0</v>
      </c>
    </row>
    <row r="54" spans="1:14" ht="15" hidden="1" customHeight="1" x14ac:dyDescent="0.3">
      <c r="A54" s="181" t="s">
        <v>107</v>
      </c>
      <c r="B54" s="182">
        <v>0</v>
      </c>
      <c r="C54" s="182">
        <v>0</v>
      </c>
      <c r="D54" s="182">
        <v>0</v>
      </c>
      <c r="E54" s="182">
        <v>0</v>
      </c>
      <c r="F54" s="182">
        <v>0</v>
      </c>
      <c r="G54" s="182">
        <v>0</v>
      </c>
      <c r="H54" s="182">
        <v>0</v>
      </c>
      <c r="I54" s="182">
        <v>0</v>
      </c>
      <c r="J54" s="182">
        <v>0</v>
      </c>
      <c r="K54" s="182">
        <v>0</v>
      </c>
      <c r="L54" s="182">
        <v>0</v>
      </c>
      <c r="M54" s="182">
        <v>0</v>
      </c>
      <c r="N54" s="177">
        <f ca="1">SUM(B54:M54)</f>
        <v>0</v>
      </c>
    </row>
    <row r="55" spans="1:14" ht="14.7" hidden="1" customHeight="1" thickBot="1" x14ac:dyDescent="0.35">
      <c r="A55" s="183" t="s">
        <v>4</v>
      </c>
      <c r="B55" s="184">
        <f ca="1">SUM(B52:B54)</f>
        <v>293698497.08000004</v>
      </c>
      <c r="C55" s="184">
        <f t="shared" ref="C55:N55" ca="1" si="2">SUM(C52:C54)</f>
        <v>195621715.69000003</v>
      </c>
      <c r="D55" s="184">
        <f t="shared" ca="1" si="2"/>
        <v>150216753.54000005</v>
      </c>
      <c r="E55" s="184">
        <f t="shared" ca="1" si="2"/>
        <v>177200901.10999998</v>
      </c>
      <c r="F55" s="184">
        <f t="shared" ca="1" si="2"/>
        <v>23562710.459999997</v>
      </c>
      <c r="G55" s="184">
        <f t="shared" ca="1" si="2"/>
        <v>0</v>
      </c>
      <c r="H55" s="184">
        <f t="shared" ca="1" si="2"/>
        <v>0</v>
      </c>
      <c r="I55" s="184">
        <f t="shared" ca="1" si="2"/>
        <v>0</v>
      </c>
      <c r="J55" s="184">
        <f t="shared" ca="1" si="2"/>
        <v>0</v>
      </c>
      <c r="K55" s="184">
        <f t="shared" ca="1" si="2"/>
        <v>0</v>
      </c>
      <c r="L55" s="184">
        <f t="shared" ca="1" si="2"/>
        <v>0</v>
      </c>
      <c r="M55" s="184">
        <f t="shared" ca="1" si="2"/>
        <v>0</v>
      </c>
      <c r="N55" s="185">
        <f t="shared" ca="1" si="2"/>
        <v>840300577.88000011</v>
      </c>
    </row>
    <row r="56" spans="1:14" ht="14.7" customHeight="1" thickBot="1" x14ac:dyDescent="0.35">
      <c r="A56" s="161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63"/>
    </row>
    <row r="57" spans="1:14" ht="14.7" customHeight="1" x14ac:dyDescent="0.3">
      <c r="A57" s="187" t="s">
        <v>53</v>
      </c>
      <c r="B57" s="188" t="s">
        <v>54</v>
      </c>
      <c r="C57" s="188" t="s">
        <v>55</v>
      </c>
      <c r="D57" s="188" t="s">
        <v>44</v>
      </c>
      <c r="E57" s="188" t="s">
        <v>56</v>
      </c>
      <c r="F57" s="188" t="s">
        <v>25</v>
      </c>
      <c r="G57" s="188" t="s">
        <v>57</v>
      </c>
      <c r="H57" s="188" t="s">
        <v>29</v>
      </c>
      <c r="I57" s="188" t="s">
        <v>30</v>
      </c>
      <c r="J57" s="188" t="s">
        <v>58</v>
      </c>
      <c r="K57" s="189" t="s">
        <v>33</v>
      </c>
      <c r="L57" s="189" t="s">
        <v>34</v>
      </c>
      <c r="M57" s="189" t="s">
        <v>35</v>
      </c>
      <c r="N57" s="190" t="s">
        <v>59</v>
      </c>
    </row>
    <row r="58" spans="1:14" ht="14.7" customHeight="1" x14ac:dyDescent="0.3">
      <c r="A58" s="175" t="s">
        <v>60</v>
      </c>
      <c r="B58" s="176">
        <v>51041</v>
      </c>
      <c r="C58" s="176">
        <v>0</v>
      </c>
      <c r="D58" s="176">
        <v>0</v>
      </c>
      <c r="E58" s="176">
        <v>500</v>
      </c>
      <c r="F58" s="176">
        <v>0</v>
      </c>
      <c r="G58" s="176">
        <v>0</v>
      </c>
      <c r="H58" s="176">
        <v>0</v>
      </c>
      <c r="I58" s="176">
        <v>0</v>
      </c>
      <c r="J58" s="176">
        <v>0</v>
      </c>
      <c r="K58" s="176">
        <v>0</v>
      </c>
      <c r="L58" s="176">
        <v>0</v>
      </c>
      <c r="M58" s="176">
        <v>0</v>
      </c>
      <c r="N58" s="177">
        <f t="shared" ref="N58:N107" ca="1" si="3">SUM(B58:M58)</f>
        <v>51541</v>
      </c>
    </row>
    <row r="59" spans="1:14" ht="14.7" customHeight="1" x14ac:dyDescent="0.3">
      <c r="A59" s="178" t="s">
        <v>61</v>
      </c>
      <c r="B59" s="176">
        <v>1625</v>
      </c>
      <c r="C59" s="176">
        <v>500</v>
      </c>
      <c r="D59" s="176">
        <v>0</v>
      </c>
      <c r="E59" s="176">
        <v>2225</v>
      </c>
      <c r="F59" s="176">
        <v>0</v>
      </c>
      <c r="G59" s="176">
        <v>0</v>
      </c>
      <c r="H59" s="176">
        <v>0</v>
      </c>
      <c r="I59" s="176">
        <v>0</v>
      </c>
      <c r="J59" s="176">
        <v>0</v>
      </c>
      <c r="K59" s="176">
        <v>0</v>
      </c>
      <c r="L59" s="176">
        <v>0</v>
      </c>
      <c r="M59" s="176">
        <v>0</v>
      </c>
      <c r="N59" s="191">
        <f t="shared" ca="1" si="3"/>
        <v>4350</v>
      </c>
    </row>
    <row r="60" spans="1:14" ht="14.7" customHeight="1" x14ac:dyDescent="0.3">
      <c r="A60" s="178" t="s">
        <v>62</v>
      </c>
      <c r="B60" s="176">
        <v>30365</v>
      </c>
      <c r="C60" s="176">
        <v>155500</v>
      </c>
      <c r="D60" s="176">
        <v>98050.760000000009</v>
      </c>
      <c r="E60" s="176">
        <v>0</v>
      </c>
      <c r="F60" s="176">
        <v>0</v>
      </c>
      <c r="G60" s="176">
        <v>0</v>
      </c>
      <c r="H60" s="176">
        <v>0</v>
      </c>
      <c r="I60" s="176">
        <v>0</v>
      </c>
      <c r="J60" s="176">
        <v>0</v>
      </c>
      <c r="K60" s="176">
        <v>0</v>
      </c>
      <c r="L60" s="176">
        <v>0</v>
      </c>
      <c r="M60" s="176">
        <v>0</v>
      </c>
      <c r="N60" s="191">
        <f t="shared" ca="1" si="3"/>
        <v>283915.76</v>
      </c>
    </row>
    <row r="61" spans="1:14" ht="14.7" customHeight="1" x14ac:dyDescent="0.3">
      <c r="A61" s="178" t="s">
        <v>63</v>
      </c>
      <c r="B61" s="176">
        <v>500</v>
      </c>
      <c r="C61" s="176">
        <v>7455</v>
      </c>
      <c r="D61" s="176">
        <v>258420</v>
      </c>
      <c r="E61" s="176">
        <v>61803</v>
      </c>
      <c r="F61" s="176">
        <v>0</v>
      </c>
      <c r="G61" s="176">
        <v>0</v>
      </c>
      <c r="H61" s="176">
        <v>0</v>
      </c>
      <c r="I61" s="176">
        <v>0</v>
      </c>
      <c r="J61" s="176">
        <v>0</v>
      </c>
      <c r="K61" s="176">
        <v>0</v>
      </c>
      <c r="L61" s="176">
        <v>0</v>
      </c>
      <c r="M61" s="176">
        <v>0</v>
      </c>
      <c r="N61" s="191">
        <f t="shared" ca="1" si="3"/>
        <v>328178</v>
      </c>
    </row>
    <row r="62" spans="1:14" ht="14.7" customHeight="1" x14ac:dyDescent="0.3">
      <c r="A62" s="178" t="s">
        <v>65</v>
      </c>
      <c r="B62" s="176">
        <v>481802.23</v>
      </c>
      <c r="C62" s="176">
        <v>186348.37999999998</v>
      </c>
      <c r="D62" s="176">
        <v>464448.99999999988</v>
      </c>
      <c r="E62" s="176">
        <v>74345.659999999974</v>
      </c>
      <c r="F62" s="176">
        <v>33532.569999999992</v>
      </c>
      <c r="G62" s="176">
        <v>0</v>
      </c>
      <c r="H62" s="176">
        <v>0</v>
      </c>
      <c r="I62" s="176">
        <v>0</v>
      </c>
      <c r="J62" s="176">
        <v>0</v>
      </c>
      <c r="K62" s="176">
        <v>0</v>
      </c>
      <c r="L62" s="176">
        <v>0</v>
      </c>
      <c r="M62" s="176">
        <v>0</v>
      </c>
      <c r="N62" s="191">
        <f t="shared" ca="1" si="3"/>
        <v>1240477.8399999999</v>
      </c>
    </row>
    <row r="63" spans="1:14" ht="14.7" customHeight="1" x14ac:dyDescent="0.3">
      <c r="A63" s="178" t="s">
        <v>66</v>
      </c>
      <c r="B63" s="176">
        <v>0</v>
      </c>
      <c r="C63" s="176">
        <v>0</v>
      </c>
      <c r="D63" s="176">
        <v>1000</v>
      </c>
      <c r="E63" s="176">
        <v>0</v>
      </c>
      <c r="F63" s="176">
        <v>0</v>
      </c>
      <c r="G63" s="176">
        <v>0</v>
      </c>
      <c r="H63" s="176">
        <v>0</v>
      </c>
      <c r="I63" s="176">
        <v>0</v>
      </c>
      <c r="J63" s="176">
        <v>0</v>
      </c>
      <c r="K63" s="176">
        <v>0</v>
      </c>
      <c r="L63" s="176">
        <v>0</v>
      </c>
      <c r="M63" s="176">
        <v>0</v>
      </c>
      <c r="N63" s="191">
        <f t="shared" ca="1" si="3"/>
        <v>1000</v>
      </c>
    </row>
    <row r="64" spans="1:14" ht="14.7" customHeight="1" x14ac:dyDescent="0.3">
      <c r="A64" s="178" t="s">
        <v>67</v>
      </c>
      <c r="B64" s="176">
        <v>500</v>
      </c>
      <c r="C64" s="176">
        <v>500</v>
      </c>
      <c r="D64" s="176">
        <v>0</v>
      </c>
      <c r="E64" s="176">
        <v>0</v>
      </c>
      <c r="F64" s="176">
        <v>0</v>
      </c>
      <c r="G64" s="176">
        <v>0</v>
      </c>
      <c r="H64" s="176">
        <v>0</v>
      </c>
      <c r="I64" s="176">
        <v>0</v>
      </c>
      <c r="J64" s="176">
        <v>0</v>
      </c>
      <c r="K64" s="176">
        <v>0</v>
      </c>
      <c r="L64" s="176">
        <v>0</v>
      </c>
      <c r="M64" s="176">
        <v>0</v>
      </c>
      <c r="N64" s="191">
        <f t="shared" ca="1" si="3"/>
        <v>1000</v>
      </c>
    </row>
    <row r="65" spans="1:14" ht="14.7" customHeight="1" x14ac:dyDescent="0.3">
      <c r="A65" s="178" t="s">
        <v>68</v>
      </c>
      <c r="B65" s="176">
        <v>500</v>
      </c>
      <c r="C65" s="176">
        <v>0</v>
      </c>
      <c r="D65" s="176">
        <v>474250</v>
      </c>
      <c r="E65" s="176">
        <v>0</v>
      </c>
      <c r="F65" s="176">
        <v>0</v>
      </c>
      <c r="G65" s="176">
        <v>0</v>
      </c>
      <c r="H65" s="176">
        <v>0</v>
      </c>
      <c r="I65" s="176">
        <v>0</v>
      </c>
      <c r="J65" s="176">
        <v>0</v>
      </c>
      <c r="K65" s="176">
        <v>0</v>
      </c>
      <c r="L65" s="176">
        <v>0</v>
      </c>
      <c r="M65" s="176">
        <v>0</v>
      </c>
      <c r="N65" s="191">
        <f t="shared" ca="1" si="3"/>
        <v>474750</v>
      </c>
    </row>
    <row r="66" spans="1:14" ht="14.7" customHeight="1" x14ac:dyDescent="0.3">
      <c r="A66" s="178" t="s">
        <v>69</v>
      </c>
      <c r="B66" s="176">
        <v>0</v>
      </c>
      <c r="C66" s="176">
        <v>4500963</v>
      </c>
      <c r="D66" s="176">
        <v>4852837</v>
      </c>
      <c r="E66" s="176">
        <v>1522969</v>
      </c>
      <c r="F66" s="176">
        <v>1000000</v>
      </c>
      <c r="G66" s="176">
        <v>0</v>
      </c>
      <c r="H66" s="176">
        <v>0</v>
      </c>
      <c r="I66" s="176">
        <v>0</v>
      </c>
      <c r="J66" s="176">
        <v>0</v>
      </c>
      <c r="K66" s="176">
        <v>0</v>
      </c>
      <c r="L66" s="176">
        <v>0</v>
      </c>
      <c r="M66" s="176">
        <v>0</v>
      </c>
      <c r="N66" s="191">
        <f t="shared" ca="1" si="3"/>
        <v>11876769</v>
      </c>
    </row>
    <row r="67" spans="1:14" ht="14.7" customHeight="1" x14ac:dyDescent="0.3">
      <c r="A67" s="178" t="s">
        <v>70</v>
      </c>
      <c r="B67" s="176">
        <v>0</v>
      </c>
      <c r="C67" s="176">
        <v>0</v>
      </c>
      <c r="D67" s="176">
        <v>0</v>
      </c>
      <c r="E67" s="176">
        <v>0</v>
      </c>
      <c r="F67" s="176">
        <v>0</v>
      </c>
      <c r="G67" s="176">
        <v>0</v>
      </c>
      <c r="H67" s="176">
        <v>0</v>
      </c>
      <c r="I67" s="176">
        <v>0</v>
      </c>
      <c r="J67" s="176">
        <v>0</v>
      </c>
      <c r="K67" s="176">
        <v>0</v>
      </c>
      <c r="L67" s="176">
        <v>0</v>
      </c>
      <c r="M67" s="176">
        <v>0</v>
      </c>
      <c r="N67" s="191">
        <f t="shared" ca="1" si="3"/>
        <v>0</v>
      </c>
    </row>
    <row r="68" spans="1:14" ht="14.7" customHeight="1" x14ac:dyDescent="0.3">
      <c r="A68" s="178" t="s">
        <v>81</v>
      </c>
      <c r="B68" s="176">
        <v>38055594.370000005</v>
      </c>
      <c r="C68" s="176">
        <v>35890764.5</v>
      </c>
      <c r="D68" s="176">
        <v>63628435</v>
      </c>
      <c r="E68" s="176">
        <v>34965104</v>
      </c>
      <c r="F68" s="176">
        <v>4573190</v>
      </c>
      <c r="G68" s="176">
        <v>0</v>
      </c>
      <c r="H68" s="176">
        <v>0</v>
      </c>
      <c r="I68" s="176">
        <v>0</v>
      </c>
      <c r="J68" s="176">
        <v>0</v>
      </c>
      <c r="K68" s="176">
        <v>0</v>
      </c>
      <c r="L68" s="176">
        <v>0</v>
      </c>
      <c r="M68" s="176">
        <v>0</v>
      </c>
      <c r="N68" s="191">
        <f t="shared" ca="1" si="3"/>
        <v>177113087.87</v>
      </c>
    </row>
    <row r="69" spans="1:14" ht="14.7" customHeight="1" x14ac:dyDescent="0.3">
      <c r="A69" s="178" t="s">
        <v>88</v>
      </c>
      <c r="B69" s="176">
        <v>44329051.390000008</v>
      </c>
      <c r="C69" s="176">
        <v>32200204.479999997</v>
      </c>
      <c r="D69" s="176">
        <v>23849939.370000001</v>
      </c>
      <c r="E69" s="176">
        <v>23153366.52</v>
      </c>
      <c r="F69" s="176">
        <v>2162157.5499999998</v>
      </c>
      <c r="G69" s="176">
        <v>0</v>
      </c>
      <c r="H69" s="176">
        <v>0</v>
      </c>
      <c r="I69" s="176">
        <v>0</v>
      </c>
      <c r="J69" s="176">
        <v>0</v>
      </c>
      <c r="K69" s="176">
        <v>0</v>
      </c>
      <c r="L69" s="176">
        <v>0</v>
      </c>
      <c r="M69" s="176">
        <v>0</v>
      </c>
      <c r="N69" s="191">
        <f t="shared" ca="1" si="3"/>
        <v>125694719.31</v>
      </c>
    </row>
    <row r="70" spans="1:14" ht="14.7" customHeight="1" x14ac:dyDescent="0.3">
      <c r="A70" s="178" t="s">
        <v>93</v>
      </c>
      <c r="B70" s="176">
        <v>25540473.759999998</v>
      </c>
      <c r="C70" s="176">
        <v>15850869.090000002</v>
      </c>
      <c r="D70" s="176">
        <v>22716833.09</v>
      </c>
      <c r="E70" s="176">
        <v>27238226.099999994</v>
      </c>
      <c r="F70" s="176">
        <v>3470848.8499999996</v>
      </c>
      <c r="G70" s="176">
        <v>0</v>
      </c>
      <c r="H70" s="176">
        <v>0</v>
      </c>
      <c r="I70" s="176">
        <v>0</v>
      </c>
      <c r="J70" s="176">
        <v>0</v>
      </c>
      <c r="K70" s="176">
        <v>0</v>
      </c>
      <c r="L70" s="176">
        <v>0</v>
      </c>
      <c r="M70" s="176">
        <v>0</v>
      </c>
      <c r="N70" s="191">
        <f t="shared" ca="1" si="3"/>
        <v>94817250.889999986</v>
      </c>
    </row>
    <row r="71" spans="1:14" ht="14.7" customHeight="1" x14ac:dyDescent="0.3">
      <c r="A71" s="178" t="s">
        <v>92</v>
      </c>
      <c r="B71" s="176">
        <v>28853481.760000002</v>
      </c>
      <c r="C71" s="176">
        <v>36321997.57</v>
      </c>
      <c r="D71" s="176">
        <v>17178662.649999999</v>
      </c>
      <c r="E71" s="176">
        <v>17382687.329999994</v>
      </c>
      <c r="F71" s="176">
        <v>1491058</v>
      </c>
      <c r="G71" s="176">
        <v>0</v>
      </c>
      <c r="H71" s="176">
        <v>0</v>
      </c>
      <c r="I71" s="176">
        <v>0</v>
      </c>
      <c r="J71" s="176">
        <v>0</v>
      </c>
      <c r="K71" s="176">
        <v>0</v>
      </c>
      <c r="L71" s="176">
        <v>0</v>
      </c>
      <c r="M71" s="176">
        <v>0</v>
      </c>
      <c r="N71" s="191">
        <f t="shared" ca="1" si="3"/>
        <v>101227887.30999999</v>
      </c>
    </row>
    <row r="72" spans="1:14" ht="14.7" customHeight="1" x14ac:dyDescent="0.3">
      <c r="A72" s="178" t="s">
        <v>91</v>
      </c>
      <c r="B72" s="176">
        <v>25960738.880000003</v>
      </c>
      <c r="C72" s="176">
        <v>17323620.959999997</v>
      </c>
      <c r="D72" s="176">
        <v>14157831.400000004</v>
      </c>
      <c r="E72" s="176">
        <v>11807321.130000001</v>
      </c>
      <c r="F72" s="176">
        <v>1384978.47</v>
      </c>
      <c r="G72" s="176">
        <v>0</v>
      </c>
      <c r="H72" s="176">
        <v>0</v>
      </c>
      <c r="I72" s="176">
        <v>0</v>
      </c>
      <c r="J72" s="176">
        <v>0</v>
      </c>
      <c r="K72" s="176">
        <v>0</v>
      </c>
      <c r="L72" s="176">
        <v>0</v>
      </c>
      <c r="M72" s="176">
        <v>0</v>
      </c>
      <c r="N72" s="191">
        <f t="shared" ca="1" si="3"/>
        <v>70634490.840000004</v>
      </c>
    </row>
    <row r="73" spans="1:14" ht="14.7" customHeight="1" x14ac:dyDescent="0.3">
      <c r="A73" s="178" t="s">
        <v>89</v>
      </c>
      <c r="B73" s="176">
        <v>36352817.149999999</v>
      </c>
      <c r="C73" s="176">
        <v>21699933.260000005</v>
      </c>
      <c r="D73" s="176">
        <v>14884107.729999999</v>
      </c>
      <c r="E73" s="176">
        <v>14964757.480000002</v>
      </c>
      <c r="F73" s="176">
        <v>2555143.7199999997</v>
      </c>
      <c r="G73" s="176">
        <v>0</v>
      </c>
      <c r="H73" s="176">
        <v>0</v>
      </c>
      <c r="I73" s="176">
        <v>0</v>
      </c>
      <c r="J73" s="176">
        <v>0</v>
      </c>
      <c r="K73" s="176">
        <v>0</v>
      </c>
      <c r="L73" s="176">
        <v>0</v>
      </c>
      <c r="M73" s="176">
        <v>0</v>
      </c>
      <c r="N73" s="191">
        <f t="shared" ca="1" si="3"/>
        <v>90456759.340000004</v>
      </c>
    </row>
    <row r="74" spans="1:14" ht="14.7" customHeight="1" x14ac:dyDescent="0.3">
      <c r="A74" s="178" t="s">
        <v>90</v>
      </c>
      <c r="B74" s="176">
        <v>33044456.520000003</v>
      </c>
      <c r="C74" s="176">
        <v>30448977.390000001</v>
      </c>
      <c r="D74" s="176">
        <v>25655390.469999999</v>
      </c>
      <c r="E74" s="176">
        <v>29433791.000000004</v>
      </c>
      <c r="F74" s="176">
        <v>2714058.6799999997</v>
      </c>
      <c r="G74" s="176">
        <v>0</v>
      </c>
      <c r="H74" s="176">
        <v>0</v>
      </c>
      <c r="I74" s="176">
        <v>0</v>
      </c>
      <c r="J74" s="176">
        <v>0</v>
      </c>
      <c r="K74" s="176">
        <v>0</v>
      </c>
      <c r="L74" s="176">
        <v>0</v>
      </c>
      <c r="M74" s="176">
        <v>0</v>
      </c>
      <c r="N74" s="191">
        <f t="shared" ca="1" si="3"/>
        <v>121296674.06</v>
      </c>
    </row>
    <row r="75" spans="1:14" ht="14.7" customHeight="1" x14ac:dyDescent="0.3">
      <c r="A75" s="178" t="s">
        <v>85</v>
      </c>
      <c r="B75" s="176">
        <v>15307244.370000003</v>
      </c>
      <c r="C75" s="176">
        <v>16148584.930000002</v>
      </c>
      <c r="D75" s="176">
        <v>7445310.870000001</v>
      </c>
      <c r="E75" s="176">
        <v>10863988.040000001</v>
      </c>
      <c r="F75" s="176">
        <v>4570101.46</v>
      </c>
      <c r="G75" s="176">
        <v>0</v>
      </c>
      <c r="H75" s="176">
        <v>0</v>
      </c>
      <c r="I75" s="176">
        <v>0</v>
      </c>
      <c r="J75" s="176">
        <v>0</v>
      </c>
      <c r="K75" s="176">
        <v>0</v>
      </c>
      <c r="L75" s="176">
        <v>0</v>
      </c>
      <c r="M75" s="176">
        <v>0</v>
      </c>
      <c r="N75" s="191">
        <f t="shared" ca="1" si="3"/>
        <v>54335229.670000002</v>
      </c>
    </row>
    <row r="76" spans="1:14" ht="14.7" customHeight="1" x14ac:dyDescent="0.3">
      <c r="A76" s="178" t="s">
        <v>86</v>
      </c>
      <c r="B76" s="176">
        <v>16080678.579999998</v>
      </c>
      <c r="C76" s="176">
        <v>15462902.350000003</v>
      </c>
      <c r="D76" s="176">
        <v>4258335.6499999994</v>
      </c>
      <c r="E76" s="176">
        <v>7590995.5300000003</v>
      </c>
      <c r="F76" s="176">
        <v>583430.6</v>
      </c>
      <c r="G76" s="176">
        <v>0</v>
      </c>
      <c r="H76" s="176">
        <v>0</v>
      </c>
      <c r="I76" s="176">
        <v>0</v>
      </c>
      <c r="J76" s="176">
        <v>0</v>
      </c>
      <c r="K76" s="176">
        <v>0</v>
      </c>
      <c r="L76" s="176">
        <v>0</v>
      </c>
      <c r="M76" s="176">
        <v>0</v>
      </c>
      <c r="N76" s="191">
        <f t="shared" ca="1" si="3"/>
        <v>43976342.710000001</v>
      </c>
    </row>
    <row r="77" spans="1:14" ht="14.7" customHeight="1" x14ac:dyDescent="0.3">
      <c r="A77" s="178" t="s">
        <v>87</v>
      </c>
      <c r="B77" s="176">
        <v>18370857.620000001</v>
      </c>
      <c r="C77" s="176">
        <v>20673692.430000007</v>
      </c>
      <c r="D77" s="176">
        <v>11100333.919999998</v>
      </c>
      <c r="E77" s="176">
        <v>6297477.4299999997</v>
      </c>
      <c r="F77" s="176">
        <v>1819047.81</v>
      </c>
      <c r="G77" s="176">
        <v>0</v>
      </c>
      <c r="H77" s="176">
        <v>0</v>
      </c>
      <c r="I77" s="176">
        <v>0</v>
      </c>
      <c r="J77" s="176">
        <v>0</v>
      </c>
      <c r="K77" s="176">
        <v>0</v>
      </c>
      <c r="L77" s="176">
        <v>0</v>
      </c>
      <c r="M77" s="176">
        <v>0</v>
      </c>
      <c r="N77" s="191">
        <f t="shared" ca="1" si="3"/>
        <v>58261409.210000016</v>
      </c>
    </row>
    <row r="78" spans="1:14" ht="14.7" customHeight="1" x14ac:dyDescent="0.3">
      <c r="A78" s="178" t="s">
        <v>108</v>
      </c>
      <c r="B78" s="176">
        <v>10454152.370000001</v>
      </c>
      <c r="C78" s="176">
        <v>10384710.870000001</v>
      </c>
      <c r="D78" s="176">
        <v>4392327.96</v>
      </c>
      <c r="E78" s="176">
        <v>10971929.970000003</v>
      </c>
      <c r="F78" s="176">
        <v>8458570.9900000002</v>
      </c>
      <c r="G78" s="176">
        <v>0</v>
      </c>
      <c r="H78" s="176">
        <v>0</v>
      </c>
      <c r="I78" s="176">
        <v>0</v>
      </c>
      <c r="J78" s="176">
        <v>0</v>
      </c>
      <c r="K78" s="176">
        <v>0</v>
      </c>
      <c r="L78" s="176">
        <v>0</v>
      </c>
      <c r="M78" s="176">
        <v>0</v>
      </c>
      <c r="N78" s="191">
        <f t="shared" ca="1" si="3"/>
        <v>44661692.160000004</v>
      </c>
    </row>
    <row r="79" spans="1:14" ht="14.7" customHeight="1" x14ac:dyDescent="0.3">
      <c r="A79" s="192" t="s">
        <v>109</v>
      </c>
      <c r="B79" s="176">
        <v>4821129.45</v>
      </c>
      <c r="C79" s="176">
        <v>4543162.57</v>
      </c>
      <c r="D79" s="176">
        <v>4987687.3900000006</v>
      </c>
      <c r="E79" s="176">
        <v>1675419.82</v>
      </c>
      <c r="F79" s="176">
        <v>1135977.9100000001</v>
      </c>
      <c r="G79" s="176">
        <v>0</v>
      </c>
      <c r="H79" s="176">
        <v>0</v>
      </c>
      <c r="I79" s="176">
        <v>0</v>
      </c>
      <c r="J79" s="176">
        <v>0</v>
      </c>
      <c r="K79" s="176">
        <v>0</v>
      </c>
      <c r="L79" s="176">
        <v>0</v>
      </c>
      <c r="M79" s="176">
        <v>0</v>
      </c>
      <c r="N79" s="191">
        <f t="shared" ca="1" si="3"/>
        <v>17163377.140000001</v>
      </c>
    </row>
    <row r="80" spans="1:14" ht="14.7" customHeight="1" x14ac:dyDescent="0.3">
      <c r="A80" s="192" t="s">
        <v>110</v>
      </c>
      <c r="B80" s="176">
        <v>5752738.5</v>
      </c>
      <c r="C80" s="176">
        <v>6078839.8899999997</v>
      </c>
      <c r="D80" s="176">
        <v>5393624.2899999991</v>
      </c>
      <c r="E80" s="176">
        <v>4372858.16</v>
      </c>
      <c r="F80" s="176">
        <v>783203.83000000007</v>
      </c>
      <c r="G80" s="176">
        <v>0</v>
      </c>
      <c r="H80" s="176">
        <v>0</v>
      </c>
      <c r="I80" s="176">
        <v>0</v>
      </c>
      <c r="J80" s="176">
        <v>0</v>
      </c>
      <c r="K80" s="176">
        <v>0</v>
      </c>
      <c r="L80" s="176">
        <v>0</v>
      </c>
      <c r="M80" s="176">
        <v>0</v>
      </c>
      <c r="N80" s="191">
        <f t="shared" ca="1" si="3"/>
        <v>22381264.670000002</v>
      </c>
    </row>
    <row r="81" spans="1:14" ht="14.7" customHeight="1" x14ac:dyDescent="0.3">
      <c r="A81" s="192" t="s">
        <v>111</v>
      </c>
      <c r="B81" s="176">
        <v>30224693.119999997</v>
      </c>
      <c r="C81" s="176">
        <v>30827268.789999999</v>
      </c>
      <c r="D81" s="176">
        <v>15571377.190000003</v>
      </c>
      <c r="E81" s="176">
        <v>13843208.979999999</v>
      </c>
      <c r="F81" s="176">
        <v>1544345.65</v>
      </c>
      <c r="G81" s="176">
        <v>0</v>
      </c>
      <c r="H81" s="176">
        <v>0</v>
      </c>
      <c r="I81" s="176">
        <v>0</v>
      </c>
      <c r="J81" s="176">
        <v>0</v>
      </c>
      <c r="K81" s="176">
        <v>0</v>
      </c>
      <c r="L81" s="176">
        <v>0</v>
      </c>
      <c r="M81" s="176">
        <v>0</v>
      </c>
      <c r="N81" s="191">
        <f t="shared" ca="1" si="3"/>
        <v>92010893.730000004</v>
      </c>
    </row>
    <row r="82" spans="1:14" ht="14.7" customHeight="1" x14ac:dyDescent="0.3">
      <c r="A82" s="192" t="s">
        <v>112</v>
      </c>
      <c r="B82" s="176">
        <v>15319057.569999997</v>
      </c>
      <c r="C82" s="176">
        <v>9655961.4499999993</v>
      </c>
      <c r="D82" s="176">
        <v>1937831.8299999998</v>
      </c>
      <c r="E82" s="176">
        <v>3630386.7199999997</v>
      </c>
      <c r="F82" s="176">
        <v>628517</v>
      </c>
      <c r="G82" s="176">
        <v>0</v>
      </c>
      <c r="H82" s="176">
        <v>0</v>
      </c>
      <c r="I82" s="176">
        <v>0</v>
      </c>
      <c r="J82" s="176">
        <v>0</v>
      </c>
      <c r="K82" s="176">
        <v>0</v>
      </c>
      <c r="L82" s="176">
        <v>0</v>
      </c>
      <c r="M82" s="176">
        <v>0</v>
      </c>
      <c r="N82" s="191">
        <f t="shared" ca="1" si="3"/>
        <v>31171754.569999993</v>
      </c>
    </row>
    <row r="83" spans="1:14" ht="14.7" customHeight="1" x14ac:dyDescent="0.3">
      <c r="A83" s="192" t="s">
        <v>113</v>
      </c>
      <c r="B83" s="176">
        <v>15460457.9</v>
      </c>
      <c r="C83" s="176">
        <v>19415843.299999997</v>
      </c>
      <c r="D83" s="176">
        <v>6066068.4799999995</v>
      </c>
      <c r="E83" s="176">
        <v>3928549.69</v>
      </c>
      <c r="F83" s="176">
        <v>1590209.3599999999</v>
      </c>
      <c r="G83" s="176">
        <v>0</v>
      </c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6">
        <v>0</v>
      </c>
      <c r="N83" s="191">
        <f t="shared" ca="1" si="3"/>
        <v>46461128.729999989</v>
      </c>
    </row>
    <row r="84" spans="1:14" ht="14.7" customHeight="1" x14ac:dyDescent="0.3">
      <c r="A84" s="192" t="s">
        <v>114</v>
      </c>
      <c r="B84" s="176">
        <v>26568900.129999999</v>
      </c>
      <c r="C84" s="176">
        <v>15925779.300000001</v>
      </c>
      <c r="D84" s="176">
        <v>2025622.25</v>
      </c>
      <c r="E84" s="176">
        <v>7723226</v>
      </c>
      <c r="F84" s="176">
        <v>380889</v>
      </c>
      <c r="G84" s="176">
        <v>0</v>
      </c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6">
        <v>0</v>
      </c>
      <c r="N84" s="191">
        <f t="shared" ca="1" si="3"/>
        <v>52624416.68</v>
      </c>
    </row>
    <row r="85" spans="1:14" ht="14.7" customHeight="1" x14ac:dyDescent="0.3">
      <c r="A85" s="192" t="s">
        <v>115</v>
      </c>
      <c r="B85" s="176">
        <v>23466953.539999995</v>
      </c>
      <c r="C85" s="176">
        <v>35459633.960000008</v>
      </c>
      <c r="D85" s="176">
        <v>10802836.140000001</v>
      </c>
      <c r="E85" s="176">
        <v>11645907.300000001</v>
      </c>
      <c r="F85" s="176">
        <v>2647321</v>
      </c>
      <c r="G85" s="176">
        <v>0</v>
      </c>
      <c r="H85" s="176">
        <v>0</v>
      </c>
      <c r="I85" s="176">
        <v>0</v>
      </c>
      <c r="J85" s="176">
        <v>0</v>
      </c>
      <c r="K85" s="176">
        <v>0</v>
      </c>
      <c r="L85" s="176">
        <v>0</v>
      </c>
      <c r="M85" s="176">
        <v>0</v>
      </c>
      <c r="N85" s="191">
        <f t="shared" ca="1" si="3"/>
        <v>84022651.939999998</v>
      </c>
    </row>
    <row r="86" spans="1:14" ht="14.7" customHeight="1" x14ac:dyDescent="0.3">
      <c r="A86" s="192" t="s">
        <v>116</v>
      </c>
      <c r="B86" s="176">
        <v>11362805.810000001</v>
      </c>
      <c r="C86" s="176">
        <v>47444714.929999985</v>
      </c>
      <c r="D86" s="176">
        <v>10010119.1</v>
      </c>
      <c r="E86" s="176">
        <v>10735151.790000001</v>
      </c>
      <c r="F86" s="176">
        <v>4467873.05</v>
      </c>
      <c r="G86" s="176">
        <v>0</v>
      </c>
      <c r="H86" s="176">
        <v>0</v>
      </c>
      <c r="I86" s="176">
        <v>0</v>
      </c>
      <c r="J86" s="176">
        <v>0</v>
      </c>
      <c r="K86" s="176">
        <v>0</v>
      </c>
      <c r="L86" s="176">
        <v>0</v>
      </c>
      <c r="M86" s="176">
        <v>0</v>
      </c>
      <c r="N86" s="191">
        <f t="shared" ca="1" si="3"/>
        <v>84020664.679999992</v>
      </c>
    </row>
    <row r="87" spans="1:14" ht="14.7" customHeight="1" x14ac:dyDescent="0.3">
      <c r="A87" s="192" t="s">
        <v>117</v>
      </c>
      <c r="B87" s="176">
        <v>6919782.6900000004</v>
      </c>
      <c r="C87" s="176">
        <v>11020447.709999999</v>
      </c>
      <c r="D87" s="176">
        <v>1090510</v>
      </c>
      <c r="E87" s="176">
        <v>1888861</v>
      </c>
      <c r="F87" s="176">
        <v>0</v>
      </c>
      <c r="G87" s="176">
        <v>0</v>
      </c>
      <c r="H87" s="176">
        <v>0</v>
      </c>
      <c r="I87" s="176">
        <v>0</v>
      </c>
      <c r="J87" s="176">
        <v>0</v>
      </c>
      <c r="K87" s="176">
        <v>0</v>
      </c>
      <c r="L87" s="176">
        <v>0</v>
      </c>
      <c r="M87" s="176">
        <v>0</v>
      </c>
      <c r="N87" s="191">
        <f t="shared" ca="1" si="3"/>
        <v>20919601.399999999</v>
      </c>
    </row>
    <row r="88" spans="1:14" ht="14.7" customHeight="1" x14ac:dyDescent="0.3">
      <c r="A88" s="192" t="s">
        <v>118</v>
      </c>
      <c r="B88" s="176">
        <v>0</v>
      </c>
      <c r="C88" s="176">
        <v>20351247.129999999</v>
      </c>
      <c r="D88" s="176">
        <v>9079451.5700000003</v>
      </c>
      <c r="E88" s="176">
        <v>11933022.130000001</v>
      </c>
      <c r="F88" s="176">
        <v>2097430.2999999998</v>
      </c>
      <c r="G88" s="176">
        <v>0</v>
      </c>
      <c r="H88" s="176">
        <v>0</v>
      </c>
      <c r="I88" s="176">
        <v>0</v>
      </c>
      <c r="J88" s="176">
        <v>0</v>
      </c>
      <c r="K88" s="176">
        <v>0</v>
      </c>
      <c r="L88" s="176">
        <v>0</v>
      </c>
      <c r="M88" s="176">
        <v>0</v>
      </c>
      <c r="N88" s="191">
        <f t="shared" ca="1" si="3"/>
        <v>43461151.129999995</v>
      </c>
    </row>
    <row r="89" spans="1:14" ht="14.7" customHeight="1" x14ac:dyDescent="0.3">
      <c r="A89" s="178" t="s">
        <v>97</v>
      </c>
      <c r="B89" s="176">
        <v>23620161.390000001</v>
      </c>
      <c r="C89" s="176">
        <v>19977981.120000005</v>
      </c>
      <c r="D89" s="176">
        <v>17543558.07</v>
      </c>
      <c r="E89" s="176">
        <v>16064925.359999999</v>
      </c>
      <c r="F89" s="176">
        <v>53025</v>
      </c>
      <c r="G89" s="176">
        <v>0</v>
      </c>
      <c r="H89" s="176">
        <v>0</v>
      </c>
      <c r="I89" s="176">
        <v>0</v>
      </c>
      <c r="J89" s="176">
        <v>0</v>
      </c>
      <c r="K89" s="176">
        <v>0</v>
      </c>
      <c r="L89" s="176">
        <v>0</v>
      </c>
      <c r="M89" s="176">
        <v>0</v>
      </c>
      <c r="N89" s="191">
        <f t="shared" ca="1" si="3"/>
        <v>77259650.939999998</v>
      </c>
    </row>
    <row r="90" spans="1:14" ht="14.7" customHeight="1" x14ac:dyDescent="0.3">
      <c r="A90" s="178" t="s">
        <v>98</v>
      </c>
      <c r="B90" s="176">
        <v>6685839.9500000002</v>
      </c>
      <c r="C90" s="176">
        <v>18021589.030000001</v>
      </c>
      <c r="D90" s="176">
        <v>4867224.5</v>
      </c>
      <c r="E90" s="176">
        <v>7282080.6299999999</v>
      </c>
      <c r="F90" s="176">
        <v>4379371</v>
      </c>
      <c r="G90" s="176">
        <v>0</v>
      </c>
      <c r="H90" s="176">
        <v>0</v>
      </c>
      <c r="I90" s="176">
        <v>0</v>
      </c>
      <c r="J90" s="176">
        <v>0</v>
      </c>
      <c r="K90" s="176">
        <v>0</v>
      </c>
      <c r="L90" s="176">
        <v>0</v>
      </c>
      <c r="M90" s="176">
        <v>0</v>
      </c>
      <c r="N90" s="191">
        <f t="shared" ca="1" si="3"/>
        <v>41236105.109999999</v>
      </c>
    </row>
    <row r="91" spans="1:14" ht="14.7" customHeight="1" x14ac:dyDescent="0.3">
      <c r="A91" s="178" t="s">
        <v>119</v>
      </c>
      <c r="B91" s="176">
        <v>0</v>
      </c>
      <c r="C91" s="176">
        <v>0</v>
      </c>
      <c r="D91" s="176">
        <v>0</v>
      </c>
      <c r="E91" s="176">
        <v>0</v>
      </c>
      <c r="F91" s="176">
        <v>0</v>
      </c>
      <c r="G91" s="176">
        <v>0</v>
      </c>
      <c r="H91" s="176">
        <v>0</v>
      </c>
      <c r="I91" s="176">
        <v>0</v>
      </c>
      <c r="J91" s="176">
        <v>0</v>
      </c>
      <c r="K91" s="176">
        <v>0</v>
      </c>
      <c r="L91" s="176">
        <v>0</v>
      </c>
      <c r="M91" s="176">
        <v>0</v>
      </c>
      <c r="N91" s="191">
        <f ca="1">SUM(B91:M91)</f>
        <v>0</v>
      </c>
    </row>
    <row r="92" spans="1:14" ht="14.7" customHeight="1" x14ac:dyDescent="0.3">
      <c r="A92" s="178" t="s">
        <v>99</v>
      </c>
      <c r="B92" s="176">
        <v>24329656.240000002</v>
      </c>
      <c r="C92" s="176">
        <v>23011456.27</v>
      </c>
      <c r="D92" s="176">
        <v>8349877.9600000018</v>
      </c>
      <c r="E92" s="176">
        <v>7831242.2699999996</v>
      </c>
      <c r="F92" s="176">
        <v>1347058.43</v>
      </c>
      <c r="G92" s="176">
        <v>0</v>
      </c>
      <c r="H92" s="176">
        <v>0</v>
      </c>
      <c r="I92" s="176">
        <v>0</v>
      </c>
      <c r="J92" s="176">
        <v>0</v>
      </c>
      <c r="K92" s="176">
        <v>0</v>
      </c>
      <c r="L92" s="176">
        <v>0</v>
      </c>
      <c r="M92" s="176">
        <v>0</v>
      </c>
      <c r="N92" s="191">
        <f t="shared" ca="1" si="3"/>
        <v>64869291.170000009</v>
      </c>
    </row>
    <row r="93" spans="1:14" ht="14.7" customHeight="1" x14ac:dyDescent="0.3">
      <c r="A93" s="178" t="s">
        <v>100</v>
      </c>
      <c r="B93" s="176">
        <v>10323666.890000001</v>
      </c>
      <c r="C93" s="176">
        <v>15931440.01</v>
      </c>
      <c r="D93" s="176">
        <v>19425182.400000002</v>
      </c>
      <c r="E93" s="176">
        <v>11913113.199999999</v>
      </c>
      <c r="F93" s="176">
        <v>131087.60999999999</v>
      </c>
      <c r="G93" s="176">
        <v>0</v>
      </c>
      <c r="H93" s="176">
        <v>0</v>
      </c>
      <c r="I93" s="176">
        <v>0</v>
      </c>
      <c r="J93" s="176">
        <v>0</v>
      </c>
      <c r="K93" s="176">
        <v>0</v>
      </c>
      <c r="L93" s="176">
        <v>0</v>
      </c>
      <c r="M93" s="176">
        <v>0</v>
      </c>
      <c r="N93" s="191">
        <f t="shared" ca="1" si="3"/>
        <v>57724490.109999999</v>
      </c>
    </row>
    <row r="94" spans="1:14" ht="14.7" customHeight="1" x14ac:dyDescent="0.3">
      <c r="A94" s="178" t="s">
        <v>101</v>
      </c>
      <c r="B94" s="176">
        <v>11949436.839999998</v>
      </c>
      <c r="C94" s="176">
        <v>9562712.7199999969</v>
      </c>
      <c r="D94" s="176">
        <v>10457082.619999997</v>
      </c>
      <c r="E94" s="176">
        <v>24973854.780000001</v>
      </c>
      <c r="F94" s="176">
        <v>3963156.55</v>
      </c>
      <c r="G94" s="176">
        <v>0</v>
      </c>
      <c r="H94" s="176">
        <v>0</v>
      </c>
      <c r="I94" s="176">
        <v>0</v>
      </c>
      <c r="J94" s="176">
        <v>0</v>
      </c>
      <c r="K94" s="176">
        <v>0</v>
      </c>
      <c r="L94" s="176">
        <v>0</v>
      </c>
      <c r="M94" s="176">
        <v>0</v>
      </c>
      <c r="N94" s="191">
        <f t="shared" ca="1" si="3"/>
        <v>60906243.50999999</v>
      </c>
    </row>
    <row r="95" spans="1:14" ht="14.7" customHeight="1" x14ac:dyDescent="0.3">
      <c r="A95" s="178" t="s">
        <v>102</v>
      </c>
      <c r="B95" s="176">
        <v>17049509.84</v>
      </c>
      <c r="C95" s="176">
        <v>14157215.229999997</v>
      </c>
      <c r="D95" s="176">
        <v>7636901.3200000003</v>
      </c>
      <c r="E95" s="176">
        <v>12488077.190000001</v>
      </c>
      <c r="F95" s="176">
        <v>3339284.5599999996</v>
      </c>
      <c r="G95" s="176">
        <v>0</v>
      </c>
      <c r="H95" s="176">
        <v>0</v>
      </c>
      <c r="I95" s="176">
        <v>0</v>
      </c>
      <c r="J95" s="176">
        <v>0</v>
      </c>
      <c r="K95" s="176">
        <v>0</v>
      </c>
      <c r="L95" s="176">
        <v>0</v>
      </c>
      <c r="M95" s="176">
        <v>0</v>
      </c>
      <c r="N95" s="191">
        <f t="shared" ca="1" si="3"/>
        <v>54670988.140000001</v>
      </c>
    </row>
    <row r="96" spans="1:14" ht="14.7" customHeight="1" x14ac:dyDescent="0.3">
      <c r="A96" s="178" t="s">
        <v>103</v>
      </c>
      <c r="B96" s="176">
        <v>14556928.450000001</v>
      </c>
      <c r="C96" s="176">
        <v>9316374.0199999996</v>
      </c>
      <c r="D96" s="176">
        <v>4919051.68</v>
      </c>
      <c r="E96" s="176">
        <v>8521985.8800000008</v>
      </c>
      <c r="F96" s="176">
        <v>453921.99</v>
      </c>
      <c r="G96" s="176">
        <v>0</v>
      </c>
      <c r="H96" s="176">
        <v>0</v>
      </c>
      <c r="I96" s="176">
        <v>0</v>
      </c>
      <c r="J96" s="176">
        <v>0</v>
      </c>
      <c r="K96" s="176">
        <v>0</v>
      </c>
      <c r="L96" s="176">
        <v>0</v>
      </c>
      <c r="M96" s="176">
        <v>0</v>
      </c>
      <c r="N96" s="191">
        <f t="shared" ca="1" si="3"/>
        <v>37768262.020000003</v>
      </c>
    </row>
    <row r="97" spans="1:14" ht="14.7" customHeight="1" x14ac:dyDescent="0.3">
      <c r="A97" s="178" t="s">
        <v>104</v>
      </c>
      <c r="B97" s="176">
        <v>18516838.989999995</v>
      </c>
      <c r="C97" s="176">
        <v>13134279.310000001</v>
      </c>
      <c r="D97" s="176">
        <v>8312021.1200000001</v>
      </c>
      <c r="E97" s="176">
        <v>5025617.75</v>
      </c>
      <c r="F97" s="176">
        <v>573477.02</v>
      </c>
      <c r="G97" s="176">
        <v>0</v>
      </c>
      <c r="H97" s="176">
        <v>0</v>
      </c>
      <c r="I97" s="176">
        <v>0</v>
      </c>
      <c r="J97" s="176">
        <v>0</v>
      </c>
      <c r="K97" s="176">
        <v>0</v>
      </c>
      <c r="L97" s="176">
        <v>0</v>
      </c>
      <c r="M97" s="176">
        <v>0</v>
      </c>
      <c r="N97" s="191">
        <f ca="1">SUM(B97:M97)</f>
        <v>45562234.189999998</v>
      </c>
    </row>
    <row r="98" spans="1:14" ht="14.7" customHeight="1" x14ac:dyDescent="0.3">
      <c r="A98" s="178" t="s">
        <v>120</v>
      </c>
      <c r="B98" s="176">
        <v>5690274.1099999994</v>
      </c>
      <c r="C98" s="176">
        <v>6130571.790000001</v>
      </c>
      <c r="D98" s="176">
        <v>6940548.8200000003</v>
      </c>
      <c r="E98" s="176">
        <v>9780851.9799999986</v>
      </c>
      <c r="F98" s="176">
        <v>1695035.04</v>
      </c>
      <c r="G98" s="176">
        <v>0</v>
      </c>
      <c r="H98" s="176">
        <v>0</v>
      </c>
      <c r="I98" s="176">
        <v>0</v>
      </c>
      <c r="J98" s="176">
        <v>0</v>
      </c>
      <c r="K98" s="176">
        <v>0</v>
      </c>
      <c r="L98" s="176">
        <v>0</v>
      </c>
      <c r="M98" s="176">
        <v>0</v>
      </c>
      <c r="N98" s="191">
        <f ca="1">SUM(B98:M98)</f>
        <v>30237281.739999995</v>
      </c>
    </row>
    <row r="99" spans="1:14" ht="14.7" customHeight="1" x14ac:dyDescent="0.3">
      <c r="A99" s="178" t="s">
        <v>121</v>
      </c>
      <c r="B99" s="176">
        <v>7489751.8399999989</v>
      </c>
      <c r="C99" s="176">
        <v>7250575.3799999999</v>
      </c>
      <c r="D99" s="176">
        <v>4275008.5900000008</v>
      </c>
      <c r="E99" s="176">
        <v>6379753.7300000004</v>
      </c>
      <c r="F99" s="176">
        <v>80413.070000000007</v>
      </c>
      <c r="G99" s="176">
        <v>0</v>
      </c>
      <c r="H99" s="176">
        <v>0</v>
      </c>
      <c r="I99" s="176">
        <v>0</v>
      </c>
      <c r="J99" s="176">
        <v>0</v>
      </c>
      <c r="K99" s="176">
        <v>0</v>
      </c>
      <c r="L99" s="176">
        <v>0</v>
      </c>
      <c r="M99" s="176">
        <v>0</v>
      </c>
      <c r="N99" s="191">
        <f ca="1">SUM(B99:M99)</f>
        <v>25475502.609999999</v>
      </c>
    </row>
    <row r="100" spans="1:14" ht="14.7" customHeight="1" x14ac:dyDescent="0.3">
      <c r="A100" s="178" t="s">
        <v>122</v>
      </c>
      <c r="B100" s="176">
        <v>12893387.399999999</v>
      </c>
      <c r="C100" s="176">
        <v>9896583.8000000007</v>
      </c>
      <c r="D100" s="176">
        <v>4842701.95</v>
      </c>
      <c r="E100" s="176">
        <v>7698922.4100000001</v>
      </c>
      <c r="F100" s="176">
        <v>622766.04999999993</v>
      </c>
      <c r="G100" s="176">
        <v>0</v>
      </c>
      <c r="H100" s="176">
        <v>0</v>
      </c>
      <c r="I100" s="176">
        <v>0</v>
      </c>
      <c r="J100" s="176">
        <v>0</v>
      </c>
      <c r="K100" s="176">
        <v>0</v>
      </c>
      <c r="L100" s="176">
        <v>0</v>
      </c>
      <c r="M100" s="176">
        <v>0</v>
      </c>
      <c r="N100" s="191">
        <f t="shared" ca="1" si="3"/>
        <v>35954361.609999999</v>
      </c>
    </row>
    <row r="101" spans="1:14" ht="14.7" customHeight="1" x14ac:dyDescent="0.3">
      <c r="A101" s="178" t="s">
        <v>123</v>
      </c>
      <c r="B101" s="176">
        <v>7221197.5099999998</v>
      </c>
      <c r="C101" s="176">
        <v>13667115.890000001</v>
      </c>
      <c r="D101" s="176">
        <v>10866499.880000003</v>
      </c>
      <c r="E101" s="176">
        <v>8602704.1400000006</v>
      </c>
      <c r="F101" s="176">
        <v>1159983.3399999999</v>
      </c>
      <c r="G101" s="176">
        <v>0</v>
      </c>
      <c r="H101" s="176">
        <v>0</v>
      </c>
      <c r="I101" s="176">
        <v>0</v>
      </c>
      <c r="J101" s="176">
        <v>0</v>
      </c>
      <c r="K101" s="176">
        <v>0</v>
      </c>
      <c r="L101" s="176">
        <v>0</v>
      </c>
      <c r="M101" s="176">
        <v>0</v>
      </c>
      <c r="N101" s="191">
        <f t="shared" ca="1" si="3"/>
        <v>41517500.760000005</v>
      </c>
    </row>
    <row r="102" spans="1:14" ht="14.7" customHeight="1" x14ac:dyDescent="0.3">
      <c r="A102" s="178" t="s">
        <v>124</v>
      </c>
      <c r="B102" s="176">
        <v>5388636.3499999996</v>
      </c>
      <c r="C102" s="176">
        <v>7345850.5300000003</v>
      </c>
      <c r="D102" s="176">
        <v>4766207.2699999996</v>
      </c>
      <c r="E102" s="176">
        <v>4371592.62</v>
      </c>
      <c r="F102" s="176">
        <v>1897718.08</v>
      </c>
      <c r="G102" s="176">
        <v>0</v>
      </c>
      <c r="H102" s="176">
        <v>0</v>
      </c>
      <c r="I102" s="176">
        <v>0</v>
      </c>
      <c r="J102" s="176">
        <v>0</v>
      </c>
      <c r="K102" s="176">
        <v>0</v>
      </c>
      <c r="L102" s="176">
        <v>0</v>
      </c>
      <c r="M102" s="176">
        <v>0</v>
      </c>
      <c r="N102" s="191">
        <f t="shared" ca="1" si="3"/>
        <v>23770004.850000001</v>
      </c>
    </row>
    <row r="103" spans="1:14" ht="14.7" customHeight="1" x14ac:dyDescent="0.3">
      <c r="A103" s="178" t="s">
        <v>125</v>
      </c>
      <c r="B103" s="176">
        <v>12681820.48</v>
      </c>
      <c r="C103" s="176">
        <v>9173653.3100000005</v>
      </c>
      <c r="D103" s="176">
        <v>7328677.3600000013</v>
      </c>
      <c r="E103" s="176">
        <v>5649543.2599999998</v>
      </c>
      <c r="F103" s="176">
        <v>2376712.7999999998</v>
      </c>
      <c r="G103" s="176">
        <v>0</v>
      </c>
      <c r="H103" s="176">
        <v>0</v>
      </c>
      <c r="I103" s="176">
        <v>0</v>
      </c>
      <c r="J103" s="176">
        <v>0</v>
      </c>
      <c r="K103" s="176">
        <v>0</v>
      </c>
      <c r="L103" s="176">
        <v>0</v>
      </c>
      <c r="M103" s="176">
        <v>0</v>
      </c>
      <c r="N103" s="191">
        <f t="shared" ca="1" si="3"/>
        <v>37210407.209999993</v>
      </c>
    </row>
    <row r="104" spans="1:14" ht="14.7" customHeight="1" x14ac:dyDescent="0.3">
      <c r="A104" s="178" t="s">
        <v>126</v>
      </c>
      <c r="B104" s="176">
        <v>11806054.790000001</v>
      </c>
      <c r="C104" s="176">
        <v>11762122.84</v>
      </c>
      <c r="D104" s="176">
        <v>5922601.75</v>
      </c>
      <c r="E104" s="176">
        <v>4501264.790000001</v>
      </c>
      <c r="F104" s="176">
        <v>1010075.76</v>
      </c>
      <c r="G104" s="176">
        <v>0</v>
      </c>
      <c r="H104" s="176">
        <v>0</v>
      </c>
      <c r="I104" s="176">
        <v>0</v>
      </c>
      <c r="J104" s="176">
        <v>0</v>
      </c>
      <c r="K104" s="176">
        <v>0</v>
      </c>
      <c r="L104" s="176">
        <v>0</v>
      </c>
      <c r="M104" s="176">
        <v>0</v>
      </c>
      <c r="N104" s="191">
        <f t="shared" ca="1" si="3"/>
        <v>35002119.93</v>
      </c>
    </row>
    <row r="105" spans="1:14" ht="14.7" customHeight="1" x14ac:dyDescent="0.3">
      <c r="A105" s="178" t="s">
        <v>127</v>
      </c>
      <c r="B105" s="176">
        <v>3763607.19</v>
      </c>
      <c r="C105" s="176">
        <v>6240861.5900000008</v>
      </c>
      <c r="D105" s="176">
        <v>2869642.38</v>
      </c>
      <c r="E105" s="176">
        <v>2892057.92</v>
      </c>
      <c r="F105" s="176">
        <v>287877</v>
      </c>
      <c r="G105" s="176">
        <v>0</v>
      </c>
      <c r="H105" s="176">
        <v>0</v>
      </c>
      <c r="I105" s="176">
        <v>0</v>
      </c>
      <c r="J105" s="176">
        <v>0</v>
      </c>
      <c r="K105" s="176">
        <v>0</v>
      </c>
      <c r="L105" s="176">
        <v>0</v>
      </c>
      <c r="M105" s="176">
        <v>0</v>
      </c>
      <c r="N105" s="191">
        <f ca="1">SUM(B105:M105)</f>
        <v>16054046.08</v>
      </c>
    </row>
    <row r="106" spans="1:14" ht="14.7" customHeight="1" x14ac:dyDescent="0.3">
      <c r="A106" s="178" t="s">
        <v>106</v>
      </c>
      <c r="B106" s="176">
        <v>28000</v>
      </c>
      <c r="C106" s="176">
        <v>286210</v>
      </c>
      <c r="D106" s="176">
        <v>208000</v>
      </c>
      <c r="E106" s="176">
        <v>251480</v>
      </c>
      <c r="F106" s="176">
        <v>332050.36</v>
      </c>
      <c r="G106" s="176">
        <v>0</v>
      </c>
      <c r="H106" s="176">
        <v>0</v>
      </c>
      <c r="I106" s="176">
        <v>0</v>
      </c>
      <c r="J106" s="176">
        <v>0</v>
      </c>
      <c r="K106" s="176">
        <v>0</v>
      </c>
      <c r="L106" s="176">
        <v>0</v>
      </c>
      <c r="M106" s="176">
        <v>0</v>
      </c>
      <c r="N106" s="191">
        <f ca="1">SUM(B106:M106)</f>
        <v>1105740.3599999999</v>
      </c>
    </row>
    <row r="107" spans="1:14" ht="14.7" customHeight="1" x14ac:dyDescent="0.3">
      <c r="A107" s="178" t="s">
        <v>107</v>
      </c>
      <c r="B107" s="176">
        <v>359704</v>
      </c>
      <c r="C107" s="176">
        <v>93000</v>
      </c>
      <c r="D107" s="176">
        <v>103000</v>
      </c>
      <c r="E107" s="176">
        <v>165715</v>
      </c>
      <c r="F107" s="176">
        <v>0</v>
      </c>
      <c r="G107" s="176">
        <v>0</v>
      </c>
      <c r="H107" s="176">
        <v>0</v>
      </c>
      <c r="I107" s="176">
        <v>0</v>
      </c>
      <c r="J107" s="176">
        <v>0</v>
      </c>
      <c r="K107" s="176">
        <v>0</v>
      </c>
      <c r="L107" s="176">
        <v>0</v>
      </c>
      <c r="M107" s="176">
        <v>0</v>
      </c>
      <c r="N107" s="191">
        <f t="shared" ca="1" si="3"/>
        <v>721419</v>
      </c>
    </row>
    <row r="108" spans="1:14" ht="25.35" customHeight="1" x14ac:dyDescent="0.3">
      <c r="A108" s="161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3"/>
    </row>
    <row r="111" spans="1:14" ht="15" customHeight="1" thickBot="1" x14ac:dyDescent="0.35">
      <c r="A111" s="165" t="s">
        <v>128</v>
      </c>
      <c r="D111" s="193">
        <f ca="1">daily!F3</f>
        <v>46149</v>
      </c>
    </row>
    <row r="112" spans="1:14" ht="25.35" customHeight="1" x14ac:dyDescent="0.3">
      <c r="A112" s="187" t="s">
        <v>53</v>
      </c>
      <c r="B112" s="188" t="s">
        <v>54</v>
      </c>
      <c r="C112" s="188" t="s">
        <v>55</v>
      </c>
      <c r="D112" s="188" t="s">
        <v>44</v>
      </c>
      <c r="E112" s="188" t="s">
        <v>56</v>
      </c>
      <c r="F112" s="188" t="s">
        <v>25</v>
      </c>
      <c r="G112" s="188" t="s">
        <v>57</v>
      </c>
      <c r="H112" s="188" t="s">
        <v>29</v>
      </c>
      <c r="I112" s="188" t="s">
        <v>30</v>
      </c>
      <c r="J112" s="188" t="s">
        <v>58</v>
      </c>
      <c r="K112" s="189" t="s">
        <v>33</v>
      </c>
      <c r="L112" s="189" t="s">
        <v>34</v>
      </c>
      <c r="M112" s="189" t="s">
        <v>35</v>
      </c>
      <c r="N112" s="190" t="s">
        <v>59</v>
      </c>
    </row>
    <row r="113" spans="1:14" ht="30" customHeight="1" x14ac:dyDescent="0.3">
      <c r="A113" s="175" t="s">
        <v>129</v>
      </c>
      <c r="B113" s="176">
        <f t="shared" ref="B113:M113" ca="1" si="4">SUM(B58:B60)</f>
        <v>83031</v>
      </c>
      <c r="C113" s="176">
        <f t="shared" ca="1" si="4"/>
        <v>156000</v>
      </c>
      <c r="D113" s="176">
        <f t="shared" ca="1" si="4"/>
        <v>98050.760000000009</v>
      </c>
      <c r="E113" s="176">
        <f t="shared" ca="1" si="4"/>
        <v>2725</v>
      </c>
      <c r="F113" s="176">
        <f t="shared" ca="1" si="4"/>
        <v>0</v>
      </c>
      <c r="G113" s="176">
        <f t="shared" ca="1" si="4"/>
        <v>0</v>
      </c>
      <c r="H113" s="176">
        <f t="shared" ca="1" si="4"/>
        <v>0</v>
      </c>
      <c r="I113" s="176">
        <f t="shared" ca="1" si="4"/>
        <v>0</v>
      </c>
      <c r="J113" s="176">
        <f t="shared" ca="1" si="4"/>
        <v>0</v>
      </c>
      <c r="K113" s="176">
        <f t="shared" ca="1" si="4"/>
        <v>0</v>
      </c>
      <c r="L113" s="176">
        <f t="shared" ca="1" si="4"/>
        <v>0</v>
      </c>
      <c r="M113" s="176">
        <f t="shared" ca="1" si="4"/>
        <v>0</v>
      </c>
      <c r="N113" s="177">
        <f ca="1">SUM(B113:M113)</f>
        <v>339806.76</v>
      </c>
    </row>
    <row r="114" spans="1:14" ht="30" customHeight="1" x14ac:dyDescent="0.3">
      <c r="A114" s="178" t="s">
        <v>130</v>
      </c>
      <c r="B114" s="176">
        <f t="shared" ref="B114:M114" ca="1" si="5">SUM(B61:B62)</f>
        <v>482302.23</v>
      </c>
      <c r="C114" s="176">
        <f t="shared" ca="1" si="5"/>
        <v>193803.37999999998</v>
      </c>
      <c r="D114" s="176">
        <f t="shared" ca="1" si="5"/>
        <v>722868.99999999988</v>
      </c>
      <c r="E114" s="176">
        <f t="shared" ca="1" si="5"/>
        <v>136148.65999999997</v>
      </c>
      <c r="F114" s="176">
        <f t="shared" ca="1" si="5"/>
        <v>33532.569999999992</v>
      </c>
      <c r="G114" s="176">
        <f t="shared" ca="1" si="5"/>
        <v>0</v>
      </c>
      <c r="H114" s="176">
        <f t="shared" ca="1" si="5"/>
        <v>0</v>
      </c>
      <c r="I114" s="176">
        <f t="shared" ca="1" si="5"/>
        <v>0</v>
      </c>
      <c r="J114" s="176">
        <f t="shared" ca="1" si="5"/>
        <v>0</v>
      </c>
      <c r="K114" s="176">
        <f t="shared" ca="1" si="5"/>
        <v>0</v>
      </c>
      <c r="L114" s="176">
        <f t="shared" ca="1" si="5"/>
        <v>0</v>
      </c>
      <c r="M114" s="176">
        <f t="shared" ca="1" si="5"/>
        <v>0</v>
      </c>
      <c r="N114" s="191">
        <f t="shared" ref="N114:N146" ca="1" si="6">SUM(B114:M114)</f>
        <v>1568655.8399999999</v>
      </c>
    </row>
    <row r="115" spans="1:14" ht="30" customHeight="1" x14ac:dyDescent="0.3">
      <c r="A115" s="175" t="s">
        <v>64</v>
      </c>
      <c r="B115" s="176">
        <v>172878.76000000007</v>
      </c>
      <c r="C115" s="176">
        <v>304567.18999999971</v>
      </c>
      <c r="D115" s="176">
        <v>100647.98999999996</v>
      </c>
      <c r="E115" s="176">
        <v>43974.959999999992</v>
      </c>
      <c r="F115" s="176">
        <v>18468.349999999999</v>
      </c>
      <c r="G115" s="176">
        <v>0</v>
      </c>
      <c r="H115" s="176">
        <v>0</v>
      </c>
      <c r="I115" s="176">
        <v>0</v>
      </c>
      <c r="J115" s="176">
        <v>0</v>
      </c>
      <c r="K115" s="176">
        <v>0</v>
      </c>
      <c r="L115" s="176">
        <v>0</v>
      </c>
      <c r="M115" s="176">
        <v>0</v>
      </c>
      <c r="N115" s="177">
        <f t="shared" ca="1" si="6"/>
        <v>640537.24999999965</v>
      </c>
    </row>
    <row r="116" spans="1:14" ht="30" customHeight="1" x14ac:dyDescent="0.3">
      <c r="A116" s="175" t="s">
        <v>131</v>
      </c>
      <c r="B116" s="176">
        <f t="shared" ref="B116:M116" ca="1" si="7">SUM(B63:B67)</f>
        <v>1000</v>
      </c>
      <c r="C116" s="176">
        <f t="shared" ca="1" si="7"/>
        <v>4501463</v>
      </c>
      <c r="D116" s="176">
        <f t="shared" ca="1" si="7"/>
        <v>5328087</v>
      </c>
      <c r="E116" s="176">
        <f t="shared" ca="1" si="7"/>
        <v>1522969</v>
      </c>
      <c r="F116" s="176">
        <f t="shared" ca="1" si="7"/>
        <v>1000000</v>
      </c>
      <c r="G116" s="176">
        <f t="shared" ca="1" si="7"/>
        <v>0</v>
      </c>
      <c r="H116" s="176">
        <f t="shared" ca="1" si="7"/>
        <v>0</v>
      </c>
      <c r="I116" s="176">
        <f t="shared" ca="1" si="7"/>
        <v>0</v>
      </c>
      <c r="J116" s="176">
        <f t="shared" ca="1" si="7"/>
        <v>0</v>
      </c>
      <c r="K116" s="176">
        <f t="shared" ca="1" si="7"/>
        <v>0</v>
      </c>
      <c r="L116" s="176">
        <f t="shared" ca="1" si="7"/>
        <v>0</v>
      </c>
      <c r="M116" s="176">
        <f t="shared" ca="1" si="7"/>
        <v>0</v>
      </c>
      <c r="N116" s="177">
        <f t="shared" ca="1" si="6"/>
        <v>12353519</v>
      </c>
    </row>
    <row r="117" spans="1:14" ht="30" customHeight="1" x14ac:dyDescent="0.3">
      <c r="A117" s="178" t="s">
        <v>71</v>
      </c>
      <c r="B117" s="176">
        <v>694476</v>
      </c>
      <c r="C117" s="176">
        <v>464957</v>
      </c>
      <c r="D117" s="176">
        <v>63837</v>
      </c>
      <c r="E117" s="176">
        <v>10000</v>
      </c>
      <c r="F117" s="176">
        <v>0</v>
      </c>
      <c r="G117" s="176">
        <v>0</v>
      </c>
      <c r="H117" s="176">
        <v>0</v>
      </c>
      <c r="I117" s="176">
        <v>0</v>
      </c>
      <c r="J117" s="176">
        <v>0</v>
      </c>
      <c r="K117" s="176">
        <v>0</v>
      </c>
      <c r="L117" s="176">
        <v>0</v>
      </c>
      <c r="M117" s="176">
        <v>0</v>
      </c>
      <c r="N117" s="191">
        <f t="shared" ca="1" si="6"/>
        <v>1233270</v>
      </c>
    </row>
    <row r="118" spans="1:14" ht="30" customHeight="1" x14ac:dyDescent="0.3">
      <c r="A118" s="175" t="s">
        <v>72</v>
      </c>
      <c r="B118" s="176">
        <v>800179</v>
      </c>
      <c r="C118" s="176">
        <v>464507</v>
      </c>
      <c r="D118" s="176">
        <v>154319.97</v>
      </c>
      <c r="E118" s="176">
        <v>0</v>
      </c>
      <c r="F118" s="176">
        <v>0</v>
      </c>
      <c r="G118" s="176">
        <v>0</v>
      </c>
      <c r="H118" s="176">
        <v>0</v>
      </c>
      <c r="I118" s="176">
        <v>0</v>
      </c>
      <c r="J118" s="176">
        <v>0</v>
      </c>
      <c r="K118" s="176">
        <v>0</v>
      </c>
      <c r="L118" s="176">
        <v>0</v>
      </c>
      <c r="M118" s="176">
        <v>0</v>
      </c>
      <c r="N118" s="177">
        <f t="shared" ca="1" si="6"/>
        <v>1419005.97</v>
      </c>
    </row>
    <row r="119" spans="1:14" ht="30" customHeight="1" x14ac:dyDescent="0.3">
      <c r="A119" s="178" t="s">
        <v>73</v>
      </c>
      <c r="B119" s="176">
        <v>11022092.880000001</v>
      </c>
      <c r="C119" s="176">
        <v>23170674.540000003</v>
      </c>
      <c r="D119" s="176">
        <v>68598.12</v>
      </c>
      <c r="E119" s="176">
        <v>1618902.6099999994</v>
      </c>
      <c r="F119" s="176">
        <v>5951.54</v>
      </c>
      <c r="G119" s="176">
        <v>0</v>
      </c>
      <c r="H119" s="176">
        <v>0</v>
      </c>
      <c r="I119" s="176">
        <v>0</v>
      </c>
      <c r="J119" s="176">
        <v>0</v>
      </c>
      <c r="K119" s="176">
        <v>0</v>
      </c>
      <c r="L119" s="176">
        <v>0</v>
      </c>
      <c r="M119" s="176">
        <v>0</v>
      </c>
      <c r="N119" s="191">
        <f t="shared" ca="1" si="6"/>
        <v>35886219.689999998</v>
      </c>
    </row>
    <row r="120" spans="1:14" ht="30" customHeight="1" x14ac:dyDescent="0.3">
      <c r="A120" s="175" t="s">
        <v>74</v>
      </c>
      <c r="B120" s="176">
        <v>32468813.690000001</v>
      </c>
      <c r="C120" s="176">
        <v>24957405.660000004</v>
      </c>
      <c r="D120" s="176">
        <v>20324931.430000022</v>
      </c>
      <c r="E120" s="176">
        <v>46425285.509999998</v>
      </c>
      <c r="F120" s="176">
        <v>35918019.409999982</v>
      </c>
      <c r="G120" s="176">
        <v>0</v>
      </c>
      <c r="H120" s="176">
        <v>0</v>
      </c>
      <c r="I120" s="176">
        <v>0</v>
      </c>
      <c r="J120" s="176">
        <v>0</v>
      </c>
      <c r="K120" s="176">
        <v>0</v>
      </c>
      <c r="L120" s="176">
        <v>0</v>
      </c>
      <c r="M120" s="176">
        <v>0</v>
      </c>
      <c r="N120" s="177">
        <f t="shared" ca="1" si="6"/>
        <v>160094455.69999999</v>
      </c>
    </row>
    <row r="121" spans="1:14" ht="30" customHeight="1" x14ac:dyDescent="0.3">
      <c r="A121" s="178" t="s">
        <v>75</v>
      </c>
      <c r="B121" s="194">
        <v>5630377.1499999994</v>
      </c>
      <c r="C121" s="194">
        <v>5196263.8099999996</v>
      </c>
      <c r="D121" s="194">
        <v>3468084.1500000004</v>
      </c>
      <c r="E121" s="194">
        <v>7743355.0200000005</v>
      </c>
      <c r="F121" s="194">
        <v>12573986.310000001</v>
      </c>
      <c r="G121" s="194">
        <v>0</v>
      </c>
      <c r="H121" s="194">
        <v>0</v>
      </c>
      <c r="I121" s="194">
        <v>0</v>
      </c>
      <c r="J121" s="194">
        <v>0</v>
      </c>
      <c r="K121" s="194">
        <v>0</v>
      </c>
      <c r="L121" s="194">
        <v>0</v>
      </c>
      <c r="M121" s="194">
        <v>0</v>
      </c>
      <c r="N121" s="191">
        <f t="shared" ca="1" si="6"/>
        <v>34612066.439999998</v>
      </c>
    </row>
    <row r="122" spans="1:14" ht="30" customHeight="1" x14ac:dyDescent="0.3">
      <c r="A122" s="175" t="s">
        <v>76</v>
      </c>
      <c r="B122" s="194">
        <v>27543254.57</v>
      </c>
      <c r="C122" s="194">
        <v>22112807.969999999</v>
      </c>
      <c r="D122" s="194">
        <v>18189086.539999999</v>
      </c>
      <c r="E122" s="194">
        <v>58382078.25</v>
      </c>
      <c r="F122" s="194">
        <v>10725225</v>
      </c>
      <c r="G122" s="194">
        <v>0</v>
      </c>
      <c r="H122" s="194">
        <v>0</v>
      </c>
      <c r="I122" s="194">
        <v>0</v>
      </c>
      <c r="J122" s="194">
        <v>0</v>
      </c>
      <c r="K122" s="194">
        <v>0</v>
      </c>
      <c r="L122" s="194">
        <v>0</v>
      </c>
      <c r="M122" s="194">
        <v>0</v>
      </c>
      <c r="N122" s="177">
        <f t="shared" ca="1" si="6"/>
        <v>136952452.32999998</v>
      </c>
    </row>
    <row r="123" spans="1:14" ht="30" customHeight="1" x14ac:dyDescent="0.3">
      <c r="A123" s="178" t="s">
        <v>77</v>
      </c>
      <c r="B123" s="194">
        <v>18636881.98</v>
      </c>
      <c r="C123" s="194">
        <v>26137124.320000004</v>
      </c>
      <c r="D123" s="194">
        <v>11221079.810000001</v>
      </c>
      <c r="E123" s="194">
        <v>30558843.600000001</v>
      </c>
      <c r="F123" s="194">
        <v>3620230.84</v>
      </c>
      <c r="G123" s="194">
        <v>0</v>
      </c>
      <c r="H123" s="194">
        <v>0</v>
      </c>
      <c r="I123" s="194">
        <v>0</v>
      </c>
      <c r="J123" s="194">
        <v>0</v>
      </c>
      <c r="K123" s="194">
        <v>0</v>
      </c>
      <c r="L123" s="194">
        <v>0</v>
      </c>
      <c r="M123" s="194">
        <v>0</v>
      </c>
      <c r="N123" s="191">
        <f t="shared" ca="1" si="6"/>
        <v>90174160.550000012</v>
      </c>
    </row>
    <row r="124" spans="1:14" ht="30" customHeight="1" x14ac:dyDescent="0.3">
      <c r="A124" s="175" t="s">
        <v>78</v>
      </c>
      <c r="B124" s="194">
        <v>10483340.629999999</v>
      </c>
      <c r="C124" s="194">
        <v>11975316.909999998</v>
      </c>
      <c r="D124" s="194">
        <v>10382085.510000002</v>
      </c>
      <c r="E124" s="194">
        <v>38083642.519999996</v>
      </c>
      <c r="F124" s="194">
        <v>5812293</v>
      </c>
      <c r="G124" s="194">
        <v>0</v>
      </c>
      <c r="H124" s="194">
        <v>0</v>
      </c>
      <c r="I124" s="194">
        <v>0</v>
      </c>
      <c r="J124" s="194">
        <v>0</v>
      </c>
      <c r="K124" s="194">
        <v>0</v>
      </c>
      <c r="L124" s="194">
        <v>0</v>
      </c>
      <c r="M124" s="194">
        <v>0</v>
      </c>
      <c r="N124" s="177">
        <f t="shared" ca="1" si="6"/>
        <v>76736678.569999993</v>
      </c>
    </row>
    <row r="125" spans="1:14" ht="30" customHeight="1" x14ac:dyDescent="0.3">
      <c r="A125" s="178" t="s">
        <v>79</v>
      </c>
      <c r="B125" s="194">
        <v>119212652.54000001</v>
      </c>
      <c r="C125" s="194">
        <v>82968046.279999971</v>
      </c>
      <c r="D125" s="194">
        <v>50426483.579999998</v>
      </c>
      <c r="E125" s="194">
        <v>61532660.960000008</v>
      </c>
      <c r="F125" s="194">
        <v>12830659.109999999</v>
      </c>
      <c r="G125" s="194">
        <v>0</v>
      </c>
      <c r="H125" s="194">
        <v>0</v>
      </c>
      <c r="I125" s="194">
        <v>0</v>
      </c>
      <c r="J125" s="194">
        <v>0</v>
      </c>
      <c r="K125" s="194">
        <v>0</v>
      </c>
      <c r="L125" s="194">
        <v>0</v>
      </c>
      <c r="M125" s="194">
        <v>0</v>
      </c>
      <c r="N125" s="191">
        <f t="shared" ca="1" si="6"/>
        <v>326970502.47000003</v>
      </c>
    </row>
    <row r="126" spans="1:14" ht="30" customHeight="1" x14ac:dyDescent="0.3">
      <c r="A126" s="175" t="s">
        <v>80</v>
      </c>
      <c r="B126" s="194">
        <v>76729343.079999998</v>
      </c>
      <c r="C126" s="194">
        <v>55659047.29999999</v>
      </c>
      <c r="D126" s="194">
        <v>93291011.959999993</v>
      </c>
      <c r="E126" s="194">
        <v>87059820.710000008</v>
      </c>
      <c r="F126" s="194">
        <v>7363753.2699999996</v>
      </c>
      <c r="G126" s="194">
        <v>0</v>
      </c>
      <c r="H126" s="194">
        <v>0</v>
      </c>
      <c r="I126" s="194">
        <v>0</v>
      </c>
      <c r="J126" s="194">
        <v>0</v>
      </c>
      <c r="K126" s="194">
        <v>0</v>
      </c>
      <c r="L126" s="194">
        <v>0</v>
      </c>
      <c r="N126" s="177">
        <f ca="1">SUM(B126:L126)</f>
        <v>320102976.31999993</v>
      </c>
    </row>
    <row r="127" spans="1:14" ht="30" customHeight="1" x14ac:dyDescent="0.3">
      <c r="A127" s="178" t="s">
        <v>132</v>
      </c>
      <c r="B127" s="194">
        <f t="shared" ref="B127:M127" ca="1" si="8">B68</f>
        <v>38055594.370000005</v>
      </c>
      <c r="C127" s="194">
        <f t="shared" ca="1" si="8"/>
        <v>35890764.5</v>
      </c>
      <c r="D127" s="194">
        <f t="shared" ca="1" si="8"/>
        <v>63628435</v>
      </c>
      <c r="E127" s="194">
        <f t="shared" ca="1" si="8"/>
        <v>34965104</v>
      </c>
      <c r="F127" s="194">
        <f t="shared" ca="1" si="8"/>
        <v>4573190</v>
      </c>
      <c r="G127" s="194">
        <f t="shared" ca="1" si="8"/>
        <v>0</v>
      </c>
      <c r="H127" s="194">
        <f t="shared" ca="1" si="8"/>
        <v>0</v>
      </c>
      <c r="I127" s="194">
        <f t="shared" ca="1" si="8"/>
        <v>0</v>
      </c>
      <c r="J127" s="194">
        <f t="shared" ca="1" si="8"/>
        <v>0</v>
      </c>
      <c r="K127" s="194">
        <f t="shared" ca="1" si="8"/>
        <v>0</v>
      </c>
      <c r="L127" s="194">
        <f t="shared" ca="1" si="8"/>
        <v>0</v>
      </c>
      <c r="M127" s="194">
        <f t="shared" ca="1" si="8"/>
        <v>0</v>
      </c>
      <c r="N127" s="191">
        <f t="shared" ca="1" si="6"/>
        <v>177113087.87</v>
      </c>
    </row>
    <row r="128" spans="1:14" ht="30" customHeight="1" x14ac:dyDescent="0.3">
      <c r="A128" s="175" t="s">
        <v>82</v>
      </c>
      <c r="B128" s="176">
        <v>26617315.780000005</v>
      </c>
      <c r="C128" s="176">
        <v>23113603.109999999</v>
      </c>
      <c r="D128" s="176">
        <v>19711237.790000003</v>
      </c>
      <c r="E128" s="176">
        <v>28059134.590000004</v>
      </c>
      <c r="F128" s="176">
        <v>4416498.07</v>
      </c>
      <c r="G128" s="176">
        <v>0</v>
      </c>
      <c r="H128" s="176">
        <v>0</v>
      </c>
      <c r="I128" s="176">
        <v>0</v>
      </c>
      <c r="J128" s="176">
        <v>0</v>
      </c>
      <c r="K128" s="176">
        <v>0</v>
      </c>
      <c r="L128" s="176">
        <v>0</v>
      </c>
      <c r="M128" s="176">
        <v>0</v>
      </c>
      <c r="N128" s="177">
        <f t="shared" ca="1" si="6"/>
        <v>101917789.34</v>
      </c>
    </row>
    <row r="129" spans="1:14" ht="30" customHeight="1" x14ac:dyDescent="0.3">
      <c r="A129" s="178" t="s">
        <v>83</v>
      </c>
      <c r="B129" s="176">
        <v>83778767.670000002</v>
      </c>
      <c r="C129" s="176">
        <v>56459636.999999993</v>
      </c>
      <c r="D129" s="176">
        <v>35561984.93</v>
      </c>
      <c r="E129" s="176">
        <v>51828313.469999999</v>
      </c>
      <c r="F129" s="176">
        <v>935000</v>
      </c>
      <c r="G129" s="176">
        <v>0</v>
      </c>
      <c r="H129" s="176">
        <v>0</v>
      </c>
      <c r="I129" s="176">
        <v>0</v>
      </c>
      <c r="J129" s="176">
        <v>0</v>
      </c>
      <c r="K129" s="176">
        <v>0</v>
      </c>
      <c r="L129" s="176">
        <v>0</v>
      </c>
      <c r="M129" s="176">
        <v>0</v>
      </c>
      <c r="N129" s="191">
        <f t="shared" ca="1" si="6"/>
        <v>228563703.06999999</v>
      </c>
    </row>
    <row r="130" spans="1:14" ht="30" customHeight="1" x14ac:dyDescent="0.3">
      <c r="A130" s="178" t="s">
        <v>84</v>
      </c>
      <c r="B130" s="194">
        <v>55352934.770000003</v>
      </c>
      <c r="C130" s="194">
        <v>41072155.159999989</v>
      </c>
      <c r="D130" s="194">
        <v>52410916.020000011</v>
      </c>
      <c r="E130" s="194">
        <v>55979275.209999986</v>
      </c>
      <c r="F130" s="194">
        <v>6070260.3899999997</v>
      </c>
      <c r="G130" s="194">
        <v>0</v>
      </c>
      <c r="H130" s="194">
        <v>0</v>
      </c>
      <c r="I130" s="194">
        <v>0</v>
      </c>
      <c r="J130" s="194">
        <v>0</v>
      </c>
      <c r="K130" s="194">
        <v>0</v>
      </c>
      <c r="L130" s="194">
        <v>0</v>
      </c>
      <c r="M130" s="194">
        <v>0</v>
      </c>
      <c r="N130" s="191">
        <f t="shared" ca="1" si="6"/>
        <v>210885541.54999995</v>
      </c>
    </row>
    <row r="131" spans="1:14" ht="30" customHeight="1" x14ac:dyDescent="0.3">
      <c r="A131" s="175" t="s">
        <v>133</v>
      </c>
      <c r="B131" s="194">
        <f t="shared" ref="B131:M131" ca="1" si="9">SUM(B69:B74)</f>
        <v>194081019.46000004</v>
      </c>
      <c r="C131" s="194">
        <f t="shared" ca="1" si="9"/>
        <v>153845602.75</v>
      </c>
      <c r="D131" s="194">
        <f t="shared" ca="1" si="9"/>
        <v>118442764.71000001</v>
      </c>
      <c r="E131" s="194">
        <f t="shared" ca="1" si="9"/>
        <v>123980149.55999999</v>
      </c>
      <c r="F131" s="194">
        <f t="shared" ca="1" si="9"/>
        <v>13778245.27</v>
      </c>
      <c r="G131" s="194">
        <f t="shared" ca="1" si="9"/>
        <v>0</v>
      </c>
      <c r="H131" s="194">
        <f t="shared" ca="1" si="9"/>
        <v>0</v>
      </c>
      <c r="I131" s="194">
        <f t="shared" ca="1" si="9"/>
        <v>0</v>
      </c>
      <c r="J131" s="194">
        <f t="shared" ca="1" si="9"/>
        <v>0</v>
      </c>
      <c r="K131" s="194">
        <f t="shared" ca="1" si="9"/>
        <v>0</v>
      </c>
      <c r="L131" s="194">
        <f t="shared" ca="1" si="9"/>
        <v>0</v>
      </c>
      <c r="M131" s="194">
        <f t="shared" ca="1" si="9"/>
        <v>0</v>
      </c>
      <c r="N131" s="191">
        <f ca="1">SUM(B131:M131)</f>
        <v>604127781.75</v>
      </c>
    </row>
    <row r="132" spans="1:14" ht="30" customHeight="1" x14ac:dyDescent="0.3">
      <c r="A132" s="178" t="s">
        <v>134</v>
      </c>
      <c r="B132" s="194">
        <f t="shared" ref="B132:M132" ca="1" si="10">SUM(B75:B77)</f>
        <v>49758780.570000008</v>
      </c>
      <c r="C132" s="194">
        <f t="shared" ca="1" si="10"/>
        <v>52285179.710000008</v>
      </c>
      <c r="D132" s="194">
        <f t="shared" ca="1" si="10"/>
        <v>22803980.439999998</v>
      </c>
      <c r="E132" s="194">
        <f t="shared" ca="1" si="10"/>
        <v>24752461</v>
      </c>
      <c r="F132" s="194">
        <f t="shared" ca="1" si="10"/>
        <v>6972579.8699999992</v>
      </c>
      <c r="G132" s="194">
        <f t="shared" ca="1" si="10"/>
        <v>0</v>
      </c>
      <c r="H132" s="194">
        <f t="shared" ca="1" si="10"/>
        <v>0</v>
      </c>
      <c r="I132" s="194">
        <f t="shared" ca="1" si="10"/>
        <v>0</v>
      </c>
      <c r="J132" s="194">
        <f t="shared" ca="1" si="10"/>
        <v>0</v>
      </c>
      <c r="K132" s="194">
        <f t="shared" ca="1" si="10"/>
        <v>0</v>
      </c>
      <c r="L132" s="194">
        <f t="shared" ca="1" si="10"/>
        <v>0</v>
      </c>
      <c r="M132" s="194">
        <f t="shared" ca="1" si="10"/>
        <v>0</v>
      </c>
      <c r="N132" s="191">
        <f t="shared" ca="1" si="6"/>
        <v>156572981.59000003</v>
      </c>
    </row>
    <row r="133" spans="1:14" ht="30" customHeight="1" x14ac:dyDescent="0.3">
      <c r="A133" s="175" t="s">
        <v>94</v>
      </c>
      <c r="B133" s="176">
        <v>27113394.43</v>
      </c>
      <c r="C133" s="176">
        <v>45799930.37999998</v>
      </c>
      <c r="D133" s="176">
        <v>19718710.060000002</v>
      </c>
      <c r="E133" s="176">
        <v>15432503.470000001</v>
      </c>
      <c r="F133" s="176">
        <v>1844997</v>
      </c>
      <c r="G133" s="176">
        <v>0</v>
      </c>
      <c r="H133" s="176">
        <v>0</v>
      </c>
      <c r="I133" s="176">
        <v>0</v>
      </c>
      <c r="J133" s="176">
        <v>0</v>
      </c>
      <c r="K133" s="176">
        <v>0</v>
      </c>
      <c r="L133" s="176">
        <v>0</v>
      </c>
      <c r="M133" s="176">
        <v>0</v>
      </c>
      <c r="N133" s="177">
        <f t="shared" ca="1" si="6"/>
        <v>109909535.33999997</v>
      </c>
    </row>
    <row r="134" spans="1:14" ht="30" customHeight="1" x14ac:dyDescent="0.3">
      <c r="A134" s="175" t="s">
        <v>95</v>
      </c>
      <c r="B134" s="176">
        <v>46987324.230000012</v>
      </c>
      <c r="C134" s="176">
        <v>28407281.789999995</v>
      </c>
      <c r="D134" s="176">
        <v>33427023.660000015</v>
      </c>
      <c r="E134" s="176">
        <v>23285613.609999996</v>
      </c>
      <c r="F134" s="176">
        <v>3465085.87</v>
      </c>
      <c r="G134" s="176">
        <v>0</v>
      </c>
      <c r="H134" s="176">
        <v>0</v>
      </c>
      <c r="I134" s="176">
        <v>0</v>
      </c>
      <c r="J134" s="176">
        <v>0</v>
      </c>
      <c r="K134" s="176">
        <v>0</v>
      </c>
      <c r="L134" s="176">
        <v>0</v>
      </c>
      <c r="M134" s="176">
        <v>0</v>
      </c>
      <c r="N134" s="177">
        <f t="shared" ca="1" si="6"/>
        <v>135572329.16000003</v>
      </c>
    </row>
    <row r="135" spans="1:14" ht="30" customHeight="1" x14ac:dyDescent="0.3">
      <c r="A135" s="175" t="s">
        <v>135</v>
      </c>
      <c r="B135" s="176">
        <v>12320436.810000001</v>
      </c>
      <c r="C135" s="176">
        <v>30352175.450000007</v>
      </c>
      <c r="D135" s="176">
        <v>10278385.540000001</v>
      </c>
      <c r="E135" s="176">
        <v>14355645.620000001</v>
      </c>
      <c r="F135" s="176">
        <v>1621003.3599999999</v>
      </c>
      <c r="G135" s="176">
        <v>0</v>
      </c>
      <c r="H135" s="176">
        <v>0</v>
      </c>
      <c r="I135" s="176">
        <v>0</v>
      </c>
      <c r="J135" s="176">
        <v>0</v>
      </c>
      <c r="K135" s="176">
        <v>0</v>
      </c>
      <c r="L135" s="176">
        <v>0</v>
      </c>
      <c r="M135" s="176">
        <v>0</v>
      </c>
      <c r="N135" s="177">
        <f ca="1">SUM(B135:M135)</f>
        <v>68927646.780000001</v>
      </c>
    </row>
    <row r="136" spans="1:14" ht="30" customHeight="1" x14ac:dyDescent="0.3">
      <c r="A136" s="175" t="s">
        <v>96</v>
      </c>
      <c r="B136" s="176">
        <v>21769588.769999996</v>
      </c>
      <c r="C136" s="176">
        <v>16272107.119999999</v>
      </c>
      <c r="D136" s="176">
        <v>5130273.24</v>
      </c>
      <c r="E136" s="176">
        <v>5857867.9300000006</v>
      </c>
      <c r="F136" s="176">
        <v>1450043</v>
      </c>
      <c r="G136" s="176">
        <v>0</v>
      </c>
      <c r="H136" s="176">
        <v>0</v>
      </c>
      <c r="I136" s="176">
        <v>0</v>
      </c>
      <c r="J136" s="176">
        <v>0</v>
      </c>
      <c r="K136" s="176">
        <v>0</v>
      </c>
      <c r="L136" s="176">
        <v>0</v>
      </c>
      <c r="M136" s="176">
        <v>0</v>
      </c>
      <c r="N136" s="177">
        <f t="shared" ca="1" si="6"/>
        <v>50479880.059999995</v>
      </c>
    </row>
    <row r="137" spans="1:14" ht="30" customHeight="1" x14ac:dyDescent="0.3">
      <c r="A137" s="175" t="s">
        <v>136</v>
      </c>
      <c r="B137" s="176">
        <v>6969058.8300000019</v>
      </c>
      <c r="C137" s="176">
        <v>19557351.900000002</v>
      </c>
      <c r="D137" s="176">
        <v>18299360.109999992</v>
      </c>
      <c r="E137" s="176">
        <v>10556502.220000001</v>
      </c>
      <c r="F137" s="176">
        <v>742408.5</v>
      </c>
      <c r="G137" s="176">
        <v>0</v>
      </c>
      <c r="H137" s="176">
        <v>0</v>
      </c>
      <c r="I137" s="176">
        <v>0</v>
      </c>
      <c r="J137" s="176">
        <v>0</v>
      </c>
      <c r="K137" s="176">
        <v>0</v>
      </c>
      <c r="L137" s="176">
        <v>0</v>
      </c>
      <c r="M137" s="176">
        <v>0</v>
      </c>
      <c r="N137" s="177">
        <f t="shared" ca="1" si="6"/>
        <v>56124681.559999995</v>
      </c>
    </row>
    <row r="138" spans="1:14" ht="30" customHeight="1" x14ac:dyDescent="0.3">
      <c r="A138" s="175" t="s">
        <v>137</v>
      </c>
      <c r="B138" s="176">
        <v>14233663.209999999</v>
      </c>
      <c r="C138" s="176">
        <v>9525236.0700000003</v>
      </c>
      <c r="D138" s="176">
        <v>12484782.17</v>
      </c>
      <c r="E138" s="176">
        <v>23471346.230000004</v>
      </c>
      <c r="F138" s="176">
        <v>5182284.9799999995</v>
      </c>
      <c r="G138" s="176">
        <v>0</v>
      </c>
      <c r="H138" s="176">
        <v>0</v>
      </c>
      <c r="I138" s="176">
        <v>0</v>
      </c>
      <c r="J138" s="176">
        <v>0</v>
      </c>
      <c r="K138" s="176">
        <v>0</v>
      </c>
      <c r="L138" s="176">
        <v>0</v>
      </c>
      <c r="M138" s="176">
        <v>0</v>
      </c>
      <c r="N138" s="177">
        <f t="shared" ca="1" si="6"/>
        <v>64897312.660000004</v>
      </c>
    </row>
    <row r="139" spans="1:14" ht="30" customHeight="1" x14ac:dyDescent="0.3">
      <c r="A139" s="175" t="s">
        <v>138</v>
      </c>
      <c r="B139" s="176">
        <v>36461945.090000004</v>
      </c>
      <c r="C139" s="176">
        <v>25890341.849999998</v>
      </c>
      <c r="D139" s="176">
        <v>15444503.080000002</v>
      </c>
      <c r="E139" s="176">
        <v>8099953.0600000005</v>
      </c>
      <c r="F139" s="176">
        <v>2083569.73</v>
      </c>
      <c r="G139" s="176">
        <v>0</v>
      </c>
      <c r="H139" s="176">
        <v>0</v>
      </c>
      <c r="I139" s="176">
        <v>0</v>
      </c>
      <c r="J139" s="176">
        <v>0</v>
      </c>
      <c r="K139" s="176">
        <v>0</v>
      </c>
      <c r="L139" s="176">
        <v>0</v>
      </c>
      <c r="M139" s="176">
        <v>0</v>
      </c>
      <c r="N139" s="177">
        <f t="shared" ca="1" si="6"/>
        <v>87980312.810000002</v>
      </c>
    </row>
    <row r="140" spans="1:14" ht="30" customHeight="1" x14ac:dyDescent="0.3">
      <c r="A140" s="175" t="s">
        <v>139</v>
      </c>
      <c r="B140" s="176">
        <f t="shared" ref="B140:M140" ca="1" si="11">SUM(B78:B84)</f>
        <v>108601129.03999999</v>
      </c>
      <c r="C140" s="176">
        <f t="shared" ca="1" si="11"/>
        <v>96831566.170000002</v>
      </c>
      <c r="D140" s="176">
        <f t="shared" ca="1" si="11"/>
        <v>40374539.390000001</v>
      </c>
      <c r="E140" s="176">
        <f t="shared" ca="1" si="11"/>
        <v>46145579.339999996</v>
      </c>
      <c r="F140" s="176">
        <f t="shared" ca="1" si="11"/>
        <v>14521713.74</v>
      </c>
      <c r="G140" s="176">
        <f t="shared" ca="1" si="11"/>
        <v>0</v>
      </c>
      <c r="H140" s="176">
        <f t="shared" ca="1" si="11"/>
        <v>0</v>
      </c>
      <c r="I140" s="176">
        <f t="shared" ca="1" si="11"/>
        <v>0</v>
      </c>
      <c r="J140" s="176">
        <f t="shared" ca="1" si="11"/>
        <v>0</v>
      </c>
      <c r="K140" s="176">
        <f t="shared" ca="1" si="11"/>
        <v>0</v>
      </c>
      <c r="L140" s="176">
        <f t="shared" ca="1" si="11"/>
        <v>0</v>
      </c>
      <c r="M140" s="176">
        <f t="shared" ca="1" si="11"/>
        <v>0</v>
      </c>
      <c r="N140" s="177">
        <f t="shared" ca="1" si="6"/>
        <v>306474527.67999995</v>
      </c>
    </row>
    <row r="141" spans="1:14" ht="30" customHeight="1" x14ac:dyDescent="0.3">
      <c r="A141" s="175" t="s">
        <v>140</v>
      </c>
      <c r="B141" s="176">
        <v>21337318.48</v>
      </c>
      <c r="C141" s="176">
        <v>8109254.3899999997</v>
      </c>
      <c r="D141" s="176">
        <v>3022220.87</v>
      </c>
      <c r="E141" s="176">
        <v>2771986.5700000003</v>
      </c>
      <c r="F141" s="176">
        <v>326851.7</v>
      </c>
      <c r="G141" s="176">
        <v>0</v>
      </c>
      <c r="H141" s="176">
        <v>0</v>
      </c>
      <c r="I141" s="176">
        <v>0</v>
      </c>
      <c r="J141" s="176">
        <v>0</v>
      </c>
      <c r="K141" s="176">
        <v>0</v>
      </c>
      <c r="L141" s="176">
        <v>0</v>
      </c>
      <c r="M141" s="176">
        <v>0</v>
      </c>
      <c r="N141" s="195">
        <f t="shared" ca="1" si="6"/>
        <v>35567632.010000005</v>
      </c>
    </row>
    <row r="142" spans="1:14" ht="30" customHeight="1" x14ac:dyDescent="0.3">
      <c r="A142" s="175" t="s">
        <v>141</v>
      </c>
      <c r="B142" s="176">
        <f ca="1">SUM(B85:B88)</f>
        <v>41749542.039999992</v>
      </c>
      <c r="C142" s="176">
        <f t="shared" ref="C142:M142" ca="1" si="12">SUM(C85:C88)</f>
        <v>114276043.72999997</v>
      </c>
      <c r="D142" s="176">
        <f t="shared" ca="1" si="12"/>
        <v>30982916.810000002</v>
      </c>
      <c r="E142" s="176">
        <f t="shared" ca="1" si="12"/>
        <v>36202942.220000006</v>
      </c>
      <c r="F142" s="176">
        <f t="shared" ca="1" si="12"/>
        <v>9212624.3499999996</v>
      </c>
      <c r="G142" s="176">
        <f t="shared" ca="1" si="12"/>
        <v>0</v>
      </c>
      <c r="H142" s="176">
        <f t="shared" ca="1" si="12"/>
        <v>0</v>
      </c>
      <c r="I142" s="176">
        <f t="shared" ca="1" si="12"/>
        <v>0</v>
      </c>
      <c r="J142" s="176">
        <f t="shared" ca="1" si="12"/>
        <v>0</v>
      </c>
      <c r="K142" s="176">
        <f t="shared" ca="1" si="12"/>
        <v>0</v>
      </c>
      <c r="L142" s="176">
        <f t="shared" ca="1" si="12"/>
        <v>0</v>
      </c>
      <c r="M142" s="176">
        <f t="shared" ca="1" si="12"/>
        <v>0</v>
      </c>
      <c r="N142" s="195">
        <f t="shared" ca="1" si="6"/>
        <v>232424069.14999998</v>
      </c>
    </row>
    <row r="143" spans="1:14" ht="30" customHeight="1" x14ac:dyDescent="0.3">
      <c r="A143" s="175" t="s">
        <v>142</v>
      </c>
      <c r="B143" s="176">
        <f t="shared" ref="B143:M143" ca="1" si="13">SUM(B89:B91)</f>
        <v>30306001.34</v>
      </c>
      <c r="C143" s="176">
        <f t="shared" ca="1" si="13"/>
        <v>37999570.150000006</v>
      </c>
      <c r="D143" s="176">
        <f t="shared" ca="1" si="13"/>
        <v>22410782.57</v>
      </c>
      <c r="E143" s="176">
        <f t="shared" ca="1" si="13"/>
        <v>23347005.989999998</v>
      </c>
      <c r="F143" s="176">
        <f t="shared" ca="1" si="13"/>
        <v>4432396</v>
      </c>
      <c r="G143" s="176">
        <f t="shared" ca="1" si="13"/>
        <v>0</v>
      </c>
      <c r="H143" s="176">
        <f t="shared" ca="1" si="13"/>
        <v>0</v>
      </c>
      <c r="I143" s="176">
        <f t="shared" ca="1" si="13"/>
        <v>0</v>
      </c>
      <c r="J143" s="176">
        <f t="shared" ca="1" si="13"/>
        <v>0</v>
      </c>
      <c r="K143" s="176">
        <f t="shared" ca="1" si="13"/>
        <v>0</v>
      </c>
      <c r="L143" s="176">
        <f t="shared" ca="1" si="13"/>
        <v>0</v>
      </c>
      <c r="M143" s="176">
        <f t="shared" ca="1" si="13"/>
        <v>0</v>
      </c>
      <c r="N143" s="177">
        <f t="shared" ca="1" si="6"/>
        <v>118495756.05</v>
      </c>
    </row>
    <row r="144" spans="1:14" ht="30" customHeight="1" x14ac:dyDescent="0.3">
      <c r="A144" s="175" t="s">
        <v>143</v>
      </c>
      <c r="B144" s="176">
        <f t="shared" ref="B144:M144" ca="1" si="14">SUM(B92:B99)</f>
        <v>109906063.2</v>
      </c>
      <c r="C144" s="176">
        <f t="shared" ca="1" si="14"/>
        <v>98494624.730000004</v>
      </c>
      <c r="D144" s="176">
        <f t="shared" ca="1" si="14"/>
        <v>70315674.510000005</v>
      </c>
      <c r="E144" s="176">
        <f t="shared" ca="1" si="14"/>
        <v>86914496.780000001</v>
      </c>
      <c r="F144" s="176">
        <f t="shared" ca="1" si="14"/>
        <v>11583434.27</v>
      </c>
      <c r="G144" s="176">
        <f t="shared" ca="1" si="14"/>
        <v>0</v>
      </c>
      <c r="H144" s="176">
        <f t="shared" ca="1" si="14"/>
        <v>0</v>
      </c>
      <c r="I144" s="176">
        <f t="shared" ca="1" si="14"/>
        <v>0</v>
      </c>
      <c r="J144" s="176">
        <f t="shared" ca="1" si="14"/>
        <v>0</v>
      </c>
      <c r="K144" s="176">
        <f t="shared" ca="1" si="14"/>
        <v>0</v>
      </c>
      <c r="L144" s="176">
        <f t="shared" ca="1" si="14"/>
        <v>0</v>
      </c>
      <c r="M144" s="176">
        <f t="shared" ca="1" si="14"/>
        <v>0</v>
      </c>
      <c r="N144" s="177">
        <f t="shared" ca="1" si="6"/>
        <v>377214293.49000001</v>
      </c>
    </row>
    <row r="145" spans="1:15" ht="30" customHeight="1" x14ac:dyDescent="0.3">
      <c r="A145" s="175" t="s">
        <v>144</v>
      </c>
      <c r="B145" s="176">
        <f t="shared" ref="B145:M145" ca="1" si="15">SUM(B100:B105)</f>
        <v>53754703.719999991</v>
      </c>
      <c r="C145" s="176">
        <f t="shared" ca="1" si="15"/>
        <v>58086187.960000008</v>
      </c>
      <c r="D145" s="176">
        <f t="shared" ca="1" si="15"/>
        <v>36596330.590000004</v>
      </c>
      <c r="E145" s="176">
        <f t="shared" ca="1" si="15"/>
        <v>33716085.140000001</v>
      </c>
      <c r="F145" s="176">
        <f t="shared" ca="1" si="15"/>
        <v>7355133.0299999993</v>
      </c>
      <c r="G145" s="176">
        <f t="shared" ca="1" si="15"/>
        <v>0</v>
      </c>
      <c r="H145" s="176">
        <f t="shared" ca="1" si="15"/>
        <v>0</v>
      </c>
      <c r="I145" s="176">
        <f t="shared" ca="1" si="15"/>
        <v>0</v>
      </c>
      <c r="J145" s="176">
        <f t="shared" ca="1" si="15"/>
        <v>0</v>
      </c>
      <c r="K145" s="176">
        <f t="shared" ca="1" si="15"/>
        <v>0</v>
      </c>
      <c r="L145" s="176">
        <f t="shared" ca="1" si="15"/>
        <v>0</v>
      </c>
      <c r="M145" s="176">
        <f t="shared" ca="1" si="15"/>
        <v>0</v>
      </c>
      <c r="N145" s="177">
        <f t="shared" ca="1" si="6"/>
        <v>189508440.44000003</v>
      </c>
    </row>
    <row r="146" spans="1:15" ht="30" customHeight="1" x14ac:dyDescent="0.3">
      <c r="A146" s="175" t="s">
        <v>145</v>
      </c>
      <c r="B146" s="176">
        <v>16645303.66</v>
      </c>
      <c r="C146" s="176">
        <v>18326097.360000007</v>
      </c>
      <c r="D146" s="176">
        <v>8516377.2599999998</v>
      </c>
      <c r="E146" s="176">
        <v>15933096.370000003</v>
      </c>
      <c r="F146" s="176">
        <v>4871661.62</v>
      </c>
      <c r="G146" s="176">
        <v>0</v>
      </c>
      <c r="H146" s="176">
        <v>0</v>
      </c>
      <c r="I146" s="176">
        <v>0</v>
      </c>
      <c r="J146" s="176">
        <v>0</v>
      </c>
      <c r="K146" s="176">
        <v>0</v>
      </c>
      <c r="L146" s="176">
        <v>0</v>
      </c>
      <c r="M146" s="176">
        <v>0</v>
      </c>
      <c r="N146" s="195">
        <f t="shared" ca="1" si="6"/>
        <v>64292536.270000011</v>
      </c>
    </row>
    <row r="147" spans="1:15" ht="30" customHeight="1" x14ac:dyDescent="0.3">
      <c r="A147" s="175" t="s">
        <v>146</v>
      </c>
      <c r="B147" s="176">
        <v>6030380.6900000013</v>
      </c>
      <c r="C147" s="176">
        <v>6081500.6500000004</v>
      </c>
      <c r="D147" s="176">
        <v>4824232.5</v>
      </c>
      <c r="E147" s="176">
        <v>2960462.06</v>
      </c>
      <c r="F147" s="176">
        <v>495735</v>
      </c>
      <c r="G147" s="176">
        <v>0</v>
      </c>
      <c r="H147" s="176">
        <v>0</v>
      </c>
      <c r="I147" s="176">
        <v>0</v>
      </c>
      <c r="J147" s="176">
        <v>0</v>
      </c>
      <c r="K147" s="176">
        <v>0</v>
      </c>
      <c r="L147" s="176">
        <v>0</v>
      </c>
      <c r="M147" s="176">
        <v>0</v>
      </c>
      <c r="N147" s="195">
        <f ca="1">SUM(B147:M147)</f>
        <v>20392310.900000002</v>
      </c>
    </row>
    <row r="148" spans="1:15" ht="30" customHeight="1" x14ac:dyDescent="0.3">
      <c r="A148" s="196" t="s">
        <v>105</v>
      </c>
      <c r="B148" s="197">
        <f t="shared" ref="B148:N148" ca="1" si="16">SUM(B113:B147)</f>
        <v>1305790889.6700003</v>
      </c>
      <c r="C148" s="197">
        <f t="shared" ca="1" si="16"/>
        <v>1234938196.29</v>
      </c>
      <c r="D148" s="197">
        <f t="shared" ca="1" si="16"/>
        <v>858224604.07000017</v>
      </c>
      <c r="E148" s="197">
        <f t="shared" ca="1" si="16"/>
        <v>1001735931.24</v>
      </c>
      <c r="F148" s="197">
        <f t="shared" ca="1" si="16"/>
        <v>195836835.14999995</v>
      </c>
      <c r="G148" s="197">
        <f t="shared" ca="1" si="16"/>
        <v>0</v>
      </c>
      <c r="H148" s="197">
        <f t="shared" ca="1" si="16"/>
        <v>0</v>
      </c>
      <c r="I148" s="197">
        <f t="shared" ca="1" si="16"/>
        <v>0</v>
      </c>
      <c r="J148" s="197">
        <f t="shared" ca="1" si="16"/>
        <v>0</v>
      </c>
      <c r="K148" s="197">
        <f t="shared" ca="1" si="16"/>
        <v>0</v>
      </c>
      <c r="L148" s="197">
        <f t="shared" ca="1" si="16"/>
        <v>0</v>
      </c>
      <c r="M148" s="197">
        <f t="shared" ca="1" si="16"/>
        <v>0</v>
      </c>
      <c r="N148" s="198">
        <f t="shared" ca="1" si="16"/>
        <v>4596526456.4199991</v>
      </c>
    </row>
    <row r="149" spans="1:15" ht="30" customHeight="1" x14ac:dyDescent="0.3">
      <c r="A149" s="178" t="s">
        <v>147</v>
      </c>
      <c r="B149" s="194">
        <f t="shared" ref="B149:M149" ca="1" si="17">SUM(B106:B107)</f>
        <v>387704</v>
      </c>
      <c r="C149" s="194">
        <f t="shared" ca="1" si="17"/>
        <v>379210</v>
      </c>
      <c r="D149" s="194">
        <f t="shared" ca="1" si="17"/>
        <v>311000</v>
      </c>
      <c r="E149" s="194">
        <f t="shared" ca="1" si="17"/>
        <v>417195</v>
      </c>
      <c r="F149" s="194">
        <f t="shared" ca="1" si="17"/>
        <v>332050.36</v>
      </c>
      <c r="G149" s="194">
        <f t="shared" ca="1" si="17"/>
        <v>0</v>
      </c>
      <c r="H149" s="194">
        <f t="shared" ca="1" si="17"/>
        <v>0</v>
      </c>
      <c r="I149" s="194">
        <f t="shared" ca="1" si="17"/>
        <v>0</v>
      </c>
      <c r="J149" s="194">
        <f t="shared" ca="1" si="17"/>
        <v>0</v>
      </c>
      <c r="K149" s="194">
        <f t="shared" ca="1" si="17"/>
        <v>0</v>
      </c>
      <c r="L149" s="194">
        <f t="shared" ca="1" si="17"/>
        <v>0</v>
      </c>
      <c r="M149" s="194">
        <f t="shared" ca="1" si="17"/>
        <v>0</v>
      </c>
      <c r="N149" s="191">
        <f ca="1">SUM(B149:M149)</f>
        <v>1827159.3599999999</v>
      </c>
    </row>
    <row r="150" spans="1:15" ht="29.1" hidden="1" customHeight="1" x14ac:dyDescent="0.3">
      <c r="A150" s="178" t="s">
        <v>148</v>
      </c>
      <c r="B150" s="194">
        <f ca="1">(B152-B151)</f>
        <v>12200366.48000145</v>
      </c>
      <c r="C150" s="194">
        <f ca="1">(C152-C151)</f>
        <v>9593867.2199947834</v>
      </c>
      <c r="D150" s="194">
        <f ca="1">(D152-D151)</f>
        <v>11776132.2700001</v>
      </c>
      <c r="E150" s="194">
        <f t="shared" ref="E150:M150" ca="1" si="18">E152-E151</f>
        <v>84798613.350001812</v>
      </c>
      <c r="F150" s="194">
        <f t="shared" ca="1" si="18"/>
        <v>22312553.460000098</v>
      </c>
      <c r="G150" s="194">
        <f t="shared" ca="1" si="18"/>
        <v>0</v>
      </c>
      <c r="H150" s="194">
        <f t="shared" ca="1" si="18"/>
        <v>0</v>
      </c>
      <c r="I150" s="194">
        <f t="shared" ca="1" si="18"/>
        <v>0</v>
      </c>
      <c r="J150" s="194">
        <f t="shared" ca="1" si="18"/>
        <v>0</v>
      </c>
      <c r="K150" s="194">
        <f t="shared" ca="1" si="18"/>
        <v>0</v>
      </c>
      <c r="L150" s="194">
        <f t="shared" ca="1" si="18"/>
        <v>0</v>
      </c>
      <c r="M150" s="194">
        <f t="shared" ca="1" si="18"/>
        <v>0</v>
      </c>
      <c r="N150" s="191">
        <f ca="1">SUM(B150:M150)</f>
        <v>140681532.77999824</v>
      </c>
    </row>
    <row r="151" spans="1:15" ht="14.4" hidden="1" thickBot="1" x14ac:dyDescent="0.35">
      <c r="A151" s="199" t="s">
        <v>4</v>
      </c>
      <c r="B151" s="200">
        <f t="shared" ref="B151:M151" ca="1" si="19">SUM(B148:B149)</f>
        <v>1306178593.6700003</v>
      </c>
      <c r="C151" s="200">
        <f t="shared" ca="1" si="19"/>
        <v>1235317406.29</v>
      </c>
      <c r="D151" s="200">
        <f t="shared" ca="1" si="19"/>
        <v>858535604.07000017</v>
      </c>
      <c r="E151" s="200">
        <f t="shared" ca="1" si="19"/>
        <v>1002153126.24</v>
      </c>
      <c r="F151" s="200">
        <f t="shared" ca="1" si="19"/>
        <v>196168885.50999996</v>
      </c>
      <c r="G151" s="200">
        <f t="shared" ca="1" si="19"/>
        <v>0</v>
      </c>
      <c r="H151" s="200">
        <f t="shared" ca="1" si="19"/>
        <v>0</v>
      </c>
      <c r="I151" s="200">
        <f t="shared" ca="1" si="19"/>
        <v>0</v>
      </c>
      <c r="J151" s="200">
        <f t="shared" ca="1" si="19"/>
        <v>0</v>
      </c>
      <c r="K151" s="200">
        <f t="shared" ca="1" si="19"/>
        <v>0</v>
      </c>
      <c r="L151" s="200">
        <f t="shared" ca="1" si="19"/>
        <v>0</v>
      </c>
      <c r="M151" s="200">
        <f t="shared" ca="1" si="19"/>
        <v>0</v>
      </c>
      <c r="N151" s="185">
        <f ca="1">SUM(N148:N150)</f>
        <v>4739035148.5599966</v>
      </c>
    </row>
    <row r="152" spans="1:15" ht="27.6" customHeight="1" x14ac:dyDescent="0.3">
      <c r="A152" s="201" t="s">
        <v>4</v>
      </c>
      <c r="B152" s="202">
        <v>1318378960.1500018</v>
      </c>
      <c r="C152" s="202">
        <v>1244911273.5099947</v>
      </c>
      <c r="D152" s="202">
        <v>870311736.34000027</v>
      </c>
      <c r="E152" s="202">
        <v>1086951739.5900018</v>
      </c>
      <c r="F152" s="202">
        <v>218481438.97000006</v>
      </c>
      <c r="G152" s="202">
        <v>0</v>
      </c>
      <c r="H152" s="202">
        <v>0</v>
      </c>
      <c r="I152" s="202">
        <v>0</v>
      </c>
      <c r="J152" s="202">
        <v>0</v>
      </c>
      <c r="K152" s="202">
        <v>0</v>
      </c>
      <c r="L152" s="202">
        <v>0</v>
      </c>
      <c r="M152" s="202">
        <v>0</v>
      </c>
      <c r="N152" s="203">
        <f ca="1">SUM(B152:M152)</f>
        <v>4739035148.5599985</v>
      </c>
      <c r="O152" s="204"/>
    </row>
    <row r="153" spans="1:15" ht="30" customHeight="1" x14ac:dyDescent="0.3">
      <c r="A153" s="205" t="s">
        <v>149</v>
      </c>
      <c r="B153" s="206">
        <v>60584095.579999976</v>
      </c>
      <c r="C153" s="206">
        <v>58066546.309999995</v>
      </c>
      <c r="D153" s="206">
        <v>25636169.170000002</v>
      </c>
      <c r="E153" s="206">
        <v>18232032.760000005</v>
      </c>
      <c r="F153" s="206">
        <v>4773809.6399999997</v>
      </c>
      <c r="G153" s="206">
        <v>0</v>
      </c>
      <c r="H153" s="206">
        <v>0</v>
      </c>
      <c r="I153" s="206">
        <v>0</v>
      </c>
      <c r="J153" s="206">
        <v>0</v>
      </c>
      <c r="K153" s="206">
        <v>0</v>
      </c>
      <c r="L153" s="206">
        <v>0</v>
      </c>
      <c r="M153" s="206">
        <v>0</v>
      </c>
      <c r="N153" s="207">
        <f ca="1">SUM(B153:M153)</f>
        <v>167292653.45999998</v>
      </c>
    </row>
    <row r="154" spans="1:15" ht="15" hidden="1" customHeight="1" x14ac:dyDescent="0.3">
      <c r="A154" s="208"/>
      <c r="B154" s="206">
        <v>17618995.93</v>
      </c>
      <c r="C154" s="206">
        <v>20584169.25</v>
      </c>
      <c r="D154" s="206">
        <v>25024797.240000002</v>
      </c>
      <c r="E154" s="209"/>
      <c r="F154" s="209"/>
      <c r="G154" s="209"/>
      <c r="H154" s="209"/>
      <c r="I154" s="209"/>
      <c r="J154" s="209"/>
      <c r="K154" s="209"/>
      <c r="L154" s="209"/>
      <c r="M154" s="209"/>
      <c r="N154" s="207">
        <f ca="1">SUM(B154:M154)</f>
        <v>63227962.420000002</v>
      </c>
    </row>
    <row r="155" spans="1:15" ht="15" hidden="1" customHeight="1" x14ac:dyDescent="0.3">
      <c r="A155" s="210"/>
    </row>
    <row r="157" spans="1:15" ht="15" customHeight="1" x14ac:dyDescent="0.3">
      <c r="A157" s="211" t="s">
        <v>150</v>
      </c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3"/>
      <c r="N157" s="203">
        <f ca="1">month_target!S26</f>
        <v>5022018624.4356022</v>
      </c>
    </row>
    <row r="158" spans="1:15" ht="15" customHeight="1" x14ac:dyDescent="0.3">
      <c r="A158" s="214" t="s">
        <v>151</v>
      </c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6"/>
      <c r="N158" s="207">
        <f ca="1">SUM(B159:M159)</f>
        <v>3906350971.509728</v>
      </c>
    </row>
    <row r="159" spans="1:15" ht="29.85" customHeight="1" x14ac:dyDescent="0.3">
      <c r="B159" s="5">
        <v>1347835315.8369384</v>
      </c>
      <c r="C159" s="5">
        <v>1322937209.2169099</v>
      </c>
      <c r="D159" s="5">
        <v>921934780.85959971</v>
      </c>
      <c r="E159" s="5">
        <v>313643665.59628004</v>
      </c>
      <c r="F159" s="5"/>
      <c r="G159" s="5"/>
      <c r="H159" s="5"/>
      <c r="I159" s="5"/>
      <c r="J159" s="5"/>
      <c r="K159" s="5"/>
      <c r="L159" s="5"/>
      <c r="M159" s="5"/>
      <c r="N159" s="49">
        <f ca="1">SUM(B159:M159)</f>
        <v>3906350971.509728</v>
      </c>
    </row>
    <row r="160" spans="1:15" ht="29.85" customHeight="1" x14ac:dyDescent="0.3">
      <c r="B160" s="49">
        <f ca="1">B159-B152-B153</f>
        <v>-31127739.893063359</v>
      </c>
      <c r="C160" s="49">
        <f t="shared" ref="C160:N160" ca="1" si="20">C159-C152-C153</f>
        <v>19959389.396915145</v>
      </c>
      <c r="D160" s="49">
        <f t="shared" ca="1" si="20"/>
        <v>25986875.349599436</v>
      </c>
      <c r="E160" s="49">
        <f t="shared" ca="1" si="20"/>
        <v>-791540106.75372171</v>
      </c>
      <c r="F160" s="49">
        <f t="shared" ca="1" si="20"/>
        <v>-223255248.61000004</v>
      </c>
      <c r="G160" s="49">
        <f t="shared" ca="1" si="20"/>
        <v>0</v>
      </c>
      <c r="H160" s="49">
        <f t="shared" ca="1" si="20"/>
        <v>0</v>
      </c>
      <c r="I160" s="49">
        <f t="shared" ca="1" si="20"/>
        <v>0</v>
      </c>
      <c r="J160" s="49">
        <f t="shared" ca="1" si="20"/>
        <v>0</v>
      </c>
      <c r="K160" s="49">
        <f t="shared" ca="1" si="20"/>
        <v>0</v>
      </c>
      <c r="L160" s="49">
        <f t="shared" ca="1" si="20"/>
        <v>0</v>
      </c>
      <c r="M160" s="49">
        <f t="shared" ca="1" si="20"/>
        <v>0</v>
      </c>
      <c r="N160" s="49">
        <f t="shared" ca="1" si="20"/>
        <v>-999976830.5102706</v>
      </c>
    </row>
    <row r="161" spans="2:11" ht="29.85" customHeight="1" x14ac:dyDescent="0.3">
      <c r="B161" s="204"/>
      <c r="C161" s="204"/>
      <c r="D161" s="204"/>
      <c r="E161" s="204"/>
      <c r="F161" s="204"/>
      <c r="G161" s="204"/>
    </row>
    <row r="162" spans="2:11" ht="29.85" customHeight="1" x14ac:dyDescent="0.3">
      <c r="B162" s="37"/>
      <c r="C162" s="37"/>
      <c r="D162" s="37"/>
      <c r="E162" s="37"/>
      <c r="F162" s="37"/>
      <c r="G162" s="37"/>
      <c r="H162" s="37"/>
      <c r="I162" s="37"/>
      <c r="J162" s="37"/>
      <c r="K162" s="37"/>
    </row>
    <row r="163" spans="2:11" ht="29.85" customHeight="1" x14ac:dyDescent="0.3">
      <c r="B163" s="204"/>
      <c r="C163" s="204"/>
      <c r="D163" s="204"/>
    </row>
    <row r="164" spans="2:11" ht="29.85" customHeight="1" x14ac:dyDescent="0.3">
      <c r="B164" s="204"/>
      <c r="C164" s="204"/>
      <c r="D164" s="204"/>
    </row>
    <row r="165" spans="2:11" ht="29.85" customHeight="1" x14ac:dyDescent="0.3">
      <c r="B165" s="204"/>
      <c r="C165" s="204"/>
      <c r="D165" s="204"/>
    </row>
    <row r="166" spans="2:11" ht="15" customHeight="1" x14ac:dyDescent="0.3">
      <c r="B166" s="204"/>
      <c r="C166" s="204"/>
      <c r="D166" s="204"/>
    </row>
  </sheetData>
  <mergeCells count="4">
    <mergeCell ref="A5:A6"/>
    <mergeCell ref="B6:J6"/>
    <mergeCell ref="A157:M157"/>
    <mergeCell ref="A158:M158"/>
  </mergeCells>
  <pageMargins left="0.98425196850393704" right="0.59055118110236204" top="0.98425196850393704" bottom="0.78740157480314998" header="0.31496062992126" footer="0.31496062992126"/>
  <pageSetup paperSize="8" scale="56" orientation="landscape" r:id="rId1"/>
  <headerFooter alignWithMargins="0">
    <oddHeader>&amp;L&amp;"Tahoma,Regular"&amp;10SOBHA LLC&amp;C`&amp;R&amp;"Tahoma,Regular"&amp;10&amp;D</oddHeader>
    <oddFooter>&amp;L&amp;"Tahoma,Regular"&amp;10COLLECTIONS&amp;R&amp;P/&amp;N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daily</vt:lpstr>
      <vt:lpstr>month_target</vt:lpstr>
      <vt:lpstr>2025 PROJECTWISE</vt:lpstr>
      <vt:lpstr>'2025 PROJECTWISE'!Print_Area</vt:lpstr>
      <vt:lpstr>daily!Print_Area</vt:lpstr>
      <vt:lpstr>month_target!Print_Area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Sharma</dc:creator>
  <cp:lastModifiedBy>Rajesh Kumar Sharma</cp:lastModifiedBy>
  <dcterms:created xsi:type="dcterms:W3CDTF">2026-05-07T19:56:36Z</dcterms:created>
  <dcterms:modified xsi:type="dcterms:W3CDTF">2026-05-07T19:57:17Z</dcterms:modified>
</cp:coreProperties>
</file>