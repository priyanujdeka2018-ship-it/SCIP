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obha-my.sharepoint.com/personal/vinjam_hemachalam_latinem_in/Documents/Desktop/Vinjam Hemachalam/Monthly Feedback/"/>
    </mc:Choice>
  </mc:AlternateContent>
  <xr:revisionPtr revIDLastSave="0" documentId="8_{D2320DF8-3D85-4DC9-9245-F4C0C7156476}" xr6:coauthVersionLast="47" xr6:coauthVersionMax="47" xr10:uidLastSave="{00000000-0000-0000-0000-000000000000}"/>
  <bookViews>
    <workbookView xWindow="-120" yWindow="-120" windowWidth="29040" windowHeight="15720" xr2:uid="{2C1D0AAD-C47E-4779-BFB4-62961DE89301}"/>
  </bookViews>
  <sheets>
    <sheet name="Summary" sheetId="1" r:id="rId1"/>
  </sheets>
  <definedNames>
    <definedName name="_xlnm._FilterDatabase" localSheetId="0" hidden="1">Summary!$B$3:$AQ$30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0" i="1" l="1"/>
  <c r="AO29" i="1"/>
  <c r="AM29" i="1"/>
  <c r="AQ29" i="1"/>
  <c r="I29" i="1"/>
  <c r="H29" i="1"/>
  <c r="AP28" i="1"/>
  <c r="AQ28" i="1"/>
  <c r="I28" i="1"/>
  <c r="H28" i="1"/>
  <c r="AM27" i="1"/>
  <c r="I27" i="1"/>
  <c r="AN26" i="1"/>
  <c r="AQ26" i="1"/>
  <c r="I26" i="1"/>
  <c r="H26" i="1"/>
  <c r="AQ25" i="1"/>
  <c r="AO25" i="1"/>
  <c r="AM25" i="1"/>
  <c r="AP25" i="1"/>
  <c r="H25" i="1"/>
  <c r="I25" i="1"/>
  <c r="AP24" i="1"/>
  <c r="AN24" i="1"/>
  <c r="AM24" i="1"/>
  <c r="AQ24" i="1"/>
  <c r="H24" i="1"/>
  <c r="I24" i="1"/>
  <c r="AQ23" i="1"/>
  <c r="AO23" i="1"/>
  <c r="AM23" i="1"/>
  <c r="AP23" i="1"/>
  <c r="AN23" i="1"/>
  <c r="H23" i="1"/>
  <c r="I23" i="1"/>
  <c r="AP22" i="1"/>
  <c r="AN22" i="1"/>
  <c r="AM22" i="1"/>
  <c r="AQ22" i="1"/>
  <c r="H22" i="1"/>
  <c r="I22" i="1"/>
  <c r="AQ21" i="1"/>
  <c r="AO21" i="1"/>
  <c r="AM21" i="1"/>
  <c r="AP21" i="1"/>
  <c r="I21" i="1"/>
  <c r="AN20" i="1"/>
  <c r="AP20" i="1"/>
  <c r="AO20" i="1"/>
  <c r="AM20" i="1"/>
  <c r="AQ20" i="1"/>
  <c r="H20" i="1"/>
  <c r="I20" i="1"/>
  <c r="AQ19" i="1"/>
  <c r="AO19" i="1"/>
  <c r="AM19" i="1"/>
  <c r="AP19" i="1"/>
  <c r="H19" i="1"/>
  <c r="I19" i="1"/>
  <c r="AP18" i="1"/>
  <c r="AN18" i="1"/>
  <c r="AO18" i="1"/>
  <c r="AQ18" i="1"/>
  <c r="I18" i="1"/>
  <c r="H18" i="1"/>
  <c r="AQ17" i="1"/>
  <c r="AO17" i="1"/>
  <c r="AP17" i="1"/>
  <c r="I17" i="1"/>
  <c r="H17" i="1"/>
  <c r="AP16" i="1"/>
  <c r="AN16" i="1"/>
  <c r="AQ16" i="1"/>
  <c r="AO16" i="1"/>
  <c r="AM16" i="1"/>
  <c r="I16" i="1"/>
  <c r="H16" i="1"/>
  <c r="AQ15" i="1"/>
  <c r="AP15" i="1"/>
  <c r="I15" i="1"/>
  <c r="H15" i="1"/>
  <c r="AP14" i="1"/>
  <c r="AN14" i="1"/>
  <c r="AQ14" i="1"/>
  <c r="AO14" i="1"/>
  <c r="AM14" i="1"/>
  <c r="I14" i="1"/>
  <c r="H14" i="1"/>
  <c r="AO13" i="1"/>
  <c r="I13" i="1"/>
  <c r="H13" i="1"/>
  <c r="AP12" i="1"/>
  <c r="AN12" i="1"/>
  <c r="AQ12" i="1"/>
  <c r="AO12" i="1"/>
  <c r="AM12" i="1"/>
  <c r="I12" i="1"/>
  <c r="H12" i="1"/>
  <c r="AQ11" i="1"/>
  <c r="H11" i="1"/>
  <c r="AP10" i="1"/>
  <c r="AN10" i="1"/>
  <c r="AQ10" i="1"/>
  <c r="AO10" i="1"/>
  <c r="AM10" i="1"/>
  <c r="I10" i="1"/>
  <c r="H10" i="1"/>
  <c r="AQ9" i="1"/>
  <c r="I9" i="1"/>
  <c r="H9" i="1"/>
  <c r="AP8" i="1"/>
  <c r="AN8" i="1"/>
  <c r="AM8" i="1"/>
  <c r="AQ8" i="1"/>
  <c r="I8" i="1"/>
  <c r="H8" i="1"/>
  <c r="AO7" i="1"/>
  <c r="H7" i="1"/>
  <c r="AP6" i="1"/>
  <c r="AN6" i="1"/>
  <c r="AQ6" i="1"/>
  <c r="I6" i="1"/>
  <c r="H6" i="1"/>
  <c r="AM5" i="1"/>
  <c r="H5" i="1"/>
  <c r="AP4" i="1"/>
  <c r="AK30" i="1"/>
  <c r="AJ30" i="1"/>
  <c r="AI30" i="1"/>
  <c r="AH30" i="1"/>
  <c r="AG30" i="1"/>
  <c r="AQ4" i="1"/>
  <c r="G30" i="1"/>
  <c r="I30" i="1" s="1"/>
  <c r="F30" i="1"/>
  <c r="D30" i="1"/>
  <c r="H4" i="1"/>
  <c r="I5" i="1" l="1"/>
  <c r="AN25" i="1"/>
  <c r="I7" i="1"/>
  <c r="AN27" i="1"/>
  <c r="AN5" i="1"/>
  <c r="AM18" i="1"/>
  <c r="AP27" i="1"/>
  <c r="AN29" i="1"/>
  <c r="AO5" i="1"/>
  <c r="AP5" i="1"/>
  <c r="AN7" i="1"/>
  <c r="I11" i="1"/>
  <c r="AP29" i="1"/>
  <c r="AM9" i="1"/>
  <c r="AP7" i="1"/>
  <c r="AN9" i="1"/>
  <c r="C30" i="1"/>
  <c r="H30" i="1" s="1"/>
  <c r="AQ7" i="1"/>
  <c r="AO9" i="1"/>
  <c r="AM11" i="1"/>
  <c r="AP9" i="1"/>
  <c r="AN11" i="1"/>
  <c r="AO22" i="1"/>
  <c r="AO11" i="1"/>
  <c r="AM13" i="1"/>
  <c r="AE30" i="1"/>
  <c r="AQ27" i="1"/>
  <c r="AQ5" i="1"/>
  <c r="I4" i="1"/>
  <c r="AP11" i="1"/>
  <c r="AN13" i="1"/>
  <c r="AO24" i="1"/>
  <c r="AM26" i="1"/>
  <c r="AO27" i="1"/>
  <c r="AM7" i="1"/>
  <c r="AP13" i="1"/>
  <c r="AN15" i="1"/>
  <c r="AO26" i="1"/>
  <c r="AM28" i="1"/>
  <c r="AM4" i="1"/>
  <c r="AN4" i="1"/>
  <c r="AQ13" i="1"/>
  <c r="AO15" i="1"/>
  <c r="AM17" i="1"/>
  <c r="H21" i="1"/>
  <c r="AP26" i="1"/>
  <c r="AN28" i="1"/>
  <c r="AM15" i="1"/>
  <c r="AO4" i="1"/>
  <c r="AM6" i="1"/>
  <c r="AN17" i="1"/>
  <c r="AO28" i="1"/>
  <c r="AO6" i="1"/>
  <c r="AN19" i="1"/>
  <c r="AO8" i="1"/>
  <c r="AN21" i="1"/>
  <c r="H27" i="1"/>
  <c r="AQ30" i="1" l="1"/>
  <c r="AP30" i="1"/>
  <c r="AO30" i="1"/>
  <c r="AN30" i="1"/>
  <c r="AM30" i="1"/>
  <c r="Q30" i="1" l="1"/>
  <c r="J30" i="1"/>
  <c r="AC8" i="1" l="1"/>
  <c r="AA8" i="1"/>
  <c r="Y8" i="1"/>
  <c r="AC20" i="1"/>
  <c r="AC22" i="1"/>
  <c r="AA22" i="1"/>
  <c r="Z23" i="1"/>
  <c r="X23" i="1"/>
  <c r="AC24" i="1"/>
  <c r="AA24" i="1"/>
  <c r="Y24" i="1"/>
  <c r="Y28" i="1"/>
  <c r="AA28" i="1"/>
  <c r="AC28" i="1"/>
  <c r="AA26" i="1"/>
  <c r="Y26" i="1"/>
  <c r="AC26" i="1"/>
  <c r="Y14" i="1"/>
  <c r="AB9" i="1"/>
  <c r="Z15" i="1"/>
  <c r="X15" i="1"/>
  <c r="AB15" i="1"/>
  <c r="X21" i="1"/>
  <c r="Z21" i="1"/>
  <c r="AB21" i="1"/>
  <c r="Y12" i="1"/>
  <c r="AA12" i="1"/>
  <c r="X25" i="1"/>
  <c r="X17" i="1"/>
  <c r="AB17" i="1"/>
  <c r="Z17" i="1"/>
  <c r="AB13" i="1"/>
  <c r="X13" i="1"/>
  <c r="Z13" i="1"/>
  <c r="Z11" i="1"/>
  <c r="AB11" i="1"/>
  <c r="AA6" i="1"/>
  <c r="Y6" i="1"/>
  <c r="AC6" i="1"/>
  <c r="X19" i="1"/>
  <c r="AB19" i="1"/>
  <c r="Z19" i="1"/>
  <c r="AA4" i="1" l="1"/>
  <c r="Y4" i="1"/>
  <c r="AC4" i="1"/>
  <c r="Z28" i="1" l="1"/>
  <c r="AB26" i="1"/>
  <c r="Y17" i="1"/>
  <c r="AA15" i="1"/>
  <c r="AC13" i="1"/>
  <c r="X6" i="1"/>
  <c r="X28" i="1"/>
  <c r="Z26" i="1"/>
  <c r="AB24" i="1"/>
  <c r="Y15" i="1"/>
  <c r="AA13" i="1"/>
  <c r="AC11" i="1"/>
  <c r="X26" i="1"/>
  <c r="Z24" i="1"/>
  <c r="AB22" i="1"/>
  <c r="Y13" i="1"/>
  <c r="AA11" i="1"/>
  <c r="AC9" i="1"/>
  <c r="X24" i="1"/>
  <c r="Z22" i="1"/>
  <c r="AB20" i="1"/>
  <c r="Y11" i="1"/>
  <c r="AA9" i="1"/>
  <c r="AC7" i="1"/>
  <c r="AC16" i="1"/>
  <c r="Z7" i="1"/>
  <c r="Y10" i="1"/>
  <c r="Y22" i="1"/>
  <c r="AA20" i="1"/>
  <c r="AC18" i="1"/>
  <c r="X11" i="1"/>
  <c r="Z9" i="1"/>
  <c r="AB7" i="1"/>
  <c r="AB29" i="1"/>
  <c r="AA18" i="1"/>
  <c r="AB5" i="1"/>
  <c r="X5" i="1"/>
  <c r="AA10" i="1"/>
  <c r="AC29" i="1"/>
  <c r="X22" i="1"/>
  <c r="Z20" i="1"/>
  <c r="AB18" i="1"/>
  <c r="Y9" i="1"/>
  <c r="AA7" i="1"/>
  <c r="Y20" i="1"/>
  <c r="X9" i="1"/>
  <c r="Z5" i="1"/>
  <c r="AC10" i="1"/>
  <c r="AA29" i="1"/>
  <c r="AC27" i="1"/>
  <c r="X20" i="1"/>
  <c r="Z18" i="1"/>
  <c r="AB16" i="1"/>
  <c r="Y7" i="1"/>
  <c r="Z29" i="1"/>
  <c r="AB27" i="1"/>
  <c r="Y18" i="1"/>
  <c r="AA16" i="1"/>
  <c r="AC14" i="1"/>
  <c r="X7" i="1"/>
  <c r="Y29" i="1"/>
  <c r="AA27" i="1"/>
  <c r="AC25" i="1"/>
  <c r="X18" i="1"/>
  <c r="Z16" i="1"/>
  <c r="AB14" i="1"/>
  <c r="X29" i="1"/>
  <c r="Z27" i="1"/>
  <c r="AB25" i="1"/>
  <c r="Y16" i="1"/>
  <c r="AA14" i="1"/>
  <c r="AC12" i="1"/>
  <c r="Y27" i="1"/>
  <c r="AA25" i="1"/>
  <c r="AC23" i="1"/>
  <c r="X16" i="1"/>
  <c r="Z14" i="1"/>
  <c r="AB12" i="1"/>
  <c r="X27" i="1"/>
  <c r="Z25" i="1"/>
  <c r="AB23" i="1"/>
  <c r="Y25" i="1"/>
  <c r="AA23" i="1"/>
  <c r="AC21" i="1"/>
  <c r="X14" i="1"/>
  <c r="Z12" i="1"/>
  <c r="AB10" i="1"/>
  <c r="Y23" i="1"/>
  <c r="AA21" i="1"/>
  <c r="AC19" i="1"/>
  <c r="X12" i="1"/>
  <c r="Z10" i="1"/>
  <c r="AB8" i="1"/>
  <c r="Y21" i="1"/>
  <c r="AA19" i="1"/>
  <c r="AC17" i="1"/>
  <c r="X10" i="1"/>
  <c r="Z8" i="1"/>
  <c r="AB6" i="1"/>
  <c r="AB28" i="1"/>
  <c r="Y19" i="1"/>
  <c r="AA17" i="1"/>
  <c r="AC15" i="1"/>
  <c r="X8" i="1"/>
  <c r="Z6" i="1"/>
  <c r="P30" i="1" l="1"/>
  <c r="Y5" i="1"/>
  <c r="S30" i="1"/>
  <c r="Y30" i="1" s="1"/>
  <c r="V30" i="1"/>
  <c r="AB30" i="1" s="1"/>
  <c r="AB4" i="1"/>
  <c r="T30" i="1"/>
  <c r="Z30" i="1" s="1"/>
  <c r="Z4" i="1"/>
  <c r="N30" i="1"/>
  <c r="L30" i="1"/>
  <c r="K30" i="1"/>
  <c r="AC5" i="1"/>
  <c r="W30" i="1"/>
  <c r="AC30" i="1" s="1"/>
  <c r="M30" i="1"/>
  <c r="R30" i="1"/>
  <c r="X30" i="1" s="1"/>
  <c r="X4" i="1"/>
  <c r="O30" i="1"/>
  <c r="AA5" i="1"/>
  <c r="U30" i="1"/>
  <c r="AA30" i="1" s="1"/>
</calcChain>
</file>

<file path=xl/sharedStrings.xml><?xml version="1.0" encoding="utf-8"?>
<sst xmlns="http://schemas.openxmlformats.org/spreadsheetml/2006/main" count="76" uniqueCount="63">
  <si>
    <t xml:space="preserve">Dues Allocation </t>
  </si>
  <si>
    <t>ALLOCATION DETAILS</t>
  </si>
  <si>
    <t>OPERTIONAL EFFORTS</t>
  </si>
  <si>
    <t>UNITS PAID BY CHANNEL</t>
  </si>
  <si>
    <t>TOTAL PAYMENT BY CHANNEL</t>
  </si>
  <si>
    <t>Payment received</t>
  </si>
  <si>
    <t>PAYMENT CHANNEL EFFICIENCY</t>
  </si>
  <si>
    <t>Efficiency</t>
  </si>
  <si>
    <t>Allocated units(&gt;10k Overdue- S.O.M)</t>
  </si>
  <si>
    <t>Total allocated OD</t>
  </si>
  <si>
    <t>Target</t>
  </si>
  <si>
    <t>Total attempts</t>
  </si>
  <si>
    <t>Total contacts</t>
  </si>
  <si>
    <t>Attempt intensity</t>
  </si>
  <si>
    <t>Contact intensity</t>
  </si>
  <si>
    <t>#Units paid</t>
  </si>
  <si>
    <t xml:space="preserve"> Self cured</t>
  </si>
  <si>
    <t>Calls to Paid</t>
  </si>
  <si>
    <t>Emails to Paid</t>
  </si>
  <si>
    <t>Walk-in to Paid</t>
  </si>
  <si>
    <t>Other stakeholders to Paid</t>
  </si>
  <si>
    <t>Whatsapp to Paid</t>
  </si>
  <si>
    <t>Total payment</t>
  </si>
  <si>
    <t>#Transaction</t>
  </si>
  <si>
    <t>#Calls</t>
  </si>
  <si>
    <t>#Case</t>
  </si>
  <si>
    <t>#Walkin</t>
  </si>
  <si>
    <t>#Other stakeholers</t>
  </si>
  <si>
    <t>#Whatsapp</t>
  </si>
  <si>
    <t>Calls to paid</t>
  </si>
  <si>
    <t>Case to paid</t>
  </si>
  <si>
    <t>Walkin to paid</t>
  </si>
  <si>
    <t>Other stakeholers to paid</t>
  </si>
  <si>
    <t>Whatsapp to paid</t>
  </si>
  <si>
    <t>Abdellatif</t>
  </si>
  <si>
    <t>Ainur</t>
  </si>
  <si>
    <t>Ali</t>
  </si>
  <si>
    <t>Anirudh</t>
  </si>
  <si>
    <t>Daria</t>
  </si>
  <si>
    <t>Farheen</t>
  </si>
  <si>
    <t>Karan</t>
  </si>
  <si>
    <t>Lamis</t>
  </si>
  <si>
    <t>Moustafa</t>
  </si>
  <si>
    <t>Nijish</t>
  </si>
  <si>
    <t>Oksana</t>
  </si>
  <si>
    <t>Aqsa</t>
  </si>
  <si>
    <t>Omar</t>
  </si>
  <si>
    <t>Rajiv</t>
  </si>
  <si>
    <t>Sabah</t>
  </si>
  <si>
    <t>Sarmad</t>
  </si>
  <si>
    <t>Sid</t>
  </si>
  <si>
    <t>Hussein</t>
  </si>
  <si>
    <t>Yusuf</t>
  </si>
  <si>
    <t>Zeba</t>
  </si>
  <si>
    <t>Ruhul</t>
  </si>
  <si>
    <t>Vinod</t>
  </si>
  <si>
    <t>Walid</t>
  </si>
  <si>
    <t>Anna</t>
  </si>
  <si>
    <t>Melvyn</t>
  </si>
  <si>
    <t>Monish</t>
  </si>
  <si>
    <t>Total</t>
  </si>
  <si>
    <t>Transaction as on-06-05-2026</t>
  </si>
  <si>
    <t>Customer Contacts as on -06-05-2026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</si>
</sst>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theme="0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8" fillId="13" borderId="14" xfId="0" applyFont="1" applyFill="1" applyBorder="1"/>
    <xf numFmtId="165" fontId="8" fillId="0" borderId="15" xfId="1" applyNumberFormat="1" applyFont="1" applyBorder="1"/>
    <xf numFmtId="165" fontId="8" fillId="0" borderId="16" xfId="1" applyNumberFormat="1" applyFont="1" applyBorder="1"/>
    <xf numFmtId="165" fontId="8" fillId="0" borderId="17" xfId="1" applyNumberFormat="1" applyFont="1" applyBorder="1"/>
    <xf numFmtId="2" fontId="8" fillId="0" borderId="16" xfId="0" applyNumberFormat="1" applyFont="1" applyBorder="1"/>
    <xf numFmtId="2" fontId="8" fillId="0" borderId="17" xfId="2" applyNumberFormat="1" applyFont="1" applyBorder="1"/>
    <xf numFmtId="165" fontId="8" fillId="8" borderId="16" xfId="1" applyNumberFormat="1" applyFont="1" applyFill="1" applyBorder="1" applyAlignment="1">
      <alignment horizontal="center"/>
    </xf>
    <xf numFmtId="165" fontId="8" fillId="0" borderId="16" xfId="1" applyNumberFormat="1" applyFont="1" applyBorder="1" applyAlignment="1">
      <alignment horizontal="center"/>
    </xf>
    <xf numFmtId="165" fontId="8" fillId="0" borderId="18" xfId="1" applyNumberFormat="1" applyFont="1" applyBorder="1" applyAlignment="1">
      <alignment horizontal="center"/>
    </xf>
    <xf numFmtId="165" fontId="8" fillId="0" borderId="17" xfId="1" applyNumberFormat="1" applyFont="1" applyBorder="1" applyAlignment="1">
      <alignment horizontal="center"/>
    </xf>
    <xf numFmtId="165" fontId="8" fillId="11" borderId="19" xfId="1" applyNumberFormat="1" applyFont="1" applyFill="1" applyBorder="1"/>
    <xf numFmtId="165" fontId="8" fillId="0" borderId="18" xfId="1" applyNumberFormat="1" applyFont="1" applyBorder="1"/>
    <xf numFmtId="9" fontId="8" fillId="0" borderId="20" xfId="2" applyFont="1" applyBorder="1" applyAlignment="1">
      <alignment horizontal="center"/>
    </xf>
    <xf numFmtId="9" fontId="8" fillId="0" borderId="0" xfId="2" applyFont="1" applyBorder="1" applyAlignment="1">
      <alignment horizontal="center"/>
    </xf>
    <xf numFmtId="9" fontId="8" fillId="0" borderId="21" xfId="2" applyFont="1" applyBorder="1" applyAlignment="1">
      <alignment horizontal="center"/>
    </xf>
    <xf numFmtId="9" fontId="8" fillId="0" borderId="0" xfId="2" applyFont="1" applyFill="1" applyBorder="1" applyAlignment="1">
      <alignment horizontal="center"/>
    </xf>
    <xf numFmtId="165" fontId="9" fillId="0" borderId="8" xfId="1" applyNumberFormat="1" applyFont="1" applyFill="1" applyBorder="1"/>
    <xf numFmtId="165" fontId="9" fillId="0" borderId="20" xfId="1" applyNumberFormat="1" applyFont="1" applyFill="1" applyBorder="1"/>
    <xf numFmtId="165" fontId="9" fillId="0" borderId="0" xfId="1" applyNumberFormat="1" applyFont="1" applyFill="1" applyBorder="1"/>
    <xf numFmtId="165" fontId="9" fillId="0" borderId="21" xfId="1" applyNumberFormat="1" applyFont="1" applyFill="1" applyBorder="1"/>
    <xf numFmtId="0" fontId="7" fillId="13" borderId="22" xfId="0" applyFont="1" applyFill="1" applyBorder="1" applyAlignment="1">
      <alignment vertical="center"/>
    </xf>
    <xf numFmtId="165" fontId="7" fillId="8" borderId="9" xfId="1" applyNumberFormat="1" applyFont="1" applyFill="1" applyBorder="1" applyAlignment="1">
      <alignment vertical="center"/>
    </xf>
    <xf numFmtId="165" fontId="7" fillId="8" borderId="10" xfId="1" applyNumberFormat="1" applyFont="1" applyFill="1" applyBorder="1" applyAlignment="1">
      <alignment vertical="center"/>
    </xf>
    <xf numFmtId="165" fontId="7" fillId="8" borderId="11" xfId="1" applyNumberFormat="1" applyFont="1" applyFill="1" applyBorder="1" applyAlignment="1">
      <alignment vertical="center"/>
    </xf>
    <xf numFmtId="165" fontId="7" fillId="9" borderId="10" xfId="1" applyNumberFormat="1" applyFont="1" applyFill="1" applyBorder="1" applyAlignment="1">
      <alignment vertical="center"/>
    </xf>
    <xf numFmtId="2" fontId="7" fillId="9" borderId="10" xfId="0" applyNumberFormat="1" applyFont="1" applyFill="1" applyBorder="1" applyAlignment="1">
      <alignment vertical="center"/>
    </xf>
    <xf numFmtId="2" fontId="7" fillId="9" borderId="11" xfId="2" applyNumberFormat="1" applyFont="1" applyFill="1" applyBorder="1" applyAlignment="1">
      <alignment vertical="center"/>
    </xf>
    <xf numFmtId="165" fontId="7" fillId="8" borderId="10" xfId="1" applyNumberFormat="1" applyFont="1" applyFill="1" applyBorder="1" applyAlignment="1">
      <alignment horizontal="center" vertical="center"/>
    </xf>
    <xf numFmtId="165" fontId="7" fillId="8" borderId="12" xfId="1" applyNumberFormat="1" applyFont="1" applyFill="1" applyBorder="1" applyAlignment="1">
      <alignment vertical="center"/>
    </xf>
    <xf numFmtId="165" fontId="7" fillId="11" borderId="9" xfId="1" applyNumberFormat="1" applyFont="1" applyFill="1" applyBorder="1" applyAlignment="1">
      <alignment vertical="center"/>
    </xf>
    <xf numFmtId="165" fontId="7" fillId="11" borderId="10" xfId="1" applyNumberFormat="1" applyFont="1" applyFill="1" applyBorder="1" applyAlignment="1">
      <alignment vertical="center"/>
    </xf>
    <xf numFmtId="165" fontId="7" fillId="11" borderId="12" xfId="1" applyNumberFormat="1" applyFont="1" applyFill="1" applyBorder="1" applyAlignment="1">
      <alignment vertical="center"/>
    </xf>
    <xf numFmtId="165" fontId="7" fillId="11" borderId="11" xfId="1" applyNumberFormat="1" applyFont="1" applyFill="1" applyBorder="1" applyAlignment="1">
      <alignment vertical="center"/>
    </xf>
    <xf numFmtId="9" fontId="7" fillId="8" borderId="9" xfId="2" applyFont="1" applyFill="1" applyBorder="1" applyAlignment="1">
      <alignment horizontal="center" vertical="center"/>
    </xf>
    <xf numFmtId="9" fontId="7" fillId="8" borderId="10" xfId="2" applyFont="1" applyFill="1" applyBorder="1" applyAlignment="1">
      <alignment horizontal="center" vertical="center"/>
    </xf>
    <xf numFmtId="9" fontId="7" fillId="8" borderId="12" xfId="2" applyFont="1" applyFill="1" applyBorder="1" applyAlignment="1">
      <alignment horizontal="center" vertical="center"/>
    </xf>
    <xf numFmtId="9" fontId="7" fillId="8" borderId="11" xfId="2" applyFont="1" applyFill="1" applyBorder="1" applyAlignment="1">
      <alignment horizontal="center" vertical="center"/>
    </xf>
    <xf numFmtId="9" fontId="7" fillId="0" borderId="23" xfId="2" applyFont="1" applyFill="1" applyBorder="1" applyAlignment="1">
      <alignment horizontal="center" vertical="center"/>
    </xf>
    <xf numFmtId="165" fontId="10" fillId="0" borderId="24" xfId="1" applyNumberFormat="1" applyFont="1" applyFill="1" applyBorder="1"/>
    <xf numFmtId="165" fontId="10" fillId="0" borderId="25" xfId="1" applyNumberFormat="1" applyFont="1" applyFill="1" applyBorder="1"/>
    <xf numFmtId="165" fontId="10" fillId="0" borderId="26" xfId="1" applyNumberFormat="1" applyFont="1" applyFill="1" applyBorder="1"/>
    <xf numFmtId="165" fontId="10" fillId="0" borderId="27" xfId="1" applyNumberFormat="1" applyFont="1" applyFill="1" applyBorder="1"/>
    <xf numFmtId="0" fontId="8" fillId="0" borderId="0" xfId="0" applyFont="1"/>
    <xf numFmtId="9" fontId="8" fillId="0" borderId="0" xfId="2" applyFont="1" applyBorder="1"/>
    <xf numFmtId="9" fontId="8" fillId="0" borderId="0" xfId="2" applyFont="1" applyFill="1" applyBorder="1"/>
    <xf numFmtId="1" fontId="0" fillId="0" borderId="0" xfId="0" applyNumberFormat="1" applyAlignment="1">
      <alignment horizontal="center"/>
    </xf>
    <xf numFmtId="9" fontId="0" fillId="0" borderId="0" xfId="2" applyFont="1"/>
    <xf numFmtId="9" fontId="0" fillId="0" borderId="0" xfId="0" applyNumberFormat="1"/>
    <xf numFmtId="165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C258-1D6E-4FBB-8DBD-D4BCCE3DB76F}">
  <sheetPr>
    <tabColor theme="6" tint="0.79998168889431442"/>
  </sheetPr>
  <dimension ref="B1:AS40"/>
  <sheetViews>
    <sheetView tabSelected="1" workbookViewId="0"/>
  </sheetViews>
  <sheetFormatPr defaultRowHeight="15" x14ac:dyDescent="0.25"/>
  <cols>
    <col min="1" max="1" width="3" bestFit="1" customWidth="1"/>
    <col min="2" max="2" width="11.5703125" bestFit="1" customWidth="1"/>
    <col min="3" max="3" width="12.42578125" customWidth="1"/>
    <col min="4" max="4" width="14.28515625" bestFit="1" customWidth="1"/>
    <col min="5" max="5" width="12" bestFit="1" customWidth="1"/>
    <col min="6" max="7" width="8" bestFit="1" customWidth="1"/>
    <col min="8" max="9" width="6.85546875" customWidth="1"/>
    <col min="10" max="10" width="7" bestFit="1" customWidth="1"/>
    <col min="11" max="11" width="6" bestFit="1" customWidth="1"/>
    <col min="12" max="12" width="5.7109375" customWidth="1"/>
    <col min="13" max="13" width="7" customWidth="1"/>
    <col min="14" max="14" width="6.28515625" customWidth="1"/>
    <col min="15" max="15" width="8" customWidth="1"/>
    <col min="16" max="16" width="7.7109375" customWidth="1"/>
    <col min="17" max="17" width="12.5703125" bestFit="1" customWidth="1"/>
    <col min="18" max="23" width="12.7109375" customWidth="1"/>
    <col min="24" max="24" width="8" customWidth="1"/>
    <col min="25" max="25" width="9.140625" customWidth="1"/>
    <col min="26" max="26" width="10.28515625" customWidth="1"/>
    <col min="27" max="27" width="8" customWidth="1"/>
    <col min="28" max="28" width="8.42578125" customWidth="1"/>
    <col min="29" max="29" width="7.7109375" customWidth="1"/>
    <col min="30" max="30" width="1.42578125" customWidth="1"/>
    <col min="31" max="31" width="24.28515625" customWidth="1"/>
    <col min="32" max="32" width="1" customWidth="1"/>
    <col min="33" max="33" width="6.85546875" bestFit="1" customWidth="1"/>
    <col min="34" max="34" width="7.85546875" customWidth="1"/>
    <col min="35" max="35" width="9.7109375" bestFit="1" customWidth="1"/>
    <col min="36" max="36" width="6.85546875" bestFit="1" customWidth="1"/>
    <col min="37" max="37" width="7.7109375" customWidth="1"/>
    <col min="38" max="38" width="1" customWidth="1"/>
    <col min="39" max="42" width="9.140625" style="2"/>
    <col min="43" max="43" width="5.7109375" style="2" customWidth="1"/>
  </cols>
  <sheetData>
    <row r="1" spans="2:45" x14ac:dyDescent="0.25">
      <c r="AE1" s="1"/>
    </row>
    <row r="2" spans="2:45" ht="15.75" x14ac:dyDescent="0.25">
      <c r="B2" s="3" t="s">
        <v>0</v>
      </c>
      <c r="C2" s="4" t="s">
        <v>1</v>
      </c>
      <c r="D2" s="5"/>
      <c r="E2" s="6"/>
      <c r="F2" s="7" t="s">
        <v>2</v>
      </c>
      <c r="G2" s="7"/>
      <c r="H2" s="7"/>
      <c r="I2" s="8"/>
      <c r="J2" s="9" t="s">
        <v>3</v>
      </c>
      <c r="K2" s="10"/>
      <c r="L2" s="10"/>
      <c r="M2" s="10"/>
      <c r="N2" s="10"/>
      <c r="O2" s="10"/>
      <c r="P2" s="11"/>
      <c r="Q2" s="12" t="s">
        <v>4</v>
      </c>
      <c r="R2" s="13" t="s">
        <v>5</v>
      </c>
      <c r="S2" s="13"/>
      <c r="T2" s="13"/>
      <c r="U2" s="13"/>
      <c r="V2" s="13"/>
      <c r="W2" s="14"/>
      <c r="X2" s="15" t="s">
        <v>6</v>
      </c>
      <c r="Y2" s="16"/>
      <c r="Z2" s="16"/>
      <c r="AA2" s="16"/>
      <c r="AB2" s="16"/>
      <c r="AC2" s="17"/>
      <c r="AD2" s="18"/>
      <c r="AE2" s="19" t="s">
        <v>61</v>
      </c>
      <c r="AF2" s="20"/>
      <c r="AG2" s="21" t="s">
        <v>62</v>
      </c>
      <c r="AH2" s="21"/>
      <c r="AI2" s="21"/>
      <c r="AJ2" s="21"/>
      <c r="AK2" s="21"/>
      <c r="AL2" s="20"/>
      <c r="AM2" s="21" t="s">
        <v>7</v>
      </c>
      <c r="AN2" s="21"/>
      <c r="AO2" s="21"/>
      <c r="AP2" s="21"/>
      <c r="AQ2" s="21"/>
    </row>
    <row r="3" spans="2:45" s="41" customFormat="1" ht="43.9" customHeight="1" x14ac:dyDescent="0.25">
      <c r="B3" s="22" t="s">
        <v>0</v>
      </c>
      <c r="C3" s="23" t="s">
        <v>8</v>
      </c>
      <c r="D3" s="24" t="s">
        <v>9</v>
      </c>
      <c r="E3" s="25" t="s">
        <v>10</v>
      </c>
      <c r="F3" s="26" t="s">
        <v>11</v>
      </c>
      <c r="G3" s="26" t="s">
        <v>12</v>
      </c>
      <c r="H3" s="26" t="s">
        <v>13</v>
      </c>
      <c r="I3" s="27" t="s">
        <v>14</v>
      </c>
      <c r="J3" s="28" t="s">
        <v>15</v>
      </c>
      <c r="K3" s="28" t="s">
        <v>16</v>
      </c>
      <c r="L3" s="28" t="s">
        <v>17</v>
      </c>
      <c r="M3" s="28" t="s">
        <v>18</v>
      </c>
      <c r="N3" s="28" t="s">
        <v>19</v>
      </c>
      <c r="O3" s="28" t="s">
        <v>20</v>
      </c>
      <c r="P3" s="28" t="s">
        <v>21</v>
      </c>
      <c r="Q3" s="29" t="s">
        <v>22</v>
      </c>
      <c r="R3" s="30" t="s">
        <v>16</v>
      </c>
      <c r="S3" s="31" t="s">
        <v>17</v>
      </c>
      <c r="T3" s="31" t="s">
        <v>18</v>
      </c>
      <c r="U3" s="31" t="s">
        <v>19</v>
      </c>
      <c r="V3" s="32" t="s">
        <v>20</v>
      </c>
      <c r="W3" s="33" t="s">
        <v>21</v>
      </c>
      <c r="X3" s="23" t="s">
        <v>16</v>
      </c>
      <c r="Y3" s="24" t="s">
        <v>17</v>
      </c>
      <c r="Z3" s="34" t="s">
        <v>18</v>
      </c>
      <c r="AA3" s="24" t="s">
        <v>19</v>
      </c>
      <c r="AB3" s="35" t="s">
        <v>20</v>
      </c>
      <c r="AC3" s="25" t="s">
        <v>21</v>
      </c>
      <c r="AD3" s="36"/>
      <c r="AE3" s="37" t="s">
        <v>23</v>
      </c>
      <c r="AF3" s="36"/>
      <c r="AG3" s="23" t="s">
        <v>24</v>
      </c>
      <c r="AH3" s="34" t="s">
        <v>25</v>
      </c>
      <c r="AI3" s="24" t="s">
        <v>26</v>
      </c>
      <c r="AJ3" s="35" t="s">
        <v>27</v>
      </c>
      <c r="AK3" s="25" t="s">
        <v>28</v>
      </c>
      <c r="AL3" s="36"/>
      <c r="AM3" s="38" t="s">
        <v>29</v>
      </c>
      <c r="AN3" s="39" t="s">
        <v>30</v>
      </c>
      <c r="AO3" s="39" t="s">
        <v>31</v>
      </c>
      <c r="AP3" s="40" t="s">
        <v>32</v>
      </c>
      <c r="AQ3" s="40" t="s">
        <v>33</v>
      </c>
    </row>
    <row r="4" spans="2:45" x14ac:dyDescent="0.25">
      <c r="B4" s="42" t="s">
        <v>34</v>
      </c>
      <c r="C4" s="43">
        <v>292</v>
      </c>
      <c r="D4" s="44">
        <v>76993766.61999993</v>
      </c>
      <c r="E4" s="45">
        <v>34988328</v>
      </c>
      <c r="F4" s="44">
        <v>300</v>
      </c>
      <c r="G4" s="44">
        <v>282</v>
      </c>
      <c r="H4" s="46">
        <f t="shared" ref="H4:H30" si="0">IFERROR(F4/C4,0)</f>
        <v>1.0273972602739727</v>
      </c>
      <c r="I4" s="47">
        <f t="shared" ref="I4:I30" si="1">IFERROR(G4/F4,0)</f>
        <v>0.94</v>
      </c>
      <c r="J4" s="48">
        <v>24</v>
      </c>
      <c r="K4" s="49">
        <v>10</v>
      </c>
      <c r="L4" s="49">
        <v>2</v>
      </c>
      <c r="M4" s="49">
        <v>10</v>
      </c>
      <c r="N4" s="49">
        <v>0</v>
      </c>
      <c r="O4" s="50">
        <v>0</v>
      </c>
      <c r="P4" s="51">
        <v>2</v>
      </c>
      <c r="Q4" s="52">
        <v>4018363.8599999989</v>
      </c>
      <c r="R4" s="44">
        <v>1658617.709999999</v>
      </c>
      <c r="S4" s="44">
        <v>550000</v>
      </c>
      <c r="T4" s="44">
        <v>1555872.15</v>
      </c>
      <c r="U4" s="44">
        <v>0</v>
      </c>
      <c r="V4" s="53">
        <v>0</v>
      </c>
      <c r="W4" s="53">
        <v>253874</v>
      </c>
      <c r="X4" s="54">
        <f t="shared" ref="X4:AC30" si="2">IFERROR(R4/$Q4,0)</f>
        <v>0.41275946325079665</v>
      </c>
      <c r="Y4" s="55">
        <f t="shared" si="2"/>
        <v>0.13687162715026013</v>
      </c>
      <c r="Z4" s="55">
        <f t="shared" si="2"/>
        <v>0.38719045965140658</v>
      </c>
      <c r="AA4" s="55">
        <f t="shared" si="2"/>
        <v>0</v>
      </c>
      <c r="AB4" s="55">
        <f t="shared" si="2"/>
        <v>0</v>
      </c>
      <c r="AC4" s="56">
        <f t="shared" si="2"/>
        <v>6.317844994753663E-2</v>
      </c>
      <c r="AD4" s="57"/>
      <c r="AE4" s="58">
        <v>36</v>
      </c>
      <c r="AF4" s="57"/>
      <c r="AG4" s="59">
        <v>101</v>
      </c>
      <c r="AH4" s="60">
        <v>192</v>
      </c>
      <c r="AI4" s="60">
        <v>1</v>
      </c>
      <c r="AJ4" s="60">
        <v>0</v>
      </c>
      <c r="AK4" s="61">
        <v>6</v>
      </c>
      <c r="AL4" s="57"/>
      <c r="AM4" s="59">
        <f>IF($AE4&gt;0,IFERROR(AG4/$AE4,),"")</f>
        <v>2.8055555555555554</v>
      </c>
      <c r="AN4" s="60">
        <f t="shared" ref="AN4:AQ19" si="3">IF($AE4&gt;0,IFERROR(AH4/$AE4,),"")</f>
        <v>5.333333333333333</v>
      </c>
      <c r="AO4" s="60">
        <f t="shared" si="3"/>
        <v>2.7777777777777776E-2</v>
      </c>
      <c r="AP4" s="60">
        <f>IF($AE4&gt;0,IFERROR(AJ4/$AE4,),"")</f>
        <v>0</v>
      </c>
      <c r="AQ4" s="61">
        <f t="shared" si="3"/>
        <v>0.16666666666666666</v>
      </c>
      <c r="AS4" s="60"/>
    </row>
    <row r="5" spans="2:45" x14ac:dyDescent="0.25">
      <c r="B5" s="42" t="s">
        <v>35</v>
      </c>
      <c r="C5" s="43">
        <v>292</v>
      </c>
      <c r="D5" s="44">
        <v>79674795.809999987</v>
      </c>
      <c r="E5" s="45">
        <v>37107997</v>
      </c>
      <c r="F5" s="44">
        <v>209</v>
      </c>
      <c r="G5" s="44">
        <v>199</v>
      </c>
      <c r="H5" s="46">
        <f t="shared" si="0"/>
        <v>0.71575342465753422</v>
      </c>
      <c r="I5" s="47">
        <f t="shared" si="1"/>
        <v>0.95215311004784686</v>
      </c>
      <c r="J5" s="48">
        <v>30</v>
      </c>
      <c r="K5" s="49">
        <v>17</v>
      </c>
      <c r="L5" s="49">
        <v>2</v>
      </c>
      <c r="M5" s="49">
        <v>10</v>
      </c>
      <c r="N5" s="49">
        <v>0</v>
      </c>
      <c r="O5" s="50">
        <v>0</v>
      </c>
      <c r="P5" s="51">
        <v>1</v>
      </c>
      <c r="Q5" s="52">
        <v>4957772.04</v>
      </c>
      <c r="R5" s="44">
        <v>2275256.58</v>
      </c>
      <c r="S5" s="44">
        <v>490829.23</v>
      </c>
      <c r="T5" s="44">
        <v>1994775.8800000001</v>
      </c>
      <c r="U5" s="44">
        <v>0</v>
      </c>
      <c r="V5" s="53">
        <v>0</v>
      </c>
      <c r="W5" s="53">
        <v>196910.35000000009</v>
      </c>
      <c r="X5" s="54">
        <f t="shared" si="2"/>
        <v>0.45892722812644693</v>
      </c>
      <c r="Y5" s="55">
        <f t="shared" si="2"/>
        <v>9.9001976299015151E-2</v>
      </c>
      <c r="Z5" s="55">
        <f t="shared" si="2"/>
        <v>0.40235328770783907</v>
      </c>
      <c r="AA5" s="55">
        <f t="shared" si="2"/>
        <v>0</v>
      </c>
      <c r="AB5" s="55">
        <f t="shared" si="2"/>
        <v>0</v>
      </c>
      <c r="AC5" s="56">
        <f t="shared" si="2"/>
        <v>3.9717507866698948E-2</v>
      </c>
      <c r="AD5" s="57"/>
      <c r="AE5" s="58">
        <v>51</v>
      </c>
      <c r="AF5" s="57"/>
      <c r="AG5" s="59">
        <v>38</v>
      </c>
      <c r="AH5" s="60">
        <v>158</v>
      </c>
      <c r="AI5" s="60">
        <v>2</v>
      </c>
      <c r="AJ5" s="60">
        <v>6</v>
      </c>
      <c r="AK5" s="61">
        <v>5</v>
      </c>
      <c r="AL5" s="57"/>
      <c r="AM5" s="59">
        <f t="shared" ref="AM5:AQ20" si="4">IF($AE5&gt;0,IFERROR(AG5/$AE5,),"")</f>
        <v>0.74509803921568629</v>
      </c>
      <c r="AN5" s="60">
        <f t="shared" si="3"/>
        <v>3.0980392156862746</v>
      </c>
      <c r="AO5" s="60">
        <f t="shared" si="3"/>
        <v>3.9215686274509803E-2</v>
      </c>
      <c r="AP5" s="60">
        <f t="shared" si="3"/>
        <v>0.11764705882352941</v>
      </c>
      <c r="AQ5" s="61">
        <f t="shared" si="3"/>
        <v>9.8039215686274508E-2</v>
      </c>
    </row>
    <row r="6" spans="2:45" x14ac:dyDescent="0.25">
      <c r="B6" s="42" t="s">
        <v>36</v>
      </c>
      <c r="C6" s="43">
        <v>385</v>
      </c>
      <c r="D6" s="44">
        <v>109215925.06999995</v>
      </c>
      <c r="E6" s="45">
        <v>37000562</v>
      </c>
      <c r="F6" s="44">
        <v>294</v>
      </c>
      <c r="G6" s="44">
        <v>274</v>
      </c>
      <c r="H6" s="46">
        <f t="shared" si="0"/>
        <v>0.76363636363636367</v>
      </c>
      <c r="I6" s="47">
        <f t="shared" si="1"/>
        <v>0.93197278911564629</v>
      </c>
      <c r="J6" s="48">
        <v>31</v>
      </c>
      <c r="K6" s="49">
        <v>13</v>
      </c>
      <c r="L6" s="49">
        <v>4</v>
      </c>
      <c r="M6" s="49">
        <v>11</v>
      </c>
      <c r="N6" s="49">
        <v>0</v>
      </c>
      <c r="O6" s="50">
        <v>0</v>
      </c>
      <c r="P6" s="51">
        <v>3</v>
      </c>
      <c r="Q6" s="52">
        <v>4193582.73</v>
      </c>
      <c r="R6" s="44">
        <v>1555564.5</v>
      </c>
      <c r="S6" s="44">
        <v>627398</v>
      </c>
      <c r="T6" s="44">
        <v>1488620.0300000005</v>
      </c>
      <c r="U6" s="44">
        <v>0</v>
      </c>
      <c r="V6" s="53">
        <v>0</v>
      </c>
      <c r="W6" s="53">
        <v>522000.20000000019</v>
      </c>
      <c r="X6" s="54">
        <f t="shared" si="2"/>
        <v>0.37093926605330141</v>
      </c>
      <c r="Y6" s="55">
        <f t="shared" si="2"/>
        <v>0.14960906708999158</v>
      </c>
      <c r="Z6" s="55">
        <f t="shared" si="2"/>
        <v>0.35497571547849266</v>
      </c>
      <c r="AA6" s="55">
        <f t="shared" si="2"/>
        <v>0</v>
      </c>
      <c r="AB6" s="55">
        <f t="shared" si="2"/>
        <v>0</v>
      </c>
      <c r="AC6" s="56">
        <f t="shared" si="2"/>
        <v>0.12447595137821454</v>
      </c>
      <c r="AD6" s="57"/>
      <c r="AE6" s="58">
        <v>47</v>
      </c>
      <c r="AF6" s="57"/>
      <c r="AG6" s="59">
        <v>62</v>
      </c>
      <c r="AH6" s="60">
        <v>220</v>
      </c>
      <c r="AI6" s="60">
        <v>6</v>
      </c>
      <c r="AJ6" s="60">
        <v>0</v>
      </c>
      <c r="AK6" s="61">
        <v>6</v>
      </c>
      <c r="AL6" s="57"/>
      <c r="AM6" s="59">
        <f t="shared" si="4"/>
        <v>1.3191489361702127</v>
      </c>
      <c r="AN6" s="60">
        <f t="shared" si="3"/>
        <v>4.6808510638297873</v>
      </c>
      <c r="AO6" s="60">
        <f t="shared" si="3"/>
        <v>0.1276595744680851</v>
      </c>
      <c r="AP6" s="60">
        <f t="shared" si="3"/>
        <v>0</v>
      </c>
      <c r="AQ6" s="61">
        <f t="shared" si="3"/>
        <v>0.1276595744680851</v>
      </c>
    </row>
    <row r="7" spans="2:45" x14ac:dyDescent="0.25">
      <c r="B7" s="42" t="s">
        <v>37</v>
      </c>
      <c r="C7" s="43">
        <v>434</v>
      </c>
      <c r="D7" s="44">
        <v>99194561.050000057</v>
      </c>
      <c r="E7" s="45">
        <v>48288463</v>
      </c>
      <c r="F7" s="44">
        <v>878</v>
      </c>
      <c r="G7" s="44">
        <v>660</v>
      </c>
      <c r="H7" s="46">
        <f t="shared" si="0"/>
        <v>2.0230414746543777</v>
      </c>
      <c r="I7" s="47">
        <f t="shared" si="1"/>
        <v>0.75170842824601369</v>
      </c>
      <c r="J7" s="48">
        <v>99</v>
      </c>
      <c r="K7" s="49">
        <v>14</v>
      </c>
      <c r="L7" s="49">
        <v>47</v>
      </c>
      <c r="M7" s="49">
        <v>34</v>
      </c>
      <c r="N7" s="49">
        <v>2</v>
      </c>
      <c r="O7" s="50">
        <v>0</v>
      </c>
      <c r="P7" s="51">
        <v>2</v>
      </c>
      <c r="Q7" s="52">
        <v>13993861.589999994</v>
      </c>
      <c r="R7" s="44">
        <v>1720310.19</v>
      </c>
      <c r="S7" s="44">
        <v>6560468.290000001</v>
      </c>
      <c r="T7" s="44">
        <v>4444154.8999999994</v>
      </c>
      <c r="U7" s="44">
        <v>12500.569999998901</v>
      </c>
      <c r="V7" s="53">
        <v>0</v>
      </c>
      <c r="W7" s="53">
        <v>1256427.6400000001</v>
      </c>
      <c r="X7" s="54">
        <f t="shared" si="2"/>
        <v>0.12293320031329541</v>
      </c>
      <c r="Y7" s="55">
        <f t="shared" si="2"/>
        <v>0.4688104314743336</v>
      </c>
      <c r="Z7" s="55">
        <f t="shared" si="2"/>
        <v>0.31757888066977813</v>
      </c>
      <c r="AA7" s="55">
        <f t="shared" si="2"/>
        <v>8.932895269545757E-4</v>
      </c>
      <c r="AB7" s="55">
        <f t="shared" si="2"/>
        <v>0</v>
      </c>
      <c r="AC7" s="56">
        <f t="shared" si="2"/>
        <v>8.9784198015638708E-2</v>
      </c>
      <c r="AD7" s="57"/>
      <c r="AE7" s="58">
        <v>115</v>
      </c>
      <c r="AF7" s="57"/>
      <c r="AG7" s="59">
        <v>448</v>
      </c>
      <c r="AH7" s="60">
        <v>397</v>
      </c>
      <c r="AI7" s="60">
        <v>3</v>
      </c>
      <c r="AJ7" s="60">
        <v>18</v>
      </c>
      <c r="AK7" s="61">
        <v>12</v>
      </c>
      <c r="AL7" s="57"/>
      <c r="AM7" s="59">
        <f t="shared" si="4"/>
        <v>3.8956521739130436</v>
      </c>
      <c r="AN7" s="60">
        <f t="shared" si="3"/>
        <v>3.4521739130434783</v>
      </c>
      <c r="AO7" s="60">
        <f t="shared" si="3"/>
        <v>2.6086956521739129E-2</v>
      </c>
      <c r="AP7" s="60">
        <f t="shared" si="3"/>
        <v>0.15652173913043479</v>
      </c>
      <c r="AQ7" s="61">
        <f t="shared" si="3"/>
        <v>0.10434782608695652</v>
      </c>
    </row>
    <row r="8" spans="2:45" x14ac:dyDescent="0.25">
      <c r="B8" s="42" t="s">
        <v>38</v>
      </c>
      <c r="C8" s="43">
        <v>373</v>
      </c>
      <c r="D8" s="44">
        <v>79869088.699999988</v>
      </c>
      <c r="E8" s="45">
        <v>31935689</v>
      </c>
      <c r="F8" s="44">
        <v>396</v>
      </c>
      <c r="G8" s="44">
        <v>391</v>
      </c>
      <c r="H8" s="46">
        <f t="shared" si="0"/>
        <v>1.061662198391421</v>
      </c>
      <c r="I8" s="47">
        <f t="shared" si="1"/>
        <v>0.98737373737373735</v>
      </c>
      <c r="J8" s="48">
        <v>25</v>
      </c>
      <c r="K8" s="49">
        <v>4</v>
      </c>
      <c r="L8" s="49">
        <v>11</v>
      </c>
      <c r="M8" s="49">
        <v>9</v>
      </c>
      <c r="N8" s="49">
        <v>0</v>
      </c>
      <c r="O8" s="50">
        <v>0</v>
      </c>
      <c r="P8" s="51">
        <v>1</v>
      </c>
      <c r="Q8" s="52">
        <v>11114700.350000001</v>
      </c>
      <c r="R8" s="44">
        <v>347759.95999999996</v>
      </c>
      <c r="S8" s="44">
        <v>1105539.98</v>
      </c>
      <c r="T8" s="44">
        <v>9645720.4100000001</v>
      </c>
      <c r="U8" s="44">
        <v>0</v>
      </c>
      <c r="V8" s="53">
        <v>0</v>
      </c>
      <c r="W8" s="53">
        <v>15680</v>
      </c>
      <c r="X8" s="54">
        <f t="shared" si="2"/>
        <v>3.1288289296975955E-2</v>
      </c>
      <c r="Y8" s="55">
        <f t="shared" si="2"/>
        <v>9.9466467397836766E-2</v>
      </c>
      <c r="Z8" s="55">
        <f t="shared" si="2"/>
        <v>0.86783449902002974</v>
      </c>
      <c r="AA8" s="55">
        <f t="shared" si="2"/>
        <v>0</v>
      </c>
      <c r="AB8" s="55">
        <f t="shared" si="2"/>
        <v>0</v>
      </c>
      <c r="AC8" s="56">
        <f t="shared" si="2"/>
        <v>1.4107442851574489E-3</v>
      </c>
      <c r="AD8" s="57"/>
      <c r="AE8" s="58">
        <v>46</v>
      </c>
      <c r="AF8" s="57"/>
      <c r="AG8" s="59">
        <v>141</v>
      </c>
      <c r="AH8" s="60">
        <v>128</v>
      </c>
      <c r="AI8" s="60">
        <v>0</v>
      </c>
      <c r="AJ8" s="60">
        <v>0</v>
      </c>
      <c r="AK8" s="61">
        <v>127</v>
      </c>
      <c r="AL8" s="57"/>
      <c r="AM8" s="59">
        <f t="shared" si="4"/>
        <v>3.0652173913043477</v>
      </c>
      <c r="AN8" s="60">
        <f t="shared" si="3"/>
        <v>2.7826086956521738</v>
      </c>
      <c r="AO8" s="60">
        <f t="shared" si="3"/>
        <v>0</v>
      </c>
      <c r="AP8" s="60">
        <f t="shared" si="3"/>
        <v>0</v>
      </c>
      <c r="AQ8" s="61">
        <f t="shared" si="3"/>
        <v>2.7608695652173911</v>
      </c>
    </row>
    <row r="9" spans="2:45" x14ac:dyDescent="0.25">
      <c r="B9" s="42" t="s">
        <v>39</v>
      </c>
      <c r="C9" s="43">
        <v>287</v>
      </c>
      <c r="D9" s="44">
        <v>88322015.869999915</v>
      </c>
      <c r="E9" s="45">
        <v>33554467</v>
      </c>
      <c r="F9" s="44">
        <v>300</v>
      </c>
      <c r="G9" s="44">
        <v>284</v>
      </c>
      <c r="H9" s="46">
        <f t="shared" si="0"/>
        <v>1.0452961672473868</v>
      </c>
      <c r="I9" s="47">
        <f t="shared" si="1"/>
        <v>0.94666666666666666</v>
      </c>
      <c r="J9" s="48">
        <v>15</v>
      </c>
      <c r="K9" s="49">
        <v>8</v>
      </c>
      <c r="L9" s="49">
        <v>2</v>
      </c>
      <c r="M9" s="49">
        <v>3</v>
      </c>
      <c r="N9" s="49">
        <v>1</v>
      </c>
      <c r="O9" s="50">
        <v>0</v>
      </c>
      <c r="P9" s="51">
        <v>1</v>
      </c>
      <c r="Q9" s="52">
        <v>2068330.53</v>
      </c>
      <c r="R9" s="44">
        <v>1137366.03</v>
      </c>
      <c r="S9" s="44">
        <v>240000</v>
      </c>
      <c r="T9" s="44">
        <v>247619</v>
      </c>
      <c r="U9" s="44">
        <v>406345.5</v>
      </c>
      <c r="V9" s="53">
        <v>0</v>
      </c>
      <c r="W9" s="53">
        <v>37000</v>
      </c>
      <c r="X9" s="54">
        <f t="shared" si="2"/>
        <v>0.54989568325909688</v>
      </c>
      <c r="Y9" s="55">
        <f t="shared" si="2"/>
        <v>0.11603561254786487</v>
      </c>
      <c r="Z9" s="55">
        <f t="shared" si="2"/>
        <v>0.11971925976454063</v>
      </c>
      <c r="AA9" s="55">
        <f t="shared" si="2"/>
        <v>0.19646062082736843</v>
      </c>
      <c r="AB9" s="55">
        <f t="shared" si="2"/>
        <v>0</v>
      </c>
      <c r="AC9" s="56">
        <f t="shared" si="2"/>
        <v>1.7888823601129169E-2</v>
      </c>
      <c r="AD9" s="57"/>
      <c r="AE9" s="58">
        <v>21</v>
      </c>
      <c r="AF9" s="57"/>
      <c r="AG9" s="59">
        <v>65</v>
      </c>
      <c r="AH9" s="60">
        <v>108</v>
      </c>
      <c r="AI9" s="60">
        <v>1</v>
      </c>
      <c r="AJ9" s="60">
        <v>0</v>
      </c>
      <c r="AK9" s="61">
        <v>125</v>
      </c>
      <c r="AL9" s="57"/>
      <c r="AM9" s="59">
        <f t="shared" si="4"/>
        <v>3.0952380952380953</v>
      </c>
      <c r="AN9" s="60">
        <f t="shared" si="3"/>
        <v>5.1428571428571432</v>
      </c>
      <c r="AO9" s="60">
        <f t="shared" si="3"/>
        <v>4.7619047619047616E-2</v>
      </c>
      <c r="AP9" s="60">
        <f t="shared" si="3"/>
        <v>0</v>
      </c>
      <c r="AQ9" s="61">
        <f t="shared" si="3"/>
        <v>5.9523809523809526</v>
      </c>
    </row>
    <row r="10" spans="2:45" x14ac:dyDescent="0.25">
      <c r="B10" s="42" t="s">
        <v>40</v>
      </c>
      <c r="C10" s="43">
        <v>260</v>
      </c>
      <c r="D10" s="44">
        <v>102565693.60000007</v>
      </c>
      <c r="E10" s="45">
        <v>43418257</v>
      </c>
      <c r="F10" s="44">
        <v>293</v>
      </c>
      <c r="G10" s="44">
        <v>278</v>
      </c>
      <c r="H10" s="46">
        <f t="shared" si="0"/>
        <v>1.1269230769230769</v>
      </c>
      <c r="I10" s="47">
        <f t="shared" si="1"/>
        <v>0.94880546075085326</v>
      </c>
      <c r="J10" s="48">
        <v>14</v>
      </c>
      <c r="K10" s="49">
        <v>7</v>
      </c>
      <c r="L10" s="49">
        <v>5</v>
      </c>
      <c r="M10" s="49">
        <v>2</v>
      </c>
      <c r="N10" s="49">
        <v>0</v>
      </c>
      <c r="O10" s="50">
        <v>0</v>
      </c>
      <c r="P10" s="51">
        <v>0</v>
      </c>
      <c r="Q10" s="52">
        <v>989872.77999999991</v>
      </c>
      <c r="R10" s="44">
        <v>393600.55000000005</v>
      </c>
      <c r="S10" s="44">
        <v>446845.22999999986</v>
      </c>
      <c r="T10" s="44">
        <v>149427</v>
      </c>
      <c r="U10" s="44">
        <v>0</v>
      </c>
      <c r="V10" s="53">
        <v>0</v>
      </c>
      <c r="W10" s="53">
        <v>0</v>
      </c>
      <c r="X10" s="54">
        <f t="shared" si="2"/>
        <v>0.39762741026175108</v>
      </c>
      <c r="Y10" s="55">
        <f t="shared" si="2"/>
        <v>0.45141682752403789</v>
      </c>
      <c r="Z10" s="55">
        <f t="shared" si="2"/>
        <v>0.150955762214211</v>
      </c>
      <c r="AA10" s="55">
        <f t="shared" si="2"/>
        <v>0</v>
      </c>
      <c r="AB10" s="55">
        <f t="shared" si="2"/>
        <v>0</v>
      </c>
      <c r="AC10" s="56">
        <f t="shared" si="2"/>
        <v>0</v>
      </c>
      <c r="AD10" s="57"/>
      <c r="AE10" s="58">
        <v>19</v>
      </c>
      <c r="AF10" s="57"/>
      <c r="AG10" s="59">
        <v>125</v>
      </c>
      <c r="AH10" s="60">
        <v>161</v>
      </c>
      <c r="AI10" s="60">
        <v>3</v>
      </c>
      <c r="AJ10" s="60">
        <v>0</v>
      </c>
      <c r="AK10" s="61">
        <v>3</v>
      </c>
      <c r="AL10" s="57"/>
      <c r="AM10" s="59">
        <f t="shared" si="4"/>
        <v>6.5789473684210522</v>
      </c>
      <c r="AN10" s="60">
        <f t="shared" si="3"/>
        <v>8.473684210526315</v>
      </c>
      <c r="AO10" s="60">
        <f t="shared" si="3"/>
        <v>0.15789473684210525</v>
      </c>
      <c r="AP10" s="60">
        <f t="shared" si="3"/>
        <v>0</v>
      </c>
      <c r="AQ10" s="61">
        <f t="shared" si="3"/>
        <v>0.15789473684210525</v>
      </c>
    </row>
    <row r="11" spans="2:45" x14ac:dyDescent="0.25">
      <c r="B11" s="42" t="s">
        <v>41</v>
      </c>
      <c r="C11" s="43">
        <v>272</v>
      </c>
      <c r="D11" s="44">
        <v>78304841.949999973</v>
      </c>
      <c r="E11" s="45">
        <v>31790103</v>
      </c>
      <c r="F11" s="44">
        <v>296</v>
      </c>
      <c r="G11" s="44">
        <v>205</v>
      </c>
      <c r="H11" s="46">
        <f t="shared" si="0"/>
        <v>1.088235294117647</v>
      </c>
      <c r="I11" s="47">
        <f t="shared" si="1"/>
        <v>0.69256756756756754</v>
      </c>
      <c r="J11" s="48">
        <v>9</v>
      </c>
      <c r="K11" s="49">
        <v>6</v>
      </c>
      <c r="L11" s="49">
        <v>0</v>
      </c>
      <c r="M11" s="49">
        <v>3</v>
      </c>
      <c r="N11" s="49">
        <v>0</v>
      </c>
      <c r="O11" s="50">
        <v>0</v>
      </c>
      <c r="P11" s="51">
        <v>0</v>
      </c>
      <c r="Q11" s="52">
        <v>880386</v>
      </c>
      <c r="R11" s="44">
        <v>548840</v>
      </c>
      <c r="S11" s="44">
        <v>0</v>
      </c>
      <c r="T11" s="44">
        <v>331546</v>
      </c>
      <c r="U11" s="44">
        <v>0</v>
      </c>
      <c r="V11" s="53">
        <v>0</v>
      </c>
      <c r="W11" s="53">
        <v>0</v>
      </c>
      <c r="X11" s="54">
        <f t="shared" si="2"/>
        <v>0.62340836860195414</v>
      </c>
      <c r="Y11" s="55">
        <f t="shared" si="2"/>
        <v>0</v>
      </c>
      <c r="Z11" s="55">
        <f t="shared" si="2"/>
        <v>0.37659163139804586</v>
      </c>
      <c r="AA11" s="55">
        <f t="shared" si="2"/>
        <v>0</v>
      </c>
      <c r="AB11" s="55">
        <f t="shared" si="2"/>
        <v>0</v>
      </c>
      <c r="AC11" s="56">
        <f t="shared" si="2"/>
        <v>0</v>
      </c>
      <c r="AD11" s="57"/>
      <c r="AE11" s="58">
        <v>14</v>
      </c>
      <c r="AF11" s="57"/>
      <c r="AG11" s="59">
        <v>143</v>
      </c>
      <c r="AH11" s="60">
        <v>153</v>
      </c>
      <c r="AI11" s="60">
        <v>0</v>
      </c>
      <c r="AJ11" s="60">
        <v>0</v>
      </c>
      <c r="AK11" s="61">
        <v>0</v>
      </c>
      <c r="AL11" s="57"/>
      <c r="AM11" s="59">
        <f t="shared" si="4"/>
        <v>10.214285714285714</v>
      </c>
      <c r="AN11" s="60">
        <f t="shared" si="3"/>
        <v>10.928571428571429</v>
      </c>
      <c r="AO11" s="60">
        <f t="shared" si="3"/>
        <v>0</v>
      </c>
      <c r="AP11" s="60">
        <f t="shared" si="3"/>
        <v>0</v>
      </c>
      <c r="AQ11" s="61">
        <f t="shared" si="3"/>
        <v>0</v>
      </c>
    </row>
    <row r="12" spans="2:45" x14ac:dyDescent="0.25">
      <c r="B12" s="42" t="s">
        <v>42</v>
      </c>
      <c r="C12" s="43">
        <v>299</v>
      </c>
      <c r="D12" s="44">
        <v>97743914.869999886</v>
      </c>
      <c r="E12" s="45">
        <v>28392103</v>
      </c>
      <c r="F12" s="44">
        <v>400</v>
      </c>
      <c r="G12" s="44">
        <v>136</v>
      </c>
      <c r="H12" s="46">
        <f t="shared" si="0"/>
        <v>1.3377926421404682</v>
      </c>
      <c r="I12" s="47">
        <f t="shared" si="1"/>
        <v>0.34</v>
      </c>
      <c r="J12" s="48">
        <v>20</v>
      </c>
      <c r="K12" s="49">
        <v>14</v>
      </c>
      <c r="L12" s="49">
        <v>4</v>
      </c>
      <c r="M12" s="49">
        <v>2</v>
      </c>
      <c r="N12" s="49">
        <v>0</v>
      </c>
      <c r="O12" s="50">
        <v>0</v>
      </c>
      <c r="P12" s="51">
        <v>0</v>
      </c>
      <c r="Q12" s="52">
        <v>3593104.2300000004</v>
      </c>
      <c r="R12" s="44">
        <v>2590340.23</v>
      </c>
      <c r="S12" s="44">
        <v>766335</v>
      </c>
      <c r="T12" s="44">
        <v>236429</v>
      </c>
      <c r="U12" s="44">
        <v>0</v>
      </c>
      <c r="V12" s="53">
        <v>0</v>
      </c>
      <c r="W12" s="53">
        <v>0</v>
      </c>
      <c r="X12" s="54">
        <f t="shared" si="2"/>
        <v>0.7209198687787578</v>
      </c>
      <c r="Y12" s="55">
        <f t="shared" si="2"/>
        <v>0.21327936818576507</v>
      </c>
      <c r="Z12" s="55">
        <f t="shared" si="2"/>
        <v>6.5800763035476981E-2</v>
      </c>
      <c r="AA12" s="55">
        <f t="shared" si="2"/>
        <v>0</v>
      </c>
      <c r="AB12" s="55">
        <f t="shared" si="2"/>
        <v>0</v>
      </c>
      <c r="AC12" s="56">
        <f t="shared" si="2"/>
        <v>0</v>
      </c>
      <c r="AD12" s="57"/>
      <c r="AE12" s="58">
        <v>24</v>
      </c>
      <c r="AF12" s="57"/>
      <c r="AG12" s="59">
        <v>300</v>
      </c>
      <c r="AH12" s="60">
        <v>94</v>
      </c>
      <c r="AI12" s="60">
        <v>1</v>
      </c>
      <c r="AJ12" s="60">
        <v>0</v>
      </c>
      <c r="AK12" s="61">
        <v>1</v>
      </c>
      <c r="AL12" s="57"/>
      <c r="AM12" s="59">
        <f t="shared" si="4"/>
        <v>12.5</v>
      </c>
      <c r="AN12" s="60">
        <f t="shared" si="3"/>
        <v>3.9166666666666665</v>
      </c>
      <c r="AO12" s="60">
        <f t="shared" si="3"/>
        <v>4.1666666666666664E-2</v>
      </c>
      <c r="AP12" s="60">
        <f t="shared" si="3"/>
        <v>0</v>
      </c>
      <c r="AQ12" s="61">
        <f t="shared" si="3"/>
        <v>4.1666666666666664E-2</v>
      </c>
    </row>
    <row r="13" spans="2:45" x14ac:dyDescent="0.25">
      <c r="B13" s="42" t="s">
        <v>43</v>
      </c>
      <c r="C13" s="43">
        <v>230</v>
      </c>
      <c r="D13" s="44">
        <v>110287202.39</v>
      </c>
      <c r="E13" s="45">
        <v>31883727</v>
      </c>
      <c r="F13" s="44">
        <v>294</v>
      </c>
      <c r="G13" s="44">
        <v>177</v>
      </c>
      <c r="H13" s="46">
        <f t="shared" si="0"/>
        <v>1.2782608695652173</v>
      </c>
      <c r="I13" s="47">
        <f t="shared" si="1"/>
        <v>0.60204081632653061</v>
      </c>
      <c r="J13" s="48">
        <v>13</v>
      </c>
      <c r="K13" s="49">
        <v>3</v>
      </c>
      <c r="L13" s="49">
        <v>5</v>
      </c>
      <c r="M13" s="49">
        <v>4</v>
      </c>
      <c r="N13" s="49">
        <v>0</v>
      </c>
      <c r="O13" s="50">
        <v>0</v>
      </c>
      <c r="P13" s="51">
        <v>1</v>
      </c>
      <c r="Q13" s="52">
        <v>1570208.47</v>
      </c>
      <c r="R13" s="44">
        <v>25417.390000000014</v>
      </c>
      <c r="S13" s="44">
        <v>947315.26</v>
      </c>
      <c r="T13" s="44">
        <v>497332.82000000007</v>
      </c>
      <c r="U13" s="44">
        <v>0</v>
      </c>
      <c r="V13" s="53">
        <v>0</v>
      </c>
      <c r="W13" s="53">
        <v>100143</v>
      </c>
      <c r="X13" s="54">
        <f t="shared" si="2"/>
        <v>1.618727098064884E-2</v>
      </c>
      <c r="Y13" s="55">
        <f t="shared" si="2"/>
        <v>0.60330540695656798</v>
      </c>
      <c r="Z13" s="55">
        <f t="shared" si="2"/>
        <v>0.31673044025803787</v>
      </c>
      <c r="AA13" s="55">
        <f t="shared" si="2"/>
        <v>0</v>
      </c>
      <c r="AB13" s="55">
        <f t="shared" si="2"/>
        <v>0</v>
      </c>
      <c r="AC13" s="56">
        <f t="shared" si="2"/>
        <v>6.3776881804745333E-2</v>
      </c>
      <c r="AD13" s="57"/>
      <c r="AE13" s="58">
        <v>24</v>
      </c>
      <c r="AF13" s="57"/>
      <c r="AG13" s="59">
        <v>198</v>
      </c>
      <c r="AH13" s="60">
        <v>82</v>
      </c>
      <c r="AI13" s="60">
        <v>0</v>
      </c>
      <c r="AJ13" s="60">
        <v>0</v>
      </c>
      <c r="AK13" s="61">
        <v>14</v>
      </c>
      <c r="AL13" s="57"/>
      <c r="AM13" s="59">
        <f t="shared" si="4"/>
        <v>8.25</v>
      </c>
      <c r="AN13" s="60">
        <f t="shared" si="3"/>
        <v>3.4166666666666665</v>
      </c>
      <c r="AO13" s="60">
        <f t="shared" si="3"/>
        <v>0</v>
      </c>
      <c r="AP13" s="60">
        <f t="shared" si="3"/>
        <v>0</v>
      </c>
      <c r="AQ13" s="61">
        <f t="shared" si="3"/>
        <v>0.58333333333333337</v>
      </c>
    </row>
    <row r="14" spans="2:45" x14ac:dyDescent="0.25">
      <c r="B14" s="42" t="s">
        <v>44</v>
      </c>
      <c r="C14" s="43">
        <v>340</v>
      </c>
      <c r="D14" s="44">
        <v>69843815.259999961</v>
      </c>
      <c r="E14" s="45">
        <v>35811177</v>
      </c>
      <c r="F14" s="44">
        <v>336</v>
      </c>
      <c r="G14" s="44">
        <v>323</v>
      </c>
      <c r="H14" s="46">
        <f t="shared" si="0"/>
        <v>0.9882352941176471</v>
      </c>
      <c r="I14" s="47">
        <f t="shared" si="1"/>
        <v>0.96130952380952384</v>
      </c>
      <c r="J14" s="48">
        <v>37</v>
      </c>
      <c r="K14" s="49">
        <v>5</v>
      </c>
      <c r="L14" s="49">
        <v>10</v>
      </c>
      <c r="M14" s="49">
        <v>15</v>
      </c>
      <c r="N14" s="49">
        <v>1</v>
      </c>
      <c r="O14" s="50">
        <v>0</v>
      </c>
      <c r="P14" s="51">
        <v>6</v>
      </c>
      <c r="Q14" s="52">
        <v>6888338.4499999993</v>
      </c>
      <c r="R14" s="44">
        <v>911847.78</v>
      </c>
      <c r="S14" s="44">
        <v>2954254.1900000004</v>
      </c>
      <c r="T14" s="44">
        <v>2153557.1999999993</v>
      </c>
      <c r="U14" s="44">
        <v>180407</v>
      </c>
      <c r="V14" s="53">
        <v>0</v>
      </c>
      <c r="W14" s="53">
        <v>688272.28000000026</v>
      </c>
      <c r="X14" s="54">
        <f t="shared" si="2"/>
        <v>0.13237557745148254</v>
      </c>
      <c r="Y14" s="55">
        <f t="shared" si="2"/>
        <v>0.42887761852061734</v>
      </c>
      <c r="Z14" s="55">
        <f t="shared" si="2"/>
        <v>0.31263812247785233</v>
      </c>
      <c r="AA14" s="55">
        <f t="shared" si="2"/>
        <v>2.6190205564013774E-2</v>
      </c>
      <c r="AB14" s="55">
        <f t="shared" si="2"/>
        <v>0</v>
      </c>
      <c r="AC14" s="56">
        <f t="shared" si="2"/>
        <v>9.9918475986034094E-2</v>
      </c>
      <c r="AD14" s="57"/>
      <c r="AE14" s="58">
        <v>52</v>
      </c>
      <c r="AF14" s="57"/>
      <c r="AG14" s="59">
        <v>67</v>
      </c>
      <c r="AH14" s="60">
        <v>223</v>
      </c>
      <c r="AI14" s="60">
        <v>3</v>
      </c>
      <c r="AJ14" s="60">
        <v>0</v>
      </c>
      <c r="AK14" s="61">
        <v>43</v>
      </c>
      <c r="AL14" s="57"/>
      <c r="AM14" s="59">
        <f t="shared" si="4"/>
        <v>1.2884615384615385</v>
      </c>
      <c r="AN14" s="60">
        <f t="shared" si="3"/>
        <v>4.2884615384615383</v>
      </c>
      <c r="AO14" s="60">
        <f t="shared" si="3"/>
        <v>5.7692307692307696E-2</v>
      </c>
      <c r="AP14" s="60">
        <f t="shared" si="3"/>
        <v>0</v>
      </c>
      <c r="AQ14" s="61">
        <f t="shared" si="3"/>
        <v>0.82692307692307687</v>
      </c>
    </row>
    <row r="15" spans="2:45" x14ac:dyDescent="0.25">
      <c r="B15" s="42" t="s">
        <v>45</v>
      </c>
      <c r="C15" s="43">
        <v>304</v>
      </c>
      <c r="D15" s="44">
        <v>155066528.47999978</v>
      </c>
      <c r="E15" s="45">
        <v>58658983</v>
      </c>
      <c r="F15" s="44">
        <v>524</v>
      </c>
      <c r="G15" s="44">
        <v>347</v>
      </c>
      <c r="H15" s="46">
        <f t="shared" si="0"/>
        <v>1.7236842105263157</v>
      </c>
      <c r="I15" s="47">
        <f t="shared" si="1"/>
        <v>0.66221374045801529</v>
      </c>
      <c r="J15" s="48">
        <v>25</v>
      </c>
      <c r="K15" s="49">
        <v>2</v>
      </c>
      <c r="L15" s="49">
        <v>12</v>
      </c>
      <c r="M15" s="49">
        <v>11</v>
      </c>
      <c r="N15" s="49">
        <v>0</v>
      </c>
      <c r="O15" s="50">
        <v>0</v>
      </c>
      <c r="P15" s="51">
        <v>0</v>
      </c>
      <c r="Q15" s="52">
        <v>4103718.32</v>
      </c>
      <c r="R15" s="44">
        <v>106237.5</v>
      </c>
      <c r="S15" s="44">
        <v>2215135.1199999996</v>
      </c>
      <c r="T15" s="44">
        <v>1782345.6999999997</v>
      </c>
      <c r="U15" s="44">
        <v>0</v>
      </c>
      <c r="V15" s="53">
        <v>0</v>
      </c>
      <c r="W15" s="53">
        <v>0</v>
      </c>
      <c r="X15" s="54">
        <f t="shared" si="2"/>
        <v>2.5888107251961681E-2</v>
      </c>
      <c r="Y15" s="55">
        <f t="shared" si="2"/>
        <v>0.53978732146508523</v>
      </c>
      <c r="Z15" s="55">
        <f t="shared" si="2"/>
        <v>0.43432457128295293</v>
      </c>
      <c r="AA15" s="55">
        <f t="shared" si="2"/>
        <v>0</v>
      </c>
      <c r="AB15" s="55">
        <f t="shared" si="2"/>
        <v>0</v>
      </c>
      <c r="AC15" s="56">
        <f t="shared" si="2"/>
        <v>0</v>
      </c>
      <c r="AD15" s="57"/>
      <c r="AE15" s="58">
        <v>36</v>
      </c>
      <c r="AF15" s="57"/>
      <c r="AG15" s="59">
        <v>388</v>
      </c>
      <c r="AH15" s="60">
        <v>133</v>
      </c>
      <c r="AI15" s="60">
        <v>0</v>
      </c>
      <c r="AJ15" s="60">
        <v>0</v>
      </c>
      <c r="AK15" s="61">
        <v>3</v>
      </c>
      <c r="AL15" s="57"/>
      <c r="AM15" s="59">
        <f t="shared" si="4"/>
        <v>10.777777777777779</v>
      </c>
      <c r="AN15" s="60">
        <f t="shared" si="3"/>
        <v>3.6944444444444446</v>
      </c>
      <c r="AO15" s="60">
        <f t="shared" si="3"/>
        <v>0</v>
      </c>
      <c r="AP15" s="60">
        <f t="shared" si="3"/>
        <v>0</v>
      </c>
      <c r="AQ15" s="61">
        <f t="shared" si="3"/>
        <v>8.3333333333333329E-2</v>
      </c>
    </row>
    <row r="16" spans="2:45" x14ac:dyDescent="0.25">
      <c r="B16" s="42" t="s">
        <v>46</v>
      </c>
      <c r="C16" s="43">
        <v>342</v>
      </c>
      <c r="D16" s="44">
        <v>73676266.660000011</v>
      </c>
      <c r="E16" s="45">
        <v>41788208</v>
      </c>
      <c r="F16" s="44">
        <v>391</v>
      </c>
      <c r="G16" s="44">
        <v>375</v>
      </c>
      <c r="H16" s="46">
        <f t="shared" si="0"/>
        <v>1.1432748538011697</v>
      </c>
      <c r="I16" s="47">
        <f t="shared" si="1"/>
        <v>0.95907928388746799</v>
      </c>
      <c r="J16" s="48">
        <v>29</v>
      </c>
      <c r="K16" s="49">
        <v>4</v>
      </c>
      <c r="L16" s="49">
        <v>12</v>
      </c>
      <c r="M16" s="49">
        <v>12</v>
      </c>
      <c r="N16" s="49">
        <v>1</v>
      </c>
      <c r="O16" s="50">
        <v>0</v>
      </c>
      <c r="P16" s="51">
        <v>0</v>
      </c>
      <c r="Q16" s="52">
        <v>3705901.76</v>
      </c>
      <c r="R16" s="44">
        <v>326715.42000000016</v>
      </c>
      <c r="S16" s="44">
        <v>1631863.7899999991</v>
      </c>
      <c r="T16" s="44">
        <v>1732422.5499999998</v>
      </c>
      <c r="U16" s="44">
        <v>14900</v>
      </c>
      <c r="V16" s="53">
        <v>0</v>
      </c>
      <c r="W16" s="53">
        <v>0</v>
      </c>
      <c r="X16" s="54">
        <f t="shared" si="2"/>
        <v>8.81608421265868E-2</v>
      </c>
      <c r="Y16" s="55">
        <f t="shared" si="2"/>
        <v>0.4403418913079874</v>
      </c>
      <c r="Z16" s="55">
        <f t="shared" si="2"/>
        <v>0.46747665270004352</v>
      </c>
      <c r="AA16" s="55">
        <f t="shared" si="2"/>
        <v>4.0206138653821194E-3</v>
      </c>
      <c r="AB16" s="55">
        <f t="shared" si="2"/>
        <v>0</v>
      </c>
      <c r="AC16" s="56">
        <f t="shared" si="2"/>
        <v>0</v>
      </c>
      <c r="AD16" s="57"/>
      <c r="AE16" s="58">
        <v>44</v>
      </c>
      <c r="AF16" s="57"/>
      <c r="AG16" s="59">
        <v>165</v>
      </c>
      <c r="AH16" s="60">
        <v>211</v>
      </c>
      <c r="AI16" s="60">
        <v>5</v>
      </c>
      <c r="AJ16" s="60">
        <v>0</v>
      </c>
      <c r="AK16" s="61">
        <v>2</v>
      </c>
      <c r="AL16" s="57"/>
      <c r="AM16" s="59">
        <f t="shared" si="4"/>
        <v>3.75</v>
      </c>
      <c r="AN16" s="60">
        <f t="shared" si="3"/>
        <v>4.7954545454545459</v>
      </c>
      <c r="AO16" s="60">
        <f t="shared" si="3"/>
        <v>0.11363636363636363</v>
      </c>
      <c r="AP16" s="60">
        <f t="shared" si="3"/>
        <v>0</v>
      </c>
      <c r="AQ16" s="61">
        <f t="shared" si="3"/>
        <v>4.5454545454545456E-2</v>
      </c>
    </row>
    <row r="17" spans="2:43" x14ac:dyDescent="0.25">
      <c r="B17" s="42" t="s">
        <v>47</v>
      </c>
      <c r="C17" s="43">
        <v>275</v>
      </c>
      <c r="D17" s="44">
        <v>76206052.470000014</v>
      </c>
      <c r="E17" s="45">
        <v>38053838</v>
      </c>
      <c r="F17" s="44">
        <v>429</v>
      </c>
      <c r="G17" s="44">
        <v>420</v>
      </c>
      <c r="H17" s="46">
        <f t="shared" si="0"/>
        <v>1.56</v>
      </c>
      <c r="I17" s="47">
        <f t="shared" si="1"/>
        <v>0.97902097902097907</v>
      </c>
      <c r="J17" s="48">
        <v>49</v>
      </c>
      <c r="K17" s="49">
        <v>7</v>
      </c>
      <c r="L17" s="49">
        <v>35</v>
      </c>
      <c r="M17" s="49">
        <v>7</v>
      </c>
      <c r="N17" s="49">
        <v>0</v>
      </c>
      <c r="O17" s="50">
        <v>0</v>
      </c>
      <c r="P17" s="51">
        <v>0</v>
      </c>
      <c r="Q17" s="52">
        <v>10527268.659999998</v>
      </c>
      <c r="R17" s="44">
        <v>546337.52</v>
      </c>
      <c r="S17" s="44">
        <v>8367134.2699999986</v>
      </c>
      <c r="T17" s="44">
        <v>1613796.8699999996</v>
      </c>
      <c r="U17" s="44">
        <v>0</v>
      </c>
      <c r="V17" s="53">
        <v>0</v>
      </c>
      <c r="W17" s="53">
        <v>0</v>
      </c>
      <c r="X17" s="54">
        <f t="shared" si="2"/>
        <v>5.1897366510260612E-2</v>
      </c>
      <c r="Y17" s="55">
        <f t="shared" si="2"/>
        <v>0.7948058076823129</v>
      </c>
      <c r="Z17" s="55">
        <f t="shared" si="2"/>
        <v>0.15329682580742648</v>
      </c>
      <c r="AA17" s="55">
        <f t="shared" si="2"/>
        <v>0</v>
      </c>
      <c r="AB17" s="55">
        <f t="shared" si="2"/>
        <v>0</v>
      </c>
      <c r="AC17" s="56">
        <f t="shared" si="2"/>
        <v>0</v>
      </c>
      <c r="AD17" s="57"/>
      <c r="AE17" s="58">
        <v>57</v>
      </c>
      <c r="AF17" s="57"/>
      <c r="AG17" s="59">
        <v>313</v>
      </c>
      <c r="AH17" s="60">
        <v>114</v>
      </c>
      <c r="AI17" s="60">
        <v>0</v>
      </c>
      <c r="AJ17" s="60">
        <v>0</v>
      </c>
      <c r="AK17" s="61">
        <v>2</v>
      </c>
      <c r="AL17" s="57"/>
      <c r="AM17" s="59">
        <f t="shared" si="4"/>
        <v>5.4912280701754383</v>
      </c>
      <c r="AN17" s="60">
        <f t="shared" si="3"/>
        <v>2</v>
      </c>
      <c r="AO17" s="60">
        <f t="shared" si="3"/>
        <v>0</v>
      </c>
      <c r="AP17" s="60">
        <f t="shared" si="3"/>
        <v>0</v>
      </c>
      <c r="AQ17" s="61">
        <f t="shared" si="3"/>
        <v>3.5087719298245612E-2</v>
      </c>
    </row>
    <row r="18" spans="2:43" x14ac:dyDescent="0.25">
      <c r="B18" s="42" t="s">
        <v>48</v>
      </c>
      <c r="C18" s="43">
        <v>319</v>
      </c>
      <c r="D18" s="44">
        <v>69356422.239999965</v>
      </c>
      <c r="E18" s="45">
        <v>29592878</v>
      </c>
      <c r="F18" s="44">
        <v>404</v>
      </c>
      <c r="G18" s="44">
        <v>267</v>
      </c>
      <c r="H18" s="46">
        <f t="shared" si="0"/>
        <v>1.2664576802507836</v>
      </c>
      <c r="I18" s="47">
        <f t="shared" si="1"/>
        <v>0.66089108910891092</v>
      </c>
      <c r="J18" s="48">
        <v>22</v>
      </c>
      <c r="K18" s="49">
        <v>2</v>
      </c>
      <c r="L18" s="49">
        <v>14</v>
      </c>
      <c r="M18" s="49">
        <v>6</v>
      </c>
      <c r="N18" s="49">
        <v>0</v>
      </c>
      <c r="O18" s="50">
        <v>0</v>
      </c>
      <c r="P18" s="51">
        <v>0</v>
      </c>
      <c r="Q18" s="52">
        <v>2882913.6099999994</v>
      </c>
      <c r="R18" s="44">
        <v>213724.88</v>
      </c>
      <c r="S18" s="44">
        <v>2049438.7299999995</v>
      </c>
      <c r="T18" s="44">
        <v>619750</v>
      </c>
      <c r="U18" s="44">
        <v>0</v>
      </c>
      <c r="V18" s="53">
        <v>0</v>
      </c>
      <c r="W18" s="53">
        <v>0</v>
      </c>
      <c r="X18" s="54">
        <f t="shared" si="2"/>
        <v>7.4135027584125227E-2</v>
      </c>
      <c r="Y18" s="55">
        <f t="shared" si="2"/>
        <v>0.71089148245409961</v>
      </c>
      <c r="Z18" s="55">
        <f t="shared" si="2"/>
        <v>0.2149734899617752</v>
      </c>
      <c r="AA18" s="55">
        <f t="shared" si="2"/>
        <v>0</v>
      </c>
      <c r="AB18" s="55">
        <f t="shared" si="2"/>
        <v>0</v>
      </c>
      <c r="AC18" s="56">
        <f t="shared" si="2"/>
        <v>0</v>
      </c>
      <c r="AD18" s="57"/>
      <c r="AE18" s="58">
        <v>31</v>
      </c>
      <c r="AF18" s="57"/>
      <c r="AG18" s="59">
        <v>210</v>
      </c>
      <c r="AH18" s="60">
        <v>177</v>
      </c>
      <c r="AI18" s="60">
        <v>0</v>
      </c>
      <c r="AJ18" s="60">
        <v>0</v>
      </c>
      <c r="AK18" s="61">
        <v>17</v>
      </c>
      <c r="AL18" s="57"/>
      <c r="AM18" s="59">
        <f t="shared" si="4"/>
        <v>6.774193548387097</v>
      </c>
      <c r="AN18" s="60">
        <f t="shared" si="3"/>
        <v>5.709677419354839</v>
      </c>
      <c r="AO18" s="60">
        <f t="shared" si="3"/>
        <v>0</v>
      </c>
      <c r="AP18" s="60">
        <f t="shared" si="3"/>
        <v>0</v>
      </c>
      <c r="AQ18" s="61">
        <f t="shared" si="3"/>
        <v>0.54838709677419351</v>
      </c>
    </row>
    <row r="19" spans="2:43" x14ac:dyDescent="0.25">
      <c r="B19" s="42" t="s">
        <v>49</v>
      </c>
      <c r="C19" s="43">
        <v>348</v>
      </c>
      <c r="D19" s="44">
        <v>131357983.91</v>
      </c>
      <c r="E19" s="45">
        <v>55867360</v>
      </c>
      <c r="F19" s="44">
        <v>437</v>
      </c>
      <c r="G19" s="44">
        <v>344</v>
      </c>
      <c r="H19" s="46">
        <f t="shared" si="0"/>
        <v>1.2557471264367817</v>
      </c>
      <c r="I19" s="47">
        <f t="shared" si="1"/>
        <v>0.78718535469107553</v>
      </c>
      <c r="J19" s="48">
        <v>85</v>
      </c>
      <c r="K19" s="49">
        <v>51</v>
      </c>
      <c r="L19" s="49">
        <v>8</v>
      </c>
      <c r="M19" s="49">
        <v>20</v>
      </c>
      <c r="N19" s="49">
        <v>1</v>
      </c>
      <c r="O19" s="50">
        <v>1</v>
      </c>
      <c r="P19" s="51">
        <v>4</v>
      </c>
      <c r="Q19" s="52">
        <v>12780316.570000002</v>
      </c>
      <c r="R19" s="44">
        <v>8122362.25</v>
      </c>
      <c r="S19" s="44">
        <v>1018274.5999999994</v>
      </c>
      <c r="T19" s="44">
        <v>2833672.52</v>
      </c>
      <c r="U19" s="44">
        <v>116032.04000000015</v>
      </c>
      <c r="V19" s="53">
        <v>20009</v>
      </c>
      <c r="W19" s="53">
        <v>669966.16000000015</v>
      </c>
      <c r="X19" s="54">
        <f t="shared" si="2"/>
        <v>0.63553685900598933</v>
      </c>
      <c r="Y19" s="55">
        <f t="shared" si="2"/>
        <v>7.9675225134114125E-2</v>
      </c>
      <c r="Z19" s="55">
        <f t="shared" si="2"/>
        <v>0.22172162203334214</v>
      </c>
      <c r="AA19" s="55">
        <f t="shared" si="2"/>
        <v>9.0789644657448525E-3</v>
      </c>
      <c r="AB19" s="55">
        <f t="shared" si="2"/>
        <v>1.5656106709413065E-3</v>
      </c>
      <c r="AC19" s="56">
        <f t="shared" si="2"/>
        <v>5.2421718689868106E-2</v>
      </c>
      <c r="AD19" s="57"/>
      <c r="AE19" s="58">
        <v>101</v>
      </c>
      <c r="AF19" s="57"/>
      <c r="AG19" s="59">
        <v>64</v>
      </c>
      <c r="AH19" s="60">
        <v>297</v>
      </c>
      <c r="AI19" s="60">
        <v>1</v>
      </c>
      <c r="AJ19" s="60">
        <v>5</v>
      </c>
      <c r="AK19" s="61">
        <v>69</v>
      </c>
      <c r="AL19" s="57"/>
      <c r="AM19" s="59">
        <f t="shared" si="4"/>
        <v>0.63366336633663367</v>
      </c>
      <c r="AN19" s="60">
        <f t="shared" si="3"/>
        <v>2.9405940594059405</v>
      </c>
      <c r="AO19" s="60">
        <f t="shared" si="3"/>
        <v>9.9009900990099011E-3</v>
      </c>
      <c r="AP19" s="60">
        <f t="shared" si="3"/>
        <v>4.9504950495049507E-2</v>
      </c>
      <c r="AQ19" s="61">
        <f t="shared" si="3"/>
        <v>0.68316831683168322</v>
      </c>
    </row>
    <row r="20" spans="2:43" x14ac:dyDescent="0.25">
      <c r="B20" s="42" t="s">
        <v>50</v>
      </c>
      <c r="C20" s="43">
        <v>354</v>
      </c>
      <c r="D20" s="44">
        <v>108026075.41999996</v>
      </c>
      <c r="E20" s="45">
        <v>28560866</v>
      </c>
      <c r="F20" s="44">
        <v>477</v>
      </c>
      <c r="G20" s="44">
        <v>464</v>
      </c>
      <c r="H20" s="46">
        <f t="shared" si="0"/>
        <v>1.347457627118644</v>
      </c>
      <c r="I20" s="47">
        <f t="shared" si="1"/>
        <v>0.97274633123689724</v>
      </c>
      <c r="J20" s="48">
        <v>22</v>
      </c>
      <c r="K20" s="49">
        <v>14</v>
      </c>
      <c r="L20" s="49">
        <v>4</v>
      </c>
      <c r="M20" s="49">
        <v>3</v>
      </c>
      <c r="N20" s="49">
        <v>1</v>
      </c>
      <c r="O20" s="50">
        <v>0</v>
      </c>
      <c r="P20" s="51">
        <v>0</v>
      </c>
      <c r="Q20" s="52">
        <v>5502333.1999999993</v>
      </c>
      <c r="R20" s="44">
        <v>4080791.87</v>
      </c>
      <c r="S20" s="44">
        <v>709435</v>
      </c>
      <c r="T20" s="44">
        <v>418080.32999999984</v>
      </c>
      <c r="U20" s="44">
        <v>294026</v>
      </c>
      <c r="V20" s="53">
        <v>0</v>
      </c>
      <c r="W20" s="53">
        <v>0</v>
      </c>
      <c r="X20" s="54">
        <f t="shared" si="2"/>
        <v>0.74164753781177783</v>
      </c>
      <c r="Y20" s="55">
        <f t="shared" si="2"/>
        <v>0.12893348588922243</v>
      </c>
      <c r="Z20" s="55">
        <f t="shared" si="2"/>
        <v>7.5982372350696589E-2</v>
      </c>
      <c r="AA20" s="55">
        <f t="shared" si="2"/>
        <v>5.3436603948303248E-2</v>
      </c>
      <c r="AB20" s="55">
        <f t="shared" si="2"/>
        <v>0</v>
      </c>
      <c r="AC20" s="56">
        <f t="shared" si="2"/>
        <v>0</v>
      </c>
      <c r="AD20" s="57"/>
      <c r="AE20" s="58">
        <v>35</v>
      </c>
      <c r="AF20" s="57"/>
      <c r="AG20" s="59">
        <v>240</v>
      </c>
      <c r="AH20" s="60">
        <v>142</v>
      </c>
      <c r="AI20" s="60">
        <v>2</v>
      </c>
      <c r="AJ20" s="60">
        <v>0</v>
      </c>
      <c r="AK20" s="61">
        <v>0</v>
      </c>
      <c r="AL20" s="57"/>
      <c r="AM20" s="59">
        <f t="shared" si="4"/>
        <v>6.8571428571428568</v>
      </c>
      <c r="AN20" s="60">
        <f t="shared" si="4"/>
        <v>4.0571428571428569</v>
      </c>
      <c r="AO20" s="60">
        <f t="shared" si="4"/>
        <v>5.7142857142857141E-2</v>
      </c>
      <c r="AP20" s="60">
        <f t="shared" si="4"/>
        <v>0</v>
      </c>
      <c r="AQ20" s="61">
        <f t="shared" si="4"/>
        <v>0</v>
      </c>
    </row>
    <row r="21" spans="2:43" x14ac:dyDescent="0.25">
      <c r="B21" s="42" t="s">
        <v>51</v>
      </c>
      <c r="C21" s="43">
        <v>204</v>
      </c>
      <c r="D21" s="44">
        <v>113489429.84000003</v>
      </c>
      <c r="E21" s="45">
        <v>27127173</v>
      </c>
      <c r="F21" s="44">
        <v>248</v>
      </c>
      <c r="G21" s="44">
        <v>216</v>
      </c>
      <c r="H21" s="46">
        <f t="shared" si="0"/>
        <v>1.2156862745098038</v>
      </c>
      <c r="I21" s="47">
        <f t="shared" si="1"/>
        <v>0.87096774193548387</v>
      </c>
      <c r="J21" s="48">
        <v>9</v>
      </c>
      <c r="K21" s="49">
        <v>6</v>
      </c>
      <c r="L21" s="49">
        <v>1</v>
      </c>
      <c r="M21" s="49">
        <v>2</v>
      </c>
      <c r="N21" s="49">
        <v>0</v>
      </c>
      <c r="O21" s="50">
        <v>0</v>
      </c>
      <c r="P21" s="51">
        <v>0</v>
      </c>
      <c r="Q21" s="52">
        <v>534723.82999999984</v>
      </c>
      <c r="R21" s="44">
        <v>114730.90999999986</v>
      </c>
      <c r="S21" s="44">
        <v>179177.12</v>
      </c>
      <c r="T21" s="44">
        <v>240815.80000000005</v>
      </c>
      <c r="U21" s="44">
        <v>0</v>
      </c>
      <c r="V21" s="53">
        <v>0</v>
      </c>
      <c r="W21" s="53">
        <v>0</v>
      </c>
      <c r="X21" s="54">
        <f t="shared" si="2"/>
        <v>0.21456105668602779</v>
      </c>
      <c r="Y21" s="55">
        <f t="shared" si="2"/>
        <v>0.33508347664251292</v>
      </c>
      <c r="Z21" s="55">
        <f t="shared" si="2"/>
        <v>0.45035546667145937</v>
      </c>
      <c r="AA21" s="55">
        <f t="shared" si="2"/>
        <v>0</v>
      </c>
      <c r="AB21" s="55">
        <f t="shared" si="2"/>
        <v>0</v>
      </c>
      <c r="AC21" s="56">
        <f t="shared" si="2"/>
        <v>0</v>
      </c>
      <c r="AD21" s="57"/>
      <c r="AE21" s="58">
        <v>10</v>
      </c>
      <c r="AF21" s="57"/>
      <c r="AG21" s="59">
        <v>151</v>
      </c>
      <c r="AH21" s="60">
        <v>95</v>
      </c>
      <c r="AI21" s="60">
        <v>0</v>
      </c>
      <c r="AJ21" s="60">
        <v>0</v>
      </c>
      <c r="AK21" s="61">
        <v>2</v>
      </c>
      <c r="AL21" s="57"/>
      <c r="AM21" s="59">
        <f t="shared" ref="AM21:AQ43" si="5">IF($AE21&gt;0,IFERROR(AG21/$AE21,),"")</f>
        <v>15.1</v>
      </c>
      <c r="AN21" s="60">
        <f t="shared" si="5"/>
        <v>9.5</v>
      </c>
      <c r="AO21" s="60">
        <f t="shared" si="5"/>
        <v>0</v>
      </c>
      <c r="AP21" s="60">
        <f t="shared" si="5"/>
        <v>0</v>
      </c>
      <c r="AQ21" s="61">
        <f t="shared" si="5"/>
        <v>0.2</v>
      </c>
    </row>
    <row r="22" spans="2:43" x14ac:dyDescent="0.25">
      <c r="B22" s="42" t="s">
        <v>52</v>
      </c>
      <c r="C22" s="43">
        <v>355</v>
      </c>
      <c r="D22" s="44">
        <v>92112091.280000076</v>
      </c>
      <c r="E22" s="45">
        <v>38217843</v>
      </c>
      <c r="F22" s="44">
        <v>340</v>
      </c>
      <c r="G22" s="44">
        <v>323</v>
      </c>
      <c r="H22" s="46">
        <f t="shared" si="0"/>
        <v>0.95774647887323938</v>
      </c>
      <c r="I22" s="47">
        <f t="shared" si="1"/>
        <v>0.95</v>
      </c>
      <c r="J22" s="48">
        <v>29</v>
      </c>
      <c r="K22" s="49">
        <v>17</v>
      </c>
      <c r="L22" s="49">
        <v>2</v>
      </c>
      <c r="M22" s="49">
        <v>10</v>
      </c>
      <c r="N22" s="49">
        <v>0</v>
      </c>
      <c r="O22" s="50">
        <v>0</v>
      </c>
      <c r="P22" s="51">
        <v>0</v>
      </c>
      <c r="Q22" s="52">
        <v>4843740.7899999991</v>
      </c>
      <c r="R22" s="44">
        <v>2872062.8699999996</v>
      </c>
      <c r="S22" s="44">
        <v>235000</v>
      </c>
      <c r="T22" s="44">
        <v>1736677.92</v>
      </c>
      <c r="U22" s="44">
        <v>0</v>
      </c>
      <c r="V22" s="53">
        <v>0</v>
      </c>
      <c r="W22" s="53">
        <v>0</v>
      </c>
      <c r="X22" s="54">
        <f t="shared" si="2"/>
        <v>0.59294313930452913</v>
      </c>
      <c r="Y22" s="55">
        <f t="shared" si="2"/>
        <v>4.851622128194024E-2</v>
      </c>
      <c r="Z22" s="55">
        <f t="shared" si="2"/>
        <v>0.3585406394135307</v>
      </c>
      <c r="AA22" s="55">
        <f t="shared" si="2"/>
        <v>0</v>
      </c>
      <c r="AB22" s="55">
        <f t="shared" si="2"/>
        <v>0</v>
      </c>
      <c r="AC22" s="56">
        <f t="shared" si="2"/>
        <v>0</v>
      </c>
      <c r="AD22" s="57"/>
      <c r="AE22" s="58">
        <v>38</v>
      </c>
      <c r="AF22" s="57"/>
      <c r="AG22" s="59">
        <v>105</v>
      </c>
      <c r="AH22" s="60">
        <v>225</v>
      </c>
      <c r="AI22" s="60">
        <v>2</v>
      </c>
      <c r="AJ22" s="60">
        <v>0</v>
      </c>
      <c r="AK22" s="61">
        <v>8</v>
      </c>
      <c r="AL22" s="57"/>
      <c r="AM22" s="59">
        <f t="shared" si="5"/>
        <v>2.763157894736842</v>
      </c>
      <c r="AN22" s="60">
        <f t="shared" si="5"/>
        <v>5.9210526315789478</v>
      </c>
      <c r="AO22" s="60">
        <f t="shared" si="5"/>
        <v>5.2631578947368418E-2</v>
      </c>
      <c r="AP22" s="60">
        <f t="shared" si="5"/>
        <v>0</v>
      </c>
      <c r="AQ22" s="61">
        <f t="shared" si="5"/>
        <v>0.21052631578947367</v>
      </c>
    </row>
    <row r="23" spans="2:43" x14ac:dyDescent="0.25">
      <c r="B23" s="42" t="s">
        <v>53</v>
      </c>
      <c r="C23" s="43">
        <v>294</v>
      </c>
      <c r="D23" s="44">
        <v>91174171.180000007</v>
      </c>
      <c r="E23" s="45">
        <v>40183699</v>
      </c>
      <c r="F23" s="44">
        <v>537</v>
      </c>
      <c r="G23" s="44">
        <v>388</v>
      </c>
      <c r="H23" s="46">
        <f t="shared" si="0"/>
        <v>1.8265306122448979</v>
      </c>
      <c r="I23" s="47">
        <f t="shared" si="1"/>
        <v>0.72253258845437618</v>
      </c>
      <c r="J23" s="48">
        <v>20</v>
      </c>
      <c r="K23" s="49">
        <v>2</v>
      </c>
      <c r="L23" s="49">
        <v>9</v>
      </c>
      <c r="M23" s="49">
        <v>8</v>
      </c>
      <c r="N23" s="49">
        <v>1</v>
      </c>
      <c r="O23" s="50">
        <v>0</v>
      </c>
      <c r="P23" s="51">
        <v>0</v>
      </c>
      <c r="Q23" s="52">
        <v>4268821.45</v>
      </c>
      <c r="R23" s="44">
        <v>24622</v>
      </c>
      <c r="S23" s="44">
        <v>2538245.73</v>
      </c>
      <c r="T23" s="44">
        <v>1578867.7200000002</v>
      </c>
      <c r="U23" s="44">
        <v>127086</v>
      </c>
      <c r="V23" s="53">
        <v>0</v>
      </c>
      <c r="W23" s="53">
        <v>0</v>
      </c>
      <c r="X23" s="54">
        <f t="shared" si="2"/>
        <v>5.7678683187838645E-3</v>
      </c>
      <c r="Y23" s="55">
        <f t="shared" si="2"/>
        <v>0.59460105317827239</v>
      </c>
      <c r="Z23" s="55">
        <f t="shared" si="2"/>
        <v>0.3698603322938232</v>
      </c>
      <c r="AA23" s="55">
        <f t="shared" si="2"/>
        <v>2.9770746209120551E-2</v>
      </c>
      <c r="AB23" s="55">
        <f t="shared" si="2"/>
        <v>0</v>
      </c>
      <c r="AC23" s="56">
        <f t="shared" si="2"/>
        <v>0</v>
      </c>
      <c r="AD23" s="57"/>
      <c r="AE23" s="58">
        <v>25</v>
      </c>
      <c r="AF23" s="57"/>
      <c r="AG23" s="59">
        <v>220</v>
      </c>
      <c r="AH23" s="60">
        <v>304</v>
      </c>
      <c r="AI23" s="60">
        <v>4</v>
      </c>
      <c r="AJ23" s="60">
        <v>1</v>
      </c>
      <c r="AK23" s="61">
        <v>8</v>
      </c>
      <c r="AL23" s="57"/>
      <c r="AM23" s="59">
        <f t="shared" si="5"/>
        <v>8.8000000000000007</v>
      </c>
      <c r="AN23" s="60">
        <f t="shared" si="5"/>
        <v>12.16</v>
      </c>
      <c r="AO23" s="60">
        <f t="shared" si="5"/>
        <v>0.16</v>
      </c>
      <c r="AP23" s="60">
        <f t="shared" si="5"/>
        <v>0.04</v>
      </c>
      <c r="AQ23" s="61">
        <f t="shared" si="5"/>
        <v>0.32</v>
      </c>
    </row>
    <row r="24" spans="2:43" x14ac:dyDescent="0.25">
      <c r="B24" s="42" t="s">
        <v>54</v>
      </c>
      <c r="C24" s="43">
        <v>740</v>
      </c>
      <c r="D24" s="44">
        <v>469433353.93999845</v>
      </c>
      <c r="E24" s="45">
        <v>47162662</v>
      </c>
      <c r="F24" s="44">
        <v>414</v>
      </c>
      <c r="G24" s="44">
        <v>405</v>
      </c>
      <c r="H24" s="46">
        <f t="shared" si="0"/>
        <v>0.55945945945945941</v>
      </c>
      <c r="I24" s="47">
        <f t="shared" si="1"/>
        <v>0.97826086956521741</v>
      </c>
      <c r="J24" s="48">
        <v>20</v>
      </c>
      <c r="K24" s="49">
        <v>11</v>
      </c>
      <c r="L24" s="49">
        <v>5</v>
      </c>
      <c r="M24" s="49">
        <v>4</v>
      </c>
      <c r="N24" s="49">
        <v>0</v>
      </c>
      <c r="O24" s="50">
        <v>0</v>
      </c>
      <c r="P24" s="51">
        <v>0</v>
      </c>
      <c r="Q24" s="52">
        <v>1970960.0100000007</v>
      </c>
      <c r="R24" s="44">
        <v>1311531.48</v>
      </c>
      <c r="S24" s="44">
        <v>638822</v>
      </c>
      <c r="T24" s="44">
        <v>20606.530000000726</v>
      </c>
      <c r="U24" s="44">
        <v>0</v>
      </c>
      <c r="V24" s="53">
        <v>0</v>
      </c>
      <c r="W24" s="53">
        <v>0</v>
      </c>
      <c r="X24" s="54">
        <f t="shared" si="2"/>
        <v>0.66542774756754175</v>
      </c>
      <c r="Y24" s="55">
        <f t="shared" si="2"/>
        <v>0.3241171798305536</v>
      </c>
      <c r="Z24" s="55">
        <f t="shared" si="2"/>
        <v>1.0455072601904652E-2</v>
      </c>
      <c r="AA24" s="55">
        <f t="shared" si="2"/>
        <v>0</v>
      </c>
      <c r="AB24" s="55">
        <f t="shared" si="2"/>
        <v>0</v>
      </c>
      <c r="AC24" s="56">
        <f t="shared" si="2"/>
        <v>0</v>
      </c>
      <c r="AD24" s="57"/>
      <c r="AE24" s="58">
        <v>22</v>
      </c>
      <c r="AF24" s="57"/>
      <c r="AG24" s="59">
        <v>180</v>
      </c>
      <c r="AH24" s="60">
        <v>201</v>
      </c>
      <c r="AI24" s="60">
        <v>4</v>
      </c>
      <c r="AJ24" s="60">
        <v>0</v>
      </c>
      <c r="AK24" s="61">
        <v>4</v>
      </c>
      <c r="AL24" s="57"/>
      <c r="AM24" s="59">
        <f t="shared" si="5"/>
        <v>8.1818181818181817</v>
      </c>
      <c r="AN24" s="60">
        <f t="shared" si="5"/>
        <v>9.1363636363636367</v>
      </c>
      <c r="AO24" s="60">
        <f t="shared" si="5"/>
        <v>0.18181818181818182</v>
      </c>
      <c r="AP24" s="60">
        <f t="shared" si="5"/>
        <v>0</v>
      </c>
      <c r="AQ24" s="61">
        <f t="shared" si="5"/>
        <v>0.18181818181818182</v>
      </c>
    </row>
    <row r="25" spans="2:43" x14ac:dyDescent="0.25">
      <c r="B25" s="42" t="s">
        <v>55</v>
      </c>
      <c r="C25" s="43">
        <v>232</v>
      </c>
      <c r="D25" s="44">
        <v>138277767.05999991</v>
      </c>
      <c r="E25" s="45">
        <v>54912721</v>
      </c>
      <c r="F25" s="44">
        <v>253</v>
      </c>
      <c r="G25" s="44">
        <v>251</v>
      </c>
      <c r="H25" s="46">
        <f t="shared" si="0"/>
        <v>1.0905172413793103</v>
      </c>
      <c r="I25" s="47">
        <f t="shared" si="1"/>
        <v>0.9920948616600791</v>
      </c>
      <c r="J25" s="48">
        <v>5</v>
      </c>
      <c r="K25" s="49">
        <v>3</v>
      </c>
      <c r="L25" s="49">
        <v>0</v>
      </c>
      <c r="M25" s="49">
        <v>2</v>
      </c>
      <c r="N25" s="49">
        <v>0</v>
      </c>
      <c r="O25" s="50">
        <v>0</v>
      </c>
      <c r="P25" s="51">
        <v>0</v>
      </c>
      <c r="Q25" s="52">
        <v>473294.08000000007</v>
      </c>
      <c r="R25" s="44">
        <v>248496.06000000006</v>
      </c>
      <c r="S25" s="44">
        <v>0</v>
      </c>
      <c r="T25" s="44">
        <v>224798.02000000002</v>
      </c>
      <c r="U25" s="44">
        <v>0</v>
      </c>
      <c r="V25" s="53">
        <v>0</v>
      </c>
      <c r="W25" s="53">
        <v>0</v>
      </c>
      <c r="X25" s="54">
        <f t="shared" si="2"/>
        <v>0.52503521700503841</v>
      </c>
      <c r="Y25" s="55">
        <f t="shared" si="2"/>
        <v>0</v>
      </c>
      <c r="Z25" s="55">
        <f t="shared" si="2"/>
        <v>0.47496478299496159</v>
      </c>
      <c r="AA25" s="55">
        <f t="shared" si="2"/>
        <v>0</v>
      </c>
      <c r="AB25" s="55">
        <f t="shared" si="2"/>
        <v>0</v>
      </c>
      <c r="AC25" s="56">
        <f t="shared" si="2"/>
        <v>0</v>
      </c>
      <c r="AD25" s="57"/>
      <c r="AE25" s="58">
        <v>6</v>
      </c>
      <c r="AF25" s="57"/>
      <c r="AG25" s="59">
        <v>24</v>
      </c>
      <c r="AH25" s="60">
        <v>198</v>
      </c>
      <c r="AI25" s="60">
        <v>3</v>
      </c>
      <c r="AJ25" s="60">
        <v>0</v>
      </c>
      <c r="AK25" s="61">
        <v>1</v>
      </c>
      <c r="AL25" s="57"/>
      <c r="AM25" s="59">
        <f t="shared" si="5"/>
        <v>4</v>
      </c>
      <c r="AN25" s="60">
        <f t="shared" si="5"/>
        <v>33</v>
      </c>
      <c r="AO25" s="60">
        <f t="shared" si="5"/>
        <v>0.5</v>
      </c>
      <c r="AP25" s="60">
        <f t="shared" si="5"/>
        <v>0</v>
      </c>
      <c r="AQ25" s="61">
        <f t="shared" si="5"/>
        <v>0.16666666666666666</v>
      </c>
    </row>
    <row r="26" spans="2:43" x14ac:dyDescent="0.25">
      <c r="B26" s="42" t="s">
        <v>56</v>
      </c>
      <c r="C26" s="43">
        <v>630</v>
      </c>
      <c r="D26" s="44">
        <v>150571061.68999997</v>
      </c>
      <c r="E26" s="45">
        <v>65000000</v>
      </c>
      <c r="F26" s="44">
        <v>910</v>
      </c>
      <c r="G26" s="44">
        <v>378</v>
      </c>
      <c r="H26" s="46">
        <f t="shared" si="0"/>
        <v>1.4444444444444444</v>
      </c>
      <c r="I26" s="47">
        <f t="shared" si="1"/>
        <v>0.41538461538461541</v>
      </c>
      <c r="J26" s="48">
        <v>55</v>
      </c>
      <c r="K26" s="49">
        <v>19</v>
      </c>
      <c r="L26" s="49">
        <v>23</v>
      </c>
      <c r="M26" s="49">
        <v>13</v>
      </c>
      <c r="N26" s="49">
        <v>0</v>
      </c>
      <c r="O26" s="50">
        <v>0</v>
      </c>
      <c r="P26" s="51">
        <v>0</v>
      </c>
      <c r="Q26" s="52">
        <v>9171040.2799999993</v>
      </c>
      <c r="R26" s="44">
        <v>2290849.1399999997</v>
      </c>
      <c r="S26" s="44">
        <v>5428610.1800000006</v>
      </c>
      <c r="T26" s="44">
        <v>1451580.96</v>
      </c>
      <c r="U26" s="44">
        <v>0</v>
      </c>
      <c r="V26" s="53">
        <v>0</v>
      </c>
      <c r="W26" s="53">
        <v>0</v>
      </c>
      <c r="X26" s="54">
        <f t="shared" si="2"/>
        <v>0.2497916343248249</v>
      </c>
      <c r="Y26" s="55">
        <f t="shared" si="2"/>
        <v>0.59192959732589912</v>
      </c>
      <c r="Z26" s="55">
        <f t="shared" si="2"/>
        <v>0.15827876834927609</v>
      </c>
      <c r="AA26" s="55">
        <f t="shared" si="2"/>
        <v>0</v>
      </c>
      <c r="AB26" s="55">
        <f t="shared" si="2"/>
        <v>0</v>
      </c>
      <c r="AC26" s="56">
        <f t="shared" si="2"/>
        <v>0</v>
      </c>
      <c r="AD26" s="57"/>
      <c r="AE26" s="58">
        <v>67</v>
      </c>
      <c r="AF26" s="57"/>
      <c r="AG26" s="59">
        <v>632</v>
      </c>
      <c r="AH26" s="60">
        <v>278</v>
      </c>
      <c r="AI26" s="60">
        <v>0</v>
      </c>
      <c r="AJ26" s="60">
        <v>0</v>
      </c>
      <c r="AK26" s="61">
        <v>0</v>
      </c>
      <c r="AL26" s="57"/>
      <c r="AM26" s="59">
        <f t="shared" si="5"/>
        <v>9.432835820895523</v>
      </c>
      <c r="AN26" s="60">
        <f t="shared" si="5"/>
        <v>4.1492537313432836</v>
      </c>
      <c r="AO26" s="60">
        <f t="shared" si="5"/>
        <v>0</v>
      </c>
      <c r="AP26" s="60">
        <f t="shared" si="5"/>
        <v>0</v>
      </c>
      <c r="AQ26" s="61">
        <f t="shared" si="5"/>
        <v>0</v>
      </c>
    </row>
    <row r="27" spans="2:43" x14ac:dyDescent="0.25">
      <c r="B27" s="42" t="s">
        <v>57</v>
      </c>
      <c r="C27" s="43">
        <v>191</v>
      </c>
      <c r="D27" s="44">
        <v>39390115.539999999</v>
      </c>
      <c r="E27" s="45">
        <v>20000000</v>
      </c>
      <c r="F27" s="44">
        <v>269</v>
      </c>
      <c r="G27" s="44">
        <v>246</v>
      </c>
      <c r="H27" s="46">
        <f t="shared" si="0"/>
        <v>1.4083769633507854</v>
      </c>
      <c r="I27" s="47">
        <f t="shared" si="1"/>
        <v>0.91449814126394047</v>
      </c>
      <c r="J27" s="48">
        <v>13</v>
      </c>
      <c r="K27" s="49">
        <v>9</v>
      </c>
      <c r="L27" s="49">
        <v>0</v>
      </c>
      <c r="M27" s="49">
        <v>2</v>
      </c>
      <c r="N27" s="49">
        <v>0</v>
      </c>
      <c r="O27" s="50">
        <v>0</v>
      </c>
      <c r="P27" s="51">
        <v>2</v>
      </c>
      <c r="Q27" s="52">
        <v>1081949.75</v>
      </c>
      <c r="R27" s="44">
        <v>393125.75</v>
      </c>
      <c r="S27" s="44">
        <v>0</v>
      </c>
      <c r="T27" s="44">
        <v>417393</v>
      </c>
      <c r="U27" s="44">
        <v>0</v>
      </c>
      <c r="V27" s="53">
        <v>0</v>
      </c>
      <c r="W27" s="53">
        <v>271431</v>
      </c>
      <c r="X27" s="54">
        <f t="shared" si="2"/>
        <v>0.36334936072585627</v>
      </c>
      <c r="Y27" s="55">
        <f t="shared" si="2"/>
        <v>0</v>
      </c>
      <c r="Z27" s="55">
        <f t="shared" si="2"/>
        <v>0.38577854470598105</v>
      </c>
      <c r="AA27" s="55">
        <f t="shared" si="2"/>
        <v>0</v>
      </c>
      <c r="AB27" s="55">
        <f t="shared" si="2"/>
        <v>0</v>
      </c>
      <c r="AC27" s="56">
        <f t="shared" si="2"/>
        <v>0.25087209456816273</v>
      </c>
      <c r="AD27" s="57"/>
      <c r="AE27" s="58">
        <v>14</v>
      </c>
      <c r="AF27" s="57"/>
      <c r="AG27" s="59">
        <v>47</v>
      </c>
      <c r="AH27" s="60">
        <v>82</v>
      </c>
      <c r="AI27" s="60">
        <v>0</v>
      </c>
      <c r="AJ27" s="60">
        <v>0</v>
      </c>
      <c r="AK27" s="61">
        <v>106</v>
      </c>
      <c r="AL27" s="57"/>
      <c r="AM27" s="59">
        <f t="shared" si="5"/>
        <v>3.3571428571428572</v>
      </c>
      <c r="AN27" s="60">
        <f t="shared" si="5"/>
        <v>5.8571428571428568</v>
      </c>
      <c r="AO27" s="60">
        <f t="shared" si="5"/>
        <v>0</v>
      </c>
      <c r="AP27" s="60">
        <f t="shared" si="5"/>
        <v>0</v>
      </c>
      <c r="AQ27" s="61">
        <f t="shared" si="5"/>
        <v>7.5714285714285712</v>
      </c>
    </row>
    <row r="28" spans="2:43" x14ac:dyDescent="0.25">
      <c r="B28" s="42" t="s">
        <v>58</v>
      </c>
      <c r="C28" s="43">
        <v>409</v>
      </c>
      <c r="D28" s="44">
        <v>68935138.300000012</v>
      </c>
      <c r="E28" s="45">
        <v>45000000</v>
      </c>
      <c r="F28" s="44">
        <v>492</v>
      </c>
      <c r="G28" s="44">
        <v>462</v>
      </c>
      <c r="H28" s="46">
        <f t="shared" si="0"/>
        <v>1.2029339853300733</v>
      </c>
      <c r="I28" s="47">
        <f t="shared" si="1"/>
        <v>0.93902439024390238</v>
      </c>
      <c r="J28" s="48">
        <v>41</v>
      </c>
      <c r="K28" s="49">
        <v>17</v>
      </c>
      <c r="L28" s="49">
        <v>6</v>
      </c>
      <c r="M28" s="49">
        <v>18</v>
      </c>
      <c r="N28" s="49">
        <v>0</v>
      </c>
      <c r="O28" s="50">
        <v>0</v>
      </c>
      <c r="P28" s="51">
        <v>0</v>
      </c>
      <c r="Q28" s="52">
        <v>4481841.57</v>
      </c>
      <c r="R28" s="44">
        <v>1445337.4500000002</v>
      </c>
      <c r="S28" s="44">
        <v>842723.30999999994</v>
      </c>
      <c r="T28" s="44">
        <v>2193780.8099999996</v>
      </c>
      <c r="U28" s="44">
        <v>0</v>
      </c>
      <c r="V28" s="53">
        <v>0</v>
      </c>
      <c r="W28" s="53">
        <v>0</v>
      </c>
      <c r="X28" s="54">
        <f t="shared" si="2"/>
        <v>0.32248740331979209</v>
      </c>
      <c r="Y28" s="55">
        <f t="shared" si="2"/>
        <v>0.18803058895274602</v>
      </c>
      <c r="Z28" s="55">
        <f t="shared" si="2"/>
        <v>0.48948200772746175</v>
      </c>
      <c r="AA28" s="55">
        <f t="shared" si="2"/>
        <v>0</v>
      </c>
      <c r="AB28" s="55">
        <f t="shared" si="2"/>
        <v>0</v>
      </c>
      <c r="AC28" s="56">
        <f t="shared" si="2"/>
        <v>0</v>
      </c>
      <c r="AD28" s="57"/>
      <c r="AE28" s="58">
        <v>42</v>
      </c>
      <c r="AF28" s="57"/>
      <c r="AG28" s="59">
        <v>310</v>
      </c>
      <c r="AH28" s="60">
        <v>182</v>
      </c>
      <c r="AI28" s="60">
        <v>0</v>
      </c>
      <c r="AJ28" s="60">
        <v>0</v>
      </c>
      <c r="AK28" s="61">
        <v>0</v>
      </c>
      <c r="AL28" s="57"/>
      <c r="AM28" s="59">
        <f t="shared" si="5"/>
        <v>7.3809523809523814</v>
      </c>
      <c r="AN28" s="60">
        <f t="shared" si="5"/>
        <v>4.333333333333333</v>
      </c>
      <c r="AO28" s="60">
        <f t="shared" si="5"/>
        <v>0</v>
      </c>
      <c r="AP28" s="60">
        <f t="shared" si="5"/>
        <v>0</v>
      </c>
      <c r="AQ28" s="61">
        <f t="shared" si="5"/>
        <v>0</v>
      </c>
    </row>
    <row r="29" spans="2:43" ht="15.75" thickBot="1" x14ac:dyDescent="0.3">
      <c r="B29" s="42" t="s">
        <v>59</v>
      </c>
      <c r="C29" s="43">
        <v>564</v>
      </c>
      <c r="D29" s="44">
        <v>121762859.51999988</v>
      </c>
      <c r="E29" s="45">
        <v>65000000</v>
      </c>
      <c r="F29" s="44">
        <v>436</v>
      </c>
      <c r="G29" s="44">
        <v>319</v>
      </c>
      <c r="H29" s="46">
        <f t="shared" si="0"/>
        <v>0.77304964539007093</v>
      </c>
      <c r="I29" s="47">
        <f t="shared" si="1"/>
        <v>0.73165137614678899</v>
      </c>
      <c r="J29" s="48">
        <v>48</v>
      </c>
      <c r="K29" s="49">
        <v>9</v>
      </c>
      <c r="L29" s="49">
        <v>34</v>
      </c>
      <c r="M29" s="49">
        <v>5</v>
      </c>
      <c r="N29" s="49">
        <v>0</v>
      </c>
      <c r="O29" s="50">
        <v>0</v>
      </c>
      <c r="P29" s="51">
        <v>0</v>
      </c>
      <c r="Q29" s="52">
        <v>6155417.7299999995</v>
      </c>
      <c r="R29" s="44">
        <v>782855.24999999988</v>
      </c>
      <c r="S29" s="44">
        <v>4805433.379999999</v>
      </c>
      <c r="T29" s="44">
        <v>567129.1</v>
      </c>
      <c r="U29" s="44">
        <v>0</v>
      </c>
      <c r="V29" s="53">
        <v>0</v>
      </c>
      <c r="W29" s="53">
        <v>0</v>
      </c>
      <c r="X29" s="54">
        <f t="shared" si="2"/>
        <v>0.12718149837086684</v>
      </c>
      <c r="Y29" s="55">
        <f t="shared" si="2"/>
        <v>0.78068355240611742</v>
      </c>
      <c r="Z29" s="55">
        <f t="shared" si="2"/>
        <v>9.2134949223015614E-2</v>
      </c>
      <c r="AA29" s="55">
        <f t="shared" si="2"/>
        <v>0</v>
      </c>
      <c r="AB29" s="55">
        <f t="shared" si="2"/>
        <v>0</v>
      </c>
      <c r="AC29" s="56">
        <f t="shared" si="2"/>
        <v>0</v>
      </c>
      <c r="AD29" s="57"/>
      <c r="AE29" s="58">
        <v>66</v>
      </c>
      <c r="AF29" s="57"/>
      <c r="AG29" s="59">
        <v>223</v>
      </c>
      <c r="AH29" s="60">
        <v>212</v>
      </c>
      <c r="AI29" s="60">
        <v>1</v>
      </c>
      <c r="AJ29" s="60">
        <v>0</v>
      </c>
      <c r="AK29" s="61">
        <v>0</v>
      </c>
      <c r="AL29" s="57"/>
      <c r="AM29" s="59">
        <f t="shared" si="5"/>
        <v>3.3787878787878789</v>
      </c>
      <c r="AN29" s="60">
        <f t="shared" si="5"/>
        <v>3.2121212121212119</v>
      </c>
      <c r="AO29" s="60">
        <f t="shared" si="5"/>
        <v>1.5151515151515152E-2</v>
      </c>
      <c r="AP29" s="60">
        <f t="shared" si="5"/>
        <v>0</v>
      </c>
      <c r="AQ29" s="61">
        <f t="shared" si="5"/>
        <v>0</v>
      </c>
    </row>
    <row r="30" spans="2:43" x14ac:dyDescent="0.25">
      <c r="B30" s="62" t="s">
        <v>60</v>
      </c>
      <c r="C30" s="63">
        <f>SUM(C4:C29)</f>
        <v>9025</v>
      </c>
      <c r="D30" s="64">
        <f>SUM(D4:D29)</f>
        <v>2890850938.7199988</v>
      </c>
      <c r="E30" s="65">
        <f>SUM(E4:E29)</f>
        <v>1049297104</v>
      </c>
      <c r="F30" s="66">
        <f>SUM(F4:F29)</f>
        <v>10557</v>
      </c>
      <c r="G30" s="66">
        <f>SUM(G4:G29)</f>
        <v>8414</v>
      </c>
      <c r="H30" s="67">
        <f t="shared" si="0"/>
        <v>1.1697506925207757</v>
      </c>
      <c r="I30" s="68">
        <f t="shared" si="1"/>
        <v>0.79700672539547224</v>
      </c>
      <c r="J30" s="69">
        <f t="shared" ref="J30:W30" si="6">SUM(J4:J29)</f>
        <v>789</v>
      </c>
      <c r="K30" s="64">
        <f t="shared" si="6"/>
        <v>274</v>
      </c>
      <c r="L30" s="64">
        <f t="shared" si="6"/>
        <v>257</v>
      </c>
      <c r="M30" s="64">
        <f t="shared" si="6"/>
        <v>226</v>
      </c>
      <c r="N30" s="64">
        <f t="shared" si="6"/>
        <v>8</v>
      </c>
      <c r="O30" s="70">
        <f t="shared" si="6"/>
        <v>1</v>
      </c>
      <c r="P30" s="65">
        <f t="shared" si="6"/>
        <v>23</v>
      </c>
      <c r="Q30" s="71">
        <f t="shared" si="6"/>
        <v>126752762.64000003</v>
      </c>
      <c r="R30" s="72">
        <f t="shared" si="6"/>
        <v>36044701.270000011</v>
      </c>
      <c r="S30" s="72">
        <f t="shared" si="6"/>
        <v>45348278.409999996</v>
      </c>
      <c r="T30" s="72">
        <f t="shared" si="6"/>
        <v>40176772.220000006</v>
      </c>
      <c r="U30" s="72">
        <f t="shared" si="6"/>
        <v>1151297.1099999989</v>
      </c>
      <c r="V30" s="73">
        <f t="shared" si="6"/>
        <v>20009</v>
      </c>
      <c r="W30" s="74">
        <f t="shared" si="6"/>
        <v>4011704.6300000008</v>
      </c>
      <c r="X30" s="75">
        <f t="shared" si="2"/>
        <v>0.28437014325575888</v>
      </c>
      <c r="Y30" s="76">
        <f t="shared" si="2"/>
        <v>0.35776954652102549</v>
      </c>
      <c r="Z30" s="76">
        <f t="shared" si="2"/>
        <v>0.31696959800481078</v>
      </c>
      <c r="AA30" s="76">
        <f t="shared" si="2"/>
        <v>9.0830139400581242E-3</v>
      </c>
      <c r="AB30" s="77">
        <f t="shared" si="2"/>
        <v>1.57858492258895E-4</v>
      </c>
      <c r="AC30" s="78">
        <f t="shared" si="2"/>
        <v>3.164983978608768E-2</v>
      </c>
      <c r="AD30" s="79"/>
      <c r="AE30" s="80">
        <f>SUM(AE4:AE29)</f>
        <v>1043</v>
      </c>
      <c r="AF30" s="79"/>
      <c r="AG30" s="81">
        <f>SUM(AG4:AG29)</f>
        <v>4960</v>
      </c>
      <c r="AH30" s="82">
        <f>SUM(AH4:AH29)</f>
        <v>4767</v>
      </c>
      <c r="AI30" s="82">
        <f>SUM(AI4:AI29)</f>
        <v>42</v>
      </c>
      <c r="AJ30" s="82">
        <f>SUM(AJ4:AJ29)</f>
        <v>30</v>
      </c>
      <c r="AK30" s="83">
        <f>SUM(AK4:AK29)</f>
        <v>564</v>
      </c>
      <c r="AL30" s="79"/>
      <c r="AM30" s="81">
        <f t="shared" si="5"/>
        <v>4.7555129434324064</v>
      </c>
      <c r="AN30" s="82">
        <f t="shared" si="5"/>
        <v>4.5704697986577179</v>
      </c>
      <c r="AO30" s="82">
        <f t="shared" si="5"/>
        <v>4.0268456375838924E-2</v>
      </c>
      <c r="AP30" s="82">
        <f t="shared" si="5"/>
        <v>2.8763183125599234E-2</v>
      </c>
      <c r="AQ30" s="83">
        <f t="shared" si="5"/>
        <v>0.54074784276126553</v>
      </c>
    </row>
    <row r="31" spans="2:43" x14ac:dyDescent="0.25">
      <c r="B31" s="84"/>
      <c r="C31" s="84"/>
      <c r="D31" s="84"/>
      <c r="E31" s="84"/>
      <c r="F31" s="84"/>
      <c r="G31" s="84"/>
      <c r="H31" s="84"/>
      <c r="I31" s="84"/>
      <c r="J31" s="84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6"/>
      <c r="AF31" s="86"/>
      <c r="AL31" s="86"/>
      <c r="AM31" s="87"/>
      <c r="AN31" s="87"/>
      <c r="AO31" s="87"/>
      <c r="AP31" s="87"/>
      <c r="AQ31" s="87"/>
    </row>
    <row r="32" spans="2:43" x14ac:dyDescent="0.25">
      <c r="K32" s="88"/>
      <c r="Q32" s="89"/>
      <c r="R32" s="89"/>
      <c r="X32" s="89"/>
      <c r="Y32" s="89"/>
      <c r="Z32" s="89"/>
    </row>
    <row r="33" spans="3:43" x14ac:dyDescent="0.25">
      <c r="C33" s="90"/>
      <c r="D33" s="90"/>
      <c r="E33" s="90"/>
      <c r="F33" s="90"/>
      <c r="G33" s="90"/>
      <c r="H33" s="91"/>
      <c r="I33" s="91"/>
      <c r="J33" s="90"/>
      <c r="K33" s="90"/>
      <c r="L33" s="90"/>
      <c r="M33" s="90"/>
      <c r="N33" s="90"/>
      <c r="O33" s="90"/>
      <c r="P33" s="90"/>
      <c r="Q33" s="90"/>
      <c r="R33" s="44"/>
      <c r="S33" s="44"/>
      <c r="T33" s="44"/>
      <c r="U33" s="44"/>
      <c r="V33" s="44"/>
      <c r="W33" s="44"/>
      <c r="X33" s="92"/>
      <c r="Y33" s="92"/>
      <c r="Z33" s="92"/>
      <c r="AA33" s="92"/>
      <c r="AB33" s="92"/>
      <c r="AC33" s="92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</row>
    <row r="34" spans="3:43" x14ac:dyDescent="0.25">
      <c r="AM34"/>
      <c r="AN34"/>
      <c r="AO34"/>
      <c r="AP34"/>
      <c r="AQ34"/>
    </row>
    <row r="36" spans="3:43" x14ac:dyDescent="0.25">
      <c r="D36" s="90"/>
    </row>
    <row r="40" spans="3:43" x14ac:dyDescent="0.25">
      <c r="AM40"/>
      <c r="AN40"/>
      <c r="AO40"/>
      <c r="AP40"/>
      <c r="AQ40"/>
    </row>
  </sheetData>
  <mergeCells count="8">
    <mergeCell ref="AG2:AK2"/>
    <mergeCell ref="AM2:AQ2"/>
    <mergeCell ref="B2:B3"/>
    <mergeCell ref="C2:E2"/>
    <mergeCell ref="F2:I2"/>
    <mergeCell ref="J2:P2"/>
    <mergeCell ref="Q2:W2"/>
    <mergeCell ref="X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Vinjam Hemachalam</dc:creator>
  <cp:lastModifiedBy>Vinjam Hemachalam</cp:lastModifiedBy>
  <dcterms:created xsi:type="dcterms:W3CDTF">2026-05-08T13:42:44Z</dcterms:created>
  <dcterms:modified xsi:type="dcterms:W3CDTF">2026-05-08T13:44:04Z</dcterms:modified>
</cp:coreProperties>
</file>